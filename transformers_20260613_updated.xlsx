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17ab329d7c98ff9/Documents/GitHub/Transformer/"/>
    </mc:Choice>
  </mc:AlternateContent>
  <xr:revisionPtr revIDLastSave="1" documentId="11_F5E8B8F15DFE8FB01C7D1E2AD6E900A201709DB5" xr6:coauthVersionLast="47" xr6:coauthVersionMax="47" xr10:uidLastSave="{DB303A1F-EF87-45A7-BBC1-46E387B752D3}"/>
  <bookViews>
    <workbookView xWindow="855" yWindow="1170" windowWidth="27945" windowHeight="13875" xr2:uid="{00000000-000D-0000-FFFF-FFFF00000000}"/>
  </bookViews>
  <sheets>
    <sheet name="HELAT AL NAHADAH" sheetId="1" r:id="rId1"/>
    <sheet name="SULAIF" sheetId="2" r:id="rId2"/>
    <sheet name="AL-MURTAFA" sheetId="3" r:id="rId3"/>
    <sheet name="MAZERA BIN KHATER" sheetId="4" r:id="rId4"/>
    <sheet name="AL-ARAQI" sheetId="5" r:id="rId5"/>
    <sheet name="AL-SANAEYYAH" sheetId="6" r:id="rId6"/>
    <sheet name="Hamra AlDaroo" sheetId="7" r:id="rId7"/>
    <sheet name="Masrooq" sheetId="8" r:id="rId8"/>
    <sheet name="Al Rob’a AlKhali" sheetId="9" r:id="rId9"/>
    <sheet name="AL-ARED" sheetId="10" r:id="rId10"/>
    <sheet name="MAQNYAT" sheetId="11" r:id="rId11"/>
    <sheet name="33KV feeder" sheetId="12" r:id="rId12"/>
    <sheet name="Zubra" sheetId="13" r:id="rId13"/>
    <sheet name="AL-NUJAYD" sheetId="14" r:id="rId14"/>
    <sheet name="KAHANAT" sheetId="15" r:id="rId15"/>
    <sheet name="HUGERMAT" sheetId="16" r:id="rId16"/>
    <sheet name="AMLAH" sheetId="17" r:id="rId17"/>
    <sheet name="AL-EYNIN" sheetId="18" r:id="rId18"/>
    <sheet name="KUBARAH" sheetId="19" r:id="rId19"/>
    <sheet name="AL-AKHDAR" sheetId="20" r:id="rId20"/>
    <sheet name="AL-DREEZ" sheetId="21" r:id="rId21"/>
    <sheet name="BAAT" sheetId="22" r:id="rId22"/>
    <sheet name="AL TAYYEB INDUSTRIAL" sheetId="23" r:id="rId23"/>
    <sheet name="AL BANAH" sheetId="24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8" i="24" l="1"/>
  <c r="BO18" i="24"/>
  <c r="BN18" i="24"/>
  <c r="BM18" i="24"/>
  <c r="BQ17" i="24"/>
  <c r="BS17" i="24" s="1"/>
  <c r="BT17" i="24" s="1"/>
  <c r="BP17" i="24"/>
  <c r="BO17" i="24"/>
  <c r="BU17" i="24" s="1"/>
  <c r="BN17" i="24"/>
  <c r="BM17" i="24"/>
  <c r="BP16" i="24"/>
  <c r="BO16" i="24"/>
  <c r="BN16" i="24"/>
  <c r="BM16" i="24"/>
  <c r="BU15" i="24"/>
  <c r="BP15" i="24"/>
  <c r="BO15" i="24"/>
  <c r="BQ15" i="24" s="1"/>
  <c r="BS15" i="24" s="1"/>
  <c r="BT15" i="24" s="1"/>
  <c r="BN15" i="24"/>
  <c r="BM15" i="24"/>
  <c r="BP14" i="24"/>
  <c r="BO14" i="24"/>
  <c r="BN14" i="24"/>
  <c r="BM14" i="24"/>
  <c r="BP13" i="24"/>
  <c r="BO13" i="24"/>
  <c r="BN13" i="24"/>
  <c r="BM13" i="24"/>
  <c r="BP12" i="24"/>
  <c r="BO12" i="24"/>
  <c r="BN12" i="24"/>
  <c r="BM12" i="24"/>
  <c r="BP11" i="24"/>
  <c r="BO11" i="24"/>
  <c r="BN11" i="24"/>
  <c r="BM11" i="24"/>
  <c r="BP10" i="24"/>
  <c r="BO10" i="24"/>
  <c r="BN10" i="24"/>
  <c r="BM10" i="24"/>
  <c r="BU9" i="24"/>
  <c r="BS9" i="24"/>
  <c r="BT9" i="24" s="1"/>
  <c r="BR9" i="24"/>
  <c r="BP9" i="24"/>
  <c r="BO9" i="24"/>
  <c r="BN9" i="24"/>
  <c r="BM9" i="24"/>
  <c r="BQ9" i="24" s="1"/>
  <c r="BP8" i="24"/>
  <c r="BO8" i="24"/>
  <c r="BN8" i="24"/>
  <c r="BM8" i="24"/>
  <c r="BP7" i="24"/>
  <c r="BO7" i="24"/>
  <c r="BN7" i="24"/>
  <c r="BM7" i="24"/>
  <c r="BP6" i="24"/>
  <c r="BO6" i="24"/>
  <c r="BN6" i="24"/>
  <c r="BM6" i="24"/>
  <c r="BP5" i="24"/>
  <c r="BO5" i="24"/>
  <c r="BN5" i="24"/>
  <c r="BM5" i="24"/>
  <c r="BP4" i="24"/>
  <c r="BO4" i="24"/>
  <c r="BN4" i="24"/>
  <c r="BM4" i="24"/>
  <c r="BY104" i="23"/>
  <c r="BZ104" i="23" s="1"/>
  <c r="BW104" i="23"/>
  <c r="BV104" i="23"/>
  <c r="BU104" i="23"/>
  <c r="BT104" i="23"/>
  <c r="BX104" i="23" s="1"/>
  <c r="BS104" i="23"/>
  <c r="BV103" i="23"/>
  <c r="BU103" i="23"/>
  <c r="BT103" i="23"/>
  <c r="BS103" i="23"/>
  <c r="CA102" i="23"/>
  <c r="BZ102" i="23"/>
  <c r="BV102" i="23"/>
  <c r="BU102" i="23"/>
  <c r="BW102" i="23" s="1"/>
  <c r="BY102" i="23" s="1"/>
  <c r="BT102" i="23"/>
  <c r="BS102" i="23"/>
  <c r="BV101" i="23"/>
  <c r="BU101" i="23"/>
  <c r="BT101" i="23"/>
  <c r="BS101" i="23"/>
  <c r="CA100" i="23"/>
  <c r="BY100" i="23"/>
  <c r="BZ100" i="23" s="1"/>
  <c r="BX100" i="23"/>
  <c r="BW100" i="23"/>
  <c r="BV100" i="23"/>
  <c r="BU100" i="23"/>
  <c r="BT100" i="23"/>
  <c r="BS100" i="23"/>
  <c r="BV99" i="23"/>
  <c r="BU99" i="23"/>
  <c r="BT99" i="23"/>
  <c r="BS99" i="23"/>
  <c r="CA98" i="23"/>
  <c r="BV98" i="23"/>
  <c r="BU98" i="23"/>
  <c r="BW98" i="23" s="1"/>
  <c r="BY98" i="23" s="1"/>
  <c r="BZ98" i="23" s="1"/>
  <c r="BT98" i="23"/>
  <c r="BS98" i="23"/>
  <c r="BV97" i="23"/>
  <c r="BU97" i="23"/>
  <c r="BT97" i="23"/>
  <c r="BS97" i="23"/>
  <c r="CA96" i="23"/>
  <c r="BY96" i="23"/>
  <c r="BZ96" i="23" s="1"/>
  <c r="BX96" i="23"/>
  <c r="BW96" i="23"/>
  <c r="BV96" i="23"/>
  <c r="BU96" i="23"/>
  <c r="BT96" i="23"/>
  <c r="BS96" i="23"/>
  <c r="BV95" i="23"/>
  <c r="BU95" i="23"/>
  <c r="BT95" i="23"/>
  <c r="BS95" i="23"/>
  <c r="CA94" i="23"/>
  <c r="BZ94" i="23"/>
  <c r="BY94" i="23"/>
  <c r="BX94" i="23"/>
  <c r="BV94" i="23"/>
  <c r="BU94" i="23"/>
  <c r="BT94" i="23"/>
  <c r="BS94" i="23"/>
  <c r="BW94" i="23" s="1"/>
  <c r="BW93" i="23"/>
  <c r="BY93" i="23" s="1"/>
  <c r="BZ93" i="23" s="1"/>
  <c r="BV93" i="23"/>
  <c r="BU93" i="23"/>
  <c r="BT93" i="23"/>
  <c r="BS93" i="23"/>
  <c r="CA92" i="23"/>
  <c r="BX92" i="23"/>
  <c r="BV92" i="23"/>
  <c r="BU92" i="23"/>
  <c r="BT92" i="23"/>
  <c r="BS92" i="23"/>
  <c r="BW92" i="23" s="1"/>
  <c r="BY92" i="23" s="1"/>
  <c r="BZ92" i="23" s="1"/>
  <c r="BV91" i="23"/>
  <c r="BU91" i="23"/>
  <c r="BT91" i="23"/>
  <c r="BS91" i="23"/>
  <c r="BV90" i="23"/>
  <c r="BU90" i="23"/>
  <c r="BT90" i="23"/>
  <c r="BS90" i="23"/>
  <c r="BV89" i="23"/>
  <c r="BU89" i="23"/>
  <c r="BT89" i="23"/>
  <c r="BS89" i="23"/>
  <c r="BV88" i="23"/>
  <c r="BU88" i="23"/>
  <c r="BW88" i="23" s="1"/>
  <c r="BY88" i="23" s="1"/>
  <c r="BZ88" i="23" s="1"/>
  <c r="BT88" i="23"/>
  <c r="BS88" i="23"/>
  <c r="BV87" i="23"/>
  <c r="BU87" i="23"/>
  <c r="BT87" i="23"/>
  <c r="BS87" i="23"/>
  <c r="CA86" i="23"/>
  <c r="BY86" i="23"/>
  <c r="BZ86" i="23" s="1"/>
  <c r="BW86" i="23"/>
  <c r="BV86" i="23"/>
  <c r="BU86" i="23"/>
  <c r="BT86" i="23"/>
  <c r="BS86" i="23"/>
  <c r="BX86" i="23" s="1"/>
  <c r="BV85" i="23"/>
  <c r="BU85" i="23"/>
  <c r="BT85" i="23"/>
  <c r="BS85" i="23"/>
  <c r="BX84" i="23"/>
  <c r="BW84" i="23"/>
  <c r="BV84" i="23"/>
  <c r="BU84" i="23"/>
  <c r="BT84" i="23"/>
  <c r="BS84" i="23"/>
  <c r="BV83" i="23"/>
  <c r="BU83" i="23"/>
  <c r="BT83" i="23"/>
  <c r="BS83" i="23"/>
  <c r="BW82" i="23"/>
  <c r="CA82" i="23" s="1"/>
  <c r="BV82" i="23"/>
  <c r="BU82" i="23"/>
  <c r="BT82" i="23"/>
  <c r="BX82" i="23" s="1"/>
  <c r="BS82" i="23"/>
  <c r="BV81" i="23"/>
  <c r="BU81" i="23"/>
  <c r="BT81" i="23"/>
  <c r="BS81" i="23"/>
  <c r="BY80" i="23"/>
  <c r="BZ80" i="23" s="1"/>
  <c r="BX80" i="23"/>
  <c r="BW80" i="23"/>
  <c r="CA80" i="23" s="1"/>
  <c r="BV80" i="23"/>
  <c r="BU80" i="23"/>
  <c r="BT80" i="23"/>
  <c r="BS80" i="23"/>
  <c r="BV79" i="23"/>
  <c r="BU79" i="23"/>
  <c r="BT79" i="23"/>
  <c r="BS79" i="23"/>
  <c r="BX78" i="23"/>
  <c r="BV78" i="23"/>
  <c r="BU78" i="23"/>
  <c r="BT78" i="23"/>
  <c r="BS78" i="23"/>
  <c r="BV77" i="23"/>
  <c r="BU77" i="23"/>
  <c r="BT77" i="23"/>
  <c r="BS77" i="23"/>
  <c r="BX76" i="23"/>
  <c r="BV76" i="23"/>
  <c r="BU76" i="23"/>
  <c r="BT76" i="23"/>
  <c r="BS76" i="23"/>
  <c r="BV75" i="23"/>
  <c r="BU75" i="23"/>
  <c r="BX75" i="23" s="1"/>
  <c r="BT75" i="23"/>
  <c r="BS75" i="23"/>
  <c r="BZ74" i="23"/>
  <c r="BW74" i="23"/>
  <c r="BY74" i="23" s="1"/>
  <c r="BV74" i="23"/>
  <c r="BU74" i="23"/>
  <c r="BT74" i="23"/>
  <c r="BS74" i="23"/>
  <c r="BX74" i="23" s="1"/>
  <c r="BV73" i="23"/>
  <c r="BU73" i="23"/>
  <c r="BT73" i="23"/>
  <c r="BS73" i="23"/>
  <c r="BV72" i="23"/>
  <c r="BU72" i="23"/>
  <c r="BT72" i="23"/>
  <c r="BW72" i="23" s="1"/>
  <c r="BY72" i="23" s="1"/>
  <c r="BZ72" i="23" s="1"/>
  <c r="BS72" i="23"/>
  <c r="BX72" i="23" s="1"/>
  <c r="BV71" i="23"/>
  <c r="BU71" i="23"/>
  <c r="BT71" i="23"/>
  <c r="BS71" i="23"/>
  <c r="BZ70" i="23"/>
  <c r="BW70" i="23"/>
  <c r="BY70" i="23" s="1"/>
  <c r="BV70" i="23"/>
  <c r="BU70" i="23"/>
  <c r="CA70" i="23" s="1"/>
  <c r="BT70" i="23"/>
  <c r="BS70" i="23"/>
  <c r="BV69" i="23"/>
  <c r="BU69" i="23"/>
  <c r="BT69" i="23"/>
  <c r="BS69" i="23"/>
  <c r="CA68" i="23"/>
  <c r="BX68" i="23"/>
  <c r="BV68" i="23"/>
  <c r="BU68" i="23"/>
  <c r="BT68" i="23"/>
  <c r="BS68" i="23"/>
  <c r="BW68" i="23" s="1"/>
  <c r="BY68" i="23" s="1"/>
  <c r="BZ68" i="23" s="1"/>
  <c r="BV67" i="23"/>
  <c r="BU67" i="23"/>
  <c r="BT67" i="23"/>
  <c r="BS67" i="23"/>
  <c r="BW66" i="23"/>
  <c r="BV66" i="23"/>
  <c r="BU66" i="23"/>
  <c r="BT66" i="23"/>
  <c r="BS66" i="23"/>
  <c r="BV65" i="23"/>
  <c r="BU65" i="23"/>
  <c r="BT65" i="23"/>
  <c r="BS65" i="23"/>
  <c r="BX65" i="23" s="1"/>
  <c r="BW64" i="23"/>
  <c r="BY64" i="23" s="1"/>
  <c r="BZ64" i="23" s="1"/>
  <c r="BV64" i="23"/>
  <c r="BU64" i="23"/>
  <c r="BT64" i="23"/>
  <c r="BX64" i="23" s="1"/>
  <c r="BS64" i="23"/>
  <c r="BX63" i="23"/>
  <c r="BV63" i="23"/>
  <c r="BU63" i="23"/>
  <c r="BT63" i="23"/>
  <c r="BS63" i="23"/>
  <c r="BY62" i="23"/>
  <c r="BZ62" i="23" s="1"/>
  <c r="BV62" i="23"/>
  <c r="BU62" i="23"/>
  <c r="BT62" i="23"/>
  <c r="BS62" i="23"/>
  <c r="BW62" i="23" s="1"/>
  <c r="BX61" i="23"/>
  <c r="BV61" i="23"/>
  <c r="BU61" i="23"/>
  <c r="BT61" i="23"/>
  <c r="BW61" i="23" s="1"/>
  <c r="BY61" i="23" s="1"/>
  <c r="BZ61" i="23" s="1"/>
  <c r="BS61" i="23"/>
  <c r="BZ60" i="23"/>
  <c r="BV60" i="23"/>
  <c r="BU60" i="23"/>
  <c r="BT60" i="23"/>
  <c r="BS60" i="23"/>
  <c r="BW60" i="23" s="1"/>
  <c r="BY60" i="23" s="1"/>
  <c r="BV59" i="23"/>
  <c r="BU59" i="23"/>
  <c r="BT59" i="23"/>
  <c r="BS59" i="23"/>
  <c r="BW58" i="23"/>
  <c r="BY58" i="23" s="1"/>
  <c r="BZ58" i="23" s="1"/>
  <c r="BV58" i="23"/>
  <c r="BU58" i="23"/>
  <c r="BT58" i="23"/>
  <c r="BX58" i="23" s="1"/>
  <c r="BS58" i="23"/>
  <c r="BW57" i="23"/>
  <c r="BY57" i="23" s="1"/>
  <c r="BZ57" i="23" s="1"/>
  <c r="BV57" i="23"/>
  <c r="BU57" i="23"/>
  <c r="BT57" i="23"/>
  <c r="BS57" i="23"/>
  <c r="BX57" i="23" s="1"/>
  <c r="BW56" i="23"/>
  <c r="BY56" i="23" s="1"/>
  <c r="BZ56" i="23" s="1"/>
  <c r="BV56" i="23"/>
  <c r="BU56" i="23"/>
  <c r="BT56" i="23"/>
  <c r="BX56" i="23" s="1"/>
  <c r="BS56" i="23"/>
  <c r="BW55" i="23"/>
  <c r="BY55" i="23" s="1"/>
  <c r="BZ55" i="23" s="1"/>
  <c r="BV55" i="23"/>
  <c r="BU55" i="23"/>
  <c r="BT55" i="23"/>
  <c r="BS55" i="23"/>
  <c r="CA54" i="23"/>
  <c r="BX54" i="23"/>
  <c r="BV54" i="23"/>
  <c r="BU54" i="23"/>
  <c r="BT54" i="23"/>
  <c r="BS54" i="23"/>
  <c r="BW54" i="23" s="1"/>
  <c r="BY54" i="23" s="1"/>
  <c r="BZ54" i="23" s="1"/>
  <c r="BV53" i="23"/>
  <c r="BU53" i="23"/>
  <c r="BT53" i="23"/>
  <c r="BS53" i="23"/>
  <c r="BY52" i="23"/>
  <c r="BZ52" i="23" s="1"/>
  <c r="BW52" i="23"/>
  <c r="BV52" i="23"/>
  <c r="BU52" i="23"/>
  <c r="BT52" i="23"/>
  <c r="CA52" i="23" s="1"/>
  <c r="BS52" i="23"/>
  <c r="BX52" i="23" s="1"/>
  <c r="BV51" i="23"/>
  <c r="BU51" i="23"/>
  <c r="BT51" i="23"/>
  <c r="BS51" i="23"/>
  <c r="BV50" i="23"/>
  <c r="BU50" i="23"/>
  <c r="BT50" i="23"/>
  <c r="BW50" i="23" s="1"/>
  <c r="BY50" i="23" s="1"/>
  <c r="BZ50" i="23" s="1"/>
  <c r="BS50" i="23"/>
  <c r="BX50" i="23" s="1"/>
  <c r="BW49" i="23"/>
  <c r="BY49" i="23" s="1"/>
  <c r="BZ49" i="23" s="1"/>
  <c r="BV49" i="23"/>
  <c r="BU49" i="23"/>
  <c r="BT49" i="23"/>
  <c r="BS49" i="23"/>
  <c r="BX49" i="23" s="1"/>
  <c r="BX48" i="23"/>
  <c r="BV48" i="23"/>
  <c r="BU48" i="23"/>
  <c r="BT48" i="23"/>
  <c r="BW48" i="23" s="1"/>
  <c r="BY48" i="23" s="1"/>
  <c r="BZ48" i="23" s="1"/>
  <c r="BS48" i="23"/>
  <c r="BX47" i="23"/>
  <c r="BW47" i="23"/>
  <c r="BY47" i="23" s="1"/>
  <c r="BZ47" i="23" s="1"/>
  <c r="BV47" i="23"/>
  <c r="BU47" i="23"/>
  <c r="BT47" i="23"/>
  <c r="BS47" i="23"/>
  <c r="BX46" i="23"/>
  <c r="BV46" i="23"/>
  <c r="BU46" i="23"/>
  <c r="BT46" i="23"/>
  <c r="BS46" i="23"/>
  <c r="BY45" i="23"/>
  <c r="BZ45" i="23" s="1"/>
  <c r="BX45" i="23"/>
  <c r="BW45" i="23"/>
  <c r="BV45" i="23"/>
  <c r="BU45" i="23"/>
  <c r="BT45" i="23"/>
  <c r="BS45" i="23"/>
  <c r="CA45" i="23" s="1"/>
  <c r="CA44" i="23"/>
  <c r="BX44" i="23"/>
  <c r="BV44" i="23"/>
  <c r="BU44" i="23"/>
  <c r="BT44" i="23"/>
  <c r="BS44" i="23"/>
  <c r="BX43" i="23"/>
  <c r="BV43" i="23"/>
  <c r="BU43" i="23"/>
  <c r="BT43" i="23"/>
  <c r="BS43" i="23"/>
  <c r="BX42" i="23"/>
  <c r="BV42" i="23"/>
  <c r="BU42" i="23"/>
  <c r="BT42" i="23"/>
  <c r="BS42" i="23"/>
  <c r="BV41" i="23"/>
  <c r="BU41" i="23"/>
  <c r="BX41" i="23" s="1"/>
  <c r="BT41" i="23"/>
  <c r="BS41" i="23"/>
  <c r="BX40" i="23"/>
  <c r="BV40" i="23"/>
  <c r="BU40" i="23"/>
  <c r="BT40" i="23"/>
  <c r="BS40" i="23"/>
  <c r="CA40" i="23" s="1"/>
  <c r="BX39" i="23"/>
  <c r="BW39" i="23"/>
  <c r="BY39" i="23" s="1"/>
  <c r="BZ39" i="23" s="1"/>
  <c r="BV39" i="23"/>
  <c r="BU39" i="23"/>
  <c r="BT39" i="23"/>
  <c r="BS39" i="23"/>
  <c r="BW38" i="23"/>
  <c r="BY38" i="23" s="1"/>
  <c r="BZ38" i="23" s="1"/>
  <c r="BV38" i="23"/>
  <c r="BU38" i="23"/>
  <c r="BT38" i="23"/>
  <c r="BS38" i="23"/>
  <c r="BX38" i="23" s="1"/>
  <c r="BV37" i="23"/>
  <c r="BU37" i="23"/>
  <c r="BT37" i="23"/>
  <c r="BS37" i="23"/>
  <c r="BX36" i="23"/>
  <c r="BV36" i="23"/>
  <c r="BU36" i="23"/>
  <c r="BT36" i="23"/>
  <c r="BS36" i="23"/>
  <c r="BY35" i="23"/>
  <c r="BZ35" i="23" s="1"/>
  <c r="BW35" i="23"/>
  <c r="BV35" i="23"/>
  <c r="BU35" i="23"/>
  <c r="BT35" i="23"/>
  <c r="CA35" i="23" s="1"/>
  <c r="BS35" i="23"/>
  <c r="BV34" i="23"/>
  <c r="BU34" i="23"/>
  <c r="BT34" i="23"/>
  <c r="BS34" i="23"/>
  <c r="BX33" i="23"/>
  <c r="BW33" i="23"/>
  <c r="BY33" i="23" s="1"/>
  <c r="BZ33" i="23" s="1"/>
  <c r="BV33" i="23"/>
  <c r="BU33" i="23"/>
  <c r="BT33" i="23"/>
  <c r="BS33" i="23"/>
  <c r="BV32" i="23"/>
  <c r="BU32" i="23"/>
  <c r="BT32" i="23"/>
  <c r="BS32" i="23"/>
  <c r="BV31" i="23"/>
  <c r="BU31" i="23"/>
  <c r="CA31" i="23" s="1"/>
  <c r="BT31" i="23"/>
  <c r="BS31" i="23"/>
  <c r="CA30" i="23"/>
  <c r="BY30" i="23"/>
  <c r="BZ30" i="23" s="1"/>
  <c r="BX30" i="23"/>
  <c r="BV30" i="23"/>
  <c r="BU30" i="23"/>
  <c r="BT30" i="23"/>
  <c r="BS30" i="23"/>
  <c r="BW30" i="23" s="1"/>
  <c r="CA29" i="23"/>
  <c r="BY29" i="23"/>
  <c r="BZ29" i="23" s="1"/>
  <c r="BX29" i="23"/>
  <c r="BV29" i="23"/>
  <c r="BU29" i="23"/>
  <c r="BT29" i="23"/>
  <c r="BS29" i="23"/>
  <c r="BW29" i="23" s="1"/>
  <c r="BX28" i="23"/>
  <c r="BV28" i="23"/>
  <c r="BU28" i="23"/>
  <c r="BT28" i="23"/>
  <c r="BS28" i="23"/>
  <c r="BV27" i="23"/>
  <c r="BU27" i="23"/>
  <c r="BX27" i="23" s="1"/>
  <c r="BT27" i="23"/>
  <c r="BS27" i="23"/>
  <c r="BV26" i="23"/>
  <c r="BU26" i="23"/>
  <c r="BT26" i="23"/>
  <c r="BW26" i="23" s="1"/>
  <c r="BY26" i="23" s="1"/>
  <c r="BZ26" i="23" s="1"/>
  <c r="BS26" i="23"/>
  <c r="BX25" i="23"/>
  <c r="BW25" i="23"/>
  <c r="BY25" i="23" s="1"/>
  <c r="BZ25" i="23" s="1"/>
  <c r="BV25" i="23"/>
  <c r="BU25" i="23"/>
  <c r="CA25" i="23" s="1"/>
  <c r="BT25" i="23"/>
  <c r="BS25" i="23"/>
  <c r="BY24" i="23"/>
  <c r="BZ24" i="23" s="1"/>
  <c r="BW24" i="23"/>
  <c r="BV24" i="23"/>
  <c r="BU24" i="23"/>
  <c r="BT24" i="23"/>
  <c r="BS24" i="23"/>
  <c r="BY23" i="23"/>
  <c r="BZ23" i="23" s="1"/>
  <c r="BX23" i="23"/>
  <c r="BW23" i="23"/>
  <c r="BV23" i="23"/>
  <c r="BU23" i="23"/>
  <c r="BT23" i="23"/>
  <c r="BS23" i="23"/>
  <c r="BZ22" i="23"/>
  <c r="BX22" i="23"/>
  <c r="BW22" i="23"/>
  <c r="BY22" i="23" s="1"/>
  <c r="BV22" i="23"/>
  <c r="BU22" i="23"/>
  <c r="BT22" i="23"/>
  <c r="BS22" i="23"/>
  <c r="BW21" i="23"/>
  <c r="BY21" i="23" s="1"/>
  <c r="BZ21" i="23" s="1"/>
  <c r="BV21" i="23"/>
  <c r="BU21" i="23"/>
  <c r="CA21" i="23" s="1"/>
  <c r="BT21" i="23"/>
  <c r="BS21" i="23"/>
  <c r="BV20" i="23"/>
  <c r="BU20" i="23"/>
  <c r="BT20" i="23"/>
  <c r="BS20" i="23"/>
  <c r="BV19" i="23"/>
  <c r="BU19" i="23"/>
  <c r="BT19" i="23"/>
  <c r="BS19" i="23"/>
  <c r="CA18" i="23"/>
  <c r="BY18" i="23"/>
  <c r="BZ18" i="23" s="1"/>
  <c r="BW18" i="23"/>
  <c r="BV18" i="23"/>
  <c r="BU18" i="23"/>
  <c r="BT18" i="23"/>
  <c r="BS18" i="23"/>
  <c r="BX17" i="23"/>
  <c r="BV17" i="23"/>
  <c r="BU17" i="23"/>
  <c r="BW17" i="23" s="1"/>
  <c r="CA17" i="23" s="1"/>
  <c r="BT17" i="23"/>
  <c r="BS17" i="23"/>
  <c r="BX16" i="23"/>
  <c r="BW16" i="23"/>
  <c r="BV16" i="23"/>
  <c r="BU16" i="23"/>
  <c r="BT16" i="23"/>
  <c r="BS16" i="23"/>
  <c r="CA15" i="23"/>
  <c r="BY15" i="23"/>
  <c r="BZ15" i="23" s="1"/>
  <c r="BX15" i="23"/>
  <c r="BV15" i="23"/>
  <c r="BU15" i="23"/>
  <c r="BT15" i="23"/>
  <c r="BW15" i="23" s="1"/>
  <c r="BS15" i="23"/>
  <c r="BV14" i="23"/>
  <c r="BU14" i="23"/>
  <c r="BT14" i="23"/>
  <c r="BS14" i="23"/>
  <c r="CA13" i="23"/>
  <c r="BZ13" i="23"/>
  <c r="BY13" i="23"/>
  <c r="BW13" i="23"/>
  <c r="BV13" i="23"/>
  <c r="BU13" i="23"/>
  <c r="BT13" i="23"/>
  <c r="BX13" i="23" s="1"/>
  <c r="BS13" i="23"/>
  <c r="BV12" i="23"/>
  <c r="BU12" i="23"/>
  <c r="BT12" i="23"/>
  <c r="BS12" i="23"/>
  <c r="BV11" i="23"/>
  <c r="BU11" i="23"/>
  <c r="BT11" i="23"/>
  <c r="BS11" i="23"/>
  <c r="BX10" i="23"/>
  <c r="BV10" i="23"/>
  <c r="BU10" i="23"/>
  <c r="BW10" i="23" s="1"/>
  <c r="BY10" i="23" s="1"/>
  <c r="BZ10" i="23" s="1"/>
  <c r="BT10" i="23"/>
  <c r="BS10" i="23"/>
  <c r="BX9" i="23"/>
  <c r="BW9" i="23"/>
  <c r="BY9" i="23" s="1"/>
  <c r="BZ9" i="23" s="1"/>
  <c r="BV9" i="23"/>
  <c r="BU9" i="23"/>
  <c r="CA9" i="23" s="1"/>
  <c r="BT9" i="23"/>
  <c r="BS9" i="23"/>
  <c r="BX8" i="23"/>
  <c r="BW8" i="23"/>
  <c r="BY8" i="23" s="1"/>
  <c r="BZ8" i="23" s="1"/>
  <c r="BV8" i="23"/>
  <c r="BU8" i="23"/>
  <c r="BT8" i="23"/>
  <c r="BS8" i="23"/>
  <c r="BW7" i="23"/>
  <c r="BY7" i="23" s="1"/>
  <c r="BZ7" i="23" s="1"/>
  <c r="BV7" i="23"/>
  <c r="BU7" i="23"/>
  <c r="BX7" i="23" s="1"/>
  <c r="BT7" i="23"/>
  <c r="BS7" i="23"/>
  <c r="CA6" i="23"/>
  <c r="BY6" i="23"/>
  <c r="BZ6" i="23" s="1"/>
  <c r="BX6" i="23"/>
  <c r="BV6" i="23"/>
  <c r="BU6" i="23"/>
  <c r="BT6" i="23"/>
  <c r="BS6" i="23"/>
  <c r="BW6" i="23" s="1"/>
  <c r="BV5" i="23"/>
  <c r="BU5" i="23"/>
  <c r="BT5" i="23"/>
  <c r="BS5" i="23"/>
  <c r="BY4" i="23"/>
  <c r="BZ4" i="23" s="1"/>
  <c r="BW4" i="23"/>
  <c r="BV4" i="23"/>
  <c r="BU4" i="23"/>
  <c r="BT4" i="23"/>
  <c r="BS4" i="23"/>
  <c r="BP20" i="22"/>
  <c r="BO20" i="22"/>
  <c r="BN20" i="22"/>
  <c r="BM20" i="22"/>
  <c r="BT19" i="22"/>
  <c r="BS19" i="22"/>
  <c r="BQ19" i="22"/>
  <c r="BP19" i="22"/>
  <c r="BO19" i="22"/>
  <c r="BN19" i="22"/>
  <c r="BU19" i="22" s="1"/>
  <c r="BM19" i="22"/>
  <c r="BR19" i="22" s="1"/>
  <c r="BU18" i="22"/>
  <c r="BS18" i="22"/>
  <c r="BT18" i="22" s="1"/>
  <c r="BR18" i="22"/>
  <c r="BP18" i="22"/>
  <c r="BO18" i="22"/>
  <c r="BN18" i="22"/>
  <c r="BM18" i="22"/>
  <c r="BQ18" i="22" s="1"/>
  <c r="BS17" i="22"/>
  <c r="BT17" i="22" s="1"/>
  <c r="BR17" i="22"/>
  <c r="BQ17" i="22"/>
  <c r="BP17" i="22"/>
  <c r="BO17" i="22"/>
  <c r="BN17" i="22"/>
  <c r="BU17" i="22" s="1"/>
  <c r="BM17" i="22"/>
  <c r="BS16" i="22"/>
  <c r="BT16" i="22" s="1"/>
  <c r="BQ16" i="22"/>
  <c r="BU16" i="22" s="1"/>
  <c r="BP16" i="22"/>
  <c r="BO16" i="22"/>
  <c r="BN16" i="22"/>
  <c r="BR16" i="22" s="1"/>
  <c r="BM16" i="22"/>
  <c r="BP15" i="22"/>
  <c r="BO15" i="22"/>
  <c r="BN15" i="22"/>
  <c r="BM15" i="22"/>
  <c r="BU14" i="22"/>
  <c r="BT14" i="22"/>
  <c r="BR14" i="22"/>
  <c r="BP14" i="22"/>
  <c r="BO14" i="22"/>
  <c r="BN14" i="22"/>
  <c r="BM14" i="22"/>
  <c r="BQ14" i="22" s="1"/>
  <c r="BS14" i="22" s="1"/>
  <c r="BP13" i="22"/>
  <c r="BO13" i="22"/>
  <c r="BN13" i="22"/>
  <c r="BM13" i="22"/>
  <c r="BR12" i="22"/>
  <c r="BP12" i="22"/>
  <c r="BO12" i="22"/>
  <c r="BN12" i="22"/>
  <c r="BM12" i="22"/>
  <c r="BR11" i="22"/>
  <c r="BP11" i="22"/>
  <c r="BO11" i="22"/>
  <c r="BN11" i="22"/>
  <c r="BM11" i="22"/>
  <c r="BR10" i="22"/>
  <c r="BP10" i="22"/>
  <c r="BO10" i="22"/>
  <c r="BN10" i="22"/>
  <c r="BM10" i="22"/>
  <c r="BR9" i="22"/>
  <c r="BP9" i="22"/>
  <c r="BO9" i="22"/>
  <c r="BN9" i="22"/>
  <c r="BM9" i="22"/>
  <c r="BP8" i="22"/>
  <c r="BO8" i="22"/>
  <c r="BN8" i="22"/>
  <c r="BM8" i="22"/>
  <c r="BQ7" i="22"/>
  <c r="BS7" i="22" s="1"/>
  <c r="BT7" i="22" s="1"/>
  <c r="BP7" i="22"/>
  <c r="BO7" i="22"/>
  <c r="BN7" i="22"/>
  <c r="BM7" i="22"/>
  <c r="BU6" i="22"/>
  <c r="BQ6" i="22"/>
  <c r="BS6" i="22" s="1"/>
  <c r="BT6" i="22" s="1"/>
  <c r="BP6" i="22"/>
  <c r="BO6" i="22"/>
  <c r="BN6" i="22"/>
  <c r="BM6" i="22"/>
  <c r="BR5" i="22"/>
  <c r="BP5" i="22"/>
  <c r="BO5" i="22"/>
  <c r="BN5" i="22"/>
  <c r="BM5" i="22"/>
  <c r="BU4" i="22"/>
  <c r="BQ4" i="22"/>
  <c r="BS4" i="22" s="1"/>
  <c r="BT4" i="22" s="1"/>
  <c r="BP4" i="22"/>
  <c r="BO4" i="22"/>
  <c r="BN4" i="22"/>
  <c r="BM4" i="22"/>
  <c r="BP47" i="21"/>
  <c r="BO47" i="21"/>
  <c r="BN47" i="21"/>
  <c r="BM47" i="21"/>
  <c r="BP46" i="21"/>
  <c r="BO46" i="21"/>
  <c r="BN46" i="21"/>
  <c r="BR46" i="21" s="1"/>
  <c r="BM46" i="21"/>
  <c r="BP45" i="21"/>
  <c r="BO45" i="21"/>
  <c r="BN45" i="21"/>
  <c r="BM45" i="21"/>
  <c r="BU44" i="21"/>
  <c r="BT44" i="21"/>
  <c r="BR44" i="21"/>
  <c r="BP44" i="21"/>
  <c r="BO44" i="21"/>
  <c r="BQ44" i="21" s="1"/>
  <c r="BS44" i="21" s="1"/>
  <c r="BN44" i="21"/>
  <c r="BM44" i="21"/>
  <c r="BP43" i="21"/>
  <c r="BO43" i="21"/>
  <c r="BN43" i="21"/>
  <c r="BM43" i="21"/>
  <c r="BP42" i="21"/>
  <c r="BO42" i="21"/>
  <c r="BN42" i="21"/>
  <c r="BM42" i="21"/>
  <c r="BP41" i="21"/>
  <c r="BO41" i="21"/>
  <c r="BN41" i="21"/>
  <c r="BM41" i="21"/>
  <c r="BP40" i="21"/>
  <c r="BO40" i="21"/>
  <c r="BN40" i="21"/>
  <c r="BM40" i="21"/>
  <c r="BP39" i="21"/>
  <c r="BO39" i="21"/>
  <c r="BN39" i="21"/>
  <c r="BQ39" i="21" s="1"/>
  <c r="BS39" i="21" s="1"/>
  <c r="BT39" i="21" s="1"/>
  <c r="BM39" i="21"/>
  <c r="BT38" i="21"/>
  <c r="BQ38" i="21"/>
  <c r="BS38" i="21" s="1"/>
  <c r="BP38" i="21"/>
  <c r="BO38" i="21"/>
  <c r="BR38" i="21" s="1"/>
  <c r="BN38" i="21"/>
  <c r="BM38" i="21"/>
  <c r="BP37" i="21"/>
  <c r="BO37" i="21"/>
  <c r="BN37" i="21"/>
  <c r="BM37" i="21"/>
  <c r="BT36" i="21"/>
  <c r="BS36" i="21"/>
  <c r="BQ36" i="21"/>
  <c r="BP36" i="21"/>
  <c r="BO36" i="21"/>
  <c r="BR36" i="21" s="1"/>
  <c r="BN36" i="21"/>
  <c r="BM36" i="21"/>
  <c r="BP35" i="21"/>
  <c r="BO35" i="21"/>
  <c r="BN35" i="21"/>
  <c r="BM35" i="21"/>
  <c r="BP34" i="21"/>
  <c r="BO34" i="21"/>
  <c r="BN34" i="21"/>
  <c r="BM34" i="21"/>
  <c r="BP33" i="21"/>
  <c r="BO33" i="21"/>
  <c r="BN33" i="21"/>
  <c r="BM33" i="21"/>
  <c r="BP32" i="21"/>
  <c r="BO32" i="21"/>
  <c r="BN32" i="21"/>
  <c r="BM32" i="21"/>
  <c r="BS31" i="21"/>
  <c r="BT31" i="21" s="1"/>
  <c r="BP31" i="21"/>
  <c r="BO31" i="21"/>
  <c r="BN31" i="21"/>
  <c r="BQ31" i="21" s="1"/>
  <c r="BU31" i="21" s="1"/>
  <c r="BM31" i="21"/>
  <c r="BR31" i="21" s="1"/>
  <c r="BP30" i="21"/>
  <c r="BO30" i="21"/>
  <c r="BN30" i="21"/>
  <c r="BM30" i="21"/>
  <c r="BP29" i="21"/>
  <c r="BO29" i="21"/>
  <c r="BN29" i="21"/>
  <c r="BM29" i="21"/>
  <c r="BP28" i="21"/>
  <c r="BO28" i="21"/>
  <c r="BN28" i="21"/>
  <c r="BM28" i="21"/>
  <c r="BP27" i="21"/>
  <c r="BO27" i="21"/>
  <c r="BN27" i="21"/>
  <c r="BM27" i="21"/>
  <c r="BQ26" i="21"/>
  <c r="BS26" i="21" s="1"/>
  <c r="BT26" i="21" s="1"/>
  <c r="BP26" i="21"/>
  <c r="BO26" i="21"/>
  <c r="BN26" i="21"/>
  <c r="BM26" i="21"/>
  <c r="BP25" i="21"/>
  <c r="BO25" i="21"/>
  <c r="BN25" i="21"/>
  <c r="BM25" i="21"/>
  <c r="BP24" i="21"/>
  <c r="BO24" i="21"/>
  <c r="BN24" i="21"/>
  <c r="BM24" i="21"/>
  <c r="BP23" i="21"/>
  <c r="BO23" i="21"/>
  <c r="BN23" i="21"/>
  <c r="BM23" i="21"/>
  <c r="BP22" i="21"/>
  <c r="BO22" i="21"/>
  <c r="BN22" i="21"/>
  <c r="BM22" i="21"/>
  <c r="BP21" i="21"/>
  <c r="BO21" i="21"/>
  <c r="BN21" i="21"/>
  <c r="BM21" i="21"/>
  <c r="BR20" i="21"/>
  <c r="BP20" i="21"/>
  <c r="BO20" i="21"/>
  <c r="BN20" i="21"/>
  <c r="BM20" i="21"/>
  <c r="BP19" i="21"/>
  <c r="BO19" i="21"/>
  <c r="BN19" i="21"/>
  <c r="BM19" i="21"/>
  <c r="BP18" i="21"/>
  <c r="BO18" i="21"/>
  <c r="BN18" i="21"/>
  <c r="BM18" i="21"/>
  <c r="BT17" i="21"/>
  <c r="BQ17" i="21"/>
  <c r="BS17" i="21" s="1"/>
  <c r="BP17" i="21"/>
  <c r="BO17" i="21"/>
  <c r="BN17" i="21"/>
  <c r="BM17" i="21"/>
  <c r="BU17" i="21" s="1"/>
  <c r="BP16" i="21"/>
  <c r="BO16" i="21"/>
  <c r="BN16" i="21"/>
  <c r="BM16" i="21"/>
  <c r="BP15" i="21"/>
  <c r="BO15" i="21"/>
  <c r="BN15" i="21"/>
  <c r="BM15" i="21"/>
  <c r="BP14" i="21"/>
  <c r="BO14" i="21"/>
  <c r="BN14" i="21"/>
  <c r="BM14" i="21"/>
  <c r="BP13" i="21"/>
  <c r="BO13" i="21"/>
  <c r="BN13" i="21"/>
  <c r="BM13" i="21"/>
  <c r="BP12" i="21"/>
  <c r="BO12" i="21"/>
  <c r="BN12" i="21"/>
  <c r="BM12" i="21"/>
  <c r="BR11" i="21"/>
  <c r="BP11" i="21"/>
  <c r="BO11" i="21"/>
  <c r="BN11" i="21"/>
  <c r="BM11" i="21"/>
  <c r="BU10" i="21"/>
  <c r="BR10" i="21"/>
  <c r="BP10" i="21"/>
  <c r="BO10" i="21"/>
  <c r="BN10" i="21"/>
  <c r="BM10" i="21"/>
  <c r="BQ10" i="21" s="1"/>
  <c r="BS10" i="21" s="1"/>
  <c r="BT10" i="21" s="1"/>
  <c r="BP9" i="21"/>
  <c r="BO9" i="21"/>
  <c r="BN9" i="21"/>
  <c r="BR9" i="21" s="1"/>
  <c r="BM9" i="21"/>
  <c r="BR8" i="21"/>
  <c r="BP8" i="21"/>
  <c r="BO8" i="21"/>
  <c r="BN8" i="21"/>
  <c r="BM8" i="21"/>
  <c r="BP7" i="21"/>
  <c r="BO7" i="21"/>
  <c r="BN7" i="21"/>
  <c r="BM7" i="21"/>
  <c r="BP6" i="21"/>
  <c r="BO6" i="21"/>
  <c r="BN6" i="21"/>
  <c r="BM6" i="21"/>
  <c r="BP5" i="21"/>
  <c r="BO5" i="21"/>
  <c r="BN5" i="21"/>
  <c r="BM5" i="21"/>
  <c r="BP4" i="21"/>
  <c r="BO4" i="21"/>
  <c r="BN4" i="21"/>
  <c r="BM4" i="21"/>
  <c r="BP76" i="20"/>
  <c r="BO76" i="20"/>
  <c r="BQ76" i="20" s="1"/>
  <c r="BS76" i="20" s="1"/>
  <c r="BT76" i="20" s="1"/>
  <c r="BN76" i="20"/>
  <c r="BM76" i="20"/>
  <c r="BP75" i="20"/>
  <c r="BO75" i="20"/>
  <c r="BN75" i="20"/>
  <c r="BM75" i="20"/>
  <c r="BP74" i="20"/>
  <c r="BO74" i="20"/>
  <c r="BN74" i="20"/>
  <c r="BM74" i="20"/>
  <c r="BP73" i="20"/>
  <c r="BO73" i="20"/>
  <c r="BN73" i="20"/>
  <c r="BQ73" i="20" s="1"/>
  <c r="BS73" i="20" s="1"/>
  <c r="BT73" i="20" s="1"/>
  <c r="BM73" i="20"/>
  <c r="BP72" i="20"/>
  <c r="BO72" i="20"/>
  <c r="BU72" i="20" s="1"/>
  <c r="BN72" i="20"/>
  <c r="BQ72" i="20" s="1"/>
  <c r="BS72" i="20" s="1"/>
  <c r="BT72" i="20" s="1"/>
  <c r="BM72" i="20"/>
  <c r="BQ71" i="20"/>
  <c r="BS71" i="20" s="1"/>
  <c r="BT71" i="20" s="1"/>
  <c r="BP71" i="20"/>
  <c r="BO71" i="20"/>
  <c r="BN71" i="20"/>
  <c r="BM71" i="20"/>
  <c r="BP70" i="20"/>
  <c r="BO70" i="20"/>
  <c r="BN70" i="20"/>
  <c r="BR70" i="20" s="1"/>
  <c r="BM70" i="20"/>
  <c r="BR69" i="20"/>
  <c r="BP69" i="20"/>
  <c r="BO69" i="20"/>
  <c r="BN69" i="20"/>
  <c r="BQ69" i="20" s="1"/>
  <c r="BU69" i="20" s="1"/>
  <c r="BM69" i="20"/>
  <c r="BR68" i="20"/>
  <c r="BP68" i="20"/>
  <c r="BO68" i="20"/>
  <c r="BN68" i="20"/>
  <c r="BM68" i="20"/>
  <c r="BT67" i="20"/>
  <c r="BS67" i="20"/>
  <c r="BP67" i="20"/>
  <c r="BO67" i="20"/>
  <c r="BN67" i="20"/>
  <c r="BQ67" i="20" s="1"/>
  <c r="BM67" i="20"/>
  <c r="BP66" i="20"/>
  <c r="BO66" i="20"/>
  <c r="BN66" i="20"/>
  <c r="BM66" i="20"/>
  <c r="BP65" i="20"/>
  <c r="BO65" i="20"/>
  <c r="BN65" i="20"/>
  <c r="BM65" i="20"/>
  <c r="BQ64" i="20"/>
  <c r="BS64" i="20" s="1"/>
  <c r="BT64" i="20" s="1"/>
  <c r="BP64" i="20"/>
  <c r="BO64" i="20"/>
  <c r="BN64" i="20"/>
  <c r="BM64" i="20"/>
  <c r="BP63" i="20"/>
  <c r="BO63" i="20"/>
  <c r="BN63" i="20"/>
  <c r="BM63" i="20"/>
  <c r="BQ62" i="20"/>
  <c r="BS62" i="20" s="1"/>
  <c r="BT62" i="20" s="1"/>
  <c r="BP62" i="20"/>
  <c r="BO62" i="20"/>
  <c r="BN62" i="20"/>
  <c r="BM62" i="20"/>
  <c r="BT61" i="20"/>
  <c r="BR61" i="20"/>
  <c r="BQ61" i="20"/>
  <c r="BS61" i="20" s="1"/>
  <c r="BP61" i="20"/>
  <c r="BO61" i="20"/>
  <c r="BN61" i="20"/>
  <c r="BM61" i="20"/>
  <c r="BP60" i="20"/>
  <c r="BO60" i="20"/>
  <c r="BN60" i="20"/>
  <c r="BM60" i="20"/>
  <c r="BP59" i="20"/>
  <c r="BO59" i="20"/>
  <c r="BN59" i="20"/>
  <c r="BM59" i="20"/>
  <c r="BP58" i="20"/>
  <c r="BO58" i="20"/>
  <c r="BN58" i="20"/>
  <c r="BR58" i="20" s="1"/>
  <c r="BM58" i="20"/>
  <c r="BP57" i="20"/>
  <c r="BO57" i="20"/>
  <c r="BN57" i="20"/>
  <c r="BM57" i="20"/>
  <c r="BS56" i="20"/>
  <c r="BT56" i="20" s="1"/>
  <c r="BQ56" i="20"/>
  <c r="BP56" i="20"/>
  <c r="BO56" i="20"/>
  <c r="BN56" i="20"/>
  <c r="BM56" i="20"/>
  <c r="BR56" i="20" s="1"/>
  <c r="BP55" i="20"/>
  <c r="BO55" i="20"/>
  <c r="BN55" i="20"/>
  <c r="BM55" i="20"/>
  <c r="BR54" i="20"/>
  <c r="BQ54" i="20"/>
  <c r="BS54" i="20" s="1"/>
  <c r="BT54" i="20" s="1"/>
  <c r="BP54" i="20"/>
  <c r="BO54" i="20"/>
  <c r="BN54" i="20"/>
  <c r="BM54" i="20"/>
  <c r="BP53" i="20"/>
  <c r="BO53" i="20"/>
  <c r="BN53" i="20"/>
  <c r="BM53" i="20"/>
  <c r="BP52" i="20"/>
  <c r="BO52" i="20"/>
  <c r="BN52" i="20"/>
  <c r="BM52" i="20"/>
  <c r="BU51" i="20"/>
  <c r="BR51" i="20"/>
  <c r="BQ51" i="20"/>
  <c r="BS51" i="20" s="1"/>
  <c r="BT51" i="20" s="1"/>
  <c r="BP51" i="20"/>
  <c r="BO51" i="20"/>
  <c r="BN51" i="20"/>
  <c r="BM51" i="20"/>
  <c r="BP50" i="20"/>
  <c r="BO50" i="20"/>
  <c r="BN50" i="20"/>
  <c r="BR50" i="20" s="1"/>
  <c r="BM50" i="20"/>
  <c r="BR49" i="20"/>
  <c r="BP49" i="20"/>
  <c r="BO49" i="20"/>
  <c r="BN49" i="20"/>
  <c r="BM49" i="20"/>
  <c r="BP48" i="20"/>
  <c r="BO48" i="20"/>
  <c r="BN48" i="20"/>
  <c r="BM48" i="20"/>
  <c r="BP47" i="20"/>
  <c r="BO47" i="20"/>
  <c r="BR47" i="20" s="1"/>
  <c r="BN47" i="20"/>
  <c r="BM47" i="20"/>
  <c r="BP46" i="20"/>
  <c r="BO46" i="20"/>
  <c r="BN46" i="20"/>
  <c r="BM46" i="20"/>
  <c r="BP45" i="20"/>
  <c r="BO45" i="20"/>
  <c r="BR45" i="20" s="1"/>
  <c r="BN45" i="20"/>
  <c r="BM45" i="20"/>
  <c r="BS44" i="20"/>
  <c r="BT44" i="20" s="1"/>
  <c r="BR44" i="20"/>
  <c r="BQ44" i="20"/>
  <c r="BP44" i="20"/>
  <c r="BO44" i="20"/>
  <c r="BN44" i="20"/>
  <c r="BM44" i="20"/>
  <c r="BQ43" i="20"/>
  <c r="BP43" i="20"/>
  <c r="BO43" i="20"/>
  <c r="BN43" i="20"/>
  <c r="BM43" i="20"/>
  <c r="BR42" i="20"/>
  <c r="BQ42" i="20"/>
  <c r="BS42" i="20" s="1"/>
  <c r="BT42" i="20" s="1"/>
  <c r="BP42" i="20"/>
  <c r="BO42" i="20"/>
  <c r="BN42" i="20"/>
  <c r="BM42" i="20"/>
  <c r="BP41" i="20"/>
  <c r="BO41" i="20"/>
  <c r="BN41" i="20"/>
  <c r="BQ41" i="20" s="1"/>
  <c r="BS41" i="20" s="1"/>
  <c r="BT41" i="20" s="1"/>
  <c r="BM41" i="20"/>
  <c r="BP40" i="20"/>
  <c r="BO40" i="20"/>
  <c r="BN40" i="20"/>
  <c r="BM40" i="20"/>
  <c r="BP39" i="20"/>
  <c r="BO39" i="20"/>
  <c r="BN39" i="20"/>
  <c r="BM39" i="20"/>
  <c r="BP38" i="20"/>
  <c r="BO38" i="20"/>
  <c r="BN38" i="20"/>
  <c r="BM38" i="20"/>
  <c r="BR37" i="20"/>
  <c r="BQ37" i="20"/>
  <c r="BS37" i="20" s="1"/>
  <c r="BT37" i="20" s="1"/>
  <c r="BP37" i="20"/>
  <c r="BO37" i="20"/>
  <c r="BN37" i="20"/>
  <c r="BM37" i="20"/>
  <c r="BU36" i="20"/>
  <c r="BP36" i="20"/>
  <c r="BO36" i="20"/>
  <c r="BN36" i="20"/>
  <c r="BM36" i="20"/>
  <c r="BP35" i="20"/>
  <c r="BO35" i="20"/>
  <c r="BN35" i="20"/>
  <c r="BM35" i="20"/>
  <c r="BR34" i="20"/>
  <c r="BP34" i="20"/>
  <c r="BO34" i="20"/>
  <c r="BN34" i="20"/>
  <c r="BM34" i="20"/>
  <c r="BR33" i="20"/>
  <c r="BP33" i="20"/>
  <c r="BO33" i="20"/>
  <c r="BN33" i="20"/>
  <c r="BM33" i="20"/>
  <c r="BP32" i="20"/>
  <c r="BO32" i="20"/>
  <c r="BN32" i="20"/>
  <c r="BM32" i="20"/>
  <c r="BQ31" i="20"/>
  <c r="BP31" i="20"/>
  <c r="BO31" i="20"/>
  <c r="BN31" i="20"/>
  <c r="BM31" i="20"/>
  <c r="BP30" i="20"/>
  <c r="BO30" i="20"/>
  <c r="BN30" i="20"/>
  <c r="BM30" i="20"/>
  <c r="BS29" i="20"/>
  <c r="BT29" i="20" s="1"/>
  <c r="BQ29" i="20"/>
  <c r="BP29" i="20"/>
  <c r="BO29" i="20"/>
  <c r="BN29" i="20"/>
  <c r="BM29" i="20"/>
  <c r="BP28" i="20"/>
  <c r="BO28" i="20"/>
  <c r="BN28" i="20"/>
  <c r="BM28" i="20"/>
  <c r="BQ27" i="20"/>
  <c r="BP27" i="20"/>
  <c r="BO27" i="20"/>
  <c r="BN27" i="20"/>
  <c r="BM27" i="20"/>
  <c r="BR26" i="20"/>
  <c r="BP26" i="20"/>
  <c r="BO26" i="20"/>
  <c r="BN26" i="20"/>
  <c r="BM26" i="20"/>
  <c r="BQ25" i="20"/>
  <c r="BS25" i="20" s="1"/>
  <c r="BT25" i="20" s="1"/>
  <c r="BP25" i="20"/>
  <c r="BO25" i="20"/>
  <c r="BN25" i="20"/>
  <c r="BM25" i="20"/>
  <c r="BU24" i="20"/>
  <c r="BQ24" i="20"/>
  <c r="BS24" i="20" s="1"/>
  <c r="BT24" i="20" s="1"/>
  <c r="BP24" i="20"/>
  <c r="BO24" i="20"/>
  <c r="BN24" i="20"/>
  <c r="BM24" i="20"/>
  <c r="BR24" i="20" s="1"/>
  <c r="BP23" i="20"/>
  <c r="BO23" i="20"/>
  <c r="BN23" i="20"/>
  <c r="BM23" i="20"/>
  <c r="BU22" i="20"/>
  <c r="BS22" i="20"/>
  <c r="BT22" i="20" s="1"/>
  <c r="BR22" i="20"/>
  <c r="BQ22" i="20"/>
  <c r="BP22" i="20"/>
  <c r="BO22" i="20"/>
  <c r="BN22" i="20"/>
  <c r="BM22" i="20"/>
  <c r="BP21" i="20"/>
  <c r="BO21" i="20"/>
  <c r="BN21" i="20"/>
  <c r="BM21" i="20"/>
  <c r="BR20" i="20"/>
  <c r="BP20" i="20"/>
  <c r="BO20" i="20"/>
  <c r="BN20" i="20"/>
  <c r="BM20" i="20"/>
  <c r="BP19" i="20"/>
  <c r="BO19" i="20"/>
  <c r="BN19" i="20"/>
  <c r="BM19" i="20"/>
  <c r="BP18" i="20"/>
  <c r="BO18" i="20"/>
  <c r="BN18" i="20"/>
  <c r="BM18" i="20"/>
  <c r="BR17" i="20"/>
  <c r="BP17" i="20"/>
  <c r="BO17" i="20"/>
  <c r="BN17" i="20"/>
  <c r="BM17" i="20"/>
  <c r="BQ16" i="20"/>
  <c r="BS16" i="20" s="1"/>
  <c r="BT16" i="20" s="1"/>
  <c r="BP16" i="20"/>
  <c r="BO16" i="20"/>
  <c r="BR16" i="20" s="1"/>
  <c r="BN16" i="20"/>
  <c r="BM16" i="20"/>
  <c r="BP15" i="20"/>
  <c r="BO15" i="20"/>
  <c r="BN15" i="20"/>
  <c r="BM15" i="20"/>
  <c r="BP14" i="20"/>
  <c r="BO14" i="20"/>
  <c r="BN14" i="20"/>
  <c r="BM14" i="20"/>
  <c r="BP13" i="20"/>
  <c r="BO13" i="20"/>
  <c r="BR13" i="20" s="1"/>
  <c r="BN13" i="20"/>
  <c r="BM13" i="20"/>
  <c r="BU12" i="20"/>
  <c r="BS12" i="20"/>
  <c r="BT12" i="20" s="1"/>
  <c r="BR12" i="20"/>
  <c r="BQ12" i="20"/>
  <c r="BP12" i="20"/>
  <c r="BO12" i="20"/>
  <c r="BN12" i="20"/>
  <c r="BM12" i="20"/>
  <c r="BP11" i="20"/>
  <c r="BO11" i="20"/>
  <c r="BN11" i="20"/>
  <c r="BM11" i="20"/>
  <c r="BP10" i="20"/>
  <c r="BO10" i="20"/>
  <c r="BN10" i="20"/>
  <c r="BM10" i="20"/>
  <c r="BP9" i="20"/>
  <c r="BO9" i="20"/>
  <c r="BN9" i="20"/>
  <c r="BM9" i="20"/>
  <c r="BP8" i="20"/>
  <c r="BO8" i="20"/>
  <c r="BN8" i="20"/>
  <c r="BM8" i="20"/>
  <c r="BQ7" i="20"/>
  <c r="BS7" i="20" s="1"/>
  <c r="BT7" i="20" s="1"/>
  <c r="BP7" i="20"/>
  <c r="BO7" i="20"/>
  <c r="BN7" i="20"/>
  <c r="BM7" i="20"/>
  <c r="BU6" i="20"/>
  <c r="BS6" i="20"/>
  <c r="BT6" i="20" s="1"/>
  <c r="BR6" i="20"/>
  <c r="BQ6" i="20"/>
  <c r="BP6" i="20"/>
  <c r="BO6" i="20"/>
  <c r="BN6" i="20"/>
  <c r="BM6" i="20"/>
  <c r="BQ5" i="20"/>
  <c r="BS5" i="20" s="1"/>
  <c r="BT5" i="20" s="1"/>
  <c r="BP5" i="20"/>
  <c r="BO5" i="20"/>
  <c r="BN5" i="20"/>
  <c r="BM5" i="20"/>
  <c r="BU4" i="20"/>
  <c r="BR4" i="20"/>
  <c r="BP4" i="20"/>
  <c r="BO4" i="20"/>
  <c r="BN4" i="20"/>
  <c r="BM4" i="20"/>
  <c r="BP135" i="19"/>
  <c r="BO135" i="19"/>
  <c r="BN135" i="19"/>
  <c r="BM135" i="19"/>
  <c r="BP134" i="19"/>
  <c r="BO134" i="19"/>
  <c r="BR134" i="19" s="1"/>
  <c r="BN134" i="19"/>
  <c r="BM134" i="19"/>
  <c r="BP133" i="19"/>
  <c r="BO133" i="19"/>
  <c r="BN133" i="19"/>
  <c r="BM133" i="19"/>
  <c r="BQ132" i="19"/>
  <c r="BS132" i="19" s="1"/>
  <c r="BT132" i="19" s="1"/>
  <c r="BP132" i="19"/>
  <c r="BO132" i="19"/>
  <c r="BN132" i="19"/>
  <c r="BR132" i="19" s="1"/>
  <c r="BM132" i="19"/>
  <c r="BT131" i="19"/>
  <c r="BR131" i="19"/>
  <c r="BQ131" i="19"/>
  <c r="BS131" i="19" s="1"/>
  <c r="BP131" i="19"/>
  <c r="BO131" i="19"/>
  <c r="BN131" i="19"/>
  <c r="BM131" i="19"/>
  <c r="BP130" i="19"/>
  <c r="BO130" i="19"/>
  <c r="BN130" i="19"/>
  <c r="BR130" i="19" s="1"/>
  <c r="BM130" i="19"/>
  <c r="BR129" i="19"/>
  <c r="BQ129" i="19"/>
  <c r="BS129" i="19" s="1"/>
  <c r="BT129" i="19" s="1"/>
  <c r="BP129" i="19"/>
  <c r="BO129" i="19"/>
  <c r="BN129" i="19"/>
  <c r="BM129" i="19"/>
  <c r="BP128" i="19"/>
  <c r="BO128" i="19"/>
  <c r="BN128" i="19"/>
  <c r="BM128" i="19"/>
  <c r="BS127" i="19"/>
  <c r="BT127" i="19" s="1"/>
  <c r="BQ127" i="19"/>
  <c r="BP127" i="19"/>
  <c r="BO127" i="19"/>
  <c r="BN127" i="19"/>
  <c r="BM127" i="19"/>
  <c r="BP126" i="19"/>
  <c r="BO126" i="19"/>
  <c r="BN126" i="19"/>
  <c r="BM126" i="19"/>
  <c r="BQ125" i="19"/>
  <c r="BS125" i="19" s="1"/>
  <c r="BT125" i="19" s="1"/>
  <c r="BP125" i="19"/>
  <c r="BO125" i="19"/>
  <c r="BN125" i="19"/>
  <c r="BM125" i="19"/>
  <c r="BQ124" i="19"/>
  <c r="BS124" i="19" s="1"/>
  <c r="BT124" i="19" s="1"/>
  <c r="BP124" i="19"/>
  <c r="BO124" i="19"/>
  <c r="BN124" i="19"/>
  <c r="BM124" i="19"/>
  <c r="BP123" i="19"/>
  <c r="BO123" i="19"/>
  <c r="BN123" i="19"/>
  <c r="BM123" i="19"/>
  <c r="BR122" i="19"/>
  <c r="BQ122" i="19"/>
  <c r="BS122" i="19" s="1"/>
  <c r="BT122" i="19" s="1"/>
  <c r="BP122" i="19"/>
  <c r="BO122" i="19"/>
  <c r="BN122" i="19"/>
  <c r="BM122" i="19"/>
  <c r="BR121" i="19"/>
  <c r="BP121" i="19"/>
  <c r="BO121" i="19"/>
  <c r="BN121" i="19"/>
  <c r="BM121" i="19"/>
  <c r="BP120" i="19"/>
  <c r="BO120" i="19"/>
  <c r="BN120" i="19"/>
  <c r="BM120" i="19"/>
  <c r="BQ119" i="19"/>
  <c r="BS119" i="19" s="1"/>
  <c r="BT119" i="19" s="1"/>
  <c r="BP119" i="19"/>
  <c r="BO119" i="19"/>
  <c r="BN119" i="19"/>
  <c r="BM119" i="19"/>
  <c r="BU118" i="19"/>
  <c r="BP118" i="19"/>
  <c r="BO118" i="19"/>
  <c r="BN118" i="19"/>
  <c r="BM118" i="19"/>
  <c r="BP117" i="19"/>
  <c r="BO117" i="19"/>
  <c r="BN117" i="19"/>
  <c r="BM117" i="19"/>
  <c r="BT116" i="19"/>
  <c r="BR116" i="19"/>
  <c r="BQ116" i="19"/>
  <c r="BS116" i="19" s="1"/>
  <c r="BP116" i="19"/>
  <c r="BO116" i="19"/>
  <c r="BN116" i="19"/>
  <c r="BM116" i="19"/>
  <c r="BQ115" i="19"/>
  <c r="BP115" i="19"/>
  <c r="BO115" i="19"/>
  <c r="BR115" i="19" s="1"/>
  <c r="BN115" i="19"/>
  <c r="BM115" i="19"/>
  <c r="BT114" i="19"/>
  <c r="BS114" i="19"/>
  <c r="BR114" i="19"/>
  <c r="BQ114" i="19"/>
  <c r="BP114" i="19"/>
  <c r="BO114" i="19"/>
  <c r="BN114" i="19"/>
  <c r="BM114" i="19"/>
  <c r="BP113" i="19"/>
  <c r="BO113" i="19"/>
  <c r="BR113" i="19" s="1"/>
  <c r="BN113" i="19"/>
  <c r="BM113" i="19"/>
  <c r="BP112" i="19"/>
  <c r="BO112" i="19"/>
  <c r="BN112" i="19"/>
  <c r="BM112" i="19"/>
  <c r="BP111" i="19"/>
  <c r="BO111" i="19"/>
  <c r="BN111" i="19"/>
  <c r="BM111" i="19"/>
  <c r="BP110" i="19"/>
  <c r="BO110" i="19"/>
  <c r="BR110" i="19" s="1"/>
  <c r="BN110" i="19"/>
  <c r="BM110" i="19"/>
  <c r="BP109" i="19"/>
  <c r="BO109" i="19"/>
  <c r="BN109" i="19"/>
  <c r="BM109" i="19"/>
  <c r="BR108" i="19"/>
  <c r="BP108" i="19"/>
  <c r="BO108" i="19"/>
  <c r="BQ108" i="19" s="1"/>
  <c r="BS108" i="19" s="1"/>
  <c r="BT108" i="19" s="1"/>
  <c r="BN108" i="19"/>
  <c r="BM108" i="19"/>
  <c r="BP107" i="19"/>
  <c r="BO107" i="19"/>
  <c r="BN107" i="19"/>
  <c r="BM107" i="19"/>
  <c r="BP106" i="19"/>
  <c r="BO106" i="19"/>
  <c r="BN106" i="19"/>
  <c r="BM106" i="19"/>
  <c r="BP105" i="19"/>
  <c r="BO105" i="19"/>
  <c r="BN105" i="19"/>
  <c r="BM105" i="19"/>
  <c r="BP104" i="19"/>
  <c r="BO104" i="19"/>
  <c r="BN104" i="19"/>
  <c r="BM104" i="19"/>
  <c r="BP103" i="19"/>
  <c r="BO103" i="19"/>
  <c r="BN103" i="19"/>
  <c r="BM103" i="19"/>
  <c r="BP102" i="19"/>
  <c r="BO102" i="19"/>
  <c r="BN102" i="19"/>
  <c r="BM102" i="19"/>
  <c r="BP101" i="19"/>
  <c r="BO101" i="19"/>
  <c r="BQ101" i="19" s="1"/>
  <c r="BS101" i="19" s="1"/>
  <c r="BT101" i="19" s="1"/>
  <c r="BN101" i="19"/>
  <c r="BM101" i="19"/>
  <c r="BP100" i="19"/>
  <c r="BO100" i="19"/>
  <c r="BN100" i="19"/>
  <c r="BM100" i="19"/>
  <c r="BU99" i="19"/>
  <c r="BS99" i="19"/>
  <c r="BT99" i="19" s="1"/>
  <c r="BR99" i="19"/>
  <c r="BQ99" i="19"/>
  <c r="BP99" i="19"/>
  <c r="BO99" i="19"/>
  <c r="BN99" i="19"/>
  <c r="BM99" i="19"/>
  <c r="BP98" i="19"/>
  <c r="BO98" i="19"/>
  <c r="BN98" i="19"/>
  <c r="BM98" i="19"/>
  <c r="BP97" i="19"/>
  <c r="BO97" i="19"/>
  <c r="BN97" i="19"/>
  <c r="BM97" i="19"/>
  <c r="BP96" i="19"/>
  <c r="BO96" i="19"/>
  <c r="BN96" i="19"/>
  <c r="BM96" i="19"/>
  <c r="BR95" i="19"/>
  <c r="BQ95" i="19"/>
  <c r="BS95" i="19" s="1"/>
  <c r="BT95" i="19" s="1"/>
  <c r="BP95" i="19"/>
  <c r="BO95" i="19"/>
  <c r="BN95" i="19"/>
  <c r="BM95" i="19"/>
  <c r="BP94" i="19"/>
  <c r="BO94" i="19"/>
  <c r="BN94" i="19"/>
  <c r="BR94" i="19" s="1"/>
  <c r="BM94" i="19"/>
  <c r="BP93" i="19"/>
  <c r="BO93" i="19"/>
  <c r="BN93" i="19"/>
  <c r="BM93" i="19"/>
  <c r="BR92" i="19"/>
  <c r="BP92" i="19"/>
  <c r="BO92" i="19"/>
  <c r="BN92" i="19"/>
  <c r="BM92" i="19"/>
  <c r="BP91" i="19"/>
  <c r="BO91" i="19"/>
  <c r="BN91" i="19"/>
  <c r="BM91" i="19"/>
  <c r="BP90" i="19"/>
  <c r="BO90" i="19"/>
  <c r="BN90" i="19"/>
  <c r="BM90" i="19"/>
  <c r="BR89" i="19"/>
  <c r="BP89" i="19"/>
  <c r="BO89" i="19"/>
  <c r="BN89" i="19"/>
  <c r="BM89" i="19"/>
  <c r="BP88" i="19"/>
  <c r="BO88" i="19"/>
  <c r="BN88" i="19"/>
  <c r="BM88" i="19"/>
  <c r="BR87" i="19"/>
  <c r="BP87" i="19"/>
  <c r="BO87" i="19"/>
  <c r="BN87" i="19"/>
  <c r="BQ87" i="19" s="1"/>
  <c r="BM87" i="19"/>
  <c r="BP86" i="19"/>
  <c r="BO86" i="19"/>
  <c r="BN86" i="19"/>
  <c r="BM86" i="19"/>
  <c r="BP85" i="19"/>
  <c r="BO85" i="19"/>
  <c r="BN85" i="19"/>
  <c r="BM85" i="19"/>
  <c r="BP84" i="19"/>
  <c r="BO84" i="19"/>
  <c r="BN84" i="19"/>
  <c r="BM84" i="19"/>
  <c r="BP83" i="19"/>
  <c r="BO83" i="19"/>
  <c r="BN83" i="19"/>
  <c r="BM83" i="19"/>
  <c r="BP82" i="19"/>
  <c r="BO82" i="19"/>
  <c r="BN82" i="19"/>
  <c r="BM82" i="19"/>
  <c r="BP81" i="19"/>
  <c r="BO81" i="19"/>
  <c r="BQ81" i="19" s="1"/>
  <c r="BS81" i="19" s="1"/>
  <c r="BT81" i="19" s="1"/>
  <c r="BN81" i="19"/>
  <c r="BM81" i="19"/>
  <c r="BU80" i="19"/>
  <c r="BQ80" i="19"/>
  <c r="BS80" i="19" s="1"/>
  <c r="BT80" i="19" s="1"/>
  <c r="BP80" i="19"/>
  <c r="BO80" i="19"/>
  <c r="BN80" i="19"/>
  <c r="BM80" i="19"/>
  <c r="BR80" i="19" s="1"/>
  <c r="BR79" i="19"/>
  <c r="BP79" i="19"/>
  <c r="BO79" i="19"/>
  <c r="BN79" i="19"/>
  <c r="BM79" i="19"/>
  <c r="BS78" i="19"/>
  <c r="BT78" i="19" s="1"/>
  <c r="BP78" i="19"/>
  <c r="BO78" i="19"/>
  <c r="BN78" i="19"/>
  <c r="BQ78" i="19" s="1"/>
  <c r="BM78" i="19"/>
  <c r="BU77" i="19"/>
  <c r="BT77" i="19"/>
  <c r="BS77" i="19"/>
  <c r="BP77" i="19"/>
  <c r="BO77" i="19"/>
  <c r="BQ77" i="19" s="1"/>
  <c r="BN77" i="19"/>
  <c r="BM77" i="19"/>
  <c r="BP76" i="19"/>
  <c r="BO76" i="19"/>
  <c r="BN76" i="19"/>
  <c r="BM76" i="19"/>
  <c r="BP75" i="19"/>
  <c r="BO75" i="19"/>
  <c r="BR75" i="19" s="1"/>
  <c r="BN75" i="19"/>
  <c r="BM75" i="19"/>
  <c r="BP74" i="19"/>
  <c r="BO74" i="19"/>
  <c r="BN74" i="19"/>
  <c r="BM74" i="19"/>
  <c r="BS73" i="19"/>
  <c r="BT73" i="19" s="1"/>
  <c r="BQ73" i="19"/>
  <c r="BP73" i="19"/>
  <c r="BO73" i="19"/>
  <c r="BR73" i="19" s="1"/>
  <c r="BN73" i="19"/>
  <c r="BM73" i="19"/>
  <c r="BR72" i="19"/>
  <c r="BP72" i="19"/>
  <c r="BO72" i="19"/>
  <c r="BQ72" i="19" s="1"/>
  <c r="BS72" i="19" s="1"/>
  <c r="BT72" i="19" s="1"/>
  <c r="BN72" i="19"/>
  <c r="BM72" i="19"/>
  <c r="BU71" i="19"/>
  <c r="BQ71" i="19"/>
  <c r="BS71" i="19" s="1"/>
  <c r="BT71" i="19" s="1"/>
  <c r="BP71" i="19"/>
  <c r="BO71" i="19"/>
  <c r="BN71" i="19"/>
  <c r="BR71" i="19" s="1"/>
  <c r="BM71" i="19"/>
  <c r="BT70" i="19"/>
  <c r="BS70" i="19"/>
  <c r="BR70" i="19"/>
  <c r="BP70" i="19"/>
  <c r="BO70" i="19"/>
  <c r="BQ70" i="19" s="1"/>
  <c r="BN70" i="19"/>
  <c r="BM70" i="19"/>
  <c r="BP69" i="19"/>
  <c r="BO69" i="19"/>
  <c r="BN69" i="19"/>
  <c r="BM69" i="19"/>
  <c r="BU68" i="19"/>
  <c r="BS68" i="19"/>
  <c r="BT68" i="19" s="1"/>
  <c r="BR68" i="19"/>
  <c r="BQ68" i="19"/>
  <c r="BP68" i="19"/>
  <c r="BO68" i="19"/>
  <c r="BN68" i="19"/>
  <c r="BM68" i="19"/>
  <c r="BR67" i="19"/>
  <c r="BP67" i="19"/>
  <c r="BO67" i="19"/>
  <c r="BN67" i="19"/>
  <c r="BM67" i="19"/>
  <c r="BR66" i="19"/>
  <c r="BP66" i="19"/>
  <c r="BO66" i="19"/>
  <c r="BN66" i="19"/>
  <c r="BM66" i="19"/>
  <c r="BP65" i="19"/>
  <c r="BO65" i="19"/>
  <c r="BN65" i="19"/>
  <c r="BM65" i="19"/>
  <c r="BU64" i="19"/>
  <c r="BT64" i="19"/>
  <c r="BR64" i="19"/>
  <c r="BQ64" i="19"/>
  <c r="BS64" i="19" s="1"/>
  <c r="BP64" i="19"/>
  <c r="BO64" i="19"/>
  <c r="BN64" i="19"/>
  <c r="BM64" i="19"/>
  <c r="BR63" i="19"/>
  <c r="BP63" i="19"/>
  <c r="BO63" i="19"/>
  <c r="BN63" i="19"/>
  <c r="BM63" i="19"/>
  <c r="BT62" i="19"/>
  <c r="BS62" i="19"/>
  <c r="BR62" i="19"/>
  <c r="BP62" i="19"/>
  <c r="BO62" i="19"/>
  <c r="BN62" i="19"/>
  <c r="BQ62" i="19" s="1"/>
  <c r="BM62" i="19"/>
  <c r="BU61" i="19"/>
  <c r="BR61" i="19"/>
  <c r="BP61" i="19"/>
  <c r="BO61" i="19"/>
  <c r="BN61" i="19"/>
  <c r="BM61" i="19"/>
  <c r="BQ61" i="19" s="1"/>
  <c r="BS61" i="19" s="1"/>
  <c r="BT61" i="19" s="1"/>
  <c r="BP60" i="19"/>
  <c r="BO60" i="19"/>
  <c r="BN60" i="19"/>
  <c r="BM60" i="19"/>
  <c r="BP59" i="19"/>
  <c r="BO59" i="19"/>
  <c r="BN59" i="19"/>
  <c r="BM59" i="19"/>
  <c r="BP58" i="19"/>
  <c r="BO58" i="19"/>
  <c r="BN58" i="19"/>
  <c r="BM58" i="19"/>
  <c r="BP57" i="19"/>
  <c r="BO57" i="19"/>
  <c r="BN57" i="19"/>
  <c r="BM57" i="19"/>
  <c r="BP56" i="19"/>
  <c r="BO56" i="19"/>
  <c r="BN56" i="19"/>
  <c r="BM56" i="19"/>
  <c r="BR55" i="19"/>
  <c r="BP55" i="19"/>
  <c r="BO55" i="19"/>
  <c r="BN55" i="19"/>
  <c r="BM55" i="19"/>
  <c r="BP54" i="19"/>
  <c r="BO54" i="19"/>
  <c r="BQ54" i="19" s="1"/>
  <c r="BS54" i="19" s="1"/>
  <c r="BT54" i="19" s="1"/>
  <c r="BN54" i="19"/>
  <c r="BM54" i="19"/>
  <c r="BP53" i="19"/>
  <c r="BO53" i="19"/>
  <c r="BN53" i="19"/>
  <c r="BM53" i="19"/>
  <c r="BP52" i="19"/>
  <c r="BO52" i="19"/>
  <c r="BN52" i="19"/>
  <c r="BM52" i="19"/>
  <c r="BR51" i="19"/>
  <c r="BP51" i="19"/>
  <c r="BO51" i="19"/>
  <c r="BN51" i="19"/>
  <c r="BM51" i="19"/>
  <c r="BP50" i="19"/>
  <c r="BO50" i="19"/>
  <c r="BN50" i="19"/>
  <c r="BM50" i="19"/>
  <c r="BP49" i="19"/>
  <c r="BO49" i="19"/>
  <c r="BN49" i="19"/>
  <c r="BM49" i="19"/>
  <c r="BP48" i="19"/>
  <c r="BO48" i="19"/>
  <c r="BN48" i="19"/>
  <c r="BM48" i="19"/>
  <c r="BQ47" i="19"/>
  <c r="BS47" i="19" s="1"/>
  <c r="BT47" i="19" s="1"/>
  <c r="BP47" i="19"/>
  <c r="BO47" i="19"/>
  <c r="BN47" i="19"/>
  <c r="BM47" i="19"/>
  <c r="BR47" i="19" s="1"/>
  <c r="BT46" i="19"/>
  <c r="BS46" i="19"/>
  <c r="BP46" i="19"/>
  <c r="BO46" i="19"/>
  <c r="BN46" i="19"/>
  <c r="BQ46" i="19" s="1"/>
  <c r="BM46" i="19"/>
  <c r="BP45" i="19"/>
  <c r="BO45" i="19"/>
  <c r="BN45" i="19"/>
  <c r="BM45" i="19"/>
  <c r="BP44" i="19"/>
  <c r="BO44" i="19"/>
  <c r="BN44" i="19"/>
  <c r="BM44" i="19"/>
  <c r="BP43" i="19"/>
  <c r="BO43" i="19"/>
  <c r="BN43" i="19"/>
  <c r="BM43" i="19"/>
  <c r="BP42" i="19"/>
  <c r="BO42" i="19"/>
  <c r="BN42" i="19"/>
  <c r="BM42" i="19"/>
  <c r="BP41" i="19"/>
  <c r="BO41" i="19"/>
  <c r="BN41" i="19"/>
  <c r="BM41" i="19"/>
  <c r="BP40" i="19"/>
  <c r="BO40" i="19"/>
  <c r="BN40" i="19"/>
  <c r="BM40" i="19"/>
  <c r="BP39" i="19"/>
  <c r="BO39" i="19"/>
  <c r="BN39" i="19"/>
  <c r="BM39" i="19"/>
  <c r="BR38" i="19"/>
  <c r="BQ38" i="19"/>
  <c r="BS38" i="19" s="1"/>
  <c r="BT38" i="19" s="1"/>
  <c r="BP38" i="19"/>
  <c r="BO38" i="19"/>
  <c r="BN38" i="19"/>
  <c r="BM38" i="19"/>
  <c r="BP37" i="19"/>
  <c r="BO37" i="19"/>
  <c r="BN37" i="19"/>
  <c r="BM37" i="19"/>
  <c r="BP36" i="19"/>
  <c r="BO36" i="19"/>
  <c r="BN36" i="19"/>
  <c r="BM36" i="19"/>
  <c r="BP35" i="19"/>
  <c r="BO35" i="19"/>
  <c r="BN35" i="19"/>
  <c r="BM35" i="19"/>
  <c r="BP34" i="19"/>
  <c r="BO34" i="19"/>
  <c r="BN34" i="19"/>
  <c r="BM34" i="19"/>
  <c r="BP33" i="19"/>
  <c r="BO33" i="19"/>
  <c r="BN33" i="19"/>
  <c r="BM33" i="19"/>
  <c r="BU32" i="19"/>
  <c r="BR32" i="19"/>
  <c r="BQ32" i="19"/>
  <c r="BS32" i="19" s="1"/>
  <c r="BT32" i="19" s="1"/>
  <c r="BP32" i="19"/>
  <c r="BO32" i="19"/>
  <c r="BN32" i="19"/>
  <c r="BM32" i="19"/>
  <c r="BP31" i="19"/>
  <c r="BO31" i="19"/>
  <c r="BN31" i="19"/>
  <c r="BM31" i="19"/>
  <c r="BT30" i="19"/>
  <c r="BR30" i="19"/>
  <c r="BP30" i="19"/>
  <c r="BO30" i="19"/>
  <c r="BN30" i="19"/>
  <c r="BQ30" i="19" s="1"/>
  <c r="BS30" i="19" s="1"/>
  <c r="BM30" i="19"/>
  <c r="BP29" i="19"/>
  <c r="BO29" i="19"/>
  <c r="BN29" i="19"/>
  <c r="BM29" i="19"/>
  <c r="BP28" i="19"/>
  <c r="BO28" i="19"/>
  <c r="BN28" i="19"/>
  <c r="BM28" i="19"/>
  <c r="BP27" i="19"/>
  <c r="BO27" i="19"/>
  <c r="BN27" i="19"/>
  <c r="BM27" i="19"/>
  <c r="BP26" i="19"/>
  <c r="BO26" i="19"/>
  <c r="BN26" i="19"/>
  <c r="BM26" i="19"/>
  <c r="BS25" i="19"/>
  <c r="BT25" i="19" s="1"/>
  <c r="BQ25" i="19"/>
  <c r="BU25" i="19" s="1"/>
  <c r="BP25" i="19"/>
  <c r="BO25" i="19"/>
  <c r="BR25" i="19" s="1"/>
  <c r="BN25" i="19"/>
  <c r="BM25" i="19"/>
  <c r="BP24" i="19"/>
  <c r="BO24" i="19"/>
  <c r="BN24" i="19"/>
  <c r="BM24" i="19"/>
  <c r="BR23" i="19"/>
  <c r="BQ23" i="19"/>
  <c r="BP23" i="19"/>
  <c r="BO23" i="19"/>
  <c r="BN23" i="19"/>
  <c r="BM23" i="19"/>
  <c r="BP22" i="19"/>
  <c r="BO22" i="19"/>
  <c r="BN22" i="19"/>
  <c r="BM22" i="19"/>
  <c r="BP21" i="19"/>
  <c r="BO21" i="19"/>
  <c r="BN21" i="19"/>
  <c r="BM21" i="19"/>
  <c r="BT20" i="19"/>
  <c r="BQ20" i="19"/>
  <c r="BS20" i="19" s="1"/>
  <c r="BP20" i="19"/>
  <c r="BO20" i="19"/>
  <c r="BN20" i="19"/>
  <c r="BM20" i="19"/>
  <c r="BP19" i="19"/>
  <c r="BO19" i="19"/>
  <c r="BN19" i="19"/>
  <c r="BM19" i="19"/>
  <c r="BP18" i="19"/>
  <c r="BO18" i="19"/>
  <c r="BN18" i="19"/>
  <c r="BM18" i="19"/>
  <c r="BP17" i="19"/>
  <c r="BO17" i="19"/>
  <c r="BN17" i="19"/>
  <c r="BM17" i="19"/>
  <c r="BP16" i="19"/>
  <c r="BO16" i="19"/>
  <c r="BN16" i="19"/>
  <c r="BM16" i="19"/>
  <c r="BP15" i="19"/>
  <c r="BO15" i="19"/>
  <c r="BQ15" i="19" s="1"/>
  <c r="BS15" i="19" s="1"/>
  <c r="BT15" i="19" s="1"/>
  <c r="BN15" i="19"/>
  <c r="BM15" i="19"/>
  <c r="BT14" i="19"/>
  <c r="BS14" i="19"/>
  <c r="BR14" i="19"/>
  <c r="BP14" i="19"/>
  <c r="BO14" i="19"/>
  <c r="BN14" i="19"/>
  <c r="BQ14" i="19" s="1"/>
  <c r="BM14" i="19"/>
  <c r="BP13" i="19"/>
  <c r="BO13" i="19"/>
  <c r="BN13" i="19"/>
  <c r="BM13" i="19"/>
  <c r="BP12" i="19"/>
  <c r="BO12" i="19"/>
  <c r="BN12" i="19"/>
  <c r="BM12" i="19"/>
  <c r="BP11" i="19"/>
  <c r="BO11" i="19"/>
  <c r="BN11" i="19"/>
  <c r="BM11" i="19"/>
  <c r="BP10" i="19"/>
  <c r="BO10" i="19"/>
  <c r="BN10" i="19"/>
  <c r="BM10" i="19"/>
  <c r="BP9" i="19"/>
  <c r="BO9" i="19"/>
  <c r="BN9" i="19"/>
  <c r="BM9" i="19"/>
  <c r="BP8" i="19"/>
  <c r="BO8" i="19"/>
  <c r="BN8" i="19"/>
  <c r="BM8" i="19"/>
  <c r="BP7" i="19"/>
  <c r="BO7" i="19"/>
  <c r="BN7" i="19"/>
  <c r="BM7" i="19"/>
  <c r="BR6" i="19"/>
  <c r="BP6" i="19"/>
  <c r="BO6" i="19"/>
  <c r="BN6" i="19"/>
  <c r="BM6" i="19"/>
  <c r="BP5" i="19"/>
  <c r="BO5" i="19"/>
  <c r="BN5" i="19"/>
  <c r="BM5" i="19"/>
  <c r="BU4" i="19"/>
  <c r="BS4" i="19"/>
  <c r="BT4" i="19" s="1"/>
  <c r="BR4" i="19"/>
  <c r="BP4" i="19"/>
  <c r="BO4" i="19"/>
  <c r="BN4" i="19"/>
  <c r="BQ4" i="19" s="1"/>
  <c r="BM4" i="19"/>
  <c r="DL61" i="18"/>
  <c r="DK61" i="18"/>
  <c r="DJ61" i="18"/>
  <c r="DI61" i="18"/>
  <c r="DL60" i="18"/>
  <c r="DK60" i="18"/>
  <c r="DJ60" i="18"/>
  <c r="DI60" i="18"/>
  <c r="DL59" i="18"/>
  <c r="DK59" i="18"/>
  <c r="DM59" i="18" s="1"/>
  <c r="DO59" i="18" s="1"/>
  <c r="DP59" i="18" s="1"/>
  <c r="DJ59" i="18"/>
  <c r="DI59" i="18"/>
  <c r="DQ58" i="18"/>
  <c r="DP58" i="18"/>
  <c r="DN58" i="18"/>
  <c r="DM58" i="18"/>
  <c r="DO58" i="18" s="1"/>
  <c r="DL58" i="18"/>
  <c r="DK58" i="18"/>
  <c r="DJ58" i="18"/>
  <c r="DI58" i="18"/>
  <c r="DL57" i="18"/>
  <c r="DK57" i="18"/>
  <c r="DJ57" i="18"/>
  <c r="DM57" i="18" s="1"/>
  <c r="DO57" i="18" s="1"/>
  <c r="DP57" i="18" s="1"/>
  <c r="DI57" i="18"/>
  <c r="DL56" i="18"/>
  <c r="DK56" i="18"/>
  <c r="DJ56" i="18"/>
  <c r="DI56" i="18"/>
  <c r="DO55" i="18"/>
  <c r="DP55" i="18" s="1"/>
  <c r="DN55" i="18"/>
  <c r="DM55" i="18"/>
  <c r="DQ55" i="18" s="1"/>
  <c r="DL55" i="18"/>
  <c r="DK55" i="18"/>
  <c r="DJ55" i="18"/>
  <c r="DI55" i="18"/>
  <c r="DP54" i="18"/>
  <c r="DM54" i="18"/>
  <c r="DO54" i="18" s="1"/>
  <c r="DL54" i="18"/>
  <c r="DK54" i="18"/>
  <c r="DJ54" i="18"/>
  <c r="DI54" i="18"/>
  <c r="DL53" i="18"/>
  <c r="DK53" i="18"/>
  <c r="DJ53" i="18"/>
  <c r="DI53" i="18"/>
  <c r="DL52" i="18"/>
  <c r="DK52" i="18"/>
  <c r="DJ52" i="18"/>
  <c r="DI52" i="18"/>
  <c r="DL51" i="18"/>
  <c r="DK51" i="18"/>
  <c r="DJ51" i="18"/>
  <c r="DI51" i="18"/>
  <c r="DL50" i="18"/>
  <c r="DK50" i="18"/>
  <c r="DJ50" i="18"/>
  <c r="DI50" i="18"/>
  <c r="DL49" i="18"/>
  <c r="DK49" i="18"/>
  <c r="DJ49" i="18"/>
  <c r="DI49" i="18"/>
  <c r="DN48" i="18"/>
  <c r="DL48" i="18"/>
  <c r="DK48" i="18"/>
  <c r="DJ48" i="18"/>
  <c r="DM48" i="18" s="1"/>
  <c r="DO48" i="18" s="1"/>
  <c r="DP48" i="18" s="1"/>
  <c r="DI48" i="18"/>
  <c r="DL47" i="18"/>
  <c r="DK47" i="18"/>
  <c r="DJ47" i="18"/>
  <c r="DI47" i="18"/>
  <c r="DL46" i="18"/>
  <c r="DK46" i="18"/>
  <c r="DJ46" i="18"/>
  <c r="DI46" i="18"/>
  <c r="DN45" i="18"/>
  <c r="DL45" i="18"/>
  <c r="DK45" i="18"/>
  <c r="DJ45" i="18"/>
  <c r="DI45" i="18"/>
  <c r="DQ44" i="18"/>
  <c r="DP44" i="18"/>
  <c r="DL44" i="18"/>
  <c r="DK44" i="18"/>
  <c r="DJ44" i="18"/>
  <c r="DM44" i="18" s="1"/>
  <c r="DO44" i="18" s="1"/>
  <c r="DI44" i="18"/>
  <c r="DL43" i="18"/>
  <c r="DK43" i="18"/>
  <c r="DM43" i="18" s="1"/>
  <c r="DO43" i="18" s="1"/>
  <c r="DP43" i="18" s="1"/>
  <c r="DJ43" i="18"/>
  <c r="DI43" i="18"/>
  <c r="DN42" i="18"/>
  <c r="DM42" i="18"/>
  <c r="DL42" i="18"/>
  <c r="DK42" i="18"/>
  <c r="DJ42" i="18"/>
  <c r="DI42" i="18"/>
  <c r="DL41" i="18"/>
  <c r="DK41" i="18"/>
  <c r="DN41" i="18" s="1"/>
  <c r="DJ41" i="18"/>
  <c r="DI41" i="18"/>
  <c r="DP40" i="18"/>
  <c r="DL40" i="18"/>
  <c r="DK40" i="18"/>
  <c r="DM40" i="18" s="1"/>
  <c r="DO40" i="18" s="1"/>
  <c r="DJ40" i="18"/>
  <c r="DI40" i="18"/>
  <c r="DQ39" i="18"/>
  <c r="DL39" i="18"/>
  <c r="DK39" i="18"/>
  <c r="DM39" i="18" s="1"/>
  <c r="DO39" i="18" s="1"/>
  <c r="DP39" i="18" s="1"/>
  <c r="DJ39" i="18"/>
  <c r="DI39" i="18"/>
  <c r="DQ38" i="18"/>
  <c r="DM38" i="18"/>
  <c r="DO38" i="18" s="1"/>
  <c r="DP38" i="18" s="1"/>
  <c r="DL38" i="18"/>
  <c r="DK38" i="18"/>
  <c r="DJ38" i="18"/>
  <c r="DI38" i="18"/>
  <c r="DN37" i="18"/>
  <c r="DM37" i="18"/>
  <c r="DO37" i="18" s="1"/>
  <c r="DP37" i="18" s="1"/>
  <c r="DL37" i="18"/>
  <c r="DK37" i="18"/>
  <c r="DJ37" i="18"/>
  <c r="DI37" i="18"/>
  <c r="DL36" i="18"/>
  <c r="DK36" i="18"/>
  <c r="DJ36" i="18"/>
  <c r="DI36" i="18"/>
  <c r="DL35" i="18"/>
  <c r="DK35" i="18"/>
  <c r="DJ35" i="18"/>
  <c r="DI35" i="18"/>
  <c r="DN35" i="18" s="1"/>
  <c r="DN34" i="18"/>
  <c r="DL34" i="18"/>
  <c r="DK34" i="18"/>
  <c r="DJ34" i="18"/>
  <c r="DI34" i="18"/>
  <c r="DL33" i="18"/>
  <c r="DK33" i="18"/>
  <c r="DJ33" i="18"/>
  <c r="DI33" i="18"/>
  <c r="DO32" i="18"/>
  <c r="DP32" i="18" s="1"/>
  <c r="DN32" i="18"/>
  <c r="DM32" i="18"/>
  <c r="DL32" i="18"/>
  <c r="DK32" i="18"/>
  <c r="DJ32" i="18"/>
  <c r="DI32" i="18"/>
  <c r="DQ32" i="18" s="1"/>
  <c r="DL31" i="18"/>
  <c r="DK31" i="18"/>
  <c r="DJ31" i="18"/>
  <c r="DI31" i="18"/>
  <c r="DM30" i="18"/>
  <c r="DL30" i="18"/>
  <c r="DK30" i="18"/>
  <c r="DJ30" i="18"/>
  <c r="DI30" i="18"/>
  <c r="DN30" i="18" s="1"/>
  <c r="DL29" i="18"/>
  <c r="DK29" i="18"/>
  <c r="DJ29" i="18"/>
  <c r="DI29" i="18"/>
  <c r="DL28" i="18"/>
  <c r="DK28" i="18"/>
  <c r="DJ28" i="18"/>
  <c r="DI28" i="18"/>
  <c r="DM27" i="18"/>
  <c r="DO27" i="18" s="1"/>
  <c r="DP27" i="18" s="1"/>
  <c r="DL27" i="18"/>
  <c r="DK27" i="18"/>
  <c r="DJ27" i="18"/>
  <c r="DI27" i="18"/>
  <c r="DL26" i="18"/>
  <c r="DK26" i="18"/>
  <c r="DJ26" i="18"/>
  <c r="DI26" i="18"/>
  <c r="DM25" i="18"/>
  <c r="DO25" i="18" s="1"/>
  <c r="DP25" i="18" s="1"/>
  <c r="DL25" i="18"/>
  <c r="DK25" i="18"/>
  <c r="DJ25" i="18"/>
  <c r="DI25" i="18"/>
  <c r="DM24" i="18"/>
  <c r="DO24" i="18" s="1"/>
  <c r="DP24" i="18" s="1"/>
  <c r="DL24" i="18"/>
  <c r="DK24" i="18"/>
  <c r="DJ24" i="18"/>
  <c r="DI24" i="18"/>
  <c r="DN23" i="18"/>
  <c r="DL23" i="18"/>
  <c r="DK23" i="18"/>
  <c r="DJ23" i="18"/>
  <c r="DI23" i="18"/>
  <c r="DQ22" i="18"/>
  <c r="DP22" i="18"/>
  <c r="DM22" i="18"/>
  <c r="DO22" i="18" s="1"/>
  <c r="DL22" i="18"/>
  <c r="DK22" i="18"/>
  <c r="DJ22" i="18"/>
  <c r="DI22" i="18"/>
  <c r="DN22" i="18" s="1"/>
  <c r="DM21" i="18"/>
  <c r="DL21" i="18"/>
  <c r="DK21" i="18"/>
  <c r="DJ21" i="18"/>
  <c r="DI21" i="18"/>
  <c r="DN21" i="18" s="1"/>
  <c r="DQ20" i="18"/>
  <c r="DN20" i="18"/>
  <c r="DL20" i="18"/>
  <c r="DK20" i="18"/>
  <c r="DJ20" i="18"/>
  <c r="DI20" i="18"/>
  <c r="DM20" i="18" s="1"/>
  <c r="DO20" i="18" s="1"/>
  <c r="DP20" i="18" s="1"/>
  <c r="DL19" i="18"/>
  <c r="DK19" i="18"/>
  <c r="DJ19" i="18"/>
  <c r="DI19" i="18"/>
  <c r="DL18" i="18"/>
  <c r="DK18" i="18"/>
  <c r="DJ18" i="18"/>
  <c r="DI18" i="18"/>
  <c r="DL17" i="18"/>
  <c r="DK17" i="18"/>
  <c r="DM17" i="18" s="1"/>
  <c r="DO17" i="18" s="1"/>
  <c r="DP17" i="18" s="1"/>
  <c r="DJ17" i="18"/>
  <c r="DI17" i="18"/>
  <c r="DL16" i="18"/>
  <c r="DK16" i="18"/>
  <c r="DJ16" i="18"/>
  <c r="DI16" i="18"/>
  <c r="DP15" i="18"/>
  <c r="DM15" i="18"/>
  <c r="DO15" i="18" s="1"/>
  <c r="DL15" i="18"/>
  <c r="DK15" i="18"/>
  <c r="DJ15" i="18"/>
  <c r="DN15" i="18" s="1"/>
  <c r="DI15" i="18"/>
  <c r="DL14" i="18"/>
  <c r="DK14" i="18"/>
  <c r="DJ14" i="18"/>
  <c r="DI14" i="18"/>
  <c r="DL13" i="18"/>
  <c r="DK13" i="18"/>
  <c r="DJ13" i="18"/>
  <c r="DI13" i="18"/>
  <c r="DL12" i="18"/>
  <c r="DK12" i="18"/>
  <c r="DJ12" i="18"/>
  <c r="DI12" i="18"/>
  <c r="DL11" i="18"/>
  <c r="DK11" i="18"/>
  <c r="DJ11" i="18"/>
  <c r="DI11" i="18"/>
  <c r="DL10" i="18"/>
  <c r="DK10" i="18"/>
  <c r="DJ10" i="18"/>
  <c r="DI10" i="18"/>
  <c r="DL9" i="18"/>
  <c r="DK9" i="18"/>
  <c r="DJ9" i="18"/>
  <c r="DI9" i="18"/>
  <c r="DM8" i="18"/>
  <c r="DO8" i="18" s="1"/>
  <c r="DP8" i="18" s="1"/>
  <c r="DL8" i="18"/>
  <c r="DK8" i="18"/>
  <c r="DJ8" i="18"/>
  <c r="DI8" i="18"/>
  <c r="DL7" i="18"/>
  <c r="DK7" i="18"/>
  <c r="DJ7" i="18"/>
  <c r="DI7" i="18"/>
  <c r="DM6" i="18"/>
  <c r="DO6" i="18" s="1"/>
  <c r="DP6" i="18" s="1"/>
  <c r="DL6" i="18"/>
  <c r="DK6" i="18"/>
  <c r="DN6" i="18" s="1"/>
  <c r="DJ6" i="18"/>
  <c r="DI6" i="18"/>
  <c r="DL5" i="18"/>
  <c r="DK5" i="18"/>
  <c r="DJ5" i="18"/>
  <c r="DI5" i="18"/>
  <c r="DL4" i="18"/>
  <c r="DK4" i="18"/>
  <c r="DJ4" i="18"/>
  <c r="DI4" i="18"/>
  <c r="BP90" i="17"/>
  <c r="BO90" i="17"/>
  <c r="BN90" i="17"/>
  <c r="BM90" i="17"/>
  <c r="BP89" i="17"/>
  <c r="BO89" i="17"/>
  <c r="BN89" i="17"/>
  <c r="BM89" i="17"/>
  <c r="BP88" i="17"/>
  <c r="BO88" i="17"/>
  <c r="BQ88" i="17" s="1"/>
  <c r="BS88" i="17" s="1"/>
  <c r="BT88" i="17" s="1"/>
  <c r="BN88" i="17"/>
  <c r="BM88" i="17"/>
  <c r="BP87" i="17"/>
  <c r="BO87" i="17"/>
  <c r="BN87" i="17"/>
  <c r="BM87" i="17"/>
  <c r="BQ86" i="17"/>
  <c r="BS86" i="17" s="1"/>
  <c r="BT86" i="17" s="1"/>
  <c r="BP86" i="17"/>
  <c r="BO86" i="17"/>
  <c r="BR86" i="17" s="1"/>
  <c r="BN86" i="17"/>
  <c r="BM86" i="17"/>
  <c r="BU86" i="17" s="1"/>
  <c r="BP85" i="17"/>
  <c r="BO85" i="17"/>
  <c r="BN85" i="17"/>
  <c r="BM85" i="17"/>
  <c r="BP84" i="17"/>
  <c r="BO84" i="17"/>
  <c r="BN84" i="17"/>
  <c r="BM84" i="17"/>
  <c r="BR84" i="17" s="1"/>
  <c r="BP83" i="17"/>
  <c r="BO83" i="17"/>
  <c r="BN83" i="17"/>
  <c r="BM83" i="17"/>
  <c r="BR82" i="17"/>
  <c r="BP82" i="17"/>
  <c r="BO82" i="17"/>
  <c r="BN82" i="17"/>
  <c r="BM82" i="17"/>
  <c r="BQ81" i="17"/>
  <c r="BS81" i="17" s="1"/>
  <c r="BT81" i="17" s="1"/>
  <c r="BP81" i="17"/>
  <c r="BO81" i="17"/>
  <c r="BN81" i="17"/>
  <c r="BM81" i="17"/>
  <c r="BT80" i="17"/>
  <c r="BR80" i="17"/>
  <c r="BQ80" i="17"/>
  <c r="BS80" i="17" s="1"/>
  <c r="BP80" i="17"/>
  <c r="BO80" i="17"/>
  <c r="BN80" i="17"/>
  <c r="BM80" i="17"/>
  <c r="BU80" i="17" s="1"/>
  <c r="BP79" i="17"/>
  <c r="BO79" i="17"/>
  <c r="BN79" i="17"/>
  <c r="BM79" i="17"/>
  <c r="BR78" i="17"/>
  <c r="BP78" i="17"/>
  <c r="BO78" i="17"/>
  <c r="BN78" i="17"/>
  <c r="BM78" i="17"/>
  <c r="BQ78" i="17" s="1"/>
  <c r="BS78" i="17" s="1"/>
  <c r="BT78" i="17" s="1"/>
  <c r="BR77" i="17"/>
  <c r="BP77" i="17"/>
  <c r="BO77" i="17"/>
  <c r="BN77" i="17"/>
  <c r="BM77" i="17"/>
  <c r="BQ76" i="17"/>
  <c r="BS76" i="17" s="1"/>
  <c r="BT76" i="17" s="1"/>
  <c r="BP76" i="17"/>
  <c r="BO76" i="17"/>
  <c r="BN76" i="17"/>
  <c r="BM76" i="17"/>
  <c r="BP75" i="17"/>
  <c r="BO75" i="17"/>
  <c r="BN75" i="17"/>
  <c r="BM75" i="17"/>
  <c r="BP74" i="17"/>
  <c r="BO74" i="17"/>
  <c r="BN74" i="17"/>
  <c r="BM74" i="17"/>
  <c r="BP73" i="17"/>
  <c r="BO73" i="17"/>
  <c r="BN73" i="17"/>
  <c r="BM73" i="17"/>
  <c r="BP72" i="17"/>
  <c r="BO72" i="17"/>
  <c r="BN72" i="17"/>
  <c r="BM72" i="17"/>
  <c r="BP71" i="17"/>
  <c r="BO71" i="17"/>
  <c r="BN71" i="17"/>
  <c r="BM71" i="17"/>
  <c r="BP70" i="17"/>
  <c r="BO70" i="17"/>
  <c r="BN70" i="17"/>
  <c r="BM70" i="17"/>
  <c r="BP69" i="17"/>
  <c r="BO69" i="17"/>
  <c r="BN69" i="17"/>
  <c r="BM69" i="17"/>
  <c r="BP68" i="17"/>
  <c r="BO68" i="17"/>
  <c r="BN68" i="17"/>
  <c r="BM68" i="17"/>
  <c r="BP67" i="17"/>
  <c r="BO67" i="17"/>
  <c r="BN67" i="17"/>
  <c r="BM67" i="17"/>
  <c r="BU66" i="17"/>
  <c r="BS66" i="17"/>
  <c r="BT66" i="17" s="1"/>
  <c r="BR66" i="17"/>
  <c r="BP66" i="17"/>
  <c r="BO66" i="17"/>
  <c r="BN66" i="17"/>
  <c r="BQ66" i="17" s="1"/>
  <c r="BM66" i="17"/>
  <c r="BP65" i="17"/>
  <c r="BO65" i="17"/>
  <c r="BN65" i="17"/>
  <c r="BQ65" i="17" s="1"/>
  <c r="BS65" i="17" s="1"/>
  <c r="BT65" i="17" s="1"/>
  <c r="BM65" i="17"/>
  <c r="BU64" i="17"/>
  <c r="BT64" i="17"/>
  <c r="BR64" i="17"/>
  <c r="BQ64" i="17"/>
  <c r="BS64" i="17" s="1"/>
  <c r="BP64" i="17"/>
  <c r="BO64" i="17"/>
  <c r="BN64" i="17"/>
  <c r="BM64" i="17"/>
  <c r="BR63" i="17"/>
  <c r="BP63" i="17"/>
  <c r="BO63" i="17"/>
  <c r="BN63" i="17"/>
  <c r="BM63" i="17"/>
  <c r="BR62" i="17"/>
  <c r="BP62" i="17"/>
  <c r="BO62" i="17"/>
  <c r="BN62" i="17"/>
  <c r="BM62" i="17"/>
  <c r="BQ62" i="17" s="1"/>
  <c r="BS62" i="17" s="1"/>
  <c r="BT62" i="17" s="1"/>
  <c r="BP61" i="17"/>
  <c r="BO61" i="17"/>
  <c r="BN61" i="17"/>
  <c r="BM61" i="17"/>
  <c r="BP60" i="17"/>
  <c r="BO60" i="17"/>
  <c r="BN60" i="17"/>
  <c r="BM60" i="17"/>
  <c r="BR59" i="17"/>
  <c r="BQ59" i="17"/>
  <c r="BS59" i="17" s="1"/>
  <c r="BT59" i="17" s="1"/>
  <c r="BP59" i="17"/>
  <c r="BO59" i="17"/>
  <c r="BN59" i="17"/>
  <c r="BM59" i="17"/>
  <c r="BP58" i="17"/>
  <c r="BO58" i="17"/>
  <c r="BN58" i="17"/>
  <c r="BM58" i="17"/>
  <c r="BP57" i="17"/>
  <c r="BO57" i="17"/>
  <c r="BN57" i="17"/>
  <c r="BM57" i="17"/>
  <c r="BQ56" i="17"/>
  <c r="BS56" i="17" s="1"/>
  <c r="BT56" i="17" s="1"/>
  <c r="BP56" i="17"/>
  <c r="BO56" i="17"/>
  <c r="BN56" i="17"/>
  <c r="BM56" i="17"/>
  <c r="BR56" i="17" s="1"/>
  <c r="BQ55" i="17"/>
  <c r="BS55" i="17" s="1"/>
  <c r="BT55" i="17" s="1"/>
  <c r="BP55" i="17"/>
  <c r="BO55" i="17"/>
  <c r="BN55" i="17"/>
  <c r="BM55" i="17"/>
  <c r="BT54" i="17"/>
  <c r="BP54" i="17"/>
  <c r="BO54" i="17"/>
  <c r="BQ54" i="17" s="1"/>
  <c r="BS54" i="17" s="1"/>
  <c r="BN54" i="17"/>
  <c r="BM54" i="17"/>
  <c r="BP53" i="17"/>
  <c r="BO53" i="17"/>
  <c r="BN53" i="17"/>
  <c r="BM53" i="17"/>
  <c r="BU52" i="17"/>
  <c r="BQ52" i="17"/>
  <c r="BS52" i="17" s="1"/>
  <c r="BT52" i="17" s="1"/>
  <c r="BP52" i="17"/>
  <c r="BO52" i="17"/>
  <c r="BN52" i="17"/>
  <c r="BM52" i="17"/>
  <c r="BR52" i="17" s="1"/>
  <c r="BP51" i="17"/>
  <c r="BO51" i="17"/>
  <c r="BR51" i="17" s="1"/>
  <c r="BN51" i="17"/>
  <c r="BM51" i="17"/>
  <c r="BP50" i="17"/>
  <c r="BO50" i="17"/>
  <c r="BN50" i="17"/>
  <c r="BM50" i="17"/>
  <c r="BQ49" i="17"/>
  <c r="BS49" i="17" s="1"/>
  <c r="BT49" i="17" s="1"/>
  <c r="BP49" i="17"/>
  <c r="BO49" i="17"/>
  <c r="BN49" i="17"/>
  <c r="BM49" i="17"/>
  <c r="BR48" i="17"/>
  <c r="BP48" i="17"/>
  <c r="BO48" i="17"/>
  <c r="BN48" i="17"/>
  <c r="BM48" i="17"/>
  <c r="BQ47" i="17"/>
  <c r="BS47" i="17" s="1"/>
  <c r="BT47" i="17" s="1"/>
  <c r="BP47" i="17"/>
  <c r="BO47" i="17"/>
  <c r="BN47" i="17"/>
  <c r="BM47" i="17"/>
  <c r="BT46" i="17"/>
  <c r="BP46" i="17"/>
  <c r="BO46" i="17"/>
  <c r="BN46" i="17"/>
  <c r="BM46" i="17"/>
  <c r="BQ46" i="17" s="1"/>
  <c r="BS46" i="17" s="1"/>
  <c r="BQ45" i="17"/>
  <c r="BS45" i="17" s="1"/>
  <c r="BT45" i="17" s="1"/>
  <c r="BP45" i="17"/>
  <c r="BO45" i="17"/>
  <c r="BN45" i="17"/>
  <c r="BM45" i="17"/>
  <c r="BP44" i="17"/>
  <c r="BO44" i="17"/>
  <c r="BN44" i="17"/>
  <c r="BM44" i="17"/>
  <c r="BP43" i="17"/>
  <c r="BO43" i="17"/>
  <c r="BN43" i="17"/>
  <c r="BM43" i="17"/>
  <c r="BR43" i="17" s="1"/>
  <c r="BP42" i="17"/>
  <c r="BO42" i="17"/>
  <c r="BN42" i="17"/>
  <c r="BM42" i="17"/>
  <c r="BQ41" i="17"/>
  <c r="BP41" i="17"/>
  <c r="BO41" i="17"/>
  <c r="BR41" i="17" s="1"/>
  <c r="BN41" i="17"/>
  <c r="BM41" i="17"/>
  <c r="BR40" i="17"/>
  <c r="BP40" i="17"/>
  <c r="BO40" i="17"/>
  <c r="BN40" i="17"/>
  <c r="BM40" i="17"/>
  <c r="BS39" i="17"/>
  <c r="BT39" i="17" s="1"/>
  <c r="BR39" i="17"/>
  <c r="BP39" i="17"/>
  <c r="BO39" i="17"/>
  <c r="BN39" i="17"/>
  <c r="BQ39" i="17" s="1"/>
  <c r="BM39" i="17"/>
  <c r="BR38" i="17"/>
  <c r="BQ38" i="17"/>
  <c r="BS38" i="17" s="1"/>
  <c r="BT38" i="17" s="1"/>
  <c r="BP38" i="17"/>
  <c r="BO38" i="17"/>
  <c r="BN38" i="17"/>
  <c r="BM38" i="17"/>
  <c r="BP37" i="17"/>
  <c r="BO37" i="17"/>
  <c r="BN37" i="17"/>
  <c r="BM37" i="17"/>
  <c r="BQ36" i="17"/>
  <c r="BP36" i="17"/>
  <c r="BO36" i="17"/>
  <c r="BN36" i="17"/>
  <c r="BM36" i="17"/>
  <c r="BR36" i="17" s="1"/>
  <c r="BP35" i="17"/>
  <c r="BO35" i="17"/>
  <c r="BN35" i="17"/>
  <c r="BM35" i="17"/>
  <c r="BP34" i="17"/>
  <c r="BO34" i="17"/>
  <c r="BN34" i="17"/>
  <c r="BM34" i="17"/>
  <c r="BQ33" i="17"/>
  <c r="BS33" i="17" s="1"/>
  <c r="BT33" i="17" s="1"/>
  <c r="BP33" i="17"/>
  <c r="BO33" i="17"/>
  <c r="BN33" i="17"/>
  <c r="BM33" i="17"/>
  <c r="BQ32" i="17"/>
  <c r="BS32" i="17" s="1"/>
  <c r="BT32" i="17" s="1"/>
  <c r="BP32" i="17"/>
  <c r="BO32" i="17"/>
  <c r="BN32" i="17"/>
  <c r="BM32" i="17"/>
  <c r="BP31" i="17"/>
  <c r="BO31" i="17"/>
  <c r="BN31" i="17"/>
  <c r="BM31" i="17"/>
  <c r="BP30" i="17"/>
  <c r="BO30" i="17"/>
  <c r="BN30" i="17"/>
  <c r="BM30" i="17"/>
  <c r="BP29" i="17"/>
  <c r="BO29" i="17"/>
  <c r="BN29" i="17"/>
  <c r="BM29" i="17"/>
  <c r="BP28" i="17"/>
  <c r="BO28" i="17"/>
  <c r="BN28" i="17"/>
  <c r="BM28" i="17"/>
  <c r="BP27" i="17"/>
  <c r="BO27" i="17"/>
  <c r="BN27" i="17"/>
  <c r="BM27" i="17"/>
  <c r="BP26" i="17"/>
  <c r="BO26" i="17"/>
  <c r="BN26" i="17"/>
  <c r="BM26" i="17"/>
  <c r="BQ25" i="17"/>
  <c r="BP25" i="17"/>
  <c r="BO25" i="17"/>
  <c r="BR25" i="17" s="1"/>
  <c r="BN25" i="17"/>
  <c r="BM25" i="17"/>
  <c r="BR24" i="17"/>
  <c r="BP24" i="17"/>
  <c r="BO24" i="17"/>
  <c r="BN24" i="17"/>
  <c r="BM24" i="17"/>
  <c r="BU23" i="17"/>
  <c r="BS23" i="17"/>
  <c r="BT23" i="17" s="1"/>
  <c r="BR23" i="17"/>
  <c r="BQ23" i="17"/>
  <c r="BP23" i="17"/>
  <c r="BO23" i="17"/>
  <c r="BN23" i="17"/>
  <c r="BM23" i="17"/>
  <c r="BT22" i="17"/>
  <c r="BR22" i="17"/>
  <c r="BP22" i="17"/>
  <c r="BO22" i="17"/>
  <c r="BQ22" i="17" s="1"/>
  <c r="BS22" i="17" s="1"/>
  <c r="BN22" i="17"/>
  <c r="BM22" i="17"/>
  <c r="BP21" i="17"/>
  <c r="BO21" i="17"/>
  <c r="BN21" i="17"/>
  <c r="BM21" i="17"/>
  <c r="BP20" i="17"/>
  <c r="BO20" i="17"/>
  <c r="BN20" i="17"/>
  <c r="BM20" i="17"/>
  <c r="BR19" i="17"/>
  <c r="BP19" i="17"/>
  <c r="BO19" i="17"/>
  <c r="BN19" i="17"/>
  <c r="BM19" i="17"/>
  <c r="BR18" i="17"/>
  <c r="BP18" i="17"/>
  <c r="BO18" i="17"/>
  <c r="BN18" i="17"/>
  <c r="BM18" i="17"/>
  <c r="BP17" i="17"/>
  <c r="BO17" i="17"/>
  <c r="BN17" i="17"/>
  <c r="BQ17" i="17" s="1"/>
  <c r="BS17" i="17" s="1"/>
  <c r="BT17" i="17" s="1"/>
  <c r="BM17" i="17"/>
  <c r="BU16" i="17"/>
  <c r="BQ16" i="17"/>
  <c r="BS16" i="17" s="1"/>
  <c r="BT16" i="17" s="1"/>
  <c r="BP16" i="17"/>
  <c r="BO16" i="17"/>
  <c r="BN16" i="17"/>
  <c r="BM16" i="17"/>
  <c r="BR16" i="17" s="1"/>
  <c r="BR15" i="17"/>
  <c r="BQ15" i="17"/>
  <c r="BS15" i="17" s="1"/>
  <c r="BT15" i="17" s="1"/>
  <c r="BP15" i="17"/>
  <c r="BO15" i="17"/>
  <c r="BN15" i="17"/>
  <c r="BM15" i="17"/>
  <c r="BP14" i="17"/>
  <c r="BO14" i="17"/>
  <c r="BN14" i="17"/>
  <c r="BM14" i="17"/>
  <c r="BP13" i="17"/>
  <c r="BO13" i="17"/>
  <c r="BN13" i="17"/>
  <c r="BM13" i="17"/>
  <c r="BQ12" i="17"/>
  <c r="BS12" i="17" s="1"/>
  <c r="BT12" i="17" s="1"/>
  <c r="BP12" i="17"/>
  <c r="BO12" i="17"/>
  <c r="BN12" i="17"/>
  <c r="BM12" i="17"/>
  <c r="BR11" i="17"/>
  <c r="BQ11" i="17"/>
  <c r="BP11" i="17"/>
  <c r="BO11" i="17"/>
  <c r="BN11" i="17"/>
  <c r="BM11" i="17"/>
  <c r="BP10" i="17"/>
  <c r="BO10" i="17"/>
  <c r="BN10" i="17"/>
  <c r="BM10" i="17"/>
  <c r="BP9" i="17"/>
  <c r="BO9" i="17"/>
  <c r="BR9" i="17" s="1"/>
  <c r="BN9" i="17"/>
  <c r="BM9" i="17"/>
  <c r="BP8" i="17"/>
  <c r="BO8" i="17"/>
  <c r="BN8" i="17"/>
  <c r="BM8" i="17"/>
  <c r="BS7" i="17"/>
  <c r="BT7" i="17" s="1"/>
  <c r="BR7" i="17"/>
  <c r="BQ7" i="17"/>
  <c r="BU7" i="17" s="1"/>
  <c r="BP7" i="17"/>
  <c r="BO7" i="17"/>
  <c r="BN7" i="17"/>
  <c r="BM7" i="17"/>
  <c r="BQ6" i="17"/>
  <c r="BS6" i="17" s="1"/>
  <c r="BT6" i="17" s="1"/>
  <c r="BP6" i="17"/>
  <c r="BO6" i="17"/>
  <c r="BN6" i="17"/>
  <c r="BR6" i="17" s="1"/>
  <c r="BM6" i="17"/>
  <c r="BR5" i="17"/>
  <c r="BP5" i="17"/>
  <c r="BO5" i="17"/>
  <c r="BN5" i="17"/>
  <c r="BM5" i="17"/>
  <c r="BR4" i="17"/>
  <c r="BQ4" i="17"/>
  <c r="BS4" i="17" s="1"/>
  <c r="BT4" i="17" s="1"/>
  <c r="BP4" i="17"/>
  <c r="BO4" i="17"/>
  <c r="BN4" i="17"/>
  <c r="BM4" i="17"/>
  <c r="DO79" i="16"/>
  <c r="DP79" i="16" s="1"/>
  <c r="DM79" i="16"/>
  <c r="DQ79" i="16" s="1"/>
  <c r="DL79" i="16"/>
  <c r="DK79" i="16"/>
  <c r="DJ79" i="16"/>
  <c r="DI79" i="16"/>
  <c r="DN79" i="16" s="1"/>
  <c r="DQ78" i="16"/>
  <c r="DN78" i="16"/>
  <c r="DL78" i="16"/>
  <c r="DK78" i="16"/>
  <c r="DJ78" i="16"/>
  <c r="DI78" i="16"/>
  <c r="DM78" i="16" s="1"/>
  <c r="DO78" i="16" s="1"/>
  <c r="DP78" i="16" s="1"/>
  <c r="DQ77" i="16"/>
  <c r="DO77" i="16"/>
  <c r="DP77" i="16" s="1"/>
  <c r="DM77" i="16"/>
  <c r="DL77" i="16"/>
  <c r="DK77" i="16"/>
  <c r="DJ77" i="16"/>
  <c r="DI77" i="16"/>
  <c r="DN77" i="16" s="1"/>
  <c r="DL76" i="16"/>
  <c r="DK76" i="16"/>
  <c r="DJ76" i="16"/>
  <c r="DI76" i="16"/>
  <c r="DL75" i="16"/>
  <c r="DK75" i="16"/>
  <c r="DJ75" i="16"/>
  <c r="DI75" i="16"/>
  <c r="DN74" i="16"/>
  <c r="DM74" i="16"/>
  <c r="DO74" i="16" s="1"/>
  <c r="DP74" i="16" s="1"/>
  <c r="DL74" i="16"/>
  <c r="DK74" i="16"/>
  <c r="DJ74" i="16"/>
  <c r="DI74" i="16"/>
  <c r="DL73" i="16"/>
  <c r="DK73" i="16"/>
  <c r="DJ73" i="16"/>
  <c r="DI73" i="16"/>
  <c r="DL72" i="16"/>
  <c r="DK72" i="16"/>
  <c r="DJ72" i="16"/>
  <c r="DI72" i="16"/>
  <c r="DN71" i="16"/>
  <c r="DL71" i="16"/>
  <c r="DK71" i="16"/>
  <c r="DJ71" i="16"/>
  <c r="DI71" i="16"/>
  <c r="DQ70" i="16"/>
  <c r="DP70" i="16"/>
  <c r="DN70" i="16"/>
  <c r="DM70" i="16"/>
  <c r="DO70" i="16" s="1"/>
  <c r="DL70" i="16"/>
  <c r="DK70" i="16"/>
  <c r="DJ70" i="16"/>
  <c r="DI70" i="16"/>
  <c r="DL69" i="16"/>
  <c r="DK69" i="16"/>
  <c r="DJ69" i="16"/>
  <c r="DI69" i="16"/>
  <c r="DN68" i="16"/>
  <c r="DL68" i="16"/>
  <c r="DK68" i="16"/>
  <c r="DJ68" i="16"/>
  <c r="DI68" i="16"/>
  <c r="DL67" i="16"/>
  <c r="DK67" i="16"/>
  <c r="DJ67" i="16"/>
  <c r="DI67" i="16"/>
  <c r="DQ66" i="16"/>
  <c r="DL66" i="16"/>
  <c r="DK66" i="16"/>
  <c r="DM66" i="16" s="1"/>
  <c r="DO66" i="16" s="1"/>
  <c r="DP66" i="16" s="1"/>
  <c r="DJ66" i="16"/>
  <c r="DI66" i="16"/>
  <c r="DL65" i="16"/>
  <c r="DK65" i="16"/>
  <c r="DQ65" i="16" s="1"/>
  <c r="DJ65" i="16"/>
  <c r="DI65" i="16"/>
  <c r="DN65" i="16" s="1"/>
  <c r="DN64" i="16"/>
  <c r="DM64" i="16"/>
  <c r="DO64" i="16" s="1"/>
  <c r="DP64" i="16" s="1"/>
  <c r="DL64" i="16"/>
  <c r="DK64" i="16"/>
  <c r="DJ64" i="16"/>
  <c r="DI64" i="16"/>
  <c r="DL63" i="16"/>
  <c r="DK63" i="16"/>
  <c r="DJ63" i="16"/>
  <c r="DI63" i="16"/>
  <c r="DN62" i="16"/>
  <c r="DL62" i="16"/>
  <c r="DK62" i="16"/>
  <c r="DJ62" i="16"/>
  <c r="DI62" i="16"/>
  <c r="DL61" i="16"/>
  <c r="DK61" i="16"/>
  <c r="DJ61" i="16"/>
  <c r="DI61" i="16"/>
  <c r="DN60" i="16"/>
  <c r="DL60" i="16"/>
  <c r="DK60" i="16"/>
  <c r="DJ60" i="16"/>
  <c r="DI60" i="16"/>
  <c r="DL59" i="16"/>
  <c r="DK59" i="16"/>
  <c r="DJ59" i="16"/>
  <c r="DI59" i="16"/>
  <c r="DL58" i="16"/>
  <c r="DK58" i="16"/>
  <c r="DJ58" i="16"/>
  <c r="DI58" i="16"/>
  <c r="DQ57" i="16"/>
  <c r="DN57" i="16"/>
  <c r="DL57" i="16"/>
  <c r="DK57" i="16"/>
  <c r="DM57" i="16" s="1"/>
  <c r="DO57" i="16" s="1"/>
  <c r="DP57" i="16" s="1"/>
  <c r="DJ57" i="16"/>
  <c r="DI57" i="16"/>
  <c r="DL56" i="16"/>
  <c r="DK56" i="16"/>
  <c r="DJ56" i="16"/>
  <c r="DI56" i="16"/>
  <c r="DO55" i="16"/>
  <c r="DP55" i="16" s="1"/>
  <c r="DL55" i="16"/>
  <c r="DK55" i="16"/>
  <c r="DM55" i="16" s="1"/>
  <c r="DJ55" i="16"/>
  <c r="DI55" i="16"/>
  <c r="DL54" i="16"/>
  <c r="DK54" i="16"/>
  <c r="DJ54" i="16"/>
  <c r="DI54" i="16"/>
  <c r="DL53" i="16"/>
  <c r="DK53" i="16"/>
  <c r="DJ53" i="16"/>
  <c r="DI53" i="16"/>
  <c r="DN52" i="16"/>
  <c r="DL52" i="16"/>
  <c r="DK52" i="16"/>
  <c r="DJ52" i="16"/>
  <c r="DI52" i="16"/>
  <c r="DL51" i="16"/>
  <c r="DK51" i="16"/>
  <c r="DJ51" i="16"/>
  <c r="DI51" i="16"/>
  <c r="DL50" i="16"/>
  <c r="DK50" i="16"/>
  <c r="DJ50" i="16"/>
  <c r="DI50" i="16"/>
  <c r="DL49" i="16"/>
  <c r="DK49" i="16"/>
  <c r="DJ49" i="16"/>
  <c r="DI49" i="16"/>
  <c r="DN48" i="16"/>
  <c r="DM48" i="16"/>
  <c r="DO48" i="16" s="1"/>
  <c r="DP48" i="16" s="1"/>
  <c r="DL48" i="16"/>
  <c r="DK48" i="16"/>
  <c r="DJ48" i="16"/>
  <c r="DI48" i="16"/>
  <c r="DQ48" i="16" s="1"/>
  <c r="DL47" i="16"/>
  <c r="DK47" i="16"/>
  <c r="DJ47" i="16"/>
  <c r="DI47" i="16"/>
  <c r="DN47" i="16" s="1"/>
  <c r="DL46" i="16"/>
  <c r="DK46" i="16"/>
  <c r="DJ46" i="16"/>
  <c r="DI46" i="16"/>
  <c r="DN45" i="16"/>
  <c r="DL45" i="16"/>
  <c r="DK45" i="16"/>
  <c r="DJ45" i="16"/>
  <c r="DI45" i="16"/>
  <c r="DN44" i="16"/>
  <c r="DL44" i="16"/>
  <c r="DK44" i="16"/>
  <c r="DJ44" i="16"/>
  <c r="DI44" i="16"/>
  <c r="DL43" i="16"/>
  <c r="DK43" i="16"/>
  <c r="DJ43" i="16"/>
  <c r="DI43" i="16"/>
  <c r="DN42" i="16"/>
  <c r="DL42" i="16"/>
  <c r="DK42" i="16"/>
  <c r="DJ42" i="16"/>
  <c r="DM42" i="16" s="1"/>
  <c r="DO42" i="16" s="1"/>
  <c r="DP42" i="16" s="1"/>
  <c r="DI42" i="16"/>
  <c r="DN41" i="16"/>
  <c r="DM41" i="16"/>
  <c r="DL41" i="16"/>
  <c r="DK41" i="16"/>
  <c r="DJ41" i="16"/>
  <c r="DI41" i="16"/>
  <c r="DL40" i="16"/>
  <c r="DK40" i="16"/>
  <c r="DJ40" i="16"/>
  <c r="DI40" i="16"/>
  <c r="DL39" i="16"/>
  <c r="DK39" i="16"/>
  <c r="DJ39" i="16"/>
  <c r="DI39" i="16"/>
  <c r="DQ38" i="16"/>
  <c r="DM38" i="16"/>
  <c r="DO38" i="16" s="1"/>
  <c r="DP38" i="16" s="1"/>
  <c r="DL38" i="16"/>
  <c r="DK38" i="16"/>
  <c r="DJ38" i="16"/>
  <c r="DI38" i="16"/>
  <c r="DN38" i="16" s="1"/>
  <c r="DL37" i="16"/>
  <c r="DK37" i="16"/>
  <c r="DJ37" i="16"/>
  <c r="DI37" i="16"/>
  <c r="DL36" i="16"/>
  <c r="DK36" i="16"/>
  <c r="DN36" i="16" s="1"/>
  <c r="DJ36" i="16"/>
  <c r="DI36" i="16"/>
  <c r="DQ35" i="16"/>
  <c r="DL35" i="16"/>
  <c r="DK35" i="16"/>
  <c r="DJ35" i="16"/>
  <c r="DI35" i="16"/>
  <c r="DM34" i="16"/>
  <c r="DO34" i="16" s="1"/>
  <c r="DP34" i="16" s="1"/>
  <c r="DL34" i="16"/>
  <c r="DK34" i="16"/>
  <c r="DJ34" i="16"/>
  <c r="DI34" i="16"/>
  <c r="DL33" i="16"/>
  <c r="DK33" i="16"/>
  <c r="DJ33" i="16"/>
  <c r="DI33" i="16"/>
  <c r="DL32" i="16"/>
  <c r="DK32" i="16"/>
  <c r="DJ32" i="16"/>
  <c r="DI32" i="16"/>
  <c r="DQ32" i="16" s="1"/>
  <c r="DQ31" i="16"/>
  <c r="DO31" i="16"/>
  <c r="DP31" i="16" s="1"/>
  <c r="DM31" i="16"/>
  <c r="DL31" i="16"/>
  <c r="DK31" i="16"/>
  <c r="DJ31" i="16"/>
  <c r="DI31" i="16"/>
  <c r="DN31" i="16" s="1"/>
  <c r="DN30" i="16"/>
  <c r="DL30" i="16"/>
  <c r="DK30" i="16"/>
  <c r="DJ30" i="16"/>
  <c r="DI30" i="16"/>
  <c r="DL29" i="16"/>
  <c r="DK29" i="16"/>
  <c r="DJ29" i="16"/>
  <c r="DI29" i="16"/>
  <c r="DQ28" i="16"/>
  <c r="DL28" i="16"/>
  <c r="DK28" i="16"/>
  <c r="DJ28" i="16"/>
  <c r="DI28" i="16"/>
  <c r="DL27" i="16"/>
  <c r="DK27" i="16"/>
  <c r="DJ27" i="16"/>
  <c r="DI27" i="16"/>
  <c r="DL26" i="16"/>
  <c r="DK26" i="16"/>
  <c r="DJ26" i="16"/>
  <c r="DI26" i="16"/>
  <c r="DQ25" i="16"/>
  <c r="DM25" i="16"/>
  <c r="DO25" i="16" s="1"/>
  <c r="DP25" i="16" s="1"/>
  <c r="DL25" i="16"/>
  <c r="DK25" i="16"/>
  <c r="DJ25" i="16"/>
  <c r="DI25" i="16"/>
  <c r="DN25" i="16" s="1"/>
  <c r="DL24" i="16"/>
  <c r="DK24" i="16"/>
  <c r="DN24" i="16" s="1"/>
  <c r="DJ24" i="16"/>
  <c r="DI24" i="16"/>
  <c r="DO23" i="16"/>
  <c r="DP23" i="16" s="1"/>
  <c r="DN23" i="16"/>
  <c r="DM23" i="16"/>
  <c r="DL23" i="16"/>
  <c r="DK23" i="16"/>
  <c r="DJ23" i="16"/>
  <c r="DI23" i="16"/>
  <c r="DQ22" i="16"/>
  <c r="DM22" i="16"/>
  <c r="DO22" i="16" s="1"/>
  <c r="DP22" i="16" s="1"/>
  <c r="DL22" i="16"/>
  <c r="DK22" i="16"/>
  <c r="DJ22" i="16"/>
  <c r="DI22" i="16"/>
  <c r="DN22" i="16" s="1"/>
  <c r="DM21" i="16"/>
  <c r="DO21" i="16" s="1"/>
  <c r="DP21" i="16" s="1"/>
  <c r="DL21" i="16"/>
  <c r="DK21" i="16"/>
  <c r="DJ21" i="16"/>
  <c r="DI21" i="16"/>
  <c r="DN21" i="16" s="1"/>
  <c r="DL20" i="16"/>
  <c r="DK20" i="16"/>
  <c r="DJ20" i="16"/>
  <c r="DI20" i="16"/>
  <c r="DM19" i="16"/>
  <c r="DO19" i="16" s="1"/>
  <c r="DP19" i="16" s="1"/>
  <c r="DL19" i="16"/>
  <c r="DK19" i="16"/>
  <c r="DJ19" i="16"/>
  <c r="DI19" i="16"/>
  <c r="DP18" i="16"/>
  <c r="DM18" i="16"/>
  <c r="DO18" i="16" s="1"/>
  <c r="DL18" i="16"/>
  <c r="DK18" i="16"/>
  <c r="DJ18" i="16"/>
  <c r="DI18" i="16"/>
  <c r="DL17" i="16"/>
  <c r="DK17" i="16"/>
  <c r="DJ17" i="16"/>
  <c r="DI17" i="16"/>
  <c r="DO16" i="16"/>
  <c r="DP16" i="16" s="1"/>
  <c r="DN16" i="16"/>
  <c r="DM16" i="16"/>
  <c r="DL16" i="16"/>
  <c r="DK16" i="16"/>
  <c r="DJ16" i="16"/>
  <c r="DI16" i="16"/>
  <c r="DQ16" i="16" s="1"/>
  <c r="DQ15" i="16"/>
  <c r="DL15" i="16"/>
  <c r="DK15" i="16"/>
  <c r="DM15" i="16" s="1"/>
  <c r="DO15" i="16" s="1"/>
  <c r="DP15" i="16" s="1"/>
  <c r="DJ15" i="16"/>
  <c r="DI15" i="16"/>
  <c r="DN15" i="16" s="1"/>
  <c r="DQ14" i="16"/>
  <c r="DP14" i="16"/>
  <c r="DN14" i="16"/>
  <c r="DL14" i="16"/>
  <c r="DK14" i="16"/>
  <c r="DJ14" i="16"/>
  <c r="DI14" i="16"/>
  <c r="DM14" i="16" s="1"/>
  <c r="DO14" i="16" s="1"/>
  <c r="DL13" i="16"/>
  <c r="DK13" i="16"/>
  <c r="DJ13" i="16"/>
  <c r="DI13" i="16"/>
  <c r="DL12" i="16"/>
  <c r="DK12" i="16"/>
  <c r="DJ12" i="16"/>
  <c r="DI12" i="16"/>
  <c r="DL11" i="16"/>
  <c r="DK11" i="16"/>
  <c r="DJ11" i="16"/>
  <c r="DI11" i="16"/>
  <c r="DL10" i="16"/>
  <c r="DK10" i="16"/>
  <c r="DJ10" i="16"/>
  <c r="DI10" i="16"/>
  <c r="DM9" i="16"/>
  <c r="DL9" i="16"/>
  <c r="DK9" i="16"/>
  <c r="DJ9" i="16"/>
  <c r="DI9" i="16"/>
  <c r="DN9" i="16" s="1"/>
  <c r="DN8" i="16"/>
  <c r="DL8" i="16"/>
  <c r="DK8" i="16"/>
  <c r="DJ8" i="16"/>
  <c r="DI8" i="16"/>
  <c r="DN7" i="16"/>
  <c r="DL7" i="16"/>
  <c r="DK7" i="16"/>
  <c r="DJ7" i="16"/>
  <c r="DI7" i="16"/>
  <c r="DN6" i="16"/>
  <c r="DM6" i="16"/>
  <c r="DL6" i="16"/>
  <c r="DK6" i="16"/>
  <c r="DJ6" i="16"/>
  <c r="DI6" i="16"/>
  <c r="DL5" i="16"/>
  <c r="DK5" i="16"/>
  <c r="DJ5" i="16"/>
  <c r="DI5" i="16"/>
  <c r="DL4" i="16"/>
  <c r="DK4" i="16"/>
  <c r="DJ4" i="16"/>
  <c r="DN4" i="16" s="1"/>
  <c r="DI4" i="16"/>
  <c r="BS88" i="15"/>
  <c r="BT88" i="15" s="1"/>
  <c r="BQ88" i="15"/>
  <c r="BP88" i="15"/>
  <c r="BO88" i="15"/>
  <c r="BN88" i="15"/>
  <c r="BM88" i="15"/>
  <c r="BP87" i="15"/>
  <c r="BO87" i="15"/>
  <c r="BN87" i="15"/>
  <c r="BM87" i="15"/>
  <c r="BP86" i="15"/>
  <c r="BO86" i="15"/>
  <c r="BN86" i="15"/>
  <c r="BM86" i="15"/>
  <c r="BP85" i="15"/>
  <c r="BO85" i="15"/>
  <c r="BN85" i="15"/>
  <c r="BQ85" i="15" s="1"/>
  <c r="BS85" i="15" s="1"/>
  <c r="BT85" i="15" s="1"/>
  <c r="BM85" i="15"/>
  <c r="BP84" i="15"/>
  <c r="BO84" i="15"/>
  <c r="BN84" i="15"/>
  <c r="BM84" i="15"/>
  <c r="BP83" i="15"/>
  <c r="BO83" i="15"/>
  <c r="BN83" i="15"/>
  <c r="BM83" i="15"/>
  <c r="BU82" i="15"/>
  <c r="BS82" i="15"/>
  <c r="BT82" i="15" s="1"/>
  <c r="BR82" i="15"/>
  <c r="BP82" i="15"/>
  <c r="BO82" i="15"/>
  <c r="BN82" i="15"/>
  <c r="BQ82" i="15" s="1"/>
  <c r="BM82" i="15"/>
  <c r="BU81" i="15"/>
  <c r="BT81" i="15"/>
  <c r="BR81" i="15"/>
  <c r="BP81" i="15"/>
  <c r="BO81" i="15"/>
  <c r="BN81" i="15"/>
  <c r="BQ81" i="15" s="1"/>
  <c r="BS81" i="15" s="1"/>
  <c r="BM81" i="15"/>
  <c r="BP80" i="15"/>
  <c r="BO80" i="15"/>
  <c r="BN80" i="15"/>
  <c r="BM80" i="15"/>
  <c r="BQ79" i="15"/>
  <c r="BS79" i="15" s="1"/>
  <c r="BT79" i="15" s="1"/>
  <c r="BP79" i="15"/>
  <c r="BO79" i="15"/>
  <c r="BN79" i="15"/>
  <c r="BM79" i="15"/>
  <c r="BP78" i="15"/>
  <c r="BO78" i="15"/>
  <c r="BN78" i="15"/>
  <c r="BM78" i="15"/>
  <c r="BP77" i="15"/>
  <c r="BO77" i="15"/>
  <c r="BN77" i="15"/>
  <c r="BM77" i="15"/>
  <c r="BR76" i="15"/>
  <c r="BQ76" i="15"/>
  <c r="BS76" i="15" s="1"/>
  <c r="BT76" i="15" s="1"/>
  <c r="BP76" i="15"/>
  <c r="BO76" i="15"/>
  <c r="BN76" i="15"/>
  <c r="BM76" i="15"/>
  <c r="BT75" i="15"/>
  <c r="BR75" i="15"/>
  <c r="BQ75" i="15"/>
  <c r="BS75" i="15" s="1"/>
  <c r="BP75" i="15"/>
  <c r="BO75" i="15"/>
  <c r="BN75" i="15"/>
  <c r="BM75" i="15"/>
  <c r="BQ74" i="15"/>
  <c r="BS74" i="15" s="1"/>
  <c r="BT74" i="15" s="1"/>
  <c r="BP74" i="15"/>
  <c r="BO74" i="15"/>
  <c r="BN74" i="15"/>
  <c r="BM74" i="15"/>
  <c r="BP73" i="15"/>
  <c r="BO73" i="15"/>
  <c r="BN73" i="15"/>
  <c r="BM73" i="15"/>
  <c r="BR72" i="15"/>
  <c r="BQ72" i="15"/>
  <c r="BS72" i="15" s="1"/>
  <c r="BT72" i="15" s="1"/>
  <c r="BP72" i="15"/>
  <c r="BO72" i="15"/>
  <c r="BN72" i="15"/>
  <c r="BM72" i="15"/>
  <c r="BR71" i="15"/>
  <c r="BP71" i="15"/>
  <c r="BO71" i="15"/>
  <c r="BN71" i="15"/>
  <c r="BM71" i="15"/>
  <c r="BS70" i="15"/>
  <c r="BT70" i="15" s="1"/>
  <c r="BR70" i="15"/>
  <c r="BQ70" i="15"/>
  <c r="BP70" i="15"/>
  <c r="BO70" i="15"/>
  <c r="BN70" i="15"/>
  <c r="BM70" i="15"/>
  <c r="BR69" i="15"/>
  <c r="BP69" i="15"/>
  <c r="BO69" i="15"/>
  <c r="BN69" i="15"/>
  <c r="BM69" i="15"/>
  <c r="BR68" i="15"/>
  <c r="BP68" i="15"/>
  <c r="BO68" i="15"/>
  <c r="BN68" i="15"/>
  <c r="BM68" i="15"/>
  <c r="BR67" i="15"/>
  <c r="BP67" i="15"/>
  <c r="BO67" i="15"/>
  <c r="BN67" i="15"/>
  <c r="BM67" i="15"/>
  <c r="BP66" i="15"/>
  <c r="BO66" i="15"/>
  <c r="BN66" i="15"/>
  <c r="BM66" i="15"/>
  <c r="BP65" i="15"/>
  <c r="BO65" i="15"/>
  <c r="BN65" i="15"/>
  <c r="BM65" i="15"/>
  <c r="BP64" i="15"/>
  <c r="BO64" i="15"/>
  <c r="BN64" i="15"/>
  <c r="BM64" i="15"/>
  <c r="BQ64" i="15" s="1"/>
  <c r="BS64" i="15" s="1"/>
  <c r="BT64" i="15" s="1"/>
  <c r="BS63" i="15"/>
  <c r="BT63" i="15" s="1"/>
  <c r="BR63" i="15"/>
  <c r="BP63" i="15"/>
  <c r="BO63" i="15"/>
  <c r="BQ63" i="15" s="1"/>
  <c r="BN63" i="15"/>
  <c r="BM63" i="15"/>
  <c r="BU63" i="15" s="1"/>
  <c r="BT62" i="15"/>
  <c r="BS62" i="15"/>
  <c r="BQ62" i="15"/>
  <c r="BP62" i="15"/>
  <c r="BO62" i="15"/>
  <c r="BN62" i="15"/>
  <c r="BM62" i="15"/>
  <c r="BU61" i="15"/>
  <c r="BQ61" i="15"/>
  <c r="BS61" i="15" s="1"/>
  <c r="BT61" i="15" s="1"/>
  <c r="BP61" i="15"/>
  <c r="BO61" i="15"/>
  <c r="BN61" i="15"/>
  <c r="BM61" i="15"/>
  <c r="BR61" i="15" s="1"/>
  <c r="BR60" i="15"/>
  <c r="BQ60" i="15"/>
  <c r="BS60" i="15" s="1"/>
  <c r="BT60" i="15" s="1"/>
  <c r="BP60" i="15"/>
  <c r="BO60" i="15"/>
  <c r="BN60" i="15"/>
  <c r="BM60" i="15"/>
  <c r="BU59" i="15"/>
  <c r="BT59" i="15"/>
  <c r="BP59" i="15"/>
  <c r="BO59" i="15"/>
  <c r="BN59" i="15"/>
  <c r="BQ59" i="15" s="1"/>
  <c r="BS59" i="15" s="1"/>
  <c r="BM59" i="15"/>
  <c r="BP58" i="15"/>
  <c r="BO58" i="15"/>
  <c r="BN58" i="15"/>
  <c r="BM58" i="15"/>
  <c r="BP57" i="15"/>
  <c r="BO57" i="15"/>
  <c r="BN57" i="15"/>
  <c r="BM57" i="15"/>
  <c r="BP56" i="15"/>
  <c r="BO56" i="15"/>
  <c r="BN56" i="15"/>
  <c r="BM56" i="15"/>
  <c r="BP55" i="15"/>
  <c r="BO55" i="15"/>
  <c r="BN55" i="15"/>
  <c r="BM55" i="15"/>
  <c r="BS54" i="15"/>
  <c r="BT54" i="15" s="1"/>
  <c r="BP54" i="15"/>
  <c r="BO54" i="15"/>
  <c r="BQ54" i="15" s="1"/>
  <c r="BN54" i="15"/>
  <c r="BM54" i="15"/>
  <c r="BR53" i="15"/>
  <c r="BQ53" i="15"/>
  <c r="BS53" i="15" s="1"/>
  <c r="BT53" i="15" s="1"/>
  <c r="BP53" i="15"/>
  <c r="BO53" i="15"/>
  <c r="BN53" i="15"/>
  <c r="BM53" i="15"/>
  <c r="BP52" i="15"/>
  <c r="BO52" i="15"/>
  <c r="BN52" i="15"/>
  <c r="BM52" i="15"/>
  <c r="BP51" i="15"/>
  <c r="BO51" i="15"/>
  <c r="BN51" i="15"/>
  <c r="BM51" i="15"/>
  <c r="BP50" i="15"/>
  <c r="BO50" i="15"/>
  <c r="BN50" i="15"/>
  <c r="BM50" i="15"/>
  <c r="BP49" i="15"/>
  <c r="BO49" i="15"/>
  <c r="BQ49" i="15" s="1"/>
  <c r="BS49" i="15" s="1"/>
  <c r="BT49" i="15" s="1"/>
  <c r="BN49" i="15"/>
  <c r="BM49" i="15"/>
  <c r="BR48" i="15"/>
  <c r="BP48" i="15"/>
  <c r="BO48" i="15"/>
  <c r="BN48" i="15"/>
  <c r="BM48" i="15"/>
  <c r="BP47" i="15"/>
  <c r="BO47" i="15"/>
  <c r="BN47" i="15"/>
  <c r="BM47" i="15"/>
  <c r="BU46" i="15"/>
  <c r="BT46" i="15"/>
  <c r="BQ46" i="15"/>
  <c r="BS46" i="15" s="1"/>
  <c r="BP46" i="15"/>
  <c r="BO46" i="15"/>
  <c r="BN46" i="15"/>
  <c r="BM46" i="15"/>
  <c r="BR46" i="15" s="1"/>
  <c r="BU45" i="15"/>
  <c r="BP45" i="15"/>
  <c r="BO45" i="15"/>
  <c r="BN45" i="15"/>
  <c r="BM45" i="15"/>
  <c r="BU44" i="15"/>
  <c r="BR44" i="15"/>
  <c r="BP44" i="15"/>
  <c r="BO44" i="15"/>
  <c r="BN44" i="15"/>
  <c r="BM44" i="15"/>
  <c r="BQ44" i="15" s="1"/>
  <c r="BS44" i="15" s="1"/>
  <c r="BT44" i="15" s="1"/>
  <c r="BU43" i="15"/>
  <c r="BR43" i="15"/>
  <c r="BP43" i="15"/>
  <c r="BO43" i="15"/>
  <c r="BN43" i="15"/>
  <c r="BM43" i="15"/>
  <c r="BP42" i="15"/>
  <c r="BO42" i="15"/>
  <c r="BN42" i="15"/>
  <c r="BM42" i="15"/>
  <c r="BP41" i="15"/>
  <c r="BO41" i="15"/>
  <c r="BN41" i="15"/>
  <c r="BM41" i="15"/>
  <c r="BP40" i="15"/>
  <c r="BO40" i="15"/>
  <c r="BN40" i="15"/>
  <c r="BR40" i="15" s="1"/>
  <c r="BM40" i="15"/>
  <c r="BR39" i="15"/>
  <c r="BP39" i="15"/>
  <c r="BO39" i="15"/>
  <c r="BN39" i="15"/>
  <c r="BM39" i="15"/>
  <c r="BQ39" i="15" s="1"/>
  <c r="BS39" i="15" s="1"/>
  <c r="BT39" i="15" s="1"/>
  <c r="BP38" i="15"/>
  <c r="BO38" i="15"/>
  <c r="BN38" i="15"/>
  <c r="BM38" i="15"/>
  <c r="BU37" i="15"/>
  <c r="BT37" i="15"/>
  <c r="BR37" i="15"/>
  <c r="BQ37" i="15"/>
  <c r="BS37" i="15" s="1"/>
  <c r="BP37" i="15"/>
  <c r="BO37" i="15"/>
  <c r="BN37" i="15"/>
  <c r="BM37" i="15"/>
  <c r="BP36" i="15"/>
  <c r="BO36" i="15"/>
  <c r="BN36" i="15"/>
  <c r="BR36" i="15" s="1"/>
  <c r="BM36" i="15"/>
  <c r="BR35" i="15"/>
  <c r="BP35" i="15"/>
  <c r="BO35" i="15"/>
  <c r="BN35" i="15"/>
  <c r="BM35" i="15"/>
  <c r="BQ34" i="15"/>
  <c r="BS34" i="15" s="1"/>
  <c r="BT34" i="15" s="1"/>
  <c r="BP34" i="15"/>
  <c r="BO34" i="15"/>
  <c r="BN34" i="15"/>
  <c r="BM34" i="15"/>
  <c r="BP33" i="15"/>
  <c r="BO33" i="15"/>
  <c r="BN33" i="15"/>
  <c r="BM33" i="15"/>
  <c r="BU32" i="15"/>
  <c r="BP32" i="15"/>
  <c r="BO32" i="15"/>
  <c r="BN32" i="15"/>
  <c r="BQ32" i="15" s="1"/>
  <c r="BS32" i="15" s="1"/>
  <c r="BT32" i="15" s="1"/>
  <c r="BM32" i="15"/>
  <c r="BR32" i="15" s="1"/>
  <c r="BP31" i="15"/>
  <c r="BO31" i="15"/>
  <c r="BN31" i="15"/>
  <c r="BM31" i="15"/>
  <c r="BU30" i="15"/>
  <c r="BS30" i="15"/>
  <c r="BT30" i="15" s="1"/>
  <c r="BP30" i="15"/>
  <c r="BO30" i="15"/>
  <c r="BQ30" i="15" s="1"/>
  <c r="BN30" i="15"/>
  <c r="BM30" i="15"/>
  <c r="BR30" i="15" s="1"/>
  <c r="BP29" i="15"/>
  <c r="BO29" i="15"/>
  <c r="BN29" i="15"/>
  <c r="BM29" i="15"/>
  <c r="BQ28" i="15"/>
  <c r="BS28" i="15" s="1"/>
  <c r="BT28" i="15" s="1"/>
  <c r="BP28" i="15"/>
  <c r="BO28" i="15"/>
  <c r="BN28" i="15"/>
  <c r="BM28" i="15"/>
  <c r="BR28" i="15" s="1"/>
  <c r="BR27" i="15"/>
  <c r="BP27" i="15"/>
  <c r="BO27" i="15"/>
  <c r="BN27" i="15"/>
  <c r="BM27" i="15"/>
  <c r="BP26" i="15"/>
  <c r="BO26" i="15"/>
  <c r="BN26" i="15"/>
  <c r="BM26" i="15"/>
  <c r="BQ25" i="15"/>
  <c r="BS25" i="15" s="1"/>
  <c r="BT25" i="15" s="1"/>
  <c r="BP25" i="15"/>
  <c r="BO25" i="15"/>
  <c r="BN25" i="15"/>
  <c r="BR25" i="15" s="1"/>
  <c r="BM25" i="15"/>
  <c r="BP24" i="15"/>
  <c r="BO24" i="15"/>
  <c r="BN24" i="15"/>
  <c r="BM24" i="15"/>
  <c r="BP23" i="15"/>
  <c r="BO23" i="15"/>
  <c r="BN23" i="15"/>
  <c r="BM23" i="15"/>
  <c r="BR22" i="15"/>
  <c r="BP22" i="15"/>
  <c r="BO22" i="15"/>
  <c r="BN22" i="15"/>
  <c r="BM22" i="15"/>
  <c r="BQ21" i="15"/>
  <c r="BS21" i="15" s="1"/>
  <c r="BT21" i="15" s="1"/>
  <c r="BP21" i="15"/>
  <c r="BO21" i="15"/>
  <c r="BN21" i="15"/>
  <c r="BM21" i="15"/>
  <c r="BP20" i="15"/>
  <c r="BO20" i="15"/>
  <c r="BN20" i="15"/>
  <c r="BM20" i="15"/>
  <c r="BP19" i="15"/>
  <c r="BO19" i="15"/>
  <c r="BN19" i="15"/>
  <c r="BM19" i="15"/>
  <c r="BP18" i="15"/>
  <c r="BO18" i="15"/>
  <c r="BN18" i="15"/>
  <c r="BM18" i="15"/>
  <c r="BP17" i="15"/>
  <c r="BO17" i="15"/>
  <c r="BN17" i="15"/>
  <c r="BM17" i="15"/>
  <c r="BQ16" i="15"/>
  <c r="BU16" i="15" s="1"/>
  <c r="BP16" i="15"/>
  <c r="BO16" i="15"/>
  <c r="BN16" i="15"/>
  <c r="BM16" i="15"/>
  <c r="BS15" i="15"/>
  <c r="BT15" i="15" s="1"/>
  <c r="BP15" i="15"/>
  <c r="BO15" i="15"/>
  <c r="BQ15" i="15" s="1"/>
  <c r="BN15" i="15"/>
  <c r="BM15" i="15"/>
  <c r="BP14" i="15"/>
  <c r="BO14" i="15"/>
  <c r="BN14" i="15"/>
  <c r="BM14" i="15"/>
  <c r="BP13" i="15"/>
  <c r="BO13" i="15"/>
  <c r="BN13" i="15"/>
  <c r="BM13" i="15"/>
  <c r="BP12" i="15"/>
  <c r="BO12" i="15"/>
  <c r="BN12" i="15"/>
  <c r="BM12" i="15"/>
  <c r="BU11" i="15"/>
  <c r="BP11" i="15"/>
  <c r="BO11" i="15"/>
  <c r="BN11" i="15"/>
  <c r="BM11" i="15"/>
  <c r="BP10" i="15"/>
  <c r="BO10" i="15"/>
  <c r="BN10" i="15"/>
  <c r="BM10" i="15"/>
  <c r="BQ9" i="15"/>
  <c r="BS9" i="15" s="1"/>
  <c r="BT9" i="15" s="1"/>
  <c r="BP9" i="15"/>
  <c r="BO9" i="15"/>
  <c r="BN9" i="15"/>
  <c r="BU9" i="15" s="1"/>
  <c r="BM9" i="15"/>
  <c r="BP8" i="15"/>
  <c r="BO8" i="15"/>
  <c r="BQ8" i="15" s="1"/>
  <c r="BS8" i="15" s="1"/>
  <c r="BT8" i="15" s="1"/>
  <c r="BN8" i="15"/>
  <c r="BM8" i="15"/>
  <c r="BP7" i="15"/>
  <c r="BO7" i="15"/>
  <c r="BR7" i="15" s="1"/>
  <c r="BN7" i="15"/>
  <c r="BM7" i="15"/>
  <c r="BP6" i="15"/>
  <c r="BO6" i="15"/>
  <c r="BN6" i="15"/>
  <c r="BM6" i="15"/>
  <c r="BU5" i="15"/>
  <c r="BQ5" i="15"/>
  <c r="BS5" i="15" s="1"/>
  <c r="BT5" i="15" s="1"/>
  <c r="BP5" i="15"/>
  <c r="BO5" i="15"/>
  <c r="BN5" i="15"/>
  <c r="BM5" i="15"/>
  <c r="BR5" i="15" s="1"/>
  <c r="BP4" i="15"/>
  <c r="BO4" i="15"/>
  <c r="BN4" i="15"/>
  <c r="BM4" i="15"/>
  <c r="BP126" i="14"/>
  <c r="BO126" i="14"/>
  <c r="BN126" i="14"/>
  <c r="BM126" i="14"/>
  <c r="BU125" i="14"/>
  <c r="BT125" i="14"/>
  <c r="BQ125" i="14"/>
  <c r="BS125" i="14" s="1"/>
  <c r="BP125" i="14"/>
  <c r="BO125" i="14"/>
  <c r="BN125" i="14"/>
  <c r="BM125" i="14"/>
  <c r="BR125" i="14" s="1"/>
  <c r="BU124" i="14"/>
  <c r="BQ124" i="14"/>
  <c r="BS124" i="14" s="1"/>
  <c r="BT124" i="14" s="1"/>
  <c r="BP124" i="14"/>
  <c r="BO124" i="14"/>
  <c r="BN124" i="14"/>
  <c r="BM124" i="14"/>
  <c r="BU123" i="14"/>
  <c r="BR123" i="14"/>
  <c r="BQ123" i="14"/>
  <c r="BS123" i="14" s="1"/>
  <c r="BT123" i="14" s="1"/>
  <c r="BP123" i="14"/>
  <c r="BO123" i="14"/>
  <c r="BN123" i="14"/>
  <c r="BM123" i="14"/>
  <c r="BP122" i="14"/>
  <c r="BO122" i="14"/>
  <c r="BQ122" i="14" s="1"/>
  <c r="BS122" i="14" s="1"/>
  <c r="BT122" i="14" s="1"/>
  <c r="BN122" i="14"/>
  <c r="BM122" i="14"/>
  <c r="BP121" i="14"/>
  <c r="BO121" i="14"/>
  <c r="BN121" i="14"/>
  <c r="BM121" i="14"/>
  <c r="BU120" i="14"/>
  <c r="BP120" i="14"/>
  <c r="BO120" i="14"/>
  <c r="BN120" i="14"/>
  <c r="BQ120" i="14" s="1"/>
  <c r="BS120" i="14" s="1"/>
  <c r="BT120" i="14" s="1"/>
  <c r="BM120" i="14"/>
  <c r="BR120" i="14" s="1"/>
  <c r="BP119" i="14"/>
  <c r="BO119" i="14"/>
  <c r="BN119" i="14"/>
  <c r="BM119" i="14"/>
  <c r="BP118" i="14"/>
  <c r="BO118" i="14"/>
  <c r="BN118" i="14"/>
  <c r="BM118" i="14"/>
  <c r="BP117" i="14"/>
  <c r="BO117" i="14"/>
  <c r="BN117" i="14"/>
  <c r="BM117" i="14"/>
  <c r="BP116" i="14"/>
  <c r="BO116" i="14"/>
  <c r="BN116" i="14"/>
  <c r="BM116" i="14"/>
  <c r="BP115" i="14"/>
  <c r="BO115" i="14"/>
  <c r="BN115" i="14"/>
  <c r="BM115" i="14"/>
  <c r="BS114" i="14"/>
  <c r="BT114" i="14" s="1"/>
  <c r="BP114" i="14"/>
  <c r="BO114" i="14"/>
  <c r="BN114" i="14"/>
  <c r="BM114" i="14"/>
  <c r="BQ114" i="14" s="1"/>
  <c r="BP113" i="14"/>
  <c r="BO113" i="14"/>
  <c r="BN113" i="14"/>
  <c r="BM113" i="14"/>
  <c r="BU112" i="14"/>
  <c r="BT112" i="14"/>
  <c r="BQ112" i="14"/>
  <c r="BS112" i="14" s="1"/>
  <c r="BP112" i="14"/>
  <c r="BO112" i="14"/>
  <c r="BN112" i="14"/>
  <c r="BM112" i="14"/>
  <c r="BR112" i="14" s="1"/>
  <c r="BQ111" i="14"/>
  <c r="BP111" i="14"/>
  <c r="BO111" i="14"/>
  <c r="BN111" i="14"/>
  <c r="BM111" i="14"/>
  <c r="BR110" i="14"/>
  <c r="BP110" i="14"/>
  <c r="BO110" i="14"/>
  <c r="BN110" i="14"/>
  <c r="BM110" i="14"/>
  <c r="BP109" i="14"/>
  <c r="BO109" i="14"/>
  <c r="BN109" i="14"/>
  <c r="BM109" i="14"/>
  <c r="BP108" i="14"/>
  <c r="BO108" i="14"/>
  <c r="BN108" i="14"/>
  <c r="BM108" i="14"/>
  <c r="BP107" i="14"/>
  <c r="BO107" i="14"/>
  <c r="BN107" i="14"/>
  <c r="BM107" i="14"/>
  <c r="BP106" i="14"/>
  <c r="BO106" i="14"/>
  <c r="BN106" i="14"/>
  <c r="BM106" i="14"/>
  <c r="BP105" i="14"/>
  <c r="BO105" i="14"/>
  <c r="BN105" i="14"/>
  <c r="BM105" i="14"/>
  <c r="BP104" i="14"/>
  <c r="BO104" i="14"/>
  <c r="BN104" i="14"/>
  <c r="BM104" i="14"/>
  <c r="BP103" i="14"/>
  <c r="BO103" i="14"/>
  <c r="BN103" i="14"/>
  <c r="BM103" i="14"/>
  <c r="BP102" i="14"/>
  <c r="BO102" i="14"/>
  <c r="BN102" i="14"/>
  <c r="BM102" i="14"/>
  <c r="BP101" i="14"/>
  <c r="BO101" i="14"/>
  <c r="BN101" i="14"/>
  <c r="BM101" i="14"/>
  <c r="BR100" i="14"/>
  <c r="BP100" i="14"/>
  <c r="BO100" i="14"/>
  <c r="BN100" i="14"/>
  <c r="BM100" i="14"/>
  <c r="BP99" i="14"/>
  <c r="BO99" i="14"/>
  <c r="BN99" i="14"/>
  <c r="BM99" i="14"/>
  <c r="BR99" i="14" s="1"/>
  <c r="BP98" i="14"/>
  <c r="BO98" i="14"/>
  <c r="BN98" i="14"/>
  <c r="BU98" i="14" s="1"/>
  <c r="BM98" i="14"/>
  <c r="BR97" i="14"/>
  <c r="BQ97" i="14"/>
  <c r="BS97" i="14" s="1"/>
  <c r="BT97" i="14" s="1"/>
  <c r="BP97" i="14"/>
  <c r="BO97" i="14"/>
  <c r="BN97" i="14"/>
  <c r="BM97" i="14"/>
  <c r="BP96" i="14"/>
  <c r="BO96" i="14"/>
  <c r="BN96" i="14"/>
  <c r="BM96" i="14"/>
  <c r="BR95" i="14"/>
  <c r="BQ95" i="14"/>
  <c r="BS95" i="14" s="1"/>
  <c r="BT95" i="14" s="1"/>
  <c r="BP95" i="14"/>
  <c r="BO95" i="14"/>
  <c r="BU95" i="14" s="1"/>
  <c r="BN95" i="14"/>
  <c r="BM95" i="14"/>
  <c r="BP94" i="14"/>
  <c r="BO94" i="14"/>
  <c r="BN94" i="14"/>
  <c r="BM94" i="14"/>
  <c r="BR93" i="14"/>
  <c r="BQ93" i="14"/>
  <c r="BS93" i="14" s="1"/>
  <c r="BT93" i="14" s="1"/>
  <c r="BP93" i="14"/>
  <c r="BO93" i="14"/>
  <c r="BN93" i="14"/>
  <c r="BM93" i="14"/>
  <c r="BU93" i="14" s="1"/>
  <c r="BP92" i="14"/>
  <c r="BO92" i="14"/>
  <c r="BR92" i="14" s="1"/>
  <c r="BN92" i="14"/>
  <c r="BM92" i="14"/>
  <c r="BP91" i="14"/>
  <c r="BO91" i="14"/>
  <c r="BN91" i="14"/>
  <c r="BM91" i="14"/>
  <c r="BQ90" i="14"/>
  <c r="BS90" i="14" s="1"/>
  <c r="BT90" i="14" s="1"/>
  <c r="BP90" i="14"/>
  <c r="BO90" i="14"/>
  <c r="BN90" i="14"/>
  <c r="BR90" i="14" s="1"/>
  <c r="BM90" i="14"/>
  <c r="BQ89" i="14"/>
  <c r="BS89" i="14" s="1"/>
  <c r="BT89" i="14" s="1"/>
  <c r="BP89" i="14"/>
  <c r="BO89" i="14"/>
  <c r="BU89" i="14" s="1"/>
  <c r="BN89" i="14"/>
  <c r="BM89" i="14"/>
  <c r="BR89" i="14" s="1"/>
  <c r="BR88" i="14"/>
  <c r="BQ88" i="14"/>
  <c r="BS88" i="14" s="1"/>
  <c r="BT88" i="14" s="1"/>
  <c r="BP88" i="14"/>
  <c r="BO88" i="14"/>
  <c r="BN88" i="14"/>
  <c r="BU88" i="14" s="1"/>
  <c r="BM88" i="14"/>
  <c r="BP87" i="14"/>
  <c r="BO87" i="14"/>
  <c r="BN87" i="14"/>
  <c r="BQ87" i="14" s="1"/>
  <c r="BS87" i="14" s="1"/>
  <c r="BT87" i="14" s="1"/>
  <c r="BM87" i="14"/>
  <c r="BP86" i="14"/>
  <c r="BO86" i="14"/>
  <c r="BN86" i="14"/>
  <c r="BM86" i="14"/>
  <c r="BQ85" i="14"/>
  <c r="BS85" i="14" s="1"/>
  <c r="BT85" i="14" s="1"/>
  <c r="BP85" i="14"/>
  <c r="BO85" i="14"/>
  <c r="BN85" i="14"/>
  <c r="BM85" i="14"/>
  <c r="BR84" i="14"/>
  <c r="BP84" i="14"/>
  <c r="BO84" i="14"/>
  <c r="BN84" i="14"/>
  <c r="BM84" i="14"/>
  <c r="BR83" i="14"/>
  <c r="BQ83" i="14"/>
  <c r="BS83" i="14" s="1"/>
  <c r="BT83" i="14" s="1"/>
  <c r="BP83" i="14"/>
  <c r="BO83" i="14"/>
  <c r="BN83" i="14"/>
  <c r="BM83" i="14"/>
  <c r="BS82" i="14"/>
  <c r="BT82" i="14" s="1"/>
  <c r="BQ82" i="14"/>
  <c r="BP82" i="14"/>
  <c r="BO82" i="14"/>
  <c r="BN82" i="14"/>
  <c r="BM82" i="14"/>
  <c r="BP81" i="14"/>
  <c r="BO81" i="14"/>
  <c r="BN81" i="14"/>
  <c r="BM81" i="14"/>
  <c r="BU80" i="14"/>
  <c r="BP80" i="14"/>
  <c r="BO80" i="14"/>
  <c r="BN80" i="14"/>
  <c r="BR80" i="14" s="1"/>
  <c r="BM80" i="14"/>
  <c r="BP79" i="14"/>
  <c r="BO79" i="14"/>
  <c r="BN79" i="14"/>
  <c r="BM79" i="14"/>
  <c r="BP78" i="14"/>
  <c r="BO78" i="14"/>
  <c r="BN78" i="14"/>
  <c r="BM78" i="14"/>
  <c r="BS77" i="14"/>
  <c r="BT77" i="14" s="1"/>
  <c r="BR77" i="14"/>
  <c r="BQ77" i="14"/>
  <c r="BP77" i="14"/>
  <c r="BO77" i="14"/>
  <c r="BN77" i="14"/>
  <c r="BM77" i="14"/>
  <c r="BU77" i="14" s="1"/>
  <c r="BT76" i="14"/>
  <c r="BR76" i="14"/>
  <c r="BP76" i="14"/>
  <c r="BO76" i="14"/>
  <c r="BQ76" i="14" s="1"/>
  <c r="BS76" i="14" s="1"/>
  <c r="BN76" i="14"/>
  <c r="BM76" i="14"/>
  <c r="BP75" i="14"/>
  <c r="BO75" i="14"/>
  <c r="BN75" i="14"/>
  <c r="BM75" i="14"/>
  <c r="BQ74" i="14"/>
  <c r="BS74" i="14" s="1"/>
  <c r="BT74" i="14" s="1"/>
  <c r="BP74" i="14"/>
  <c r="BO74" i="14"/>
  <c r="BN74" i="14"/>
  <c r="BR74" i="14" s="1"/>
  <c r="BM74" i="14"/>
  <c r="BR73" i="14"/>
  <c r="BP73" i="14"/>
  <c r="BO73" i="14"/>
  <c r="BN73" i="14"/>
  <c r="BM73" i="14"/>
  <c r="BP72" i="14"/>
  <c r="BO72" i="14"/>
  <c r="BQ72" i="14" s="1"/>
  <c r="BS72" i="14" s="1"/>
  <c r="BT72" i="14" s="1"/>
  <c r="BN72" i="14"/>
  <c r="BM72" i="14"/>
  <c r="BP71" i="14"/>
  <c r="BO71" i="14"/>
  <c r="BN71" i="14"/>
  <c r="BM71" i="14"/>
  <c r="BR70" i="14"/>
  <c r="BP70" i="14"/>
  <c r="BO70" i="14"/>
  <c r="BN70" i="14"/>
  <c r="BM70" i="14"/>
  <c r="BS69" i="14"/>
  <c r="BT69" i="14" s="1"/>
  <c r="BQ69" i="14"/>
  <c r="BP69" i="14"/>
  <c r="BO69" i="14"/>
  <c r="BN69" i="14"/>
  <c r="BM69" i="14"/>
  <c r="BP68" i="14"/>
  <c r="BO68" i="14"/>
  <c r="BN68" i="14"/>
  <c r="BM68" i="14"/>
  <c r="BR67" i="14"/>
  <c r="BQ67" i="14"/>
  <c r="BS67" i="14" s="1"/>
  <c r="BT67" i="14" s="1"/>
  <c r="BP67" i="14"/>
  <c r="BO67" i="14"/>
  <c r="BN67" i="14"/>
  <c r="BM67" i="14"/>
  <c r="BU67" i="14" s="1"/>
  <c r="BU66" i="14"/>
  <c r="BS66" i="14"/>
  <c r="BT66" i="14" s="1"/>
  <c r="BQ66" i="14"/>
  <c r="BP66" i="14"/>
  <c r="BO66" i="14"/>
  <c r="BN66" i="14"/>
  <c r="BM66" i="14"/>
  <c r="BR65" i="14"/>
  <c r="BQ65" i="14"/>
  <c r="BS65" i="14" s="1"/>
  <c r="BT65" i="14" s="1"/>
  <c r="BP65" i="14"/>
  <c r="BO65" i="14"/>
  <c r="BN65" i="14"/>
  <c r="BM65" i="14"/>
  <c r="BP64" i="14"/>
  <c r="BO64" i="14"/>
  <c r="BN64" i="14"/>
  <c r="BM64" i="14"/>
  <c r="BT63" i="14"/>
  <c r="BQ63" i="14"/>
  <c r="BS63" i="14" s="1"/>
  <c r="BP63" i="14"/>
  <c r="BO63" i="14"/>
  <c r="BR63" i="14" s="1"/>
  <c r="BN63" i="14"/>
  <c r="BM63" i="14"/>
  <c r="BP62" i="14"/>
  <c r="BO62" i="14"/>
  <c r="BN62" i="14"/>
  <c r="BR62" i="14" s="1"/>
  <c r="BM62" i="14"/>
  <c r="BP61" i="14"/>
  <c r="BO61" i="14"/>
  <c r="BN61" i="14"/>
  <c r="BM61" i="14"/>
  <c r="BP60" i="14"/>
  <c r="BO60" i="14"/>
  <c r="BN60" i="14"/>
  <c r="BM60" i="14"/>
  <c r="BR59" i="14"/>
  <c r="BP59" i="14"/>
  <c r="BO59" i="14"/>
  <c r="BN59" i="14"/>
  <c r="BM59" i="14"/>
  <c r="BP58" i="14"/>
  <c r="BO58" i="14"/>
  <c r="BN58" i="14"/>
  <c r="BM58" i="14"/>
  <c r="BT57" i="14"/>
  <c r="BR57" i="14"/>
  <c r="BQ57" i="14"/>
  <c r="BS57" i="14" s="1"/>
  <c r="BP57" i="14"/>
  <c r="BO57" i="14"/>
  <c r="BN57" i="14"/>
  <c r="BM57" i="14"/>
  <c r="BU57" i="14" s="1"/>
  <c r="BU56" i="14"/>
  <c r="BR56" i="14"/>
  <c r="BQ56" i="14"/>
  <c r="BS56" i="14" s="1"/>
  <c r="BT56" i="14" s="1"/>
  <c r="BP56" i="14"/>
  <c r="BO56" i="14"/>
  <c r="BN56" i="14"/>
  <c r="BM56" i="14"/>
  <c r="BT55" i="14"/>
  <c r="BS55" i="14"/>
  <c r="BQ55" i="14"/>
  <c r="BP55" i="14"/>
  <c r="BO55" i="14"/>
  <c r="BN55" i="14"/>
  <c r="BM55" i="14"/>
  <c r="BU54" i="14"/>
  <c r="BR54" i="14"/>
  <c r="BQ54" i="14"/>
  <c r="BS54" i="14" s="1"/>
  <c r="BT54" i="14" s="1"/>
  <c r="BP54" i="14"/>
  <c r="BO54" i="14"/>
  <c r="BN54" i="14"/>
  <c r="BM54" i="14"/>
  <c r="BU53" i="14"/>
  <c r="BS53" i="14"/>
  <c r="BT53" i="14" s="1"/>
  <c r="BQ53" i="14"/>
  <c r="BP53" i="14"/>
  <c r="BO53" i="14"/>
  <c r="BN53" i="14"/>
  <c r="BM53" i="14"/>
  <c r="BU52" i="14"/>
  <c r="BR52" i="14"/>
  <c r="BQ52" i="14"/>
  <c r="BS52" i="14" s="1"/>
  <c r="BT52" i="14" s="1"/>
  <c r="BP52" i="14"/>
  <c r="BO52" i="14"/>
  <c r="BN52" i="14"/>
  <c r="BM52" i="14"/>
  <c r="BQ51" i="14"/>
  <c r="BS51" i="14" s="1"/>
  <c r="BT51" i="14" s="1"/>
  <c r="BP51" i="14"/>
  <c r="BO51" i="14"/>
  <c r="BN51" i="14"/>
  <c r="BM51" i="14"/>
  <c r="BR51" i="14" s="1"/>
  <c r="BU50" i="14"/>
  <c r="BT50" i="14"/>
  <c r="BQ50" i="14"/>
  <c r="BS50" i="14" s="1"/>
  <c r="BP50" i="14"/>
  <c r="BO50" i="14"/>
  <c r="BN50" i="14"/>
  <c r="BM50" i="14"/>
  <c r="BU49" i="14"/>
  <c r="BT49" i="14"/>
  <c r="BP49" i="14"/>
  <c r="BO49" i="14"/>
  <c r="BN49" i="14"/>
  <c r="BM49" i="14"/>
  <c r="BQ49" i="14" s="1"/>
  <c r="BS49" i="14" s="1"/>
  <c r="BR48" i="14"/>
  <c r="BP48" i="14"/>
  <c r="BO48" i="14"/>
  <c r="BN48" i="14"/>
  <c r="BM48" i="14"/>
  <c r="BU47" i="14"/>
  <c r="BS47" i="14"/>
  <c r="BT47" i="14" s="1"/>
  <c r="BR47" i="14"/>
  <c r="BP47" i="14"/>
  <c r="BO47" i="14"/>
  <c r="BN47" i="14"/>
  <c r="BQ47" i="14" s="1"/>
  <c r="BM47" i="14"/>
  <c r="BR46" i="14"/>
  <c r="BP46" i="14"/>
  <c r="BO46" i="14"/>
  <c r="BN46" i="14"/>
  <c r="BM46" i="14"/>
  <c r="BU45" i="14"/>
  <c r="BR45" i="14"/>
  <c r="BP45" i="14"/>
  <c r="BO45" i="14"/>
  <c r="BN45" i="14"/>
  <c r="BM45" i="14"/>
  <c r="BT44" i="14"/>
  <c r="BR44" i="14"/>
  <c r="BQ44" i="14"/>
  <c r="BS44" i="14" s="1"/>
  <c r="BP44" i="14"/>
  <c r="BO44" i="14"/>
  <c r="BN44" i="14"/>
  <c r="BM44" i="14"/>
  <c r="BR43" i="14"/>
  <c r="BP43" i="14"/>
  <c r="BO43" i="14"/>
  <c r="BN43" i="14"/>
  <c r="BM43" i="14"/>
  <c r="BQ43" i="14" s="1"/>
  <c r="BS43" i="14" s="1"/>
  <c r="BT43" i="14" s="1"/>
  <c r="BS42" i="14"/>
  <c r="BT42" i="14" s="1"/>
  <c r="BR42" i="14"/>
  <c r="BQ42" i="14"/>
  <c r="BP42" i="14"/>
  <c r="BO42" i="14"/>
  <c r="BN42" i="14"/>
  <c r="BM42" i="14"/>
  <c r="BQ41" i="14"/>
  <c r="BS41" i="14" s="1"/>
  <c r="BT41" i="14" s="1"/>
  <c r="BP41" i="14"/>
  <c r="BO41" i="14"/>
  <c r="BN41" i="14"/>
  <c r="BM41" i="14"/>
  <c r="BR41" i="14" s="1"/>
  <c r="BR40" i="14"/>
  <c r="BQ40" i="14"/>
  <c r="BS40" i="14" s="1"/>
  <c r="BT40" i="14" s="1"/>
  <c r="BP40" i="14"/>
  <c r="BO40" i="14"/>
  <c r="BN40" i="14"/>
  <c r="BM40" i="14"/>
  <c r="BT39" i="14"/>
  <c r="BQ39" i="14"/>
  <c r="BS39" i="14" s="1"/>
  <c r="BP39" i="14"/>
  <c r="BO39" i="14"/>
  <c r="BN39" i="14"/>
  <c r="BM39" i="14"/>
  <c r="BR38" i="14"/>
  <c r="BQ38" i="14"/>
  <c r="BS38" i="14" s="1"/>
  <c r="BT38" i="14" s="1"/>
  <c r="BP38" i="14"/>
  <c r="BO38" i="14"/>
  <c r="BN38" i="14"/>
  <c r="BM38" i="14"/>
  <c r="BU38" i="14" s="1"/>
  <c r="BU37" i="14"/>
  <c r="BQ37" i="14"/>
  <c r="BS37" i="14" s="1"/>
  <c r="BT37" i="14" s="1"/>
  <c r="BP37" i="14"/>
  <c r="BO37" i="14"/>
  <c r="BN37" i="14"/>
  <c r="BM37" i="14"/>
  <c r="BR37" i="14" s="1"/>
  <c r="BR36" i="14"/>
  <c r="BQ36" i="14"/>
  <c r="BU36" i="14" s="1"/>
  <c r="BP36" i="14"/>
  <c r="BO36" i="14"/>
  <c r="BN36" i="14"/>
  <c r="BM36" i="14"/>
  <c r="BP35" i="14"/>
  <c r="BO35" i="14"/>
  <c r="BN35" i="14"/>
  <c r="BM35" i="14"/>
  <c r="BU34" i="14"/>
  <c r="BT34" i="14"/>
  <c r="BS34" i="14"/>
  <c r="BQ34" i="14"/>
  <c r="BP34" i="14"/>
  <c r="BO34" i="14"/>
  <c r="BN34" i="14"/>
  <c r="BM34" i="14"/>
  <c r="BR34" i="14" s="1"/>
  <c r="BP33" i="14"/>
  <c r="BO33" i="14"/>
  <c r="BN33" i="14"/>
  <c r="BQ33" i="14" s="1"/>
  <c r="BS33" i="14" s="1"/>
  <c r="BT33" i="14" s="1"/>
  <c r="BM33" i="14"/>
  <c r="BU33" i="14" s="1"/>
  <c r="BR32" i="14"/>
  <c r="BP32" i="14"/>
  <c r="BO32" i="14"/>
  <c r="BN32" i="14"/>
  <c r="BM32" i="14"/>
  <c r="BP31" i="14"/>
  <c r="BO31" i="14"/>
  <c r="BN31" i="14"/>
  <c r="BM31" i="14"/>
  <c r="BQ30" i="14"/>
  <c r="BS30" i="14" s="1"/>
  <c r="BT30" i="14" s="1"/>
  <c r="BP30" i="14"/>
  <c r="BO30" i="14"/>
  <c r="BN30" i="14"/>
  <c r="BR30" i="14" s="1"/>
  <c r="BM30" i="14"/>
  <c r="BR29" i="14"/>
  <c r="BP29" i="14"/>
  <c r="BO29" i="14"/>
  <c r="BN29" i="14"/>
  <c r="BM29" i="14"/>
  <c r="BP28" i="14"/>
  <c r="BO28" i="14"/>
  <c r="BN28" i="14"/>
  <c r="BM28" i="14"/>
  <c r="BP27" i="14"/>
  <c r="BO27" i="14"/>
  <c r="BN27" i="14"/>
  <c r="BM27" i="14"/>
  <c r="BP26" i="14"/>
  <c r="BO26" i="14"/>
  <c r="BN26" i="14"/>
  <c r="BM26" i="14"/>
  <c r="BP25" i="14"/>
  <c r="BO25" i="14"/>
  <c r="BN25" i="14"/>
  <c r="BM25" i="14"/>
  <c r="BP24" i="14"/>
  <c r="BO24" i="14"/>
  <c r="BN24" i="14"/>
  <c r="BM24" i="14"/>
  <c r="BR24" i="14" s="1"/>
  <c r="BP23" i="14"/>
  <c r="BO23" i="14"/>
  <c r="BQ23" i="14" s="1"/>
  <c r="BS23" i="14" s="1"/>
  <c r="BT23" i="14" s="1"/>
  <c r="BN23" i="14"/>
  <c r="BM23" i="14"/>
  <c r="BQ22" i="14"/>
  <c r="BP22" i="14"/>
  <c r="BO22" i="14"/>
  <c r="BN22" i="14"/>
  <c r="BM22" i="14"/>
  <c r="BR22" i="14" s="1"/>
  <c r="BR21" i="14"/>
  <c r="BP21" i="14"/>
  <c r="BO21" i="14"/>
  <c r="BQ21" i="14" s="1"/>
  <c r="BS21" i="14" s="1"/>
  <c r="BT21" i="14" s="1"/>
  <c r="BN21" i="14"/>
  <c r="BM21" i="14"/>
  <c r="BP20" i="14"/>
  <c r="BO20" i="14"/>
  <c r="BQ20" i="14" s="1"/>
  <c r="BS20" i="14" s="1"/>
  <c r="BT20" i="14" s="1"/>
  <c r="BN20" i="14"/>
  <c r="BM20" i="14"/>
  <c r="BQ19" i="14"/>
  <c r="BS19" i="14" s="1"/>
  <c r="BT19" i="14" s="1"/>
  <c r="BP19" i="14"/>
  <c r="BO19" i="14"/>
  <c r="BN19" i="14"/>
  <c r="BM19" i="14"/>
  <c r="BR18" i="14"/>
  <c r="BQ18" i="14"/>
  <c r="BS18" i="14" s="1"/>
  <c r="BT18" i="14" s="1"/>
  <c r="BP18" i="14"/>
  <c r="BO18" i="14"/>
  <c r="BN18" i="14"/>
  <c r="BM18" i="14"/>
  <c r="BU17" i="14"/>
  <c r="BQ17" i="14"/>
  <c r="BS17" i="14" s="1"/>
  <c r="BT17" i="14" s="1"/>
  <c r="BP17" i="14"/>
  <c r="BO17" i="14"/>
  <c r="BN17" i="14"/>
  <c r="BM17" i="14"/>
  <c r="BR17" i="14" s="1"/>
  <c r="BP16" i="14"/>
  <c r="BO16" i="14"/>
  <c r="BN16" i="14"/>
  <c r="BM16" i="14"/>
  <c r="BQ15" i="14"/>
  <c r="BS15" i="14" s="1"/>
  <c r="BT15" i="14" s="1"/>
  <c r="BP15" i="14"/>
  <c r="BO15" i="14"/>
  <c r="BN15" i="14"/>
  <c r="BM15" i="14"/>
  <c r="BR14" i="14"/>
  <c r="BP14" i="14"/>
  <c r="BO14" i="14"/>
  <c r="BN14" i="14"/>
  <c r="BM14" i="14"/>
  <c r="BP13" i="14"/>
  <c r="BO13" i="14"/>
  <c r="BN13" i="14"/>
  <c r="BM13" i="14"/>
  <c r="BP12" i="14"/>
  <c r="BO12" i="14"/>
  <c r="BN12" i="14"/>
  <c r="BM12" i="14"/>
  <c r="BP11" i="14"/>
  <c r="BO11" i="14"/>
  <c r="BN11" i="14"/>
  <c r="BM11" i="14"/>
  <c r="BR11" i="14" s="1"/>
  <c r="BT10" i="14"/>
  <c r="BQ10" i="14"/>
  <c r="BS10" i="14" s="1"/>
  <c r="BP10" i="14"/>
  <c r="BO10" i="14"/>
  <c r="BN10" i="14"/>
  <c r="BM10" i="14"/>
  <c r="BQ9" i="14"/>
  <c r="BS9" i="14" s="1"/>
  <c r="BT9" i="14" s="1"/>
  <c r="BP9" i="14"/>
  <c r="BO9" i="14"/>
  <c r="BN9" i="14"/>
  <c r="BM9" i="14"/>
  <c r="BR8" i="14"/>
  <c r="BP8" i="14"/>
  <c r="BO8" i="14"/>
  <c r="BN8" i="14"/>
  <c r="BM8" i="14"/>
  <c r="BQ8" i="14" s="1"/>
  <c r="BS8" i="14" s="1"/>
  <c r="BT8" i="14" s="1"/>
  <c r="BP7" i="14"/>
  <c r="BO7" i="14"/>
  <c r="BN7" i="14"/>
  <c r="BM7" i="14"/>
  <c r="BR6" i="14"/>
  <c r="BP6" i="14"/>
  <c r="BO6" i="14"/>
  <c r="BN6" i="14"/>
  <c r="BM6" i="14"/>
  <c r="BT5" i="14"/>
  <c r="BS5" i="14"/>
  <c r="BQ5" i="14"/>
  <c r="BP5" i="14"/>
  <c r="BO5" i="14"/>
  <c r="BN5" i="14"/>
  <c r="BM5" i="14"/>
  <c r="BP4" i="14"/>
  <c r="BO4" i="14"/>
  <c r="BN4" i="14"/>
  <c r="BM4" i="14"/>
  <c r="AT7" i="13"/>
  <c r="AR7" i="13"/>
  <c r="AQ7" i="13"/>
  <c r="AP7" i="13"/>
  <c r="AO7" i="13"/>
  <c r="AS6" i="13"/>
  <c r="AU6" i="13" s="1"/>
  <c r="AV6" i="13" s="1"/>
  <c r="AR6" i="13"/>
  <c r="AQ6" i="13"/>
  <c r="AP6" i="13"/>
  <c r="AO6" i="13"/>
  <c r="AR5" i="13"/>
  <c r="AQ5" i="13"/>
  <c r="AP5" i="13"/>
  <c r="AO5" i="13"/>
  <c r="AS4" i="13"/>
  <c r="AU4" i="13" s="1"/>
  <c r="AV4" i="13" s="1"/>
  <c r="AR4" i="13"/>
  <c r="AQ4" i="13"/>
  <c r="AP4" i="13"/>
  <c r="AT4" i="13" s="1"/>
  <c r="AO4" i="13"/>
  <c r="AT6" i="12"/>
  <c r="AS6" i="12"/>
  <c r="AU6" i="12" s="1"/>
  <c r="AV6" i="12" s="1"/>
  <c r="AR6" i="12"/>
  <c r="AQ6" i="12"/>
  <c r="AP6" i="12"/>
  <c r="AO6" i="12"/>
  <c r="AW6" i="12" s="1"/>
  <c r="AT5" i="12"/>
  <c r="AR5" i="12"/>
  <c r="AQ5" i="12"/>
  <c r="AP5" i="12"/>
  <c r="AO5" i="12"/>
  <c r="AR4" i="12"/>
  <c r="AQ4" i="12"/>
  <c r="AP4" i="12"/>
  <c r="AO4" i="12"/>
  <c r="DM177" i="11"/>
  <c r="DO177" i="11" s="1"/>
  <c r="DP177" i="11" s="1"/>
  <c r="DL177" i="11"/>
  <c r="DK177" i="11"/>
  <c r="DJ177" i="11"/>
  <c r="DN177" i="11" s="1"/>
  <c r="DI177" i="11"/>
  <c r="DN176" i="11"/>
  <c r="DM176" i="11"/>
  <c r="DO176" i="11" s="1"/>
  <c r="DP176" i="11" s="1"/>
  <c r="DL176" i="11"/>
  <c r="DK176" i="11"/>
  <c r="DJ176" i="11"/>
  <c r="DI176" i="11"/>
  <c r="DL175" i="11"/>
  <c r="DK175" i="11"/>
  <c r="DM175" i="11" s="1"/>
  <c r="DO175" i="11" s="1"/>
  <c r="DP175" i="11" s="1"/>
  <c r="DJ175" i="11"/>
  <c r="DI175" i="11"/>
  <c r="DQ175" i="11" s="1"/>
  <c r="DL174" i="11"/>
  <c r="DK174" i="11"/>
  <c r="DJ174" i="11"/>
  <c r="DI174" i="11"/>
  <c r="DO173" i="11"/>
  <c r="DP173" i="11" s="1"/>
  <c r="DN173" i="11"/>
  <c r="DM173" i="11"/>
  <c r="DL173" i="11"/>
  <c r="DK173" i="11"/>
  <c r="DJ173" i="11"/>
  <c r="DI173" i="11"/>
  <c r="DN172" i="11"/>
  <c r="DM172" i="11"/>
  <c r="DO172" i="11" s="1"/>
  <c r="DP172" i="11" s="1"/>
  <c r="DL172" i="11"/>
  <c r="DK172" i="11"/>
  <c r="DJ172" i="11"/>
  <c r="DI172" i="11"/>
  <c r="DN171" i="11"/>
  <c r="DL171" i="11"/>
  <c r="DK171" i="11"/>
  <c r="DJ171" i="11"/>
  <c r="DI171" i="11"/>
  <c r="DL170" i="11"/>
  <c r="DK170" i="11"/>
  <c r="DJ170" i="11"/>
  <c r="DI170" i="11"/>
  <c r="DL169" i="11"/>
  <c r="DK169" i="11"/>
  <c r="DJ169" i="11"/>
  <c r="DI169" i="11"/>
  <c r="DL168" i="11"/>
  <c r="DK168" i="11"/>
  <c r="DJ168" i="11"/>
  <c r="DM168" i="11" s="1"/>
  <c r="DO168" i="11" s="1"/>
  <c r="DP168" i="11" s="1"/>
  <c r="DI168" i="11"/>
  <c r="DL167" i="11"/>
  <c r="DK167" i="11"/>
  <c r="DJ167" i="11"/>
  <c r="DI167" i="11"/>
  <c r="DO166" i="11"/>
  <c r="DP166" i="11" s="1"/>
  <c r="DN166" i="11"/>
  <c r="DM166" i="11"/>
  <c r="DQ166" i="11" s="1"/>
  <c r="DL166" i="11"/>
  <c r="DK166" i="11"/>
  <c r="DJ166" i="11"/>
  <c r="DI166" i="11"/>
  <c r="DN165" i="11"/>
  <c r="DM165" i="11"/>
  <c r="DO165" i="11" s="1"/>
  <c r="DP165" i="11" s="1"/>
  <c r="DL165" i="11"/>
  <c r="DK165" i="11"/>
  <c r="DJ165" i="11"/>
  <c r="DI165" i="11"/>
  <c r="DL164" i="11"/>
  <c r="DK164" i="11"/>
  <c r="DJ164" i="11"/>
  <c r="DI164" i="11"/>
  <c r="DL163" i="11"/>
  <c r="DK163" i="11"/>
  <c r="DJ163" i="11"/>
  <c r="DI163" i="11"/>
  <c r="DL162" i="11"/>
  <c r="DK162" i="11"/>
  <c r="DJ162" i="11"/>
  <c r="DI162" i="11"/>
  <c r="DM161" i="11"/>
  <c r="DO161" i="11" s="1"/>
  <c r="DP161" i="11" s="1"/>
  <c r="DL161" i="11"/>
  <c r="DK161" i="11"/>
  <c r="DJ161" i="11"/>
  <c r="DI161" i="11"/>
  <c r="DQ160" i="11"/>
  <c r="DL160" i="11"/>
  <c r="DK160" i="11"/>
  <c r="DJ160" i="11"/>
  <c r="DM160" i="11" s="1"/>
  <c r="DO160" i="11" s="1"/>
  <c r="DP160" i="11" s="1"/>
  <c r="DI160" i="11"/>
  <c r="DL159" i="11"/>
  <c r="DK159" i="11"/>
  <c r="DJ159" i="11"/>
  <c r="DN159" i="11" s="1"/>
  <c r="DI159" i="11"/>
  <c r="DO158" i="11"/>
  <c r="DP158" i="11" s="1"/>
  <c r="DN158" i="11"/>
  <c r="DM158" i="11"/>
  <c r="DL158" i="11"/>
  <c r="DK158" i="11"/>
  <c r="DJ158" i="11"/>
  <c r="DI158" i="11"/>
  <c r="DN157" i="11"/>
  <c r="DM157" i="11"/>
  <c r="DL157" i="11"/>
  <c r="DK157" i="11"/>
  <c r="DJ157" i="11"/>
  <c r="DI157" i="11"/>
  <c r="DQ156" i="11"/>
  <c r="DO156" i="11"/>
  <c r="DP156" i="11" s="1"/>
  <c r="DN156" i="11"/>
  <c r="DL156" i="11"/>
  <c r="DK156" i="11"/>
  <c r="DJ156" i="11"/>
  <c r="DI156" i="11"/>
  <c r="DM156" i="11" s="1"/>
  <c r="DL155" i="11"/>
  <c r="DK155" i="11"/>
  <c r="DJ155" i="11"/>
  <c r="DI155" i="11"/>
  <c r="DL154" i="11"/>
  <c r="DK154" i="11"/>
  <c r="DJ154" i="11"/>
  <c r="DI154" i="11"/>
  <c r="DM153" i="11"/>
  <c r="DO153" i="11" s="1"/>
  <c r="DP153" i="11" s="1"/>
  <c r="DL153" i="11"/>
  <c r="DK153" i="11"/>
  <c r="DJ153" i="11"/>
  <c r="DI153" i="11"/>
  <c r="DL152" i="11"/>
  <c r="DK152" i="11"/>
  <c r="DM152" i="11" s="1"/>
  <c r="DO152" i="11" s="1"/>
  <c r="DP152" i="11" s="1"/>
  <c r="DJ152" i="11"/>
  <c r="DI152" i="11"/>
  <c r="DM151" i="11"/>
  <c r="DO151" i="11" s="1"/>
  <c r="DP151" i="11" s="1"/>
  <c r="DL151" i="11"/>
  <c r="DK151" i="11"/>
  <c r="DJ151" i="11"/>
  <c r="DN151" i="11" s="1"/>
  <c r="DI151" i="11"/>
  <c r="DP150" i="11"/>
  <c r="DO150" i="11"/>
  <c r="DN150" i="11"/>
  <c r="DM150" i="11"/>
  <c r="DL150" i="11"/>
  <c r="DK150" i="11"/>
  <c r="DJ150" i="11"/>
  <c r="DI150" i="11"/>
  <c r="DO149" i="11"/>
  <c r="DP149" i="11" s="1"/>
  <c r="DN149" i="11"/>
  <c r="DL149" i="11"/>
  <c r="DK149" i="11"/>
  <c r="DJ149" i="11"/>
  <c r="DI149" i="11"/>
  <c r="DM149" i="11" s="1"/>
  <c r="DQ148" i="11"/>
  <c r="DO148" i="11"/>
  <c r="DP148" i="11" s="1"/>
  <c r="DM148" i="11"/>
  <c r="DL148" i="11"/>
  <c r="DK148" i="11"/>
  <c r="DJ148" i="11"/>
  <c r="DI148" i="11"/>
  <c r="DL147" i="11"/>
  <c r="DK147" i="11"/>
  <c r="DJ147" i="11"/>
  <c r="DI147" i="11"/>
  <c r="DM147" i="11" s="1"/>
  <c r="DO147" i="11" s="1"/>
  <c r="DP147" i="11" s="1"/>
  <c r="DL146" i="11"/>
  <c r="DK146" i="11"/>
  <c r="DJ146" i="11"/>
  <c r="DI146" i="11"/>
  <c r="DL145" i="11"/>
  <c r="DK145" i="11"/>
  <c r="DJ145" i="11"/>
  <c r="DI145" i="11"/>
  <c r="DN144" i="11"/>
  <c r="DM144" i="11"/>
  <c r="DL144" i="11"/>
  <c r="DK144" i="11"/>
  <c r="DJ144" i="11"/>
  <c r="DI144" i="11"/>
  <c r="DL143" i="11"/>
  <c r="DK143" i="11"/>
  <c r="DJ143" i="11"/>
  <c r="DI143" i="11"/>
  <c r="DM142" i="11"/>
  <c r="DO142" i="11" s="1"/>
  <c r="DP142" i="11" s="1"/>
  <c r="DL142" i="11"/>
  <c r="DK142" i="11"/>
  <c r="DJ142" i="11"/>
  <c r="DI142" i="11"/>
  <c r="DN142" i="11" s="1"/>
  <c r="DL141" i="11"/>
  <c r="DK141" i="11"/>
  <c r="DJ141" i="11"/>
  <c r="DI141" i="11"/>
  <c r="DL140" i="11"/>
  <c r="DK140" i="11"/>
  <c r="DJ140" i="11"/>
  <c r="DI140" i="11"/>
  <c r="DP139" i="11"/>
  <c r="DL139" i="11"/>
  <c r="DK139" i="11"/>
  <c r="DJ139" i="11"/>
  <c r="DM139" i="11" s="1"/>
  <c r="DO139" i="11" s="1"/>
  <c r="DI139" i="11"/>
  <c r="DQ139" i="11" s="1"/>
  <c r="DQ138" i="11"/>
  <c r="DN138" i="11"/>
  <c r="DL138" i="11"/>
  <c r="DK138" i="11"/>
  <c r="DJ138" i="11"/>
  <c r="DI138" i="11"/>
  <c r="DM138" i="11" s="1"/>
  <c r="DO138" i="11" s="1"/>
  <c r="DP138" i="11" s="1"/>
  <c r="DO137" i="11"/>
  <c r="DP137" i="11" s="1"/>
  <c r="DN137" i="11"/>
  <c r="DM137" i="11"/>
  <c r="DL137" i="11"/>
  <c r="DK137" i="11"/>
  <c r="DJ137" i="11"/>
  <c r="DI137" i="11"/>
  <c r="DN136" i="11"/>
  <c r="DM136" i="11"/>
  <c r="DO136" i="11" s="1"/>
  <c r="DP136" i="11" s="1"/>
  <c r="DL136" i="11"/>
  <c r="DK136" i="11"/>
  <c r="DJ136" i="11"/>
  <c r="DI136" i="11"/>
  <c r="DQ135" i="11"/>
  <c r="DO135" i="11"/>
  <c r="DP135" i="11" s="1"/>
  <c r="DN135" i="11"/>
  <c r="DL135" i="11"/>
  <c r="DK135" i="11"/>
  <c r="DJ135" i="11"/>
  <c r="DI135" i="11"/>
  <c r="DM135" i="11" s="1"/>
  <c r="DL134" i="11"/>
  <c r="DK134" i="11"/>
  <c r="DJ134" i="11"/>
  <c r="DM134" i="11" s="1"/>
  <c r="DO134" i="11" s="1"/>
  <c r="DP134" i="11" s="1"/>
  <c r="DI134" i="11"/>
  <c r="DL133" i="11"/>
  <c r="DK133" i="11"/>
  <c r="DJ133" i="11"/>
  <c r="DI133" i="11"/>
  <c r="DL132" i="11"/>
  <c r="DK132" i="11"/>
  <c r="DJ132" i="11"/>
  <c r="DI132" i="11"/>
  <c r="DL131" i="11"/>
  <c r="DK131" i="11"/>
  <c r="DJ131" i="11"/>
  <c r="DI131" i="11"/>
  <c r="DL130" i="11"/>
  <c r="DK130" i="11"/>
  <c r="DJ130" i="11"/>
  <c r="DI130" i="11"/>
  <c r="DM129" i="11"/>
  <c r="DO129" i="11" s="1"/>
  <c r="DP129" i="11" s="1"/>
  <c r="DL129" i="11"/>
  <c r="DK129" i="11"/>
  <c r="DJ129" i="11"/>
  <c r="DN129" i="11" s="1"/>
  <c r="DI129" i="11"/>
  <c r="DM128" i="11"/>
  <c r="DO128" i="11" s="1"/>
  <c r="DP128" i="11" s="1"/>
  <c r="DL128" i="11"/>
  <c r="DK128" i="11"/>
  <c r="DN128" i="11" s="1"/>
  <c r="DJ128" i="11"/>
  <c r="DI128" i="11"/>
  <c r="DQ128" i="11" s="1"/>
  <c r="DN127" i="11"/>
  <c r="DL127" i="11"/>
  <c r="DK127" i="11"/>
  <c r="DJ127" i="11"/>
  <c r="DI127" i="11"/>
  <c r="DL126" i="11"/>
  <c r="DK126" i="11"/>
  <c r="DJ126" i="11"/>
  <c r="DI126" i="11"/>
  <c r="DN126" i="11" s="1"/>
  <c r="DL125" i="11"/>
  <c r="DK125" i="11"/>
  <c r="DJ125" i="11"/>
  <c r="DI125" i="11"/>
  <c r="DL124" i="11"/>
  <c r="DK124" i="11"/>
  <c r="DJ124" i="11"/>
  <c r="DI124" i="11"/>
  <c r="DM123" i="11"/>
  <c r="DO123" i="11" s="1"/>
  <c r="DP123" i="11" s="1"/>
  <c r="DL123" i="11"/>
  <c r="DK123" i="11"/>
  <c r="DJ123" i="11"/>
  <c r="DI123" i="11"/>
  <c r="DN122" i="11"/>
  <c r="DL122" i="11"/>
  <c r="DK122" i="11"/>
  <c r="DJ122" i="11"/>
  <c r="DI122" i="11"/>
  <c r="DN121" i="11"/>
  <c r="DL121" i="11"/>
  <c r="DK121" i="11"/>
  <c r="DJ121" i="11"/>
  <c r="DI121" i="11"/>
  <c r="DL120" i="11"/>
  <c r="DK120" i="11"/>
  <c r="DN120" i="11" s="1"/>
  <c r="DJ120" i="11"/>
  <c r="DI120" i="11"/>
  <c r="DL119" i="11"/>
  <c r="DK119" i="11"/>
  <c r="DJ119" i="11"/>
  <c r="DI119" i="11"/>
  <c r="DL118" i="11"/>
  <c r="DK118" i="11"/>
  <c r="DJ118" i="11"/>
  <c r="DI118" i="11"/>
  <c r="DL117" i="11"/>
  <c r="DK117" i="11"/>
  <c r="DJ117" i="11"/>
  <c r="DI117" i="11"/>
  <c r="DL116" i="11"/>
  <c r="DK116" i="11"/>
  <c r="DJ116" i="11"/>
  <c r="DI116" i="11"/>
  <c r="DM115" i="11"/>
  <c r="DO115" i="11" s="1"/>
  <c r="DP115" i="11" s="1"/>
  <c r="DL115" i="11"/>
  <c r="DK115" i="11"/>
  <c r="DJ115" i="11"/>
  <c r="DI115" i="11"/>
  <c r="DL114" i="11"/>
  <c r="DK114" i="11"/>
  <c r="DJ114" i="11"/>
  <c r="DI114" i="11"/>
  <c r="DL113" i="11"/>
  <c r="DK113" i="11"/>
  <c r="DJ113" i="11"/>
  <c r="DI113" i="11"/>
  <c r="DN112" i="11"/>
  <c r="DL112" i="11"/>
  <c r="DK112" i="11"/>
  <c r="DM112" i="11" s="1"/>
  <c r="DO112" i="11" s="1"/>
  <c r="DP112" i="11" s="1"/>
  <c r="DJ112" i="11"/>
  <c r="DI112" i="11"/>
  <c r="DQ112" i="11" s="1"/>
  <c r="DO111" i="11"/>
  <c r="DP111" i="11" s="1"/>
  <c r="DL111" i="11"/>
  <c r="DK111" i="11"/>
  <c r="DJ111" i="11"/>
  <c r="DI111" i="11"/>
  <c r="DM111" i="11" s="1"/>
  <c r="DQ110" i="11"/>
  <c r="DO110" i="11"/>
  <c r="DP110" i="11" s="1"/>
  <c r="DM110" i="11"/>
  <c r="DL110" i="11"/>
  <c r="DK110" i="11"/>
  <c r="DJ110" i="11"/>
  <c r="DI110" i="11"/>
  <c r="DN110" i="11" s="1"/>
  <c r="DL109" i="11"/>
  <c r="DK109" i="11"/>
  <c r="DJ109" i="11"/>
  <c r="DI109" i="11"/>
  <c r="DM109" i="11" s="1"/>
  <c r="DO109" i="11" s="1"/>
  <c r="DP109" i="11" s="1"/>
  <c r="DL108" i="11"/>
  <c r="DK108" i="11"/>
  <c r="DJ108" i="11"/>
  <c r="DI108" i="11"/>
  <c r="DL107" i="11"/>
  <c r="DK107" i="11"/>
  <c r="DJ107" i="11"/>
  <c r="DI107" i="11"/>
  <c r="DL106" i="11"/>
  <c r="DK106" i="11"/>
  <c r="DJ106" i="11"/>
  <c r="DI106" i="11"/>
  <c r="DO105" i="11"/>
  <c r="DP105" i="11" s="1"/>
  <c r="DN105" i="11"/>
  <c r="DM105" i="11"/>
  <c r="DL105" i="11"/>
  <c r="DK105" i="11"/>
  <c r="DJ105" i="11"/>
  <c r="DI105" i="11"/>
  <c r="DP104" i="11"/>
  <c r="DN104" i="11"/>
  <c r="DM104" i="11"/>
  <c r="DO104" i="11" s="1"/>
  <c r="DL104" i="11"/>
  <c r="DK104" i="11"/>
  <c r="DJ104" i="11"/>
  <c r="DQ104" i="11" s="1"/>
  <c r="DI104" i="11"/>
  <c r="DQ103" i="11"/>
  <c r="DP103" i="11"/>
  <c r="DO103" i="11"/>
  <c r="DN103" i="11"/>
  <c r="DL103" i="11"/>
  <c r="DK103" i="11"/>
  <c r="DJ103" i="11"/>
  <c r="DI103" i="11"/>
  <c r="DM103" i="11" s="1"/>
  <c r="DO102" i="11"/>
  <c r="DP102" i="11" s="1"/>
  <c r="DM102" i="11"/>
  <c r="DL102" i="11"/>
  <c r="DK102" i="11"/>
  <c r="DJ102" i="11"/>
  <c r="DI102" i="11"/>
  <c r="DL101" i="11"/>
  <c r="DK101" i="11"/>
  <c r="DJ101" i="11"/>
  <c r="DI101" i="11"/>
  <c r="DL100" i="11"/>
  <c r="DK100" i="11"/>
  <c r="DJ100" i="11"/>
  <c r="DI100" i="11"/>
  <c r="DL99" i="11"/>
  <c r="DK99" i="11"/>
  <c r="DJ99" i="11"/>
  <c r="DI99" i="11"/>
  <c r="DL98" i="11"/>
  <c r="DK98" i="11"/>
  <c r="DJ98" i="11"/>
  <c r="DI98" i="11"/>
  <c r="DL97" i="11"/>
  <c r="DK97" i="11"/>
  <c r="DJ97" i="11"/>
  <c r="DI97" i="11"/>
  <c r="DO96" i="11"/>
  <c r="DP96" i="11" s="1"/>
  <c r="DN96" i="11"/>
  <c r="DM96" i="11"/>
  <c r="DL96" i="11"/>
  <c r="DK96" i="11"/>
  <c r="DJ96" i="11"/>
  <c r="DI96" i="11"/>
  <c r="DQ95" i="11"/>
  <c r="DO95" i="11"/>
  <c r="DP95" i="11" s="1"/>
  <c r="DL95" i="11"/>
  <c r="DK95" i="11"/>
  <c r="DJ95" i="11"/>
  <c r="DI95" i="11"/>
  <c r="DM95" i="11" s="1"/>
  <c r="DM94" i="11"/>
  <c r="DO94" i="11" s="1"/>
  <c r="DP94" i="11" s="1"/>
  <c r="DL94" i="11"/>
  <c r="DK94" i="11"/>
  <c r="DJ94" i="11"/>
  <c r="DQ94" i="11" s="1"/>
  <c r="DI94" i="11"/>
  <c r="DL93" i="11"/>
  <c r="DK93" i="11"/>
  <c r="DJ93" i="11"/>
  <c r="DI93" i="11"/>
  <c r="DL92" i="11"/>
  <c r="DK92" i="11"/>
  <c r="DJ92" i="11"/>
  <c r="DI92" i="11"/>
  <c r="DL91" i="11"/>
  <c r="DK91" i="11"/>
  <c r="DJ91" i="11"/>
  <c r="DM91" i="11" s="1"/>
  <c r="DO91" i="11" s="1"/>
  <c r="DP91" i="11" s="1"/>
  <c r="DI91" i="11"/>
  <c r="DQ91" i="11" s="1"/>
  <c r="DL90" i="11"/>
  <c r="DK90" i="11"/>
  <c r="DJ90" i="11"/>
  <c r="DI90" i="11"/>
  <c r="DM90" i="11" s="1"/>
  <c r="DO90" i="11" s="1"/>
  <c r="DP90" i="11" s="1"/>
  <c r="DN89" i="11"/>
  <c r="DL89" i="11"/>
  <c r="DK89" i="11"/>
  <c r="DJ89" i="11"/>
  <c r="DI89" i="11"/>
  <c r="DN88" i="11"/>
  <c r="DL88" i="11"/>
  <c r="DK88" i="11"/>
  <c r="DM88" i="11" s="1"/>
  <c r="DO88" i="11" s="1"/>
  <c r="DP88" i="11" s="1"/>
  <c r="DJ88" i="11"/>
  <c r="DQ88" i="11" s="1"/>
  <c r="DI88" i="11"/>
  <c r="DQ87" i="11"/>
  <c r="DL87" i="11"/>
  <c r="DK87" i="11"/>
  <c r="DJ87" i="11"/>
  <c r="DI87" i="11"/>
  <c r="DL86" i="11"/>
  <c r="DK86" i="11"/>
  <c r="DJ86" i="11"/>
  <c r="DI86" i="11"/>
  <c r="DL85" i="11"/>
  <c r="DK85" i="11"/>
  <c r="DJ85" i="11"/>
  <c r="DN85" i="11" s="1"/>
  <c r="DI85" i="11"/>
  <c r="DL84" i="11"/>
  <c r="DK84" i="11"/>
  <c r="DJ84" i="11"/>
  <c r="DI84" i="11"/>
  <c r="DL83" i="11"/>
  <c r="DK83" i="11"/>
  <c r="DM83" i="11" s="1"/>
  <c r="DO83" i="11" s="1"/>
  <c r="DP83" i="11" s="1"/>
  <c r="DJ83" i="11"/>
  <c r="DI83" i="11"/>
  <c r="DL82" i="11"/>
  <c r="DK82" i="11"/>
  <c r="DM82" i="11" s="1"/>
  <c r="DO82" i="11" s="1"/>
  <c r="DP82" i="11" s="1"/>
  <c r="DJ82" i="11"/>
  <c r="DI82" i="11"/>
  <c r="DN81" i="11"/>
  <c r="DL81" i="11"/>
  <c r="DK81" i="11"/>
  <c r="DJ81" i="11"/>
  <c r="DM81" i="11" s="1"/>
  <c r="DO81" i="11" s="1"/>
  <c r="DP81" i="11" s="1"/>
  <c r="DI81" i="11"/>
  <c r="DQ81" i="11" s="1"/>
  <c r="DO80" i="11"/>
  <c r="DP80" i="11" s="1"/>
  <c r="DM80" i="11"/>
  <c r="DL80" i="11"/>
  <c r="DK80" i="11"/>
  <c r="DN80" i="11" s="1"/>
  <c r="DJ80" i="11"/>
  <c r="DI80" i="11"/>
  <c r="DQ80" i="11" s="1"/>
  <c r="DL79" i="11"/>
  <c r="DK79" i="11"/>
  <c r="DJ79" i="11"/>
  <c r="DI79" i="11"/>
  <c r="DL78" i="11"/>
  <c r="DK78" i="11"/>
  <c r="DJ78" i="11"/>
  <c r="DI78" i="11"/>
  <c r="DL77" i="11"/>
  <c r="DK77" i="11"/>
  <c r="DJ77" i="11"/>
  <c r="DI77" i="11"/>
  <c r="DL76" i="11"/>
  <c r="DK76" i="11"/>
  <c r="DJ76" i="11"/>
  <c r="DI76" i="11"/>
  <c r="DL75" i="11"/>
  <c r="DK75" i="11"/>
  <c r="DJ75" i="11"/>
  <c r="DM75" i="11" s="1"/>
  <c r="DO75" i="11" s="1"/>
  <c r="DP75" i="11" s="1"/>
  <c r="DI75" i="11"/>
  <c r="DQ75" i="11" s="1"/>
  <c r="DN74" i="11"/>
  <c r="DL74" i="11"/>
  <c r="DK74" i="11"/>
  <c r="DJ74" i="11"/>
  <c r="DI74" i="11"/>
  <c r="DL73" i="11"/>
  <c r="DK73" i="11"/>
  <c r="DJ73" i="11"/>
  <c r="DI73" i="11"/>
  <c r="DL72" i="11"/>
  <c r="DK72" i="11"/>
  <c r="DJ72" i="11"/>
  <c r="DI72" i="11"/>
  <c r="DQ71" i="11"/>
  <c r="DN71" i="11"/>
  <c r="DL71" i="11"/>
  <c r="DK71" i="11"/>
  <c r="DJ71" i="11"/>
  <c r="DI71" i="11"/>
  <c r="DM71" i="11" s="1"/>
  <c r="DO71" i="11" s="1"/>
  <c r="DP71" i="11" s="1"/>
  <c r="DL70" i="11"/>
  <c r="DK70" i="11"/>
  <c r="DJ70" i="11"/>
  <c r="DM70" i="11" s="1"/>
  <c r="DI70" i="11"/>
  <c r="DL69" i="11"/>
  <c r="DK69" i="11"/>
  <c r="DJ69" i="11"/>
  <c r="DI69" i="11"/>
  <c r="DL68" i="11"/>
  <c r="DK68" i="11"/>
  <c r="DJ68" i="11"/>
  <c r="DI68" i="11"/>
  <c r="DL67" i="11"/>
  <c r="DK67" i="11"/>
  <c r="DM67" i="11" s="1"/>
  <c r="DO67" i="11" s="1"/>
  <c r="DP67" i="11" s="1"/>
  <c r="DJ67" i="11"/>
  <c r="DI67" i="11"/>
  <c r="DL66" i="11"/>
  <c r="DK66" i="11"/>
  <c r="DJ66" i="11"/>
  <c r="DI66" i="11"/>
  <c r="DN65" i="11"/>
  <c r="DM65" i="11"/>
  <c r="DO65" i="11" s="1"/>
  <c r="DP65" i="11" s="1"/>
  <c r="DL65" i="11"/>
  <c r="DK65" i="11"/>
  <c r="DJ65" i="11"/>
  <c r="DI65" i="11"/>
  <c r="DQ65" i="11" s="1"/>
  <c r="DN64" i="11"/>
  <c r="DL64" i="11"/>
  <c r="DK64" i="11"/>
  <c r="DM64" i="11" s="1"/>
  <c r="DO64" i="11" s="1"/>
  <c r="DP64" i="11" s="1"/>
  <c r="DJ64" i="11"/>
  <c r="DI64" i="11"/>
  <c r="DQ64" i="11" s="1"/>
  <c r="DO63" i="11"/>
  <c r="DP63" i="11" s="1"/>
  <c r="DN63" i="11"/>
  <c r="DL63" i="11"/>
  <c r="DK63" i="11"/>
  <c r="DJ63" i="11"/>
  <c r="DI63" i="11"/>
  <c r="DM63" i="11" s="1"/>
  <c r="DL62" i="11"/>
  <c r="DK62" i="11"/>
  <c r="DJ62" i="11"/>
  <c r="DI62" i="11"/>
  <c r="DN61" i="11"/>
  <c r="DL61" i="11"/>
  <c r="DK61" i="11"/>
  <c r="DJ61" i="11"/>
  <c r="DI61" i="11"/>
  <c r="DL60" i="11"/>
  <c r="DK60" i="11"/>
  <c r="DJ60" i="11"/>
  <c r="DI60" i="11"/>
  <c r="DL59" i="11"/>
  <c r="DK59" i="11"/>
  <c r="DM59" i="11" s="1"/>
  <c r="DO59" i="11" s="1"/>
  <c r="DP59" i="11" s="1"/>
  <c r="DJ59" i="11"/>
  <c r="DI59" i="11"/>
  <c r="DQ58" i="11"/>
  <c r="DN58" i="11"/>
  <c r="DM58" i="11"/>
  <c r="DO58" i="11" s="1"/>
  <c r="DP58" i="11" s="1"/>
  <c r="DL58" i="11"/>
  <c r="DK58" i="11"/>
  <c r="DJ58" i="11"/>
  <c r="DI58" i="11"/>
  <c r="DL57" i="11"/>
  <c r="DK57" i="11"/>
  <c r="DJ57" i="11"/>
  <c r="DI57" i="11"/>
  <c r="DN56" i="11"/>
  <c r="DM56" i="11"/>
  <c r="DO56" i="11" s="1"/>
  <c r="DP56" i="11" s="1"/>
  <c r="DL56" i="11"/>
  <c r="DK56" i="11"/>
  <c r="DJ56" i="11"/>
  <c r="DQ56" i="11" s="1"/>
  <c r="DI56" i="11"/>
  <c r="DN55" i="11"/>
  <c r="DL55" i="11"/>
  <c r="DK55" i="11"/>
  <c r="DJ55" i="11"/>
  <c r="DI55" i="11"/>
  <c r="DL54" i="11"/>
  <c r="DK54" i="11"/>
  <c r="DJ54" i="11"/>
  <c r="DI54" i="11"/>
  <c r="DL53" i="11"/>
  <c r="DK53" i="11"/>
  <c r="DJ53" i="11"/>
  <c r="DI53" i="11"/>
  <c r="DL52" i="11"/>
  <c r="DK52" i="11"/>
  <c r="DJ52" i="11"/>
  <c r="DI52" i="11"/>
  <c r="DL51" i="11"/>
  <c r="DK51" i="11"/>
  <c r="DJ51" i="11"/>
  <c r="DI51" i="11"/>
  <c r="DL50" i="11"/>
  <c r="DK50" i="11"/>
  <c r="DJ50" i="11"/>
  <c r="DI50" i="11"/>
  <c r="DN49" i="11"/>
  <c r="DM49" i="11"/>
  <c r="DO49" i="11" s="1"/>
  <c r="DP49" i="11" s="1"/>
  <c r="DL49" i="11"/>
  <c r="DK49" i="11"/>
  <c r="DJ49" i="11"/>
  <c r="DI49" i="11"/>
  <c r="DL48" i="11"/>
  <c r="DK48" i="11"/>
  <c r="DJ48" i="11"/>
  <c r="DI48" i="11"/>
  <c r="DQ47" i="11"/>
  <c r="DP47" i="11"/>
  <c r="DO47" i="11"/>
  <c r="DN47" i="11"/>
  <c r="DL47" i="11"/>
  <c r="DK47" i="11"/>
  <c r="DJ47" i="11"/>
  <c r="DI47" i="11"/>
  <c r="DM47" i="11" s="1"/>
  <c r="DL46" i="11"/>
  <c r="DK46" i="11"/>
  <c r="DJ46" i="11"/>
  <c r="DI46" i="11"/>
  <c r="DQ45" i="11"/>
  <c r="DN45" i="11"/>
  <c r="DL45" i="11"/>
  <c r="DK45" i="11"/>
  <c r="DJ45" i="11"/>
  <c r="DI45" i="11"/>
  <c r="DL44" i="11"/>
  <c r="DK44" i="11"/>
  <c r="DJ44" i="11"/>
  <c r="DI44" i="11"/>
  <c r="DM43" i="11"/>
  <c r="DO43" i="11" s="1"/>
  <c r="DP43" i="11" s="1"/>
  <c r="DL43" i="11"/>
  <c r="DK43" i="11"/>
  <c r="DJ43" i="11"/>
  <c r="DI43" i="11"/>
  <c r="DQ43" i="11" s="1"/>
  <c r="DQ42" i="11"/>
  <c r="DN42" i="11"/>
  <c r="DM42" i="11"/>
  <c r="DO42" i="11" s="1"/>
  <c r="DP42" i="11" s="1"/>
  <c r="DL42" i="11"/>
  <c r="DK42" i="11"/>
  <c r="DJ42" i="11"/>
  <c r="DI42" i="11"/>
  <c r="DN41" i="11"/>
  <c r="DM41" i="11"/>
  <c r="DO41" i="11" s="1"/>
  <c r="DP41" i="11" s="1"/>
  <c r="DL41" i="11"/>
  <c r="DK41" i="11"/>
  <c r="DJ41" i="11"/>
  <c r="DQ41" i="11" s="1"/>
  <c r="DI41" i="11"/>
  <c r="DO40" i="11"/>
  <c r="DP40" i="11" s="1"/>
  <c r="DN40" i="11"/>
  <c r="DM40" i="11"/>
  <c r="DL40" i="11"/>
  <c r="DK40" i="11"/>
  <c r="DJ40" i="11"/>
  <c r="DI40" i="11"/>
  <c r="DN39" i="11"/>
  <c r="DL39" i="11"/>
  <c r="DK39" i="11"/>
  <c r="DJ39" i="11"/>
  <c r="DI39" i="11"/>
  <c r="DL38" i="11"/>
  <c r="DK38" i="11"/>
  <c r="DJ38" i="11"/>
  <c r="DI38" i="11"/>
  <c r="DL37" i="11"/>
  <c r="DK37" i="11"/>
  <c r="DJ37" i="11"/>
  <c r="DN37" i="11" s="1"/>
  <c r="DI37" i="11"/>
  <c r="DL36" i="11"/>
  <c r="DK36" i="11"/>
  <c r="DJ36" i="11"/>
  <c r="DI36" i="11"/>
  <c r="DL35" i="11"/>
  <c r="DK35" i="11"/>
  <c r="DJ35" i="11"/>
  <c r="DI35" i="11"/>
  <c r="DL34" i="11"/>
  <c r="DK34" i="11"/>
  <c r="DJ34" i="11"/>
  <c r="DI34" i="11"/>
  <c r="DM33" i="11"/>
  <c r="DO33" i="11" s="1"/>
  <c r="DP33" i="11" s="1"/>
  <c r="DL33" i="11"/>
  <c r="DK33" i="11"/>
  <c r="DJ33" i="11"/>
  <c r="DN33" i="11" s="1"/>
  <c r="DI33" i="11"/>
  <c r="DN32" i="11"/>
  <c r="DM32" i="11"/>
  <c r="DO32" i="11" s="1"/>
  <c r="DP32" i="11" s="1"/>
  <c r="DL32" i="11"/>
  <c r="DK32" i="11"/>
  <c r="DJ32" i="11"/>
  <c r="DI32" i="11"/>
  <c r="DQ32" i="11" s="1"/>
  <c r="DQ31" i="11"/>
  <c r="DP31" i="11"/>
  <c r="DO31" i="11"/>
  <c r="DN31" i="11"/>
  <c r="DL31" i="11"/>
  <c r="DK31" i="11"/>
  <c r="DJ31" i="11"/>
  <c r="DI31" i="11"/>
  <c r="DM31" i="11" s="1"/>
  <c r="DM30" i="11"/>
  <c r="DO30" i="11" s="1"/>
  <c r="DP30" i="11" s="1"/>
  <c r="DL30" i="11"/>
  <c r="DK30" i="11"/>
  <c r="DJ30" i="11"/>
  <c r="DI30" i="11"/>
  <c r="DL29" i="11"/>
  <c r="DK29" i="11"/>
  <c r="DJ29" i="11"/>
  <c r="DI29" i="11"/>
  <c r="DL28" i="11"/>
  <c r="DK28" i="11"/>
  <c r="DJ28" i="11"/>
  <c r="DI28" i="11"/>
  <c r="DM27" i="11"/>
  <c r="DO27" i="11" s="1"/>
  <c r="DP27" i="11" s="1"/>
  <c r="DL27" i="11"/>
  <c r="DK27" i="11"/>
  <c r="DJ27" i="11"/>
  <c r="DI27" i="11"/>
  <c r="DL26" i="11"/>
  <c r="DK26" i="11"/>
  <c r="DJ26" i="11"/>
  <c r="DI26" i="11"/>
  <c r="DN25" i="11"/>
  <c r="DM25" i="11"/>
  <c r="DO25" i="11" s="1"/>
  <c r="DP25" i="11" s="1"/>
  <c r="DL25" i="11"/>
  <c r="DK25" i="11"/>
  <c r="DJ25" i="11"/>
  <c r="DI25" i="11"/>
  <c r="DL24" i="11"/>
  <c r="DK24" i="11"/>
  <c r="DJ24" i="11"/>
  <c r="DI24" i="11"/>
  <c r="DQ23" i="11"/>
  <c r="DP23" i="11"/>
  <c r="DO23" i="11"/>
  <c r="DN23" i="11"/>
  <c r="DL23" i="11"/>
  <c r="DK23" i="11"/>
  <c r="DJ23" i="11"/>
  <c r="DI23" i="11"/>
  <c r="DM23" i="11" s="1"/>
  <c r="DL22" i="11"/>
  <c r="DK22" i="11"/>
  <c r="DJ22" i="11"/>
  <c r="DI22" i="11"/>
  <c r="DQ21" i="11"/>
  <c r="DL21" i="11"/>
  <c r="DK21" i="11"/>
  <c r="DJ21" i="11"/>
  <c r="DI21" i="11"/>
  <c r="DL20" i="11"/>
  <c r="DK20" i="11"/>
  <c r="DJ20" i="11"/>
  <c r="DI20" i="11"/>
  <c r="DL19" i="11"/>
  <c r="DK19" i="11"/>
  <c r="DJ19" i="11"/>
  <c r="DI19" i="11"/>
  <c r="DQ18" i="11"/>
  <c r="DL18" i="11"/>
  <c r="DK18" i="11"/>
  <c r="DJ18" i="11"/>
  <c r="DI18" i="11"/>
  <c r="DM17" i="11"/>
  <c r="DO17" i="11" s="1"/>
  <c r="DP17" i="11" s="1"/>
  <c r="DL17" i="11"/>
  <c r="DK17" i="11"/>
  <c r="DJ17" i="11"/>
  <c r="DI17" i="11"/>
  <c r="DO16" i="11"/>
  <c r="DP16" i="11" s="1"/>
  <c r="DN16" i="11"/>
  <c r="DM16" i="11"/>
  <c r="DL16" i="11"/>
  <c r="DK16" i="11"/>
  <c r="DJ16" i="11"/>
  <c r="DI16" i="11"/>
  <c r="DQ16" i="11" s="1"/>
  <c r="DN15" i="11"/>
  <c r="DL15" i="11"/>
  <c r="DK15" i="11"/>
  <c r="DJ15" i="11"/>
  <c r="DI15" i="11"/>
  <c r="DL14" i="11"/>
  <c r="DK14" i="11"/>
  <c r="DJ14" i="11"/>
  <c r="DN14" i="11" s="1"/>
  <c r="DI14" i="11"/>
  <c r="DQ13" i="11"/>
  <c r="DM13" i="11"/>
  <c r="DO13" i="11" s="1"/>
  <c r="DP13" i="11" s="1"/>
  <c r="DL13" i="11"/>
  <c r="DK13" i="11"/>
  <c r="DJ13" i="11"/>
  <c r="DI13" i="11"/>
  <c r="DN13" i="11" s="1"/>
  <c r="DL12" i="11"/>
  <c r="DK12" i="11"/>
  <c r="DJ12" i="11"/>
  <c r="DI12" i="11"/>
  <c r="DM11" i="11"/>
  <c r="DO11" i="11" s="1"/>
  <c r="DP11" i="11" s="1"/>
  <c r="DL11" i="11"/>
  <c r="DK11" i="11"/>
  <c r="DJ11" i="11"/>
  <c r="DI11" i="11"/>
  <c r="DL10" i="11"/>
  <c r="DK10" i="11"/>
  <c r="DJ10" i="11"/>
  <c r="DI10" i="11"/>
  <c r="DM9" i="11"/>
  <c r="DO9" i="11" s="1"/>
  <c r="DP9" i="11" s="1"/>
  <c r="DL9" i="11"/>
  <c r="DK9" i="11"/>
  <c r="DQ9" i="11" s="1"/>
  <c r="DJ9" i="11"/>
  <c r="DI9" i="11"/>
  <c r="DQ8" i="11"/>
  <c r="DP8" i="11"/>
  <c r="DO8" i="11"/>
  <c r="DN8" i="11"/>
  <c r="DM8" i="11"/>
  <c r="DL8" i="11"/>
  <c r="DK8" i="11"/>
  <c r="DJ8" i="11"/>
  <c r="DI8" i="11"/>
  <c r="DL7" i="11"/>
  <c r="DK7" i="11"/>
  <c r="DJ7" i="11"/>
  <c r="DI7" i="11"/>
  <c r="DL6" i="11"/>
  <c r="DK6" i="11"/>
  <c r="DJ6" i="11"/>
  <c r="DI6" i="11"/>
  <c r="DL5" i="11"/>
  <c r="DK5" i="11"/>
  <c r="DJ5" i="11"/>
  <c r="DI5" i="11"/>
  <c r="DL4" i="11"/>
  <c r="DK4" i="11"/>
  <c r="DJ4" i="11"/>
  <c r="DI4" i="11"/>
  <c r="CB103" i="10"/>
  <c r="CA103" i="10"/>
  <c r="BZ103" i="10"/>
  <c r="BY103" i="10"/>
  <c r="CD103" i="10" s="1"/>
  <c r="CB102" i="10"/>
  <c r="CA102" i="10"/>
  <c r="CC102" i="10" s="1"/>
  <c r="CE102" i="10" s="1"/>
  <c r="CF102" i="10" s="1"/>
  <c r="BZ102" i="10"/>
  <c r="BY102" i="10"/>
  <c r="CB101" i="10"/>
  <c r="CA101" i="10"/>
  <c r="BZ101" i="10"/>
  <c r="BY101" i="10"/>
  <c r="CB100" i="10"/>
  <c r="CA100" i="10"/>
  <c r="BZ100" i="10"/>
  <c r="BY100" i="10"/>
  <c r="CG99" i="10"/>
  <c r="CC99" i="10"/>
  <c r="CE99" i="10" s="1"/>
  <c r="CF99" i="10" s="1"/>
  <c r="CB99" i="10"/>
  <c r="CA99" i="10"/>
  <c r="BZ99" i="10"/>
  <c r="CD99" i="10" s="1"/>
  <c r="BY99" i="10"/>
  <c r="CB98" i="10"/>
  <c r="CA98" i="10"/>
  <c r="BZ98" i="10"/>
  <c r="BY98" i="10"/>
  <c r="CD98" i="10" s="1"/>
  <c r="CB97" i="10"/>
  <c r="CA97" i="10"/>
  <c r="BZ97" i="10"/>
  <c r="BY97" i="10"/>
  <c r="CG96" i="10"/>
  <c r="CB96" i="10"/>
  <c r="CA96" i="10"/>
  <c r="BZ96" i="10"/>
  <c r="BY96" i="10"/>
  <c r="CB95" i="10"/>
  <c r="CA95" i="10"/>
  <c r="BZ95" i="10"/>
  <c r="BY95" i="10"/>
  <c r="CD94" i="10"/>
  <c r="CC94" i="10"/>
  <c r="CB94" i="10"/>
  <c r="CA94" i="10"/>
  <c r="BZ94" i="10"/>
  <c r="BY94" i="10"/>
  <c r="CB93" i="10"/>
  <c r="CA93" i="10"/>
  <c r="BZ93" i="10"/>
  <c r="BY93" i="10"/>
  <c r="CG92" i="10"/>
  <c r="CF92" i="10"/>
  <c r="CE92" i="10"/>
  <c r="CD92" i="10"/>
  <c r="CB92" i="10"/>
  <c r="CA92" i="10"/>
  <c r="BZ92" i="10"/>
  <c r="BY92" i="10"/>
  <c r="CC92" i="10" s="1"/>
  <c r="CB91" i="10"/>
  <c r="CA91" i="10"/>
  <c r="BZ91" i="10"/>
  <c r="BY91" i="10"/>
  <c r="CG90" i="10"/>
  <c r="CB90" i="10"/>
  <c r="CA90" i="10"/>
  <c r="BZ90" i="10"/>
  <c r="BY90" i="10"/>
  <c r="CD90" i="10" s="1"/>
  <c r="CB89" i="10"/>
  <c r="CA89" i="10"/>
  <c r="BZ89" i="10"/>
  <c r="BY89" i="10"/>
  <c r="CB88" i="10"/>
  <c r="CA88" i="10"/>
  <c r="BZ88" i="10"/>
  <c r="BY88" i="10"/>
  <c r="CB87" i="10"/>
  <c r="CA87" i="10"/>
  <c r="BZ87" i="10"/>
  <c r="BY87" i="10"/>
  <c r="CD87" i="10" s="1"/>
  <c r="CB86" i="10"/>
  <c r="CA86" i="10"/>
  <c r="BZ86" i="10"/>
  <c r="CC86" i="10" s="1"/>
  <c r="CE86" i="10" s="1"/>
  <c r="CF86" i="10" s="1"/>
  <c r="BY86" i="10"/>
  <c r="CB85" i="10"/>
  <c r="CA85" i="10"/>
  <c r="CC85" i="10" s="1"/>
  <c r="CE85" i="10" s="1"/>
  <c r="CF85" i="10" s="1"/>
  <c r="BZ85" i="10"/>
  <c r="BY85" i="10"/>
  <c r="CB84" i="10"/>
  <c r="CA84" i="10"/>
  <c r="BZ84" i="10"/>
  <c r="BY84" i="10"/>
  <c r="CB83" i="10"/>
  <c r="CA83" i="10"/>
  <c r="BZ83" i="10"/>
  <c r="BY83" i="10"/>
  <c r="CB82" i="10"/>
  <c r="CA82" i="10"/>
  <c r="CD82" i="10" s="1"/>
  <c r="BZ82" i="10"/>
  <c r="BY82" i="10"/>
  <c r="CB81" i="10"/>
  <c r="CA81" i="10"/>
  <c r="BZ81" i="10"/>
  <c r="BY81" i="10"/>
  <c r="CB80" i="10"/>
  <c r="CA80" i="10"/>
  <c r="BZ80" i="10"/>
  <c r="BY80" i="10"/>
  <c r="CB79" i="10"/>
  <c r="CA79" i="10"/>
  <c r="CD79" i="10" s="1"/>
  <c r="BZ79" i="10"/>
  <c r="BY79" i="10"/>
  <c r="CB78" i="10"/>
  <c r="CA78" i="10"/>
  <c r="BZ78" i="10"/>
  <c r="BY78" i="10"/>
  <c r="CB77" i="10"/>
  <c r="CA77" i="10"/>
  <c r="BZ77" i="10"/>
  <c r="BY77" i="10"/>
  <c r="CB76" i="10"/>
  <c r="CA76" i="10"/>
  <c r="BZ76" i="10"/>
  <c r="BY76" i="10"/>
  <c r="CD75" i="10"/>
  <c r="CB75" i="10"/>
  <c r="CA75" i="10"/>
  <c r="BZ75" i="10"/>
  <c r="BY75" i="10"/>
  <c r="CC75" i="10" s="1"/>
  <c r="CE75" i="10" s="1"/>
  <c r="CF75" i="10" s="1"/>
  <c r="CB74" i="10"/>
  <c r="CA74" i="10"/>
  <c r="BZ74" i="10"/>
  <c r="BY74" i="10"/>
  <c r="CG73" i="10"/>
  <c r="CB73" i="10"/>
  <c r="CA73" i="10"/>
  <c r="BZ73" i="10"/>
  <c r="BY73" i="10"/>
  <c r="CC73" i="10" s="1"/>
  <c r="CE73" i="10" s="1"/>
  <c r="CF73" i="10" s="1"/>
  <c r="CB72" i="10"/>
  <c r="CA72" i="10"/>
  <c r="CC72" i="10" s="1"/>
  <c r="CE72" i="10" s="1"/>
  <c r="CF72" i="10" s="1"/>
  <c r="BZ72" i="10"/>
  <c r="BY72" i="10"/>
  <c r="CB71" i="10"/>
  <c r="CA71" i="10"/>
  <c r="BZ71" i="10"/>
  <c r="BY71" i="10"/>
  <c r="CB70" i="10"/>
  <c r="CA70" i="10"/>
  <c r="BZ70" i="10"/>
  <c r="BY70" i="10"/>
  <c r="CB69" i="10"/>
  <c r="CA69" i="10"/>
  <c r="CC69" i="10" s="1"/>
  <c r="CE69" i="10" s="1"/>
  <c r="CF69" i="10" s="1"/>
  <c r="BZ69" i="10"/>
  <c r="BY69" i="10"/>
  <c r="CD68" i="10"/>
  <c r="CB68" i="10"/>
  <c r="CA68" i="10"/>
  <c r="BZ68" i="10"/>
  <c r="BY68" i="10"/>
  <c r="CB67" i="10"/>
  <c r="CA67" i="10"/>
  <c r="BZ67" i="10"/>
  <c r="BY67" i="10"/>
  <c r="CB66" i="10"/>
  <c r="CA66" i="10"/>
  <c r="CD66" i="10" s="1"/>
  <c r="BZ66" i="10"/>
  <c r="BY66" i="10"/>
  <c r="CB65" i="10"/>
  <c r="CA65" i="10"/>
  <c r="BZ65" i="10"/>
  <c r="BY65" i="10"/>
  <c r="CG64" i="10"/>
  <c r="CE64" i="10"/>
  <c r="CF64" i="10" s="1"/>
  <c r="CC64" i="10"/>
  <c r="CB64" i="10"/>
  <c r="CA64" i="10"/>
  <c r="BZ64" i="10"/>
  <c r="BY64" i="10"/>
  <c r="CD64" i="10" s="1"/>
  <c r="CB63" i="10"/>
  <c r="CA63" i="10"/>
  <c r="BZ63" i="10"/>
  <c r="BY63" i="10"/>
  <c r="CB62" i="10"/>
  <c r="CA62" i="10"/>
  <c r="BZ62" i="10"/>
  <c r="BY62" i="10"/>
  <c r="CC61" i="10"/>
  <c r="CE61" i="10" s="1"/>
  <c r="CF61" i="10" s="1"/>
  <c r="CB61" i="10"/>
  <c r="CA61" i="10"/>
  <c r="BZ61" i="10"/>
  <c r="CD61" i="10" s="1"/>
  <c r="BY61" i="10"/>
  <c r="CB60" i="10"/>
  <c r="CA60" i="10"/>
  <c r="BZ60" i="10"/>
  <c r="BY60" i="10"/>
  <c r="CC60" i="10" s="1"/>
  <c r="CE60" i="10" s="1"/>
  <c r="CF60" i="10" s="1"/>
  <c r="CB59" i="10"/>
  <c r="CA59" i="10"/>
  <c r="BZ59" i="10"/>
  <c r="CD59" i="10" s="1"/>
  <c r="BY59" i="10"/>
  <c r="CG58" i="10"/>
  <c r="CF58" i="10"/>
  <c r="CB58" i="10"/>
  <c r="CA58" i="10"/>
  <c r="BZ58" i="10"/>
  <c r="BY58" i="10"/>
  <c r="CC58" i="10" s="1"/>
  <c r="CE58" i="10" s="1"/>
  <c r="CG57" i="10"/>
  <c r="CB57" i="10"/>
  <c r="CA57" i="10"/>
  <c r="BZ57" i="10"/>
  <c r="BY57" i="10"/>
  <c r="CC57" i="10" s="1"/>
  <c r="CE57" i="10" s="1"/>
  <c r="CF57" i="10" s="1"/>
  <c r="CB56" i="10"/>
  <c r="CA56" i="10"/>
  <c r="BZ56" i="10"/>
  <c r="CC56" i="10" s="1"/>
  <c r="CE56" i="10" s="1"/>
  <c r="CF56" i="10" s="1"/>
  <c r="BY56" i="10"/>
  <c r="CB55" i="10"/>
  <c r="CA55" i="10"/>
  <c r="CC55" i="10" s="1"/>
  <c r="CE55" i="10" s="1"/>
  <c r="CF55" i="10" s="1"/>
  <c r="BZ55" i="10"/>
  <c r="BY55" i="10"/>
  <c r="CC54" i="10"/>
  <c r="CE54" i="10" s="1"/>
  <c r="CF54" i="10" s="1"/>
  <c r="CB54" i="10"/>
  <c r="CA54" i="10"/>
  <c r="BZ54" i="10"/>
  <c r="BY54" i="10"/>
  <c r="CD53" i="10"/>
  <c r="CC53" i="10"/>
  <c r="CE53" i="10" s="1"/>
  <c r="CF53" i="10" s="1"/>
  <c r="CB53" i="10"/>
  <c r="CA53" i="10"/>
  <c r="BZ53" i="10"/>
  <c r="BY53" i="10"/>
  <c r="CG53" i="10" s="1"/>
  <c r="CB52" i="10"/>
  <c r="CA52" i="10"/>
  <c r="CC52" i="10" s="1"/>
  <c r="CE52" i="10" s="1"/>
  <c r="CF52" i="10" s="1"/>
  <c r="BZ52" i="10"/>
  <c r="BY52" i="10"/>
  <c r="CC51" i="10"/>
  <c r="CG51" i="10" s="1"/>
  <c r="CB51" i="10"/>
  <c r="CA51" i="10"/>
  <c r="BZ51" i="10"/>
  <c r="CD51" i="10" s="1"/>
  <c r="BY51" i="10"/>
  <c r="CB50" i="10"/>
  <c r="CA50" i="10"/>
  <c r="BZ50" i="10"/>
  <c r="BY50" i="10"/>
  <c r="CB49" i="10"/>
  <c r="CA49" i="10"/>
  <c r="BZ49" i="10"/>
  <c r="BY49" i="10"/>
  <c r="CG48" i="10"/>
  <c r="CF48" i="10"/>
  <c r="CB48" i="10"/>
  <c r="CA48" i="10"/>
  <c r="BZ48" i="10"/>
  <c r="CC48" i="10" s="1"/>
  <c r="CE48" i="10" s="1"/>
  <c r="BY48" i="10"/>
  <c r="CB47" i="10"/>
  <c r="CA47" i="10"/>
  <c r="BZ47" i="10"/>
  <c r="BY47" i="10"/>
  <c r="CB46" i="10"/>
  <c r="CA46" i="10"/>
  <c r="BZ46" i="10"/>
  <c r="BY46" i="10"/>
  <c r="CB45" i="10"/>
  <c r="CA45" i="10"/>
  <c r="BZ45" i="10"/>
  <c r="CD45" i="10" s="1"/>
  <c r="BY45" i="10"/>
  <c r="CG44" i="10"/>
  <c r="CF44" i="10"/>
  <c r="CB44" i="10"/>
  <c r="CA44" i="10"/>
  <c r="BZ44" i="10"/>
  <c r="BY44" i="10"/>
  <c r="CC44" i="10" s="1"/>
  <c r="CE44" i="10" s="1"/>
  <c r="CB43" i="10"/>
  <c r="CA43" i="10"/>
  <c r="BZ43" i="10"/>
  <c r="BY43" i="10"/>
  <c r="CB42" i="10"/>
  <c r="CA42" i="10"/>
  <c r="CD42" i="10" s="1"/>
  <c r="BZ42" i="10"/>
  <c r="BY42" i="10"/>
  <c r="CG41" i="10"/>
  <c r="CE41" i="10"/>
  <c r="CF41" i="10" s="1"/>
  <c r="CD41" i="10"/>
  <c r="CB41" i="10"/>
  <c r="CA41" i="10"/>
  <c r="BZ41" i="10"/>
  <c r="BY41" i="10"/>
  <c r="CC41" i="10" s="1"/>
  <c r="CB40" i="10"/>
  <c r="CA40" i="10"/>
  <c r="BZ40" i="10"/>
  <c r="CC40" i="10" s="1"/>
  <c r="CE40" i="10" s="1"/>
  <c r="CF40" i="10" s="1"/>
  <c r="BY40" i="10"/>
  <c r="CC39" i="10"/>
  <c r="CE39" i="10" s="1"/>
  <c r="CF39" i="10" s="1"/>
  <c r="CB39" i="10"/>
  <c r="CA39" i="10"/>
  <c r="BZ39" i="10"/>
  <c r="BY39" i="10"/>
  <c r="CB38" i="10"/>
  <c r="CA38" i="10"/>
  <c r="BZ38" i="10"/>
  <c r="CC38" i="10" s="1"/>
  <c r="CE38" i="10" s="1"/>
  <c r="CF38" i="10" s="1"/>
  <c r="BY38" i="10"/>
  <c r="CB37" i="10"/>
  <c r="CA37" i="10"/>
  <c r="BZ37" i="10"/>
  <c r="BY37" i="10"/>
  <c r="CB36" i="10"/>
  <c r="CA36" i="10"/>
  <c r="BZ36" i="10"/>
  <c r="BY36" i="10"/>
  <c r="CB35" i="10"/>
  <c r="CA35" i="10"/>
  <c r="BZ35" i="10"/>
  <c r="BY35" i="10"/>
  <c r="CC34" i="10"/>
  <c r="CE34" i="10" s="1"/>
  <c r="CF34" i="10" s="1"/>
  <c r="CB34" i="10"/>
  <c r="CA34" i="10"/>
  <c r="BZ34" i="10"/>
  <c r="BY34" i="10"/>
  <c r="CD34" i="10" s="1"/>
  <c r="CB33" i="10"/>
  <c r="CA33" i="10"/>
  <c r="BZ33" i="10"/>
  <c r="BY33" i="10"/>
  <c r="CB32" i="10"/>
  <c r="CA32" i="10"/>
  <c r="BZ32" i="10"/>
  <c r="BY32" i="10"/>
  <c r="CD32" i="10" s="1"/>
  <c r="CD31" i="10"/>
  <c r="CB31" i="10"/>
  <c r="CA31" i="10"/>
  <c r="BZ31" i="10"/>
  <c r="BY31" i="10"/>
  <c r="CB30" i="10"/>
  <c r="CA30" i="10"/>
  <c r="BZ30" i="10"/>
  <c r="BY30" i="10"/>
  <c r="CB29" i="10"/>
  <c r="CA29" i="10"/>
  <c r="BZ29" i="10"/>
  <c r="BY29" i="10"/>
  <c r="CG28" i="10"/>
  <c r="CE28" i="10"/>
  <c r="CF28" i="10" s="1"/>
  <c r="CB28" i="10"/>
  <c r="CA28" i="10"/>
  <c r="BZ28" i="10"/>
  <c r="BY28" i="10"/>
  <c r="CC28" i="10" s="1"/>
  <c r="CE27" i="10"/>
  <c r="CF27" i="10" s="1"/>
  <c r="CD27" i="10"/>
  <c r="CC27" i="10"/>
  <c r="CB27" i="10"/>
  <c r="CA27" i="10"/>
  <c r="BZ27" i="10"/>
  <c r="BY27" i="10"/>
  <c r="CG26" i="10"/>
  <c r="CB26" i="10"/>
  <c r="CA26" i="10"/>
  <c r="CD26" i="10" s="1"/>
  <c r="BZ26" i="10"/>
  <c r="BY26" i="10"/>
  <c r="CB25" i="10"/>
  <c r="CA25" i="10"/>
  <c r="BZ25" i="10"/>
  <c r="BY25" i="10"/>
  <c r="CC24" i="10"/>
  <c r="CE24" i="10" s="1"/>
  <c r="CF24" i="10" s="1"/>
  <c r="CB24" i="10"/>
  <c r="CA24" i="10"/>
  <c r="BZ24" i="10"/>
  <c r="BY24" i="10"/>
  <c r="CB23" i="10"/>
  <c r="CA23" i="10"/>
  <c r="BZ23" i="10"/>
  <c r="BY23" i="10"/>
  <c r="CD23" i="10" s="1"/>
  <c r="CB22" i="10"/>
  <c r="CA22" i="10"/>
  <c r="BZ22" i="10"/>
  <c r="BY22" i="10"/>
  <c r="CB21" i="10"/>
  <c r="CA21" i="10"/>
  <c r="CC21" i="10" s="1"/>
  <c r="CE21" i="10" s="1"/>
  <c r="CF21" i="10" s="1"/>
  <c r="BZ21" i="10"/>
  <c r="BY21" i="10"/>
  <c r="CG21" i="10" s="1"/>
  <c r="CB20" i="10"/>
  <c r="CA20" i="10"/>
  <c r="BZ20" i="10"/>
  <c r="BY20" i="10"/>
  <c r="CE19" i="10"/>
  <c r="CF19" i="10" s="1"/>
  <c r="CC19" i="10"/>
  <c r="CG19" i="10" s="1"/>
  <c r="CB19" i="10"/>
  <c r="CA19" i="10"/>
  <c r="BZ19" i="10"/>
  <c r="CD19" i="10" s="1"/>
  <c r="BY19" i="10"/>
  <c r="CB18" i="10"/>
  <c r="CA18" i="10"/>
  <c r="BZ18" i="10"/>
  <c r="BY18" i="10"/>
  <c r="CB17" i="10"/>
  <c r="CA17" i="10"/>
  <c r="BZ17" i="10"/>
  <c r="BY17" i="10"/>
  <c r="CB16" i="10"/>
  <c r="CA16" i="10"/>
  <c r="BZ16" i="10"/>
  <c r="BY16" i="10"/>
  <c r="CD15" i="10"/>
  <c r="CB15" i="10"/>
  <c r="CA15" i="10"/>
  <c r="BZ15" i="10"/>
  <c r="BY15" i="10"/>
  <c r="CD14" i="10"/>
  <c r="CC14" i="10"/>
  <c r="CB14" i="10"/>
  <c r="CA14" i="10"/>
  <c r="BZ14" i="10"/>
  <c r="BY14" i="10"/>
  <c r="CD13" i="10"/>
  <c r="CB13" i="10"/>
  <c r="CA13" i="10"/>
  <c r="BZ13" i="10"/>
  <c r="CC13" i="10" s="1"/>
  <c r="CE13" i="10" s="1"/>
  <c r="CF13" i="10" s="1"/>
  <c r="BY13" i="10"/>
  <c r="CG12" i="10"/>
  <c r="CD12" i="10"/>
  <c r="CC12" i="10"/>
  <c r="CE12" i="10" s="1"/>
  <c r="CF12" i="10" s="1"/>
  <c r="CB12" i="10"/>
  <c r="CA12" i="10"/>
  <c r="BZ12" i="10"/>
  <c r="BY12" i="10"/>
  <c r="CD11" i="10"/>
  <c r="CB11" i="10"/>
  <c r="CA11" i="10"/>
  <c r="BZ11" i="10"/>
  <c r="BY11" i="10"/>
  <c r="CG10" i="10"/>
  <c r="CE10" i="10"/>
  <c r="CF10" i="10" s="1"/>
  <c r="CD10" i="10"/>
  <c r="CB10" i="10"/>
  <c r="CA10" i="10"/>
  <c r="BZ10" i="10"/>
  <c r="BY10" i="10"/>
  <c r="CC10" i="10" s="1"/>
  <c r="CB9" i="10"/>
  <c r="CA9" i="10"/>
  <c r="BZ9" i="10"/>
  <c r="CD9" i="10" s="1"/>
  <c r="BY9" i="10"/>
  <c r="CB8" i="10"/>
  <c r="CA8" i="10"/>
  <c r="BZ8" i="10"/>
  <c r="BY8" i="10"/>
  <c r="CB7" i="10"/>
  <c r="CA7" i="10"/>
  <c r="BZ7" i="10"/>
  <c r="BY7" i="10"/>
  <c r="CB6" i="10"/>
  <c r="CA6" i="10"/>
  <c r="BZ6" i="10"/>
  <c r="CC6" i="10" s="1"/>
  <c r="CE6" i="10" s="1"/>
  <c r="CF6" i="10" s="1"/>
  <c r="BY6" i="10"/>
  <c r="CD5" i="10"/>
  <c r="CB5" i="10"/>
  <c r="CA5" i="10"/>
  <c r="CC5" i="10" s="1"/>
  <c r="CE5" i="10" s="1"/>
  <c r="CF5" i="10" s="1"/>
  <c r="BZ5" i="10"/>
  <c r="BY5" i="10"/>
  <c r="CD4" i="10"/>
  <c r="CC4" i="10"/>
  <c r="CB4" i="10"/>
  <c r="CA4" i="10"/>
  <c r="BZ4" i="10"/>
  <c r="BY4" i="10"/>
  <c r="BS23" i="9"/>
  <c r="BT23" i="9" s="1"/>
  <c r="BR23" i="9"/>
  <c r="BQ23" i="9"/>
  <c r="BP23" i="9"/>
  <c r="BO23" i="9"/>
  <c r="BN23" i="9"/>
  <c r="BU23" i="9" s="1"/>
  <c r="BM23" i="9"/>
  <c r="BP22" i="9"/>
  <c r="BO22" i="9"/>
  <c r="BN22" i="9"/>
  <c r="BM22" i="9"/>
  <c r="BQ22" i="9" s="1"/>
  <c r="BS22" i="9" s="1"/>
  <c r="BT22" i="9" s="1"/>
  <c r="BP21" i="9"/>
  <c r="BO21" i="9"/>
  <c r="BN21" i="9"/>
  <c r="BM21" i="9"/>
  <c r="BP20" i="9"/>
  <c r="BO20" i="9"/>
  <c r="BN20" i="9"/>
  <c r="BM20" i="9"/>
  <c r="BP19" i="9"/>
  <c r="BO19" i="9"/>
  <c r="BN19" i="9"/>
  <c r="BM19" i="9"/>
  <c r="BQ18" i="9"/>
  <c r="BS18" i="9" s="1"/>
  <c r="BT18" i="9" s="1"/>
  <c r="BP18" i="9"/>
  <c r="BO18" i="9"/>
  <c r="BN18" i="9"/>
  <c r="BM18" i="9"/>
  <c r="BP17" i="9"/>
  <c r="BO17" i="9"/>
  <c r="BN17" i="9"/>
  <c r="BR17" i="9" s="1"/>
  <c r="BM17" i="9"/>
  <c r="BR16" i="9"/>
  <c r="BP16" i="9"/>
  <c r="BO16" i="9"/>
  <c r="BN16" i="9"/>
  <c r="BM16" i="9"/>
  <c r="BQ16" i="9" s="1"/>
  <c r="BR15" i="9"/>
  <c r="BP15" i="9"/>
  <c r="BO15" i="9"/>
  <c r="BN15" i="9"/>
  <c r="BM15" i="9"/>
  <c r="BR14" i="9"/>
  <c r="BP14" i="9"/>
  <c r="BO14" i="9"/>
  <c r="BN14" i="9"/>
  <c r="BM14" i="9"/>
  <c r="BP13" i="9"/>
  <c r="BO13" i="9"/>
  <c r="BN13" i="9"/>
  <c r="BM13" i="9"/>
  <c r="BP12" i="9"/>
  <c r="BO12" i="9"/>
  <c r="BN12" i="9"/>
  <c r="BM12" i="9"/>
  <c r="BP11" i="9"/>
  <c r="BO11" i="9"/>
  <c r="BQ11" i="9" s="1"/>
  <c r="BS11" i="9" s="1"/>
  <c r="BT11" i="9" s="1"/>
  <c r="BN11" i="9"/>
  <c r="BR11" i="9" s="1"/>
  <c r="BM11" i="9"/>
  <c r="BP10" i="9"/>
  <c r="BO10" i="9"/>
  <c r="BN10" i="9"/>
  <c r="BM10" i="9"/>
  <c r="BU9" i="9"/>
  <c r="BP9" i="9"/>
  <c r="BO9" i="9"/>
  <c r="BN9" i="9"/>
  <c r="BR9" i="9" s="1"/>
  <c r="BM9" i="9"/>
  <c r="BQ9" i="9" s="1"/>
  <c r="BS9" i="9" s="1"/>
  <c r="BT9" i="9" s="1"/>
  <c r="BP8" i="9"/>
  <c r="BO8" i="9"/>
  <c r="BN8" i="9"/>
  <c r="BM8" i="9"/>
  <c r="BP7" i="9"/>
  <c r="BO7" i="9"/>
  <c r="BN7" i="9"/>
  <c r="BM7" i="9"/>
  <c r="BP6" i="9"/>
  <c r="BO6" i="9"/>
  <c r="BN6" i="9"/>
  <c r="BM6" i="9"/>
  <c r="BR5" i="9"/>
  <c r="BP5" i="9"/>
  <c r="BO5" i="9"/>
  <c r="BN5" i="9"/>
  <c r="BM5" i="9"/>
  <c r="BQ5" i="9" s="1"/>
  <c r="BP4" i="9"/>
  <c r="BO4" i="9"/>
  <c r="BN4" i="9"/>
  <c r="BM4" i="9"/>
  <c r="BT32" i="8"/>
  <c r="BR32" i="8"/>
  <c r="BQ32" i="8"/>
  <c r="BS32" i="8" s="1"/>
  <c r="BP32" i="8"/>
  <c r="BO32" i="8"/>
  <c r="BN32" i="8"/>
  <c r="BM32" i="8"/>
  <c r="BP31" i="8"/>
  <c r="BO31" i="8"/>
  <c r="BN31" i="8"/>
  <c r="BM31" i="8"/>
  <c r="BU30" i="8"/>
  <c r="BQ30" i="8"/>
  <c r="BS30" i="8" s="1"/>
  <c r="BT30" i="8" s="1"/>
  <c r="BP30" i="8"/>
  <c r="BO30" i="8"/>
  <c r="BN30" i="8"/>
  <c r="BM30" i="8"/>
  <c r="BR30" i="8" s="1"/>
  <c r="BP29" i="8"/>
  <c r="BO29" i="8"/>
  <c r="BN29" i="8"/>
  <c r="BM29" i="8"/>
  <c r="BU28" i="8"/>
  <c r="BS28" i="8"/>
  <c r="BT28" i="8" s="1"/>
  <c r="BR28" i="8"/>
  <c r="BP28" i="8"/>
  <c r="BO28" i="8"/>
  <c r="BN28" i="8"/>
  <c r="BM28" i="8"/>
  <c r="BQ28" i="8" s="1"/>
  <c r="BQ27" i="8"/>
  <c r="BS27" i="8" s="1"/>
  <c r="BT27" i="8" s="1"/>
  <c r="BP27" i="8"/>
  <c r="BO27" i="8"/>
  <c r="BN27" i="8"/>
  <c r="BR27" i="8" s="1"/>
  <c r="BM27" i="8"/>
  <c r="BU26" i="8"/>
  <c r="BQ26" i="8"/>
  <c r="BS26" i="8" s="1"/>
  <c r="BT26" i="8" s="1"/>
  <c r="BP26" i="8"/>
  <c r="BO26" i="8"/>
  <c r="BN26" i="8"/>
  <c r="BM26" i="8"/>
  <c r="BR25" i="8"/>
  <c r="BP25" i="8"/>
  <c r="BO25" i="8"/>
  <c r="BN25" i="8"/>
  <c r="BM25" i="8"/>
  <c r="BQ25" i="8" s="1"/>
  <c r="BP24" i="8"/>
  <c r="BO24" i="8"/>
  <c r="BN24" i="8"/>
  <c r="BM24" i="8"/>
  <c r="BP23" i="8"/>
  <c r="BO23" i="8"/>
  <c r="BQ23" i="8" s="1"/>
  <c r="BS23" i="8" s="1"/>
  <c r="BT23" i="8" s="1"/>
  <c r="BN23" i="8"/>
  <c r="BM23" i="8"/>
  <c r="BS22" i="8"/>
  <c r="BT22" i="8" s="1"/>
  <c r="BR22" i="8"/>
  <c r="BQ22" i="8"/>
  <c r="BU22" i="8" s="1"/>
  <c r="BP22" i="8"/>
  <c r="BO22" i="8"/>
  <c r="BN22" i="8"/>
  <c r="BM22" i="8"/>
  <c r="BR21" i="8"/>
  <c r="BP21" i="8"/>
  <c r="BO21" i="8"/>
  <c r="BN21" i="8"/>
  <c r="BM21" i="8"/>
  <c r="BR20" i="8"/>
  <c r="BP20" i="8"/>
  <c r="BO20" i="8"/>
  <c r="BN20" i="8"/>
  <c r="BM20" i="8"/>
  <c r="BP19" i="8"/>
  <c r="BO19" i="8"/>
  <c r="BN19" i="8"/>
  <c r="BM19" i="8"/>
  <c r="BR18" i="8"/>
  <c r="BQ18" i="8"/>
  <c r="BS18" i="8" s="1"/>
  <c r="BT18" i="8" s="1"/>
  <c r="BP18" i="8"/>
  <c r="BO18" i="8"/>
  <c r="BN18" i="8"/>
  <c r="BM18" i="8"/>
  <c r="BP17" i="8"/>
  <c r="BO17" i="8"/>
  <c r="BN17" i="8"/>
  <c r="BM17" i="8"/>
  <c r="BP16" i="8"/>
  <c r="BO16" i="8"/>
  <c r="BN16" i="8"/>
  <c r="BM16" i="8"/>
  <c r="BP15" i="8"/>
  <c r="BO15" i="8"/>
  <c r="BN15" i="8"/>
  <c r="BM15" i="8"/>
  <c r="BP14" i="8"/>
  <c r="BO14" i="8"/>
  <c r="BN14" i="8"/>
  <c r="BM14" i="8"/>
  <c r="BR14" i="8" s="1"/>
  <c r="BP13" i="8"/>
  <c r="BO13" i="8"/>
  <c r="BN13" i="8"/>
  <c r="BM13" i="8"/>
  <c r="BP12" i="8"/>
  <c r="BO12" i="8"/>
  <c r="BN12" i="8"/>
  <c r="BR12" i="8" s="1"/>
  <c r="BM12" i="8"/>
  <c r="BP11" i="8"/>
  <c r="BO11" i="8"/>
  <c r="BQ11" i="8" s="1"/>
  <c r="BS11" i="8" s="1"/>
  <c r="BT11" i="8" s="1"/>
  <c r="BN11" i="8"/>
  <c r="BM11" i="8"/>
  <c r="BP10" i="8"/>
  <c r="BO10" i="8"/>
  <c r="BN10" i="8"/>
  <c r="BM10" i="8"/>
  <c r="BP9" i="8"/>
  <c r="BO9" i="8"/>
  <c r="BN9" i="8"/>
  <c r="BR9" i="8" s="1"/>
  <c r="BM9" i="8"/>
  <c r="BQ9" i="8" s="1"/>
  <c r="BR8" i="8"/>
  <c r="BP8" i="8"/>
  <c r="BO8" i="8"/>
  <c r="BN8" i="8"/>
  <c r="BQ8" i="8" s="1"/>
  <c r="BS8" i="8" s="1"/>
  <c r="BT8" i="8" s="1"/>
  <c r="BM8" i="8"/>
  <c r="BU7" i="8"/>
  <c r="BP7" i="8"/>
  <c r="BO7" i="8"/>
  <c r="BQ7" i="8" s="1"/>
  <c r="BS7" i="8" s="1"/>
  <c r="BT7" i="8" s="1"/>
  <c r="BN7" i="8"/>
  <c r="BM7" i="8"/>
  <c r="BP6" i="8"/>
  <c r="BO6" i="8"/>
  <c r="BN6" i="8"/>
  <c r="BM6" i="8"/>
  <c r="BU5" i="8"/>
  <c r="BP5" i="8"/>
  <c r="BO5" i="8"/>
  <c r="BN5" i="8"/>
  <c r="BR5" i="8" s="1"/>
  <c r="BM5" i="8"/>
  <c r="BQ5" i="8" s="1"/>
  <c r="BS5" i="8" s="1"/>
  <c r="BT5" i="8" s="1"/>
  <c r="BP4" i="8"/>
  <c r="BO4" i="8"/>
  <c r="BN4" i="8"/>
  <c r="BM4" i="8"/>
  <c r="BP175" i="7"/>
  <c r="BO175" i="7"/>
  <c r="BN175" i="7"/>
  <c r="BM175" i="7"/>
  <c r="BQ174" i="7"/>
  <c r="BS174" i="7" s="1"/>
  <c r="BT174" i="7" s="1"/>
  <c r="BP174" i="7"/>
  <c r="BO174" i="7"/>
  <c r="BN174" i="7"/>
  <c r="BM174" i="7"/>
  <c r="BR173" i="7"/>
  <c r="BQ173" i="7"/>
  <c r="BP173" i="7"/>
  <c r="BO173" i="7"/>
  <c r="BN173" i="7"/>
  <c r="BM173" i="7"/>
  <c r="BQ172" i="7"/>
  <c r="BS172" i="7" s="1"/>
  <c r="BT172" i="7" s="1"/>
  <c r="BP172" i="7"/>
  <c r="BO172" i="7"/>
  <c r="BN172" i="7"/>
  <c r="BM172" i="7"/>
  <c r="BT171" i="7"/>
  <c r="BR171" i="7"/>
  <c r="BQ171" i="7"/>
  <c r="BS171" i="7" s="1"/>
  <c r="BP171" i="7"/>
  <c r="BO171" i="7"/>
  <c r="BN171" i="7"/>
  <c r="BM171" i="7"/>
  <c r="BU171" i="7" s="1"/>
  <c r="BP170" i="7"/>
  <c r="BO170" i="7"/>
  <c r="BN170" i="7"/>
  <c r="BM170" i="7"/>
  <c r="BR169" i="7"/>
  <c r="BP169" i="7"/>
  <c r="BO169" i="7"/>
  <c r="BN169" i="7"/>
  <c r="BM169" i="7"/>
  <c r="BQ169" i="7" s="1"/>
  <c r="BP168" i="7"/>
  <c r="BO168" i="7"/>
  <c r="BN168" i="7"/>
  <c r="BM168" i="7"/>
  <c r="BU167" i="7"/>
  <c r="BQ167" i="7"/>
  <c r="BS167" i="7" s="1"/>
  <c r="BT167" i="7" s="1"/>
  <c r="BP167" i="7"/>
  <c r="BO167" i="7"/>
  <c r="BN167" i="7"/>
  <c r="BM167" i="7"/>
  <c r="BP166" i="7"/>
  <c r="BO166" i="7"/>
  <c r="BN166" i="7"/>
  <c r="BM166" i="7"/>
  <c r="BU165" i="7"/>
  <c r="BR165" i="7"/>
  <c r="BQ165" i="7"/>
  <c r="BS165" i="7" s="1"/>
  <c r="BT165" i="7" s="1"/>
  <c r="BP165" i="7"/>
  <c r="BO165" i="7"/>
  <c r="BN165" i="7"/>
  <c r="BM165" i="7"/>
  <c r="BP164" i="7"/>
  <c r="BO164" i="7"/>
  <c r="BN164" i="7"/>
  <c r="BM164" i="7"/>
  <c r="BP163" i="7"/>
  <c r="BO163" i="7"/>
  <c r="BN163" i="7"/>
  <c r="BM163" i="7"/>
  <c r="BP162" i="7"/>
  <c r="BO162" i="7"/>
  <c r="BN162" i="7"/>
  <c r="BM162" i="7"/>
  <c r="BR161" i="7"/>
  <c r="BQ161" i="7"/>
  <c r="BS161" i="7" s="1"/>
  <c r="BT161" i="7" s="1"/>
  <c r="BP161" i="7"/>
  <c r="BO161" i="7"/>
  <c r="BN161" i="7"/>
  <c r="BM161" i="7"/>
  <c r="BP160" i="7"/>
  <c r="BO160" i="7"/>
  <c r="BN160" i="7"/>
  <c r="BM160" i="7"/>
  <c r="BP159" i="7"/>
  <c r="BO159" i="7"/>
  <c r="BN159" i="7"/>
  <c r="BM159" i="7"/>
  <c r="BP158" i="7"/>
  <c r="BO158" i="7"/>
  <c r="BN158" i="7"/>
  <c r="BM158" i="7"/>
  <c r="BP157" i="7"/>
  <c r="BO157" i="7"/>
  <c r="BN157" i="7"/>
  <c r="BM157" i="7"/>
  <c r="BP156" i="7"/>
  <c r="BO156" i="7"/>
  <c r="BN156" i="7"/>
  <c r="BM156" i="7"/>
  <c r="BP155" i="7"/>
  <c r="BO155" i="7"/>
  <c r="BN155" i="7"/>
  <c r="BR155" i="7" s="1"/>
  <c r="BM155" i="7"/>
  <c r="BP154" i="7"/>
  <c r="BO154" i="7"/>
  <c r="BN154" i="7"/>
  <c r="BM154" i="7"/>
  <c r="BR153" i="7"/>
  <c r="BP153" i="7"/>
  <c r="BO153" i="7"/>
  <c r="BN153" i="7"/>
  <c r="BM153" i="7"/>
  <c r="BP152" i="7"/>
  <c r="BO152" i="7"/>
  <c r="BN152" i="7"/>
  <c r="BM152" i="7"/>
  <c r="BP151" i="7"/>
  <c r="BO151" i="7"/>
  <c r="BN151" i="7"/>
  <c r="BM151" i="7"/>
  <c r="BP150" i="7"/>
  <c r="BO150" i="7"/>
  <c r="BN150" i="7"/>
  <c r="BM150" i="7"/>
  <c r="BS149" i="7"/>
  <c r="BT149" i="7" s="1"/>
  <c r="BR149" i="7"/>
  <c r="BQ149" i="7"/>
  <c r="BU149" i="7" s="1"/>
  <c r="BP149" i="7"/>
  <c r="BO149" i="7"/>
  <c r="BN149" i="7"/>
  <c r="BM149" i="7"/>
  <c r="BP148" i="7"/>
  <c r="BO148" i="7"/>
  <c r="BN148" i="7"/>
  <c r="BM148" i="7"/>
  <c r="BR147" i="7"/>
  <c r="BP147" i="7"/>
  <c r="BO147" i="7"/>
  <c r="BN147" i="7"/>
  <c r="BM147" i="7"/>
  <c r="BP146" i="7"/>
  <c r="BO146" i="7"/>
  <c r="BN146" i="7"/>
  <c r="BQ146" i="7" s="1"/>
  <c r="BS146" i="7" s="1"/>
  <c r="BT146" i="7" s="1"/>
  <c r="BM146" i="7"/>
  <c r="BT145" i="7"/>
  <c r="BR145" i="7"/>
  <c r="BQ145" i="7"/>
  <c r="BS145" i="7" s="1"/>
  <c r="BP145" i="7"/>
  <c r="BO145" i="7"/>
  <c r="BN145" i="7"/>
  <c r="BM145" i="7"/>
  <c r="BP144" i="7"/>
  <c r="BO144" i="7"/>
  <c r="BR144" i="7" s="1"/>
  <c r="BN144" i="7"/>
  <c r="BM144" i="7"/>
  <c r="BP143" i="7"/>
  <c r="BO143" i="7"/>
  <c r="BN143" i="7"/>
  <c r="BM143" i="7"/>
  <c r="BP142" i="7"/>
  <c r="BO142" i="7"/>
  <c r="BQ142" i="7" s="1"/>
  <c r="BS142" i="7" s="1"/>
  <c r="BT142" i="7" s="1"/>
  <c r="BN142" i="7"/>
  <c r="BM142" i="7"/>
  <c r="BU142" i="7" s="1"/>
  <c r="BR141" i="7"/>
  <c r="BP141" i="7"/>
  <c r="BO141" i="7"/>
  <c r="BQ141" i="7" s="1"/>
  <c r="BS141" i="7" s="1"/>
  <c r="BT141" i="7" s="1"/>
  <c r="BN141" i="7"/>
  <c r="BM141" i="7"/>
  <c r="BP140" i="7"/>
  <c r="BO140" i="7"/>
  <c r="BN140" i="7"/>
  <c r="BM140" i="7"/>
  <c r="BP139" i="7"/>
  <c r="BO139" i="7"/>
  <c r="BQ139" i="7" s="1"/>
  <c r="BS139" i="7" s="1"/>
  <c r="BT139" i="7" s="1"/>
  <c r="BN139" i="7"/>
  <c r="BM139" i="7"/>
  <c r="BQ138" i="7"/>
  <c r="BS138" i="7" s="1"/>
  <c r="BT138" i="7" s="1"/>
  <c r="BP138" i="7"/>
  <c r="BO138" i="7"/>
  <c r="BN138" i="7"/>
  <c r="BM138" i="7"/>
  <c r="BR138" i="7" s="1"/>
  <c r="BS137" i="7"/>
  <c r="BT137" i="7" s="1"/>
  <c r="BR137" i="7"/>
  <c r="BQ137" i="7"/>
  <c r="BU137" i="7" s="1"/>
  <c r="BP137" i="7"/>
  <c r="BO137" i="7"/>
  <c r="BN137" i="7"/>
  <c r="BM137" i="7"/>
  <c r="BP136" i="7"/>
  <c r="BO136" i="7"/>
  <c r="BN136" i="7"/>
  <c r="BR136" i="7" s="1"/>
  <c r="BM136" i="7"/>
  <c r="BS135" i="7"/>
  <c r="BT135" i="7" s="1"/>
  <c r="BR135" i="7"/>
  <c r="BQ135" i="7"/>
  <c r="BU135" i="7" s="1"/>
  <c r="BP135" i="7"/>
  <c r="BO135" i="7"/>
  <c r="BN135" i="7"/>
  <c r="BM135" i="7"/>
  <c r="BP134" i="7"/>
  <c r="BO134" i="7"/>
  <c r="BN134" i="7"/>
  <c r="BQ134" i="7" s="1"/>
  <c r="BS134" i="7" s="1"/>
  <c r="BT134" i="7" s="1"/>
  <c r="BM134" i="7"/>
  <c r="BR133" i="7"/>
  <c r="BQ133" i="7"/>
  <c r="BP133" i="7"/>
  <c r="BO133" i="7"/>
  <c r="BN133" i="7"/>
  <c r="BM133" i="7"/>
  <c r="BP132" i="7"/>
  <c r="BO132" i="7"/>
  <c r="BN132" i="7"/>
  <c r="BQ132" i="7" s="1"/>
  <c r="BS132" i="7" s="1"/>
  <c r="BT132" i="7" s="1"/>
  <c r="BM132" i="7"/>
  <c r="BP131" i="7"/>
  <c r="BO131" i="7"/>
  <c r="BN131" i="7"/>
  <c r="BM131" i="7"/>
  <c r="BP130" i="7"/>
  <c r="BO130" i="7"/>
  <c r="BN130" i="7"/>
  <c r="BM130" i="7"/>
  <c r="BU129" i="7"/>
  <c r="BR129" i="7"/>
  <c r="BQ129" i="7"/>
  <c r="BS129" i="7" s="1"/>
  <c r="BT129" i="7" s="1"/>
  <c r="BP129" i="7"/>
  <c r="BO129" i="7"/>
  <c r="BN129" i="7"/>
  <c r="BM129" i="7"/>
  <c r="BP128" i="7"/>
  <c r="BO128" i="7"/>
  <c r="BN128" i="7"/>
  <c r="BM128" i="7"/>
  <c r="BP127" i="7"/>
  <c r="BO127" i="7"/>
  <c r="BN127" i="7"/>
  <c r="BM127" i="7"/>
  <c r="BP126" i="7"/>
  <c r="BO126" i="7"/>
  <c r="BN126" i="7"/>
  <c r="BM126" i="7"/>
  <c r="BP125" i="7"/>
  <c r="BO125" i="7"/>
  <c r="BQ125" i="7" s="1"/>
  <c r="BS125" i="7" s="1"/>
  <c r="BT125" i="7" s="1"/>
  <c r="BN125" i="7"/>
  <c r="BM125" i="7"/>
  <c r="BP124" i="7"/>
  <c r="BO124" i="7"/>
  <c r="BN124" i="7"/>
  <c r="BM124" i="7"/>
  <c r="BS123" i="7"/>
  <c r="BT123" i="7" s="1"/>
  <c r="BR123" i="7"/>
  <c r="BQ123" i="7"/>
  <c r="BP123" i="7"/>
  <c r="BO123" i="7"/>
  <c r="BN123" i="7"/>
  <c r="BM123" i="7"/>
  <c r="BP122" i="7"/>
  <c r="BO122" i="7"/>
  <c r="BN122" i="7"/>
  <c r="BM122" i="7"/>
  <c r="BR122" i="7" s="1"/>
  <c r="BT121" i="7"/>
  <c r="BR121" i="7"/>
  <c r="BQ121" i="7"/>
  <c r="BS121" i="7" s="1"/>
  <c r="BP121" i="7"/>
  <c r="BO121" i="7"/>
  <c r="BN121" i="7"/>
  <c r="BM121" i="7"/>
  <c r="BP120" i="7"/>
  <c r="BO120" i="7"/>
  <c r="BN120" i="7"/>
  <c r="BM120" i="7"/>
  <c r="BT119" i="7"/>
  <c r="BR119" i="7"/>
  <c r="BQ119" i="7"/>
  <c r="BS119" i="7" s="1"/>
  <c r="BP119" i="7"/>
  <c r="BO119" i="7"/>
  <c r="BN119" i="7"/>
  <c r="BM119" i="7"/>
  <c r="BP118" i="7"/>
  <c r="BO118" i="7"/>
  <c r="BN118" i="7"/>
  <c r="BM118" i="7"/>
  <c r="BU117" i="7"/>
  <c r="BR117" i="7"/>
  <c r="BQ117" i="7"/>
  <c r="BS117" i="7" s="1"/>
  <c r="BT117" i="7" s="1"/>
  <c r="BP117" i="7"/>
  <c r="BO117" i="7"/>
  <c r="BN117" i="7"/>
  <c r="BM117" i="7"/>
  <c r="BP116" i="7"/>
  <c r="BO116" i="7"/>
  <c r="BN116" i="7"/>
  <c r="BM116" i="7"/>
  <c r="BU115" i="7"/>
  <c r="BT115" i="7"/>
  <c r="BS115" i="7"/>
  <c r="BR115" i="7"/>
  <c r="BP115" i="7"/>
  <c r="BO115" i="7"/>
  <c r="BQ115" i="7" s="1"/>
  <c r="BN115" i="7"/>
  <c r="BM115" i="7"/>
  <c r="BP114" i="7"/>
  <c r="BO114" i="7"/>
  <c r="BN114" i="7"/>
  <c r="BM114" i="7"/>
  <c r="BR113" i="7"/>
  <c r="BP113" i="7"/>
  <c r="BO113" i="7"/>
  <c r="BN113" i="7"/>
  <c r="BQ113" i="7" s="1"/>
  <c r="BU113" i="7" s="1"/>
  <c r="BM113" i="7"/>
  <c r="BP112" i="7"/>
  <c r="BO112" i="7"/>
  <c r="BN112" i="7"/>
  <c r="BR112" i="7" s="1"/>
  <c r="BM112" i="7"/>
  <c r="BP111" i="7"/>
  <c r="BO111" i="7"/>
  <c r="BN111" i="7"/>
  <c r="BM111" i="7"/>
  <c r="BP110" i="7"/>
  <c r="BO110" i="7"/>
  <c r="BN110" i="7"/>
  <c r="BR110" i="7" s="1"/>
  <c r="BM110" i="7"/>
  <c r="BR109" i="7"/>
  <c r="BP109" i="7"/>
  <c r="BO109" i="7"/>
  <c r="BN109" i="7"/>
  <c r="BQ109" i="7" s="1"/>
  <c r="BS109" i="7" s="1"/>
  <c r="BT109" i="7" s="1"/>
  <c r="BM109" i="7"/>
  <c r="BR108" i="7"/>
  <c r="BP108" i="7"/>
  <c r="BO108" i="7"/>
  <c r="BN108" i="7"/>
  <c r="BM108" i="7"/>
  <c r="BP107" i="7"/>
  <c r="BO107" i="7"/>
  <c r="BN107" i="7"/>
  <c r="BM107" i="7"/>
  <c r="BU107" i="7" s="1"/>
  <c r="BP106" i="7"/>
  <c r="BO106" i="7"/>
  <c r="BN106" i="7"/>
  <c r="BM106" i="7"/>
  <c r="BP105" i="7"/>
  <c r="BO105" i="7"/>
  <c r="BN105" i="7"/>
  <c r="BM105" i="7"/>
  <c r="BR105" i="7" s="1"/>
  <c r="BU104" i="7"/>
  <c r="BR104" i="7"/>
  <c r="BP104" i="7"/>
  <c r="BO104" i="7"/>
  <c r="BN104" i="7"/>
  <c r="BM104" i="7"/>
  <c r="BQ104" i="7" s="1"/>
  <c r="BS104" i="7" s="1"/>
  <c r="BT104" i="7" s="1"/>
  <c r="BP103" i="7"/>
  <c r="BO103" i="7"/>
  <c r="BN103" i="7"/>
  <c r="BM103" i="7"/>
  <c r="BR102" i="7"/>
  <c r="BP102" i="7"/>
  <c r="BO102" i="7"/>
  <c r="BN102" i="7"/>
  <c r="BM102" i="7"/>
  <c r="BP101" i="7"/>
  <c r="BO101" i="7"/>
  <c r="BN101" i="7"/>
  <c r="BM101" i="7"/>
  <c r="BR100" i="7"/>
  <c r="BQ100" i="7"/>
  <c r="BS100" i="7" s="1"/>
  <c r="BT100" i="7" s="1"/>
  <c r="BP100" i="7"/>
  <c r="BO100" i="7"/>
  <c r="BN100" i="7"/>
  <c r="BM100" i="7"/>
  <c r="BP99" i="7"/>
  <c r="BO99" i="7"/>
  <c r="BN99" i="7"/>
  <c r="BM99" i="7"/>
  <c r="BP98" i="7"/>
  <c r="BO98" i="7"/>
  <c r="BN98" i="7"/>
  <c r="BM98" i="7"/>
  <c r="BR98" i="7" s="1"/>
  <c r="BP97" i="7"/>
  <c r="BO97" i="7"/>
  <c r="BN97" i="7"/>
  <c r="BM97" i="7"/>
  <c r="BP96" i="7"/>
  <c r="BO96" i="7"/>
  <c r="BN96" i="7"/>
  <c r="BM96" i="7"/>
  <c r="BR96" i="7" s="1"/>
  <c r="BR95" i="7"/>
  <c r="BQ95" i="7"/>
  <c r="BS95" i="7" s="1"/>
  <c r="BT95" i="7" s="1"/>
  <c r="BP95" i="7"/>
  <c r="BO95" i="7"/>
  <c r="BN95" i="7"/>
  <c r="BU95" i="7" s="1"/>
  <c r="BM95" i="7"/>
  <c r="BP94" i="7"/>
  <c r="BO94" i="7"/>
  <c r="BN94" i="7"/>
  <c r="BM94" i="7"/>
  <c r="BR93" i="7"/>
  <c r="BQ93" i="7"/>
  <c r="BP93" i="7"/>
  <c r="BO93" i="7"/>
  <c r="BN93" i="7"/>
  <c r="BM93" i="7"/>
  <c r="BP92" i="7"/>
  <c r="BO92" i="7"/>
  <c r="BN92" i="7"/>
  <c r="BM92" i="7"/>
  <c r="BR91" i="7"/>
  <c r="BP91" i="7"/>
  <c r="BO91" i="7"/>
  <c r="BN91" i="7"/>
  <c r="BQ91" i="7" s="1"/>
  <c r="BU91" i="7" s="1"/>
  <c r="BM91" i="7"/>
  <c r="BP90" i="7"/>
  <c r="BO90" i="7"/>
  <c r="BN90" i="7"/>
  <c r="BR90" i="7" s="1"/>
  <c r="BM90" i="7"/>
  <c r="BP89" i="7"/>
  <c r="BO89" i="7"/>
  <c r="BN89" i="7"/>
  <c r="BR89" i="7" s="1"/>
  <c r="BM89" i="7"/>
  <c r="BQ89" i="7" s="1"/>
  <c r="BS89" i="7" s="1"/>
  <c r="BT89" i="7" s="1"/>
  <c r="BP88" i="7"/>
  <c r="BO88" i="7"/>
  <c r="BN88" i="7"/>
  <c r="BM88" i="7"/>
  <c r="BP87" i="7"/>
  <c r="BO87" i="7"/>
  <c r="BN87" i="7"/>
  <c r="BM87" i="7"/>
  <c r="BP86" i="7"/>
  <c r="BO86" i="7"/>
  <c r="BN86" i="7"/>
  <c r="BM86" i="7"/>
  <c r="BP85" i="7"/>
  <c r="BO85" i="7"/>
  <c r="BN85" i="7"/>
  <c r="BM85" i="7"/>
  <c r="BT84" i="7"/>
  <c r="BR84" i="7"/>
  <c r="BQ84" i="7"/>
  <c r="BS84" i="7" s="1"/>
  <c r="BP84" i="7"/>
  <c r="BO84" i="7"/>
  <c r="BN84" i="7"/>
  <c r="BM84" i="7"/>
  <c r="BQ83" i="7"/>
  <c r="BS83" i="7" s="1"/>
  <c r="BT83" i="7" s="1"/>
  <c r="BP83" i="7"/>
  <c r="BO83" i="7"/>
  <c r="BN83" i="7"/>
  <c r="BM83" i="7"/>
  <c r="BP82" i="7"/>
  <c r="BO82" i="7"/>
  <c r="BN82" i="7"/>
  <c r="BM82" i="7"/>
  <c r="BR82" i="7" s="1"/>
  <c r="BP81" i="7"/>
  <c r="BO81" i="7"/>
  <c r="BN81" i="7"/>
  <c r="BM81" i="7"/>
  <c r="BP80" i="7"/>
  <c r="BO80" i="7"/>
  <c r="BN80" i="7"/>
  <c r="BM80" i="7"/>
  <c r="BR80" i="7" s="1"/>
  <c r="BP79" i="7"/>
  <c r="BO79" i="7"/>
  <c r="BN79" i="7"/>
  <c r="BM79" i="7"/>
  <c r="BP78" i="7"/>
  <c r="BO78" i="7"/>
  <c r="BN78" i="7"/>
  <c r="BM78" i="7"/>
  <c r="BR77" i="7"/>
  <c r="BQ77" i="7"/>
  <c r="BU77" i="7" s="1"/>
  <c r="BP77" i="7"/>
  <c r="BO77" i="7"/>
  <c r="BN77" i="7"/>
  <c r="BM77" i="7"/>
  <c r="BP76" i="7"/>
  <c r="BO76" i="7"/>
  <c r="BN76" i="7"/>
  <c r="BM76" i="7"/>
  <c r="BU75" i="7"/>
  <c r="BS75" i="7"/>
  <c r="BT75" i="7" s="1"/>
  <c r="BR75" i="7"/>
  <c r="BP75" i="7"/>
  <c r="BO75" i="7"/>
  <c r="BN75" i="7"/>
  <c r="BQ75" i="7" s="1"/>
  <c r="BM75" i="7"/>
  <c r="BP74" i="7"/>
  <c r="BO74" i="7"/>
  <c r="BN74" i="7"/>
  <c r="BR74" i="7" s="1"/>
  <c r="BM74" i="7"/>
  <c r="BP73" i="7"/>
  <c r="BO73" i="7"/>
  <c r="BN73" i="7"/>
  <c r="BR73" i="7" s="1"/>
  <c r="BM73" i="7"/>
  <c r="BQ73" i="7" s="1"/>
  <c r="BP72" i="7"/>
  <c r="BO72" i="7"/>
  <c r="BN72" i="7"/>
  <c r="BM72" i="7"/>
  <c r="BP71" i="7"/>
  <c r="BO71" i="7"/>
  <c r="BN71" i="7"/>
  <c r="BM71" i="7"/>
  <c r="BR70" i="7"/>
  <c r="BP70" i="7"/>
  <c r="BO70" i="7"/>
  <c r="BN70" i="7"/>
  <c r="BM70" i="7"/>
  <c r="BP69" i="7"/>
  <c r="BO69" i="7"/>
  <c r="BN69" i="7"/>
  <c r="BM69" i="7"/>
  <c r="BU69" i="7" s="1"/>
  <c r="BU68" i="7"/>
  <c r="BR68" i="7"/>
  <c r="BQ68" i="7"/>
  <c r="BS68" i="7" s="1"/>
  <c r="BT68" i="7" s="1"/>
  <c r="BP68" i="7"/>
  <c r="BO68" i="7"/>
  <c r="BN68" i="7"/>
  <c r="BM68" i="7"/>
  <c r="BQ67" i="7"/>
  <c r="BS67" i="7" s="1"/>
  <c r="BT67" i="7" s="1"/>
  <c r="BP67" i="7"/>
  <c r="BO67" i="7"/>
  <c r="BN67" i="7"/>
  <c r="BM67" i="7"/>
  <c r="BP66" i="7"/>
  <c r="BO66" i="7"/>
  <c r="BN66" i="7"/>
  <c r="BM66" i="7"/>
  <c r="BR66" i="7" s="1"/>
  <c r="BP65" i="7"/>
  <c r="BO65" i="7"/>
  <c r="BN65" i="7"/>
  <c r="BM65" i="7"/>
  <c r="BP64" i="7"/>
  <c r="BO64" i="7"/>
  <c r="BN64" i="7"/>
  <c r="BM64" i="7"/>
  <c r="BR64" i="7" s="1"/>
  <c r="BR63" i="7"/>
  <c r="BP63" i="7"/>
  <c r="BO63" i="7"/>
  <c r="BN63" i="7"/>
  <c r="BM63" i="7"/>
  <c r="BP62" i="7"/>
  <c r="BO62" i="7"/>
  <c r="BN62" i="7"/>
  <c r="BM62" i="7"/>
  <c r="BR61" i="7"/>
  <c r="BQ61" i="7"/>
  <c r="BP61" i="7"/>
  <c r="BO61" i="7"/>
  <c r="BN61" i="7"/>
  <c r="BM61" i="7"/>
  <c r="BP60" i="7"/>
  <c r="BO60" i="7"/>
  <c r="BN60" i="7"/>
  <c r="BM60" i="7"/>
  <c r="BU59" i="7"/>
  <c r="BR59" i="7"/>
  <c r="BP59" i="7"/>
  <c r="BO59" i="7"/>
  <c r="BN59" i="7"/>
  <c r="BQ59" i="7" s="1"/>
  <c r="BS59" i="7" s="1"/>
  <c r="BT59" i="7" s="1"/>
  <c r="BM59" i="7"/>
  <c r="BR58" i="7"/>
  <c r="BP58" i="7"/>
  <c r="BO58" i="7"/>
  <c r="BN58" i="7"/>
  <c r="BM58" i="7"/>
  <c r="BU57" i="7"/>
  <c r="BT57" i="7"/>
  <c r="BP57" i="7"/>
  <c r="BO57" i="7"/>
  <c r="BN57" i="7"/>
  <c r="BR57" i="7" s="1"/>
  <c r="BM57" i="7"/>
  <c r="BQ57" i="7" s="1"/>
  <c r="BS57" i="7" s="1"/>
  <c r="BP56" i="7"/>
  <c r="BO56" i="7"/>
  <c r="BN56" i="7"/>
  <c r="BM56" i="7"/>
  <c r="BP55" i="7"/>
  <c r="BO55" i="7"/>
  <c r="BN55" i="7"/>
  <c r="BM55" i="7"/>
  <c r="BP54" i="7"/>
  <c r="BO54" i="7"/>
  <c r="BN54" i="7"/>
  <c r="BM54" i="7"/>
  <c r="BP53" i="7"/>
  <c r="BO53" i="7"/>
  <c r="BN53" i="7"/>
  <c r="BM53" i="7"/>
  <c r="BU52" i="7"/>
  <c r="BT52" i="7"/>
  <c r="BR52" i="7"/>
  <c r="BQ52" i="7"/>
  <c r="BS52" i="7" s="1"/>
  <c r="BP52" i="7"/>
  <c r="BO52" i="7"/>
  <c r="BN52" i="7"/>
  <c r="BM52" i="7"/>
  <c r="BP51" i="7"/>
  <c r="BO51" i="7"/>
  <c r="BN51" i="7"/>
  <c r="BQ51" i="7" s="1"/>
  <c r="BS51" i="7" s="1"/>
  <c r="BT51" i="7" s="1"/>
  <c r="BM51" i="7"/>
  <c r="BP50" i="7"/>
  <c r="BO50" i="7"/>
  <c r="BN50" i="7"/>
  <c r="BM50" i="7"/>
  <c r="BR50" i="7" s="1"/>
  <c r="BP49" i="7"/>
  <c r="BO49" i="7"/>
  <c r="BN49" i="7"/>
  <c r="BM49" i="7"/>
  <c r="BP48" i="7"/>
  <c r="BO48" i="7"/>
  <c r="BN48" i="7"/>
  <c r="BM48" i="7"/>
  <c r="BR48" i="7" s="1"/>
  <c r="BP47" i="7"/>
  <c r="BO47" i="7"/>
  <c r="BQ47" i="7" s="1"/>
  <c r="BS47" i="7" s="1"/>
  <c r="BT47" i="7" s="1"/>
  <c r="BN47" i="7"/>
  <c r="BM47" i="7"/>
  <c r="BP46" i="7"/>
  <c r="BO46" i="7"/>
  <c r="BN46" i="7"/>
  <c r="BM46" i="7"/>
  <c r="BS45" i="7"/>
  <c r="BT45" i="7" s="1"/>
  <c r="BR45" i="7"/>
  <c r="BQ45" i="7"/>
  <c r="BU45" i="7" s="1"/>
  <c r="BP45" i="7"/>
  <c r="BO45" i="7"/>
  <c r="BN45" i="7"/>
  <c r="BM45" i="7"/>
  <c r="BP44" i="7"/>
  <c r="BO44" i="7"/>
  <c r="BN44" i="7"/>
  <c r="BM44" i="7"/>
  <c r="BU43" i="7"/>
  <c r="BR43" i="7"/>
  <c r="BP43" i="7"/>
  <c r="BO43" i="7"/>
  <c r="BN43" i="7"/>
  <c r="BQ43" i="7" s="1"/>
  <c r="BS43" i="7" s="1"/>
  <c r="BT43" i="7" s="1"/>
  <c r="BM43" i="7"/>
  <c r="BP42" i="7"/>
  <c r="BO42" i="7"/>
  <c r="BN42" i="7"/>
  <c r="BM42" i="7"/>
  <c r="BU41" i="7"/>
  <c r="BT41" i="7"/>
  <c r="BP41" i="7"/>
  <c r="BO41" i="7"/>
  <c r="BN41" i="7"/>
  <c r="BR41" i="7" s="1"/>
  <c r="BM41" i="7"/>
  <c r="BQ41" i="7" s="1"/>
  <c r="BS41" i="7" s="1"/>
  <c r="BP40" i="7"/>
  <c r="BO40" i="7"/>
  <c r="BN40" i="7"/>
  <c r="BQ40" i="7" s="1"/>
  <c r="BS40" i="7" s="1"/>
  <c r="BT40" i="7" s="1"/>
  <c r="BM40" i="7"/>
  <c r="BP39" i="7"/>
  <c r="BO39" i="7"/>
  <c r="BN39" i="7"/>
  <c r="BM39" i="7"/>
  <c r="BR38" i="7"/>
  <c r="BP38" i="7"/>
  <c r="BO38" i="7"/>
  <c r="BN38" i="7"/>
  <c r="BM38" i="7"/>
  <c r="BP37" i="7"/>
  <c r="BO37" i="7"/>
  <c r="BN37" i="7"/>
  <c r="BM37" i="7"/>
  <c r="BR36" i="7"/>
  <c r="BQ36" i="7"/>
  <c r="BP36" i="7"/>
  <c r="BO36" i="7"/>
  <c r="BN36" i="7"/>
  <c r="BM36" i="7"/>
  <c r="BP35" i="7"/>
  <c r="BO35" i="7"/>
  <c r="BN35" i="7"/>
  <c r="BM35" i="7"/>
  <c r="BP34" i="7"/>
  <c r="BO34" i="7"/>
  <c r="BN34" i="7"/>
  <c r="BM34" i="7"/>
  <c r="BR34" i="7" s="1"/>
  <c r="BP33" i="7"/>
  <c r="BO33" i="7"/>
  <c r="BN33" i="7"/>
  <c r="BM33" i="7"/>
  <c r="BP32" i="7"/>
  <c r="BO32" i="7"/>
  <c r="BN32" i="7"/>
  <c r="BM32" i="7"/>
  <c r="BP31" i="7"/>
  <c r="BO31" i="7"/>
  <c r="BN31" i="7"/>
  <c r="BM31" i="7"/>
  <c r="BP30" i="7"/>
  <c r="BO30" i="7"/>
  <c r="BN30" i="7"/>
  <c r="BM30" i="7"/>
  <c r="BR29" i="7"/>
  <c r="BQ29" i="7"/>
  <c r="BU29" i="7" s="1"/>
  <c r="BP29" i="7"/>
  <c r="BO29" i="7"/>
  <c r="BN29" i="7"/>
  <c r="BM29" i="7"/>
  <c r="BP28" i="7"/>
  <c r="BO28" i="7"/>
  <c r="BN28" i="7"/>
  <c r="BM28" i="7"/>
  <c r="BU27" i="7"/>
  <c r="BR27" i="7"/>
  <c r="BP27" i="7"/>
  <c r="BO27" i="7"/>
  <c r="BN27" i="7"/>
  <c r="BQ27" i="7" s="1"/>
  <c r="BS27" i="7" s="1"/>
  <c r="BT27" i="7" s="1"/>
  <c r="BM27" i="7"/>
  <c r="BP26" i="7"/>
  <c r="BO26" i="7"/>
  <c r="BN26" i="7"/>
  <c r="BM26" i="7"/>
  <c r="BT25" i="7"/>
  <c r="BP25" i="7"/>
  <c r="BO25" i="7"/>
  <c r="BN25" i="7"/>
  <c r="BR25" i="7" s="1"/>
  <c r="BM25" i="7"/>
  <c r="BQ25" i="7" s="1"/>
  <c r="BS25" i="7" s="1"/>
  <c r="BP24" i="7"/>
  <c r="BO24" i="7"/>
  <c r="BR24" i="7" s="1"/>
  <c r="BN24" i="7"/>
  <c r="BM24" i="7"/>
  <c r="BP23" i="7"/>
  <c r="BO23" i="7"/>
  <c r="BN23" i="7"/>
  <c r="BM23" i="7"/>
  <c r="BU22" i="7"/>
  <c r="BR22" i="7"/>
  <c r="BP22" i="7"/>
  <c r="BO22" i="7"/>
  <c r="BQ22" i="7" s="1"/>
  <c r="BS22" i="7" s="1"/>
  <c r="BT22" i="7" s="1"/>
  <c r="BN22" i="7"/>
  <c r="BM22" i="7"/>
  <c r="BP21" i="7"/>
  <c r="BO21" i="7"/>
  <c r="BN21" i="7"/>
  <c r="BM21" i="7"/>
  <c r="BU20" i="7"/>
  <c r="BT20" i="7"/>
  <c r="BS20" i="7"/>
  <c r="BR20" i="7"/>
  <c r="BQ20" i="7"/>
  <c r="BP20" i="7"/>
  <c r="BO20" i="7"/>
  <c r="BN20" i="7"/>
  <c r="BM20" i="7"/>
  <c r="BP19" i="7"/>
  <c r="BO19" i="7"/>
  <c r="BN19" i="7"/>
  <c r="BM19" i="7"/>
  <c r="BP18" i="7"/>
  <c r="BO18" i="7"/>
  <c r="BN18" i="7"/>
  <c r="BM18" i="7"/>
  <c r="BP17" i="7"/>
  <c r="BO17" i="7"/>
  <c r="BN17" i="7"/>
  <c r="BM17" i="7"/>
  <c r="BP16" i="7"/>
  <c r="BO16" i="7"/>
  <c r="BN16" i="7"/>
  <c r="BM16" i="7"/>
  <c r="BP15" i="7"/>
  <c r="BO15" i="7"/>
  <c r="BN15" i="7"/>
  <c r="BM15" i="7"/>
  <c r="BP14" i="7"/>
  <c r="BO14" i="7"/>
  <c r="BN14" i="7"/>
  <c r="BM14" i="7"/>
  <c r="BU13" i="7"/>
  <c r="BR13" i="7"/>
  <c r="BQ13" i="7"/>
  <c r="BS13" i="7" s="1"/>
  <c r="BT13" i="7" s="1"/>
  <c r="BP13" i="7"/>
  <c r="BO13" i="7"/>
  <c r="BN13" i="7"/>
  <c r="BM13" i="7"/>
  <c r="BP12" i="7"/>
  <c r="BO12" i="7"/>
  <c r="BN12" i="7"/>
  <c r="BM12" i="7"/>
  <c r="BU11" i="7"/>
  <c r="BR11" i="7"/>
  <c r="BP11" i="7"/>
  <c r="BO11" i="7"/>
  <c r="BN11" i="7"/>
  <c r="BQ11" i="7" s="1"/>
  <c r="BS11" i="7" s="1"/>
  <c r="BT11" i="7" s="1"/>
  <c r="BM11" i="7"/>
  <c r="BP10" i="7"/>
  <c r="BO10" i="7"/>
  <c r="BN10" i="7"/>
  <c r="BR10" i="7" s="1"/>
  <c r="BM10" i="7"/>
  <c r="BP9" i="7"/>
  <c r="BO9" i="7"/>
  <c r="BN9" i="7"/>
  <c r="BR9" i="7" s="1"/>
  <c r="BM9" i="7"/>
  <c r="BP8" i="7"/>
  <c r="BO8" i="7"/>
  <c r="BN8" i="7"/>
  <c r="BM8" i="7"/>
  <c r="BR7" i="7"/>
  <c r="BP7" i="7"/>
  <c r="BO7" i="7"/>
  <c r="BN7" i="7"/>
  <c r="BM7" i="7"/>
  <c r="BP6" i="7"/>
  <c r="BO6" i="7"/>
  <c r="BN6" i="7"/>
  <c r="BM6" i="7"/>
  <c r="BP5" i="7"/>
  <c r="BO5" i="7"/>
  <c r="BN5" i="7"/>
  <c r="BR5" i="7" s="1"/>
  <c r="BM5" i="7"/>
  <c r="BQ4" i="7"/>
  <c r="BS4" i="7" s="1"/>
  <c r="BT4" i="7" s="1"/>
  <c r="BP4" i="7"/>
  <c r="BO4" i="7"/>
  <c r="BN4" i="7"/>
  <c r="BM4" i="7"/>
  <c r="BU4" i="7" s="1"/>
  <c r="BR11" i="6"/>
  <c r="BP11" i="6"/>
  <c r="BO11" i="6"/>
  <c r="BN11" i="6"/>
  <c r="BQ11" i="6" s="1"/>
  <c r="BS11" i="6" s="1"/>
  <c r="BT11" i="6" s="1"/>
  <c r="BM11" i="6"/>
  <c r="BP10" i="6"/>
  <c r="BO10" i="6"/>
  <c r="BN10" i="6"/>
  <c r="BM10" i="6"/>
  <c r="BP9" i="6"/>
  <c r="BO9" i="6"/>
  <c r="BN9" i="6"/>
  <c r="BM9" i="6"/>
  <c r="BP8" i="6"/>
  <c r="BO8" i="6"/>
  <c r="BN8" i="6"/>
  <c r="BM8" i="6"/>
  <c r="BR8" i="6" s="1"/>
  <c r="BP7" i="6"/>
  <c r="BO7" i="6"/>
  <c r="BN7" i="6"/>
  <c r="BM7" i="6"/>
  <c r="BP6" i="6"/>
  <c r="BO6" i="6"/>
  <c r="BN6" i="6"/>
  <c r="BM6" i="6"/>
  <c r="BP5" i="6"/>
  <c r="BO5" i="6"/>
  <c r="BN5" i="6"/>
  <c r="BM5" i="6"/>
  <c r="BP4" i="6"/>
  <c r="BO4" i="6"/>
  <c r="BN4" i="6"/>
  <c r="BM4" i="6"/>
  <c r="BP51" i="5"/>
  <c r="BO51" i="5"/>
  <c r="BN51" i="5"/>
  <c r="BM51" i="5"/>
  <c r="BR50" i="5"/>
  <c r="BP50" i="5"/>
  <c r="BO50" i="5"/>
  <c r="BU50" i="5" s="1"/>
  <c r="BN50" i="5"/>
  <c r="BM50" i="5"/>
  <c r="BQ50" i="5" s="1"/>
  <c r="BS50" i="5" s="1"/>
  <c r="BT50" i="5" s="1"/>
  <c r="BP49" i="5"/>
  <c r="BO49" i="5"/>
  <c r="BN49" i="5"/>
  <c r="BM49" i="5"/>
  <c r="BP48" i="5"/>
  <c r="BO48" i="5"/>
  <c r="BN48" i="5"/>
  <c r="BM48" i="5"/>
  <c r="BR48" i="5" s="1"/>
  <c r="BP47" i="5"/>
  <c r="BO47" i="5"/>
  <c r="BN47" i="5"/>
  <c r="BM47" i="5"/>
  <c r="BP46" i="5"/>
  <c r="BO46" i="5"/>
  <c r="BN46" i="5"/>
  <c r="BM46" i="5"/>
  <c r="BR46" i="5" s="1"/>
  <c r="BQ45" i="5"/>
  <c r="BS45" i="5" s="1"/>
  <c r="BT45" i="5" s="1"/>
  <c r="BP45" i="5"/>
  <c r="BO45" i="5"/>
  <c r="BN45" i="5"/>
  <c r="BM45" i="5"/>
  <c r="BP44" i="5"/>
  <c r="BO44" i="5"/>
  <c r="BN44" i="5"/>
  <c r="BQ44" i="5" s="1"/>
  <c r="BS44" i="5" s="1"/>
  <c r="BT44" i="5" s="1"/>
  <c r="BM44" i="5"/>
  <c r="BU44" i="5" s="1"/>
  <c r="BQ43" i="5"/>
  <c r="BS43" i="5" s="1"/>
  <c r="BT43" i="5" s="1"/>
  <c r="BP43" i="5"/>
  <c r="BO43" i="5"/>
  <c r="BN43" i="5"/>
  <c r="BM43" i="5"/>
  <c r="BP42" i="5"/>
  <c r="BO42" i="5"/>
  <c r="BN42" i="5"/>
  <c r="BM42" i="5"/>
  <c r="BR41" i="5"/>
  <c r="BP41" i="5"/>
  <c r="BO41" i="5"/>
  <c r="BN41" i="5"/>
  <c r="BM41" i="5"/>
  <c r="BQ41" i="5" s="1"/>
  <c r="BU41" i="5" s="1"/>
  <c r="BP40" i="5"/>
  <c r="BO40" i="5"/>
  <c r="BN40" i="5"/>
  <c r="BM40" i="5"/>
  <c r="BU39" i="5"/>
  <c r="BT39" i="5"/>
  <c r="BQ39" i="5"/>
  <c r="BS39" i="5" s="1"/>
  <c r="BP39" i="5"/>
  <c r="BO39" i="5"/>
  <c r="BN39" i="5"/>
  <c r="BM39" i="5"/>
  <c r="BR39" i="5" s="1"/>
  <c r="BP38" i="5"/>
  <c r="BO38" i="5"/>
  <c r="BN38" i="5"/>
  <c r="BM38" i="5"/>
  <c r="BP37" i="5"/>
  <c r="BO37" i="5"/>
  <c r="BN37" i="5"/>
  <c r="BM37" i="5"/>
  <c r="BR36" i="5"/>
  <c r="BP36" i="5"/>
  <c r="BO36" i="5"/>
  <c r="BN36" i="5"/>
  <c r="BM36" i="5"/>
  <c r="BP35" i="5"/>
  <c r="BO35" i="5"/>
  <c r="BU35" i="5" s="1"/>
  <c r="BN35" i="5"/>
  <c r="BQ35" i="5" s="1"/>
  <c r="BS35" i="5" s="1"/>
  <c r="BT35" i="5" s="1"/>
  <c r="BM35" i="5"/>
  <c r="BU34" i="5"/>
  <c r="BR34" i="5"/>
  <c r="BQ34" i="5"/>
  <c r="BS34" i="5" s="1"/>
  <c r="BT34" i="5" s="1"/>
  <c r="BP34" i="5"/>
  <c r="BO34" i="5"/>
  <c r="BN34" i="5"/>
  <c r="BM34" i="5"/>
  <c r="BP33" i="5"/>
  <c r="BO33" i="5"/>
  <c r="BN33" i="5"/>
  <c r="BM33" i="5"/>
  <c r="BP32" i="5"/>
  <c r="BO32" i="5"/>
  <c r="BN32" i="5"/>
  <c r="BM32" i="5"/>
  <c r="BR32" i="5" s="1"/>
  <c r="BP31" i="5"/>
  <c r="BO31" i="5"/>
  <c r="BN31" i="5"/>
  <c r="BM31" i="5"/>
  <c r="BP30" i="5"/>
  <c r="BO30" i="5"/>
  <c r="BN30" i="5"/>
  <c r="BM30" i="5"/>
  <c r="BR30" i="5" s="1"/>
  <c r="BP29" i="5"/>
  <c r="BO29" i="5"/>
  <c r="BN29" i="5"/>
  <c r="BM29" i="5"/>
  <c r="BP28" i="5"/>
  <c r="BO28" i="5"/>
  <c r="BN28" i="5"/>
  <c r="BQ28" i="5" s="1"/>
  <c r="BS28" i="5" s="1"/>
  <c r="BT28" i="5" s="1"/>
  <c r="BM28" i="5"/>
  <c r="BQ27" i="5"/>
  <c r="BS27" i="5" s="1"/>
  <c r="BT27" i="5" s="1"/>
  <c r="BP27" i="5"/>
  <c r="BO27" i="5"/>
  <c r="BN27" i="5"/>
  <c r="BM27" i="5"/>
  <c r="BU27" i="5" s="1"/>
  <c r="BP26" i="5"/>
  <c r="BO26" i="5"/>
  <c r="BN26" i="5"/>
  <c r="BM26" i="5"/>
  <c r="BU25" i="5"/>
  <c r="BS25" i="5"/>
  <c r="BT25" i="5" s="1"/>
  <c r="BR25" i="5"/>
  <c r="BP25" i="5"/>
  <c r="BO25" i="5"/>
  <c r="BN25" i="5"/>
  <c r="BM25" i="5"/>
  <c r="BQ25" i="5" s="1"/>
  <c r="BP24" i="5"/>
  <c r="BO24" i="5"/>
  <c r="BN24" i="5"/>
  <c r="BM24" i="5"/>
  <c r="BU23" i="5"/>
  <c r="BT23" i="5"/>
  <c r="BQ23" i="5"/>
  <c r="BS23" i="5" s="1"/>
  <c r="BP23" i="5"/>
  <c r="BO23" i="5"/>
  <c r="BN23" i="5"/>
  <c r="BM23" i="5"/>
  <c r="BR23" i="5" s="1"/>
  <c r="BQ22" i="5"/>
  <c r="BS22" i="5" s="1"/>
  <c r="BT22" i="5" s="1"/>
  <c r="BP22" i="5"/>
  <c r="BO22" i="5"/>
  <c r="BN22" i="5"/>
  <c r="BM22" i="5"/>
  <c r="BP21" i="5"/>
  <c r="BO21" i="5"/>
  <c r="BN21" i="5"/>
  <c r="BM21" i="5"/>
  <c r="BR20" i="5"/>
  <c r="BP20" i="5"/>
  <c r="BO20" i="5"/>
  <c r="BN20" i="5"/>
  <c r="BM20" i="5"/>
  <c r="BP19" i="5"/>
  <c r="BO19" i="5"/>
  <c r="BU19" i="5" s="1"/>
  <c r="BN19" i="5"/>
  <c r="BM19" i="5"/>
  <c r="BQ19" i="5" s="1"/>
  <c r="BS19" i="5" s="1"/>
  <c r="BT19" i="5" s="1"/>
  <c r="BU18" i="5"/>
  <c r="BR18" i="5"/>
  <c r="BQ18" i="5"/>
  <c r="BS18" i="5" s="1"/>
  <c r="BT18" i="5" s="1"/>
  <c r="BP18" i="5"/>
  <c r="BO18" i="5"/>
  <c r="BN18" i="5"/>
  <c r="BM18" i="5"/>
  <c r="BP17" i="5"/>
  <c r="BO17" i="5"/>
  <c r="BN17" i="5"/>
  <c r="BM17" i="5"/>
  <c r="BP16" i="5"/>
  <c r="BO16" i="5"/>
  <c r="BN16" i="5"/>
  <c r="BM16" i="5"/>
  <c r="BR16" i="5" s="1"/>
  <c r="BP15" i="5"/>
  <c r="BO15" i="5"/>
  <c r="BN15" i="5"/>
  <c r="BM15" i="5"/>
  <c r="BP14" i="5"/>
  <c r="BO14" i="5"/>
  <c r="BN14" i="5"/>
  <c r="BM14" i="5"/>
  <c r="BR14" i="5" s="1"/>
  <c r="BR13" i="5"/>
  <c r="BP13" i="5"/>
  <c r="BO13" i="5"/>
  <c r="BQ13" i="5" s="1"/>
  <c r="BS13" i="5" s="1"/>
  <c r="BT13" i="5" s="1"/>
  <c r="BN13" i="5"/>
  <c r="BM13" i="5"/>
  <c r="BP12" i="5"/>
  <c r="BO12" i="5"/>
  <c r="BN12" i="5"/>
  <c r="BQ12" i="5" s="1"/>
  <c r="BS12" i="5" s="1"/>
  <c r="BT12" i="5" s="1"/>
  <c r="BM12" i="5"/>
  <c r="BS11" i="5"/>
  <c r="BT11" i="5" s="1"/>
  <c r="BQ11" i="5"/>
  <c r="BP11" i="5"/>
  <c r="BO11" i="5"/>
  <c r="BN11" i="5"/>
  <c r="BM11" i="5"/>
  <c r="BU11" i="5" s="1"/>
  <c r="BP10" i="5"/>
  <c r="BO10" i="5"/>
  <c r="BN10" i="5"/>
  <c r="BM10" i="5"/>
  <c r="BR9" i="5"/>
  <c r="BP9" i="5"/>
  <c r="BO9" i="5"/>
  <c r="BN9" i="5"/>
  <c r="BM9" i="5"/>
  <c r="BQ9" i="5" s="1"/>
  <c r="BU9" i="5" s="1"/>
  <c r="BP8" i="5"/>
  <c r="BO8" i="5"/>
  <c r="BN8" i="5"/>
  <c r="BM8" i="5"/>
  <c r="BU7" i="5"/>
  <c r="BQ7" i="5"/>
  <c r="BS7" i="5" s="1"/>
  <c r="BT7" i="5" s="1"/>
  <c r="BP7" i="5"/>
  <c r="BO7" i="5"/>
  <c r="BN7" i="5"/>
  <c r="BM7" i="5"/>
  <c r="BR7" i="5" s="1"/>
  <c r="BP6" i="5"/>
  <c r="BO6" i="5"/>
  <c r="BN6" i="5"/>
  <c r="BM6" i="5"/>
  <c r="BP5" i="5"/>
  <c r="BO5" i="5"/>
  <c r="BN5" i="5"/>
  <c r="BM5" i="5"/>
  <c r="BP4" i="5"/>
  <c r="BO4" i="5"/>
  <c r="BN4" i="5"/>
  <c r="BM4" i="5"/>
  <c r="BP73" i="4"/>
  <c r="BO73" i="4"/>
  <c r="BU73" i="4" s="1"/>
  <c r="BN73" i="4"/>
  <c r="BM73" i="4"/>
  <c r="BQ73" i="4" s="1"/>
  <c r="BS73" i="4" s="1"/>
  <c r="BT73" i="4" s="1"/>
  <c r="BT72" i="4"/>
  <c r="BR72" i="4"/>
  <c r="BQ72" i="4"/>
  <c r="BS72" i="4" s="1"/>
  <c r="BP72" i="4"/>
  <c r="BO72" i="4"/>
  <c r="BN72" i="4"/>
  <c r="BM72" i="4"/>
  <c r="BP71" i="4"/>
  <c r="BO71" i="4"/>
  <c r="BN71" i="4"/>
  <c r="BM71" i="4"/>
  <c r="BP70" i="4"/>
  <c r="BO70" i="4"/>
  <c r="BN70" i="4"/>
  <c r="BM70" i="4"/>
  <c r="BR70" i="4" s="1"/>
  <c r="BP69" i="4"/>
  <c r="BO69" i="4"/>
  <c r="BN69" i="4"/>
  <c r="BM69" i="4"/>
  <c r="BU68" i="4"/>
  <c r="BP68" i="4"/>
  <c r="BO68" i="4"/>
  <c r="BN68" i="4"/>
  <c r="BM68" i="4"/>
  <c r="BR68" i="4" s="1"/>
  <c r="BP67" i="4"/>
  <c r="BO67" i="4"/>
  <c r="BN67" i="4"/>
  <c r="BM67" i="4"/>
  <c r="BP66" i="4"/>
  <c r="BO66" i="4"/>
  <c r="BN66" i="4"/>
  <c r="BM66" i="4"/>
  <c r="BR66" i="4" s="1"/>
  <c r="BS65" i="4"/>
  <c r="BT65" i="4" s="1"/>
  <c r="BQ65" i="4"/>
  <c r="BP65" i="4"/>
  <c r="BO65" i="4"/>
  <c r="BN65" i="4"/>
  <c r="BM65" i="4"/>
  <c r="BP64" i="4"/>
  <c r="BO64" i="4"/>
  <c r="BN64" i="4"/>
  <c r="BM64" i="4"/>
  <c r="BR63" i="4"/>
  <c r="BP63" i="4"/>
  <c r="BO63" i="4"/>
  <c r="BN63" i="4"/>
  <c r="BM63" i="4"/>
  <c r="BQ63" i="4" s="1"/>
  <c r="BU63" i="4" s="1"/>
  <c r="BP62" i="4"/>
  <c r="BO62" i="4"/>
  <c r="BN62" i="4"/>
  <c r="BR62" i="4" s="1"/>
  <c r="BM62" i="4"/>
  <c r="BU61" i="4"/>
  <c r="BR61" i="4"/>
  <c r="BQ61" i="4"/>
  <c r="BS61" i="4" s="1"/>
  <c r="BT61" i="4" s="1"/>
  <c r="BP61" i="4"/>
  <c r="BO61" i="4"/>
  <c r="BN61" i="4"/>
  <c r="BM61" i="4"/>
  <c r="BP60" i="4"/>
  <c r="BO60" i="4"/>
  <c r="BN60" i="4"/>
  <c r="BM60" i="4"/>
  <c r="BP59" i="4"/>
  <c r="BO59" i="4"/>
  <c r="BN59" i="4"/>
  <c r="BM59" i="4"/>
  <c r="BR58" i="4"/>
  <c r="BP58" i="4"/>
  <c r="BO58" i="4"/>
  <c r="BQ58" i="4" s="1"/>
  <c r="BS58" i="4" s="1"/>
  <c r="BT58" i="4" s="1"/>
  <c r="BN58" i="4"/>
  <c r="BM58" i="4"/>
  <c r="BU58" i="4" s="1"/>
  <c r="BP57" i="4"/>
  <c r="BO57" i="4"/>
  <c r="BN57" i="4"/>
  <c r="BR57" i="4" s="1"/>
  <c r="BM57" i="4"/>
  <c r="BQ57" i="4" s="1"/>
  <c r="BS57" i="4" s="1"/>
  <c r="BT57" i="4" s="1"/>
  <c r="BU56" i="4"/>
  <c r="BR56" i="4"/>
  <c r="BQ56" i="4"/>
  <c r="BS56" i="4" s="1"/>
  <c r="BT56" i="4" s="1"/>
  <c r="BP56" i="4"/>
  <c r="BO56" i="4"/>
  <c r="BN56" i="4"/>
  <c r="BM56" i="4"/>
  <c r="BP55" i="4"/>
  <c r="BO55" i="4"/>
  <c r="BN55" i="4"/>
  <c r="BM55" i="4"/>
  <c r="BU54" i="4"/>
  <c r="BT54" i="4"/>
  <c r="BS54" i="4"/>
  <c r="BQ54" i="4"/>
  <c r="BP54" i="4"/>
  <c r="BO54" i="4"/>
  <c r="BN54" i="4"/>
  <c r="BM54" i="4"/>
  <c r="BR54" i="4" s="1"/>
  <c r="BP53" i="4"/>
  <c r="BO53" i="4"/>
  <c r="BN53" i="4"/>
  <c r="BM53" i="4"/>
  <c r="BP52" i="4"/>
  <c r="BO52" i="4"/>
  <c r="BN52" i="4"/>
  <c r="BM52" i="4"/>
  <c r="BR52" i="4" s="1"/>
  <c r="BP51" i="4"/>
  <c r="BO51" i="4"/>
  <c r="BN51" i="4"/>
  <c r="BM51" i="4"/>
  <c r="BP50" i="4"/>
  <c r="BO50" i="4"/>
  <c r="BN50" i="4"/>
  <c r="BM50" i="4"/>
  <c r="BR50" i="4" s="1"/>
  <c r="BS49" i="4"/>
  <c r="BT49" i="4" s="1"/>
  <c r="BQ49" i="4"/>
  <c r="BP49" i="4"/>
  <c r="BO49" i="4"/>
  <c r="BN49" i="4"/>
  <c r="BM49" i="4"/>
  <c r="BU49" i="4" s="1"/>
  <c r="BP48" i="4"/>
  <c r="BO48" i="4"/>
  <c r="BN48" i="4"/>
  <c r="BM48" i="4"/>
  <c r="BU47" i="4"/>
  <c r="BS47" i="4"/>
  <c r="BT47" i="4" s="1"/>
  <c r="BR47" i="4"/>
  <c r="BP47" i="4"/>
  <c r="BO47" i="4"/>
  <c r="BN47" i="4"/>
  <c r="BM47" i="4"/>
  <c r="BQ47" i="4" s="1"/>
  <c r="BP46" i="4"/>
  <c r="BO46" i="4"/>
  <c r="BN46" i="4"/>
  <c r="BR46" i="4" s="1"/>
  <c r="BM46" i="4"/>
  <c r="BU45" i="4"/>
  <c r="BR45" i="4"/>
  <c r="BQ45" i="4"/>
  <c r="BS45" i="4" s="1"/>
  <c r="BT45" i="4" s="1"/>
  <c r="BP45" i="4"/>
  <c r="BO45" i="4"/>
  <c r="BN45" i="4"/>
  <c r="BM45" i="4"/>
  <c r="BP44" i="4"/>
  <c r="BO44" i="4"/>
  <c r="BN44" i="4"/>
  <c r="BM44" i="4"/>
  <c r="BP43" i="4"/>
  <c r="BO43" i="4"/>
  <c r="BN43" i="4"/>
  <c r="BM43" i="4"/>
  <c r="BR42" i="4"/>
  <c r="BP42" i="4"/>
  <c r="BO42" i="4"/>
  <c r="BQ42" i="4" s="1"/>
  <c r="BS42" i="4" s="1"/>
  <c r="BT42" i="4" s="1"/>
  <c r="BN42" i="4"/>
  <c r="BM42" i="4"/>
  <c r="BU42" i="4" s="1"/>
  <c r="BP41" i="4"/>
  <c r="BO41" i="4"/>
  <c r="BN41" i="4"/>
  <c r="BR41" i="4" s="1"/>
  <c r="BM41" i="4"/>
  <c r="BQ41" i="4" s="1"/>
  <c r="BS41" i="4" s="1"/>
  <c r="BT41" i="4" s="1"/>
  <c r="BR40" i="4"/>
  <c r="BQ40" i="4"/>
  <c r="BS40" i="4" s="1"/>
  <c r="BT40" i="4" s="1"/>
  <c r="BP40" i="4"/>
  <c r="BO40" i="4"/>
  <c r="BN40" i="4"/>
  <c r="BM40" i="4"/>
  <c r="BP39" i="4"/>
  <c r="BO39" i="4"/>
  <c r="BN39" i="4"/>
  <c r="BM39" i="4"/>
  <c r="BU38" i="4"/>
  <c r="BS38" i="4"/>
  <c r="BT38" i="4" s="1"/>
  <c r="BQ38" i="4"/>
  <c r="BP38" i="4"/>
  <c r="BO38" i="4"/>
  <c r="BN38" i="4"/>
  <c r="BM38" i="4"/>
  <c r="BR38" i="4" s="1"/>
  <c r="BP37" i="4"/>
  <c r="BO37" i="4"/>
  <c r="BN37" i="4"/>
  <c r="BM37" i="4"/>
  <c r="BP36" i="4"/>
  <c r="BO36" i="4"/>
  <c r="BN36" i="4"/>
  <c r="BM36" i="4"/>
  <c r="BR36" i="4" s="1"/>
  <c r="BP35" i="4"/>
  <c r="BO35" i="4"/>
  <c r="BN35" i="4"/>
  <c r="BM35" i="4"/>
  <c r="BP34" i="4"/>
  <c r="BO34" i="4"/>
  <c r="BN34" i="4"/>
  <c r="BM34" i="4"/>
  <c r="BR34" i="4" s="1"/>
  <c r="BS33" i="4"/>
  <c r="BT33" i="4" s="1"/>
  <c r="BR33" i="4"/>
  <c r="BQ33" i="4"/>
  <c r="BP33" i="4"/>
  <c r="BO33" i="4"/>
  <c r="BN33" i="4"/>
  <c r="BM33" i="4"/>
  <c r="BP32" i="4"/>
  <c r="BO32" i="4"/>
  <c r="BN32" i="4"/>
  <c r="BM32" i="4"/>
  <c r="BR31" i="4"/>
  <c r="BP31" i="4"/>
  <c r="BO31" i="4"/>
  <c r="BN31" i="4"/>
  <c r="BM31" i="4"/>
  <c r="BQ31" i="4" s="1"/>
  <c r="BU31" i="4" s="1"/>
  <c r="BP30" i="4"/>
  <c r="BO30" i="4"/>
  <c r="BN30" i="4"/>
  <c r="BM30" i="4"/>
  <c r="BU29" i="4"/>
  <c r="BT29" i="4"/>
  <c r="BR29" i="4"/>
  <c r="BQ29" i="4"/>
  <c r="BS29" i="4" s="1"/>
  <c r="BP29" i="4"/>
  <c r="BO29" i="4"/>
  <c r="BN29" i="4"/>
  <c r="BM29" i="4"/>
  <c r="BP28" i="4"/>
  <c r="BO28" i="4"/>
  <c r="BN28" i="4"/>
  <c r="BM28" i="4"/>
  <c r="BP27" i="4"/>
  <c r="BO27" i="4"/>
  <c r="BN27" i="4"/>
  <c r="BM27" i="4"/>
  <c r="BS26" i="4"/>
  <c r="BT26" i="4" s="1"/>
  <c r="BR26" i="4"/>
  <c r="BP26" i="4"/>
  <c r="BO26" i="4"/>
  <c r="BQ26" i="4" s="1"/>
  <c r="BN26" i="4"/>
  <c r="BM26" i="4"/>
  <c r="BU26" i="4" s="1"/>
  <c r="BP25" i="4"/>
  <c r="BO25" i="4"/>
  <c r="BN25" i="4"/>
  <c r="BM25" i="4"/>
  <c r="BQ25" i="4" s="1"/>
  <c r="BS25" i="4" s="1"/>
  <c r="BT25" i="4" s="1"/>
  <c r="BU24" i="4"/>
  <c r="BT24" i="4"/>
  <c r="BR24" i="4"/>
  <c r="BQ24" i="4"/>
  <c r="BS24" i="4" s="1"/>
  <c r="BP24" i="4"/>
  <c r="BO24" i="4"/>
  <c r="BN24" i="4"/>
  <c r="BM24" i="4"/>
  <c r="BP23" i="4"/>
  <c r="BO23" i="4"/>
  <c r="BN23" i="4"/>
  <c r="BM23" i="4"/>
  <c r="BU22" i="4"/>
  <c r="BS22" i="4"/>
  <c r="BT22" i="4" s="1"/>
  <c r="BQ22" i="4"/>
  <c r="BP22" i="4"/>
  <c r="BO22" i="4"/>
  <c r="BN22" i="4"/>
  <c r="BM22" i="4"/>
  <c r="BR22" i="4" s="1"/>
  <c r="BP21" i="4"/>
  <c r="BO21" i="4"/>
  <c r="BN21" i="4"/>
  <c r="BM21" i="4"/>
  <c r="BP20" i="4"/>
  <c r="BO20" i="4"/>
  <c r="BN20" i="4"/>
  <c r="BM20" i="4"/>
  <c r="BR20" i="4" s="1"/>
  <c r="BP19" i="4"/>
  <c r="BO19" i="4"/>
  <c r="BN19" i="4"/>
  <c r="BM19" i="4"/>
  <c r="BP18" i="4"/>
  <c r="BO18" i="4"/>
  <c r="BN18" i="4"/>
  <c r="BU18" i="4" s="1"/>
  <c r="BM18" i="4"/>
  <c r="BR18" i="4" s="1"/>
  <c r="BR17" i="4"/>
  <c r="BQ17" i="4"/>
  <c r="BS17" i="4" s="1"/>
  <c r="BT17" i="4" s="1"/>
  <c r="BP17" i="4"/>
  <c r="BO17" i="4"/>
  <c r="BN17" i="4"/>
  <c r="BM17" i="4"/>
  <c r="BU17" i="4" s="1"/>
  <c r="BP16" i="4"/>
  <c r="BO16" i="4"/>
  <c r="BN16" i="4"/>
  <c r="BM16" i="4"/>
  <c r="BR15" i="4"/>
  <c r="BP15" i="4"/>
  <c r="BO15" i="4"/>
  <c r="BN15" i="4"/>
  <c r="BM15" i="4"/>
  <c r="BQ15" i="4" s="1"/>
  <c r="BU15" i="4" s="1"/>
  <c r="BP14" i="4"/>
  <c r="BO14" i="4"/>
  <c r="BN14" i="4"/>
  <c r="BM14" i="4"/>
  <c r="BU13" i="4"/>
  <c r="BT13" i="4"/>
  <c r="BR13" i="4"/>
  <c r="BQ13" i="4"/>
  <c r="BS13" i="4" s="1"/>
  <c r="BP13" i="4"/>
  <c r="BO13" i="4"/>
  <c r="BN13" i="4"/>
  <c r="BM13" i="4"/>
  <c r="BP12" i="4"/>
  <c r="BO12" i="4"/>
  <c r="BN12" i="4"/>
  <c r="BM12" i="4"/>
  <c r="BP11" i="4"/>
  <c r="BO11" i="4"/>
  <c r="BN11" i="4"/>
  <c r="BM11" i="4"/>
  <c r="BS10" i="4"/>
  <c r="BT10" i="4" s="1"/>
  <c r="BP10" i="4"/>
  <c r="BO10" i="4"/>
  <c r="BQ10" i="4" s="1"/>
  <c r="BN10" i="4"/>
  <c r="BM10" i="4"/>
  <c r="BP9" i="4"/>
  <c r="BO9" i="4"/>
  <c r="BU9" i="4" s="1"/>
  <c r="BN9" i="4"/>
  <c r="BM9" i="4"/>
  <c r="BQ9" i="4" s="1"/>
  <c r="BS9" i="4" s="1"/>
  <c r="BT9" i="4" s="1"/>
  <c r="BR8" i="4"/>
  <c r="BQ8" i="4"/>
  <c r="BS8" i="4" s="1"/>
  <c r="BT8" i="4" s="1"/>
  <c r="BP8" i="4"/>
  <c r="BO8" i="4"/>
  <c r="BN8" i="4"/>
  <c r="BM8" i="4"/>
  <c r="BP7" i="4"/>
  <c r="BO7" i="4"/>
  <c r="BN7" i="4"/>
  <c r="BM7" i="4"/>
  <c r="BU6" i="4"/>
  <c r="BS6" i="4"/>
  <c r="BT6" i="4" s="1"/>
  <c r="BQ6" i="4"/>
  <c r="BP6" i="4"/>
  <c r="BO6" i="4"/>
  <c r="BN6" i="4"/>
  <c r="BM6" i="4"/>
  <c r="BR6" i="4" s="1"/>
  <c r="BP5" i="4"/>
  <c r="BO5" i="4"/>
  <c r="BN5" i="4"/>
  <c r="BM5" i="4"/>
  <c r="BP4" i="4"/>
  <c r="BO4" i="4"/>
  <c r="BN4" i="4"/>
  <c r="BM4" i="4"/>
  <c r="BR4" i="4" s="1"/>
  <c r="DL145" i="3"/>
  <c r="DK145" i="3"/>
  <c r="DJ145" i="3"/>
  <c r="DI145" i="3"/>
  <c r="DL144" i="3"/>
  <c r="DK144" i="3"/>
  <c r="DJ144" i="3"/>
  <c r="DI144" i="3"/>
  <c r="DN144" i="3" s="1"/>
  <c r="DO143" i="3"/>
  <c r="DP143" i="3" s="1"/>
  <c r="DN143" i="3"/>
  <c r="DM143" i="3"/>
  <c r="DL143" i="3"/>
  <c r="DK143" i="3"/>
  <c r="DJ143" i="3"/>
  <c r="DI143" i="3"/>
  <c r="DQ143" i="3" s="1"/>
  <c r="DL142" i="3"/>
  <c r="DK142" i="3"/>
  <c r="DJ142" i="3"/>
  <c r="DI142" i="3"/>
  <c r="DN141" i="3"/>
  <c r="DL141" i="3"/>
  <c r="DK141" i="3"/>
  <c r="DM141" i="3" s="1"/>
  <c r="DQ141" i="3" s="1"/>
  <c r="DJ141" i="3"/>
  <c r="DI141" i="3"/>
  <c r="DL140" i="3"/>
  <c r="DK140" i="3"/>
  <c r="DJ140" i="3"/>
  <c r="DN140" i="3" s="1"/>
  <c r="DI140" i="3"/>
  <c r="DQ139" i="3"/>
  <c r="DN139" i="3"/>
  <c r="DM139" i="3"/>
  <c r="DO139" i="3" s="1"/>
  <c r="DP139" i="3" s="1"/>
  <c r="DL139" i="3"/>
  <c r="DK139" i="3"/>
  <c r="DJ139" i="3"/>
  <c r="DI139" i="3"/>
  <c r="DM138" i="3"/>
  <c r="DO138" i="3" s="1"/>
  <c r="DP138" i="3" s="1"/>
  <c r="DL138" i="3"/>
  <c r="DK138" i="3"/>
  <c r="DJ138" i="3"/>
  <c r="DI138" i="3"/>
  <c r="DL137" i="3"/>
  <c r="DK137" i="3"/>
  <c r="DJ137" i="3"/>
  <c r="DI137" i="3"/>
  <c r="DL136" i="3"/>
  <c r="DK136" i="3"/>
  <c r="DM136" i="3" s="1"/>
  <c r="DO136" i="3" s="1"/>
  <c r="DP136" i="3" s="1"/>
  <c r="DJ136" i="3"/>
  <c r="DI136" i="3"/>
  <c r="DL135" i="3"/>
  <c r="DK135" i="3"/>
  <c r="DJ135" i="3"/>
  <c r="DI135" i="3"/>
  <c r="DN135" i="3" s="1"/>
  <c r="DQ134" i="3"/>
  <c r="DN134" i="3"/>
  <c r="DM134" i="3"/>
  <c r="DO134" i="3" s="1"/>
  <c r="DP134" i="3" s="1"/>
  <c r="DL134" i="3"/>
  <c r="DK134" i="3"/>
  <c r="DJ134" i="3"/>
  <c r="DI134" i="3"/>
  <c r="DL133" i="3"/>
  <c r="DK133" i="3"/>
  <c r="DJ133" i="3"/>
  <c r="DI133" i="3"/>
  <c r="DQ132" i="3"/>
  <c r="DP132" i="3"/>
  <c r="DO132" i="3"/>
  <c r="DM132" i="3"/>
  <c r="DL132" i="3"/>
  <c r="DK132" i="3"/>
  <c r="DJ132" i="3"/>
  <c r="DI132" i="3"/>
  <c r="DN132" i="3" s="1"/>
  <c r="DL131" i="3"/>
  <c r="DK131" i="3"/>
  <c r="DJ131" i="3"/>
  <c r="DI131" i="3"/>
  <c r="DL130" i="3"/>
  <c r="DK130" i="3"/>
  <c r="DJ130" i="3"/>
  <c r="DI130" i="3"/>
  <c r="DN130" i="3" s="1"/>
  <c r="DN129" i="3"/>
  <c r="DL129" i="3"/>
  <c r="DK129" i="3"/>
  <c r="DM129" i="3" s="1"/>
  <c r="DO129" i="3" s="1"/>
  <c r="DP129" i="3" s="1"/>
  <c r="DJ129" i="3"/>
  <c r="DI129" i="3"/>
  <c r="DL128" i="3"/>
  <c r="DK128" i="3"/>
  <c r="DJ128" i="3"/>
  <c r="DI128" i="3"/>
  <c r="DN128" i="3" s="1"/>
  <c r="DO127" i="3"/>
  <c r="DP127" i="3" s="1"/>
  <c r="DN127" i="3"/>
  <c r="DM127" i="3"/>
  <c r="DL127" i="3"/>
  <c r="DK127" i="3"/>
  <c r="DJ127" i="3"/>
  <c r="DI127" i="3"/>
  <c r="DQ127" i="3" s="1"/>
  <c r="DL126" i="3"/>
  <c r="DK126" i="3"/>
  <c r="DJ126" i="3"/>
  <c r="DI126" i="3"/>
  <c r="DO125" i="3"/>
  <c r="DP125" i="3" s="1"/>
  <c r="DN125" i="3"/>
  <c r="DL125" i="3"/>
  <c r="DK125" i="3"/>
  <c r="DM125" i="3" s="1"/>
  <c r="DQ125" i="3" s="1"/>
  <c r="DJ125" i="3"/>
  <c r="DI125" i="3"/>
  <c r="DL124" i="3"/>
  <c r="DK124" i="3"/>
  <c r="DJ124" i="3"/>
  <c r="DN124" i="3" s="1"/>
  <c r="DI124" i="3"/>
  <c r="DQ123" i="3"/>
  <c r="DP123" i="3"/>
  <c r="DN123" i="3"/>
  <c r="DM123" i="3"/>
  <c r="DO123" i="3" s="1"/>
  <c r="DL123" i="3"/>
  <c r="DK123" i="3"/>
  <c r="DJ123" i="3"/>
  <c r="DI123" i="3"/>
  <c r="DL122" i="3"/>
  <c r="DK122" i="3"/>
  <c r="DJ122" i="3"/>
  <c r="DI122" i="3"/>
  <c r="DL121" i="3"/>
  <c r="DK121" i="3"/>
  <c r="DJ121" i="3"/>
  <c r="DI121" i="3"/>
  <c r="DO120" i="3"/>
  <c r="DP120" i="3" s="1"/>
  <c r="DN120" i="3"/>
  <c r="DL120" i="3"/>
  <c r="DK120" i="3"/>
  <c r="DM120" i="3" s="1"/>
  <c r="DJ120" i="3"/>
  <c r="DI120" i="3"/>
  <c r="DQ120" i="3" s="1"/>
  <c r="DL119" i="3"/>
  <c r="DK119" i="3"/>
  <c r="DJ119" i="3"/>
  <c r="DI119" i="3"/>
  <c r="DN119" i="3" s="1"/>
  <c r="DN118" i="3"/>
  <c r="DM118" i="3"/>
  <c r="DO118" i="3" s="1"/>
  <c r="DP118" i="3" s="1"/>
  <c r="DL118" i="3"/>
  <c r="DK118" i="3"/>
  <c r="DJ118" i="3"/>
  <c r="DI118" i="3"/>
  <c r="DL117" i="3"/>
  <c r="DK117" i="3"/>
  <c r="DJ117" i="3"/>
  <c r="DI117" i="3"/>
  <c r="DQ116" i="3"/>
  <c r="DP116" i="3"/>
  <c r="DO116" i="3"/>
  <c r="DM116" i="3"/>
  <c r="DL116" i="3"/>
  <c r="DK116" i="3"/>
  <c r="DJ116" i="3"/>
  <c r="DI116" i="3"/>
  <c r="DN116" i="3" s="1"/>
  <c r="DL115" i="3"/>
  <c r="DK115" i="3"/>
  <c r="DJ115" i="3"/>
  <c r="DI115" i="3"/>
  <c r="DL114" i="3"/>
  <c r="DK114" i="3"/>
  <c r="DJ114" i="3"/>
  <c r="DI114" i="3"/>
  <c r="DN114" i="3" s="1"/>
  <c r="DL113" i="3"/>
  <c r="DK113" i="3"/>
  <c r="DJ113" i="3"/>
  <c r="DI113" i="3"/>
  <c r="DL112" i="3"/>
  <c r="DK112" i="3"/>
  <c r="DJ112" i="3"/>
  <c r="DI112" i="3"/>
  <c r="DP111" i="3"/>
  <c r="DO111" i="3"/>
  <c r="DN111" i="3"/>
  <c r="DM111" i="3"/>
  <c r="DL111" i="3"/>
  <c r="DK111" i="3"/>
  <c r="DJ111" i="3"/>
  <c r="DI111" i="3"/>
  <c r="DQ111" i="3" s="1"/>
  <c r="DL110" i="3"/>
  <c r="DK110" i="3"/>
  <c r="DJ110" i="3"/>
  <c r="DI110" i="3"/>
  <c r="DO109" i="3"/>
  <c r="DP109" i="3" s="1"/>
  <c r="DN109" i="3"/>
  <c r="DL109" i="3"/>
  <c r="DK109" i="3"/>
  <c r="DM109" i="3" s="1"/>
  <c r="DQ109" i="3" s="1"/>
  <c r="DJ109" i="3"/>
  <c r="DI109" i="3"/>
  <c r="DL108" i="3"/>
  <c r="DK108" i="3"/>
  <c r="DJ108" i="3"/>
  <c r="DI108" i="3"/>
  <c r="DQ107" i="3"/>
  <c r="DN107" i="3"/>
  <c r="DM107" i="3"/>
  <c r="DO107" i="3" s="1"/>
  <c r="DP107" i="3" s="1"/>
  <c r="DL107" i="3"/>
  <c r="DK107" i="3"/>
  <c r="DJ107" i="3"/>
  <c r="DI107" i="3"/>
  <c r="DM106" i="3"/>
  <c r="DO106" i="3" s="1"/>
  <c r="DP106" i="3" s="1"/>
  <c r="DL106" i="3"/>
  <c r="DK106" i="3"/>
  <c r="DJ106" i="3"/>
  <c r="DI106" i="3"/>
  <c r="DL105" i="3"/>
  <c r="DK105" i="3"/>
  <c r="DJ105" i="3"/>
  <c r="DI105" i="3"/>
  <c r="DQ105" i="3" s="1"/>
  <c r="DO104" i="3"/>
  <c r="DP104" i="3" s="1"/>
  <c r="DN104" i="3"/>
  <c r="DL104" i="3"/>
  <c r="DK104" i="3"/>
  <c r="DM104" i="3" s="1"/>
  <c r="DJ104" i="3"/>
  <c r="DI104" i="3"/>
  <c r="DQ104" i="3" s="1"/>
  <c r="DL103" i="3"/>
  <c r="DK103" i="3"/>
  <c r="DJ103" i="3"/>
  <c r="DI103" i="3"/>
  <c r="DN103" i="3" s="1"/>
  <c r="DN102" i="3"/>
  <c r="DM102" i="3"/>
  <c r="DO102" i="3" s="1"/>
  <c r="DP102" i="3" s="1"/>
  <c r="DL102" i="3"/>
  <c r="DK102" i="3"/>
  <c r="DJ102" i="3"/>
  <c r="DI102" i="3"/>
  <c r="DL101" i="3"/>
  <c r="DK101" i="3"/>
  <c r="DJ101" i="3"/>
  <c r="DI101" i="3"/>
  <c r="DL100" i="3"/>
  <c r="DK100" i="3"/>
  <c r="DN100" i="3" s="1"/>
  <c r="DJ100" i="3"/>
  <c r="DI100" i="3"/>
  <c r="DL99" i="3"/>
  <c r="DK99" i="3"/>
  <c r="DJ99" i="3"/>
  <c r="DI99" i="3"/>
  <c r="DL98" i="3"/>
  <c r="DK98" i="3"/>
  <c r="DJ98" i="3"/>
  <c r="DI98" i="3"/>
  <c r="DN98" i="3" s="1"/>
  <c r="DN97" i="3"/>
  <c r="DL97" i="3"/>
  <c r="DK97" i="3"/>
  <c r="DM97" i="3" s="1"/>
  <c r="DO97" i="3" s="1"/>
  <c r="DP97" i="3" s="1"/>
  <c r="DJ97" i="3"/>
  <c r="DI97" i="3"/>
  <c r="DL96" i="3"/>
  <c r="DK96" i="3"/>
  <c r="DJ96" i="3"/>
  <c r="DI96" i="3"/>
  <c r="DO95" i="3"/>
  <c r="DP95" i="3" s="1"/>
  <c r="DN95" i="3"/>
  <c r="DM95" i="3"/>
  <c r="DL95" i="3"/>
  <c r="DK95" i="3"/>
  <c r="DJ95" i="3"/>
  <c r="DI95" i="3"/>
  <c r="DQ95" i="3" s="1"/>
  <c r="DL94" i="3"/>
  <c r="DK94" i="3"/>
  <c r="DJ94" i="3"/>
  <c r="DI94" i="3"/>
  <c r="DO93" i="3"/>
  <c r="DP93" i="3" s="1"/>
  <c r="DN93" i="3"/>
  <c r="DL93" i="3"/>
  <c r="DK93" i="3"/>
  <c r="DM93" i="3" s="1"/>
  <c r="DQ93" i="3" s="1"/>
  <c r="DJ93" i="3"/>
  <c r="DI93" i="3"/>
  <c r="DL92" i="3"/>
  <c r="DK92" i="3"/>
  <c r="DJ92" i="3"/>
  <c r="DN92" i="3" s="1"/>
  <c r="DI92" i="3"/>
  <c r="DQ91" i="3"/>
  <c r="DM91" i="3"/>
  <c r="DO91" i="3" s="1"/>
  <c r="DP91" i="3" s="1"/>
  <c r="DL91" i="3"/>
  <c r="DK91" i="3"/>
  <c r="DJ91" i="3"/>
  <c r="DI91" i="3"/>
  <c r="DN91" i="3" s="1"/>
  <c r="DL90" i="3"/>
  <c r="DK90" i="3"/>
  <c r="DJ90" i="3"/>
  <c r="DM90" i="3" s="1"/>
  <c r="DO90" i="3" s="1"/>
  <c r="DP90" i="3" s="1"/>
  <c r="DI90" i="3"/>
  <c r="DL89" i="3"/>
  <c r="DK89" i="3"/>
  <c r="DJ89" i="3"/>
  <c r="DI89" i="3"/>
  <c r="DO88" i="3"/>
  <c r="DP88" i="3" s="1"/>
  <c r="DN88" i="3"/>
  <c r="DL88" i="3"/>
  <c r="DK88" i="3"/>
  <c r="DM88" i="3" s="1"/>
  <c r="DJ88" i="3"/>
  <c r="DI88" i="3"/>
  <c r="DL87" i="3"/>
  <c r="DK87" i="3"/>
  <c r="DJ87" i="3"/>
  <c r="DI87" i="3"/>
  <c r="DN87" i="3" s="1"/>
  <c r="DQ86" i="3"/>
  <c r="DP86" i="3"/>
  <c r="DN86" i="3"/>
  <c r="DM86" i="3"/>
  <c r="DO86" i="3" s="1"/>
  <c r="DL86" i="3"/>
  <c r="DK86" i="3"/>
  <c r="DJ86" i="3"/>
  <c r="DI86" i="3"/>
  <c r="DL85" i="3"/>
  <c r="DK85" i="3"/>
  <c r="DJ85" i="3"/>
  <c r="DI85" i="3"/>
  <c r="DL84" i="3"/>
  <c r="DK84" i="3"/>
  <c r="DN84" i="3" s="1"/>
  <c r="DJ84" i="3"/>
  <c r="DI84" i="3"/>
  <c r="DL83" i="3"/>
  <c r="DK83" i="3"/>
  <c r="DJ83" i="3"/>
  <c r="DI83" i="3"/>
  <c r="DL82" i="3"/>
  <c r="DK82" i="3"/>
  <c r="DJ82" i="3"/>
  <c r="DI82" i="3"/>
  <c r="DN82" i="3" s="1"/>
  <c r="DL81" i="3"/>
  <c r="DK81" i="3"/>
  <c r="DJ81" i="3"/>
  <c r="DI81" i="3"/>
  <c r="DL80" i="3"/>
  <c r="DK80" i="3"/>
  <c r="DJ80" i="3"/>
  <c r="DI80" i="3"/>
  <c r="DM79" i="3"/>
  <c r="DO79" i="3" s="1"/>
  <c r="DP79" i="3" s="1"/>
  <c r="DL79" i="3"/>
  <c r="DK79" i="3"/>
  <c r="DJ79" i="3"/>
  <c r="DI79" i="3"/>
  <c r="DM78" i="3"/>
  <c r="DO78" i="3" s="1"/>
  <c r="DP78" i="3" s="1"/>
  <c r="DL78" i="3"/>
  <c r="DK78" i="3"/>
  <c r="DJ78" i="3"/>
  <c r="DI78" i="3"/>
  <c r="DN77" i="3"/>
  <c r="DL77" i="3"/>
  <c r="DK77" i="3"/>
  <c r="DJ77" i="3"/>
  <c r="DI77" i="3"/>
  <c r="DM77" i="3" s="1"/>
  <c r="DQ77" i="3" s="1"/>
  <c r="DL76" i="3"/>
  <c r="DK76" i="3"/>
  <c r="DJ76" i="3"/>
  <c r="DN76" i="3" s="1"/>
  <c r="DI76" i="3"/>
  <c r="DQ75" i="3"/>
  <c r="DP75" i="3"/>
  <c r="DM75" i="3"/>
  <c r="DO75" i="3" s="1"/>
  <c r="DL75" i="3"/>
  <c r="DK75" i="3"/>
  <c r="DN75" i="3" s="1"/>
  <c r="DJ75" i="3"/>
  <c r="DI75" i="3"/>
  <c r="DM74" i="3"/>
  <c r="DO74" i="3" s="1"/>
  <c r="DP74" i="3" s="1"/>
  <c r="DL74" i="3"/>
  <c r="DK74" i="3"/>
  <c r="DJ74" i="3"/>
  <c r="DI74" i="3"/>
  <c r="DN74" i="3" s="1"/>
  <c r="DL73" i="3"/>
  <c r="DK73" i="3"/>
  <c r="DJ73" i="3"/>
  <c r="DI73" i="3"/>
  <c r="DL72" i="3"/>
  <c r="DK72" i="3"/>
  <c r="DM72" i="3" s="1"/>
  <c r="DO72" i="3" s="1"/>
  <c r="DP72" i="3" s="1"/>
  <c r="DJ72" i="3"/>
  <c r="DI72" i="3"/>
  <c r="DL71" i="3"/>
  <c r="DK71" i="3"/>
  <c r="DJ71" i="3"/>
  <c r="DI71" i="3"/>
  <c r="DP70" i="3"/>
  <c r="DN70" i="3"/>
  <c r="DM70" i="3"/>
  <c r="DO70" i="3" s="1"/>
  <c r="DL70" i="3"/>
  <c r="DK70" i="3"/>
  <c r="DJ70" i="3"/>
  <c r="DI70" i="3"/>
  <c r="DL69" i="3"/>
  <c r="DK69" i="3"/>
  <c r="DJ69" i="3"/>
  <c r="DI69" i="3"/>
  <c r="DL68" i="3"/>
  <c r="DK68" i="3"/>
  <c r="DJ68" i="3"/>
  <c r="DI68" i="3"/>
  <c r="DN68" i="3" s="1"/>
  <c r="DL67" i="3"/>
  <c r="DK67" i="3"/>
  <c r="DJ67" i="3"/>
  <c r="DI67" i="3"/>
  <c r="DQ66" i="3"/>
  <c r="DL66" i="3"/>
  <c r="DK66" i="3"/>
  <c r="DJ66" i="3"/>
  <c r="DI66" i="3"/>
  <c r="DM65" i="3"/>
  <c r="DO65" i="3" s="1"/>
  <c r="DP65" i="3" s="1"/>
  <c r="DL65" i="3"/>
  <c r="DK65" i="3"/>
  <c r="DJ65" i="3"/>
  <c r="DQ65" i="3" s="1"/>
  <c r="DI65" i="3"/>
  <c r="DL64" i="3"/>
  <c r="DK64" i="3"/>
  <c r="DJ64" i="3"/>
  <c r="DI64" i="3"/>
  <c r="DN63" i="3"/>
  <c r="DL63" i="3"/>
  <c r="DK63" i="3"/>
  <c r="DJ63" i="3"/>
  <c r="DI63" i="3"/>
  <c r="DL62" i="3"/>
  <c r="DK62" i="3"/>
  <c r="DJ62" i="3"/>
  <c r="DI62" i="3"/>
  <c r="DL61" i="3"/>
  <c r="DK61" i="3"/>
  <c r="DJ61" i="3"/>
  <c r="DI61" i="3"/>
  <c r="DN61" i="3" s="1"/>
  <c r="DL60" i="3"/>
  <c r="DK60" i="3"/>
  <c r="DJ60" i="3"/>
  <c r="DI60" i="3"/>
  <c r="DQ59" i="3"/>
  <c r="DM59" i="3"/>
  <c r="DO59" i="3" s="1"/>
  <c r="DP59" i="3" s="1"/>
  <c r="DL59" i="3"/>
  <c r="DK59" i="3"/>
  <c r="DJ59" i="3"/>
  <c r="DI59" i="3"/>
  <c r="DN59" i="3" s="1"/>
  <c r="DM58" i="3"/>
  <c r="DO58" i="3" s="1"/>
  <c r="DP58" i="3" s="1"/>
  <c r="DL58" i="3"/>
  <c r="DK58" i="3"/>
  <c r="DJ58" i="3"/>
  <c r="DQ58" i="3" s="1"/>
  <c r="DI58" i="3"/>
  <c r="DL57" i="3"/>
  <c r="DK57" i="3"/>
  <c r="DN57" i="3" s="1"/>
  <c r="DJ57" i="3"/>
  <c r="DI57" i="3"/>
  <c r="DQ56" i="3"/>
  <c r="DO56" i="3"/>
  <c r="DP56" i="3" s="1"/>
  <c r="DN56" i="3"/>
  <c r="DM56" i="3"/>
  <c r="DL56" i="3"/>
  <c r="DK56" i="3"/>
  <c r="DJ56" i="3"/>
  <c r="DI56" i="3"/>
  <c r="DL55" i="3"/>
  <c r="DK55" i="3"/>
  <c r="DJ55" i="3"/>
  <c r="DI55" i="3"/>
  <c r="DQ55" i="3" s="1"/>
  <c r="DQ54" i="3"/>
  <c r="DN54" i="3"/>
  <c r="DL54" i="3"/>
  <c r="DK54" i="3"/>
  <c r="DJ54" i="3"/>
  <c r="DI54" i="3"/>
  <c r="DM54" i="3" s="1"/>
  <c r="DO54" i="3" s="1"/>
  <c r="DP54" i="3" s="1"/>
  <c r="DL53" i="3"/>
  <c r="DK53" i="3"/>
  <c r="DJ53" i="3"/>
  <c r="DI53" i="3"/>
  <c r="DQ53" i="3" s="1"/>
  <c r="DL52" i="3"/>
  <c r="DK52" i="3"/>
  <c r="DJ52" i="3"/>
  <c r="DI52" i="3"/>
  <c r="DN52" i="3" s="1"/>
  <c r="DL51" i="3"/>
  <c r="DK51" i="3"/>
  <c r="DJ51" i="3"/>
  <c r="DI51" i="3"/>
  <c r="DN50" i="3"/>
  <c r="DM50" i="3"/>
  <c r="DO50" i="3" s="1"/>
  <c r="DP50" i="3" s="1"/>
  <c r="DL50" i="3"/>
  <c r="DK50" i="3"/>
  <c r="DJ50" i="3"/>
  <c r="DI50" i="3"/>
  <c r="DQ50" i="3" s="1"/>
  <c r="DN49" i="3"/>
  <c r="DL49" i="3"/>
  <c r="DK49" i="3"/>
  <c r="DJ49" i="3"/>
  <c r="DI49" i="3"/>
  <c r="DL48" i="3"/>
  <c r="DK48" i="3"/>
  <c r="DJ48" i="3"/>
  <c r="DI48" i="3"/>
  <c r="DN47" i="3"/>
  <c r="DM47" i="3"/>
  <c r="DQ47" i="3" s="1"/>
  <c r="DL47" i="3"/>
  <c r="DK47" i="3"/>
  <c r="DJ47" i="3"/>
  <c r="DI47" i="3"/>
  <c r="DL46" i="3"/>
  <c r="DK46" i="3"/>
  <c r="DJ46" i="3"/>
  <c r="DI46" i="3"/>
  <c r="DL45" i="3"/>
  <c r="DK45" i="3"/>
  <c r="DJ45" i="3"/>
  <c r="DI45" i="3"/>
  <c r="DN45" i="3" s="1"/>
  <c r="DL44" i="3"/>
  <c r="DK44" i="3"/>
  <c r="DJ44" i="3"/>
  <c r="DI44" i="3"/>
  <c r="DQ43" i="3"/>
  <c r="DM43" i="3"/>
  <c r="DO43" i="3" s="1"/>
  <c r="DP43" i="3" s="1"/>
  <c r="DL43" i="3"/>
  <c r="DK43" i="3"/>
  <c r="DJ43" i="3"/>
  <c r="DI43" i="3"/>
  <c r="DN43" i="3" s="1"/>
  <c r="DM42" i="3"/>
  <c r="DO42" i="3" s="1"/>
  <c r="DP42" i="3" s="1"/>
  <c r="DL42" i="3"/>
  <c r="DK42" i="3"/>
  <c r="DJ42" i="3"/>
  <c r="DN42" i="3" s="1"/>
  <c r="DI42" i="3"/>
  <c r="DL41" i="3"/>
  <c r="DK41" i="3"/>
  <c r="DN41" i="3" s="1"/>
  <c r="DJ41" i="3"/>
  <c r="DI41" i="3"/>
  <c r="DO40" i="3"/>
  <c r="DP40" i="3" s="1"/>
  <c r="DN40" i="3"/>
  <c r="DM40" i="3"/>
  <c r="DQ40" i="3" s="1"/>
  <c r="DL40" i="3"/>
  <c r="DK40" i="3"/>
  <c r="DJ40" i="3"/>
  <c r="DI40" i="3"/>
  <c r="DL39" i="3"/>
  <c r="DK39" i="3"/>
  <c r="DJ39" i="3"/>
  <c r="DI39" i="3"/>
  <c r="DN38" i="3"/>
  <c r="DL38" i="3"/>
  <c r="DK38" i="3"/>
  <c r="DJ38" i="3"/>
  <c r="DI38" i="3"/>
  <c r="DM38" i="3" s="1"/>
  <c r="DL37" i="3"/>
  <c r="DK37" i="3"/>
  <c r="DJ37" i="3"/>
  <c r="DI37" i="3"/>
  <c r="DL36" i="3"/>
  <c r="DK36" i="3"/>
  <c r="DJ36" i="3"/>
  <c r="DI36" i="3"/>
  <c r="DN36" i="3" s="1"/>
  <c r="DL35" i="3"/>
  <c r="DK35" i="3"/>
  <c r="DJ35" i="3"/>
  <c r="DI35" i="3"/>
  <c r="DM35" i="3" s="1"/>
  <c r="DO35" i="3" s="1"/>
  <c r="DP35" i="3" s="1"/>
  <c r="DN34" i="3"/>
  <c r="DM34" i="3"/>
  <c r="DO34" i="3" s="1"/>
  <c r="DP34" i="3" s="1"/>
  <c r="DL34" i="3"/>
  <c r="DK34" i="3"/>
  <c r="DJ34" i="3"/>
  <c r="DI34" i="3"/>
  <c r="DQ34" i="3" s="1"/>
  <c r="DN33" i="3"/>
  <c r="DL33" i="3"/>
  <c r="DK33" i="3"/>
  <c r="DJ33" i="3"/>
  <c r="DI33" i="3"/>
  <c r="DL32" i="3"/>
  <c r="DK32" i="3"/>
  <c r="DJ32" i="3"/>
  <c r="DI32" i="3"/>
  <c r="DN31" i="3"/>
  <c r="DM31" i="3"/>
  <c r="DQ31" i="3" s="1"/>
  <c r="DL31" i="3"/>
  <c r="DK31" i="3"/>
  <c r="DJ31" i="3"/>
  <c r="DI31" i="3"/>
  <c r="DL30" i="3"/>
  <c r="DK30" i="3"/>
  <c r="DJ30" i="3"/>
  <c r="DI30" i="3"/>
  <c r="DL29" i="3"/>
  <c r="DK29" i="3"/>
  <c r="DJ29" i="3"/>
  <c r="DI29" i="3"/>
  <c r="DN29" i="3" s="1"/>
  <c r="DL28" i="3"/>
  <c r="DK28" i="3"/>
  <c r="DJ28" i="3"/>
  <c r="DI28" i="3"/>
  <c r="DQ27" i="3"/>
  <c r="DM27" i="3"/>
  <c r="DO27" i="3" s="1"/>
  <c r="DP27" i="3" s="1"/>
  <c r="DL27" i="3"/>
  <c r="DK27" i="3"/>
  <c r="DJ27" i="3"/>
  <c r="DI27" i="3"/>
  <c r="DN27" i="3" s="1"/>
  <c r="DM26" i="3"/>
  <c r="DO26" i="3" s="1"/>
  <c r="DP26" i="3" s="1"/>
  <c r="DL26" i="3"/>
  <c r="DK26" i="3"/>
  <c r="DJ26" i="3"/>
  <c r="DN26" i="3" s="1"/>
  <c r="DI26" i="3"/>
  <c r="DN25" i="3"/>
  <c r="DL25" i="3"/>
  <c r="DK25" i="3"/>
  <c r="DJ25" i="3"/>
  <c r="DI25" i="3"/>
  <c r="DO24" i="3"/>
  <c r="DP24" i="3" s="1"/>
  <c r="DN24" i="3"/>
  <c r="DM24" i="3"/>
  <c r="DQ24" i="3" s="1"/>
  <c r="DL24" i="3"/>
  <c r="DK24" i="3"/>
  <c r="DJ24" i="3"/>
  <c r="DI24" i="3"/>
  <c r="DL23" i="3"/>
  <c r="DK23" i="3"/>
  <c r="DJ23" i="3"/>
  <c r="DI23" i="3"/>
  <c r="DN22" i="3"/>
  <c r="DL22" i="3"/>
  <c r="DK22" i="3"/>
  <c r="DJ22" i="3"/>
  <c r="DI22" i="3"/>
  <c r="DM22" i="3" s="1"/>
  <c r="DL21" i="3"/>
  <c r="DK21" i="3"/>
  <c r="DJ21" i="3"/>
  <c r="DI21" i="3"/>
  <c r="DL20" i="3"/>
  <c r="DK20" i="3"/>
  <c r="DJ20" i="3"/>
  <c r="DI20" i="3"/>
  <c r="DN20" i="3" s="1"/>
  <c r="DL19" i="3"/>
  <c r="DK19" i="3"/>
  <c r="DJ19" i="3"/>
  <c r="DI19" i="3"/>
  <c r="DM19" i="3" s="1"/>
  <c r="DO19" i="3" s="1"/>
  <c r="DP19" i="3" s="1"/>
  <c r="DN18" i="3"/>
  <c r="DM18" i="3"/>
  <c r="DO18" i="3" s="1"/>
  <c r="DP18" i="3" s="1"/>
  <c r="DL18" i="3"/>
  <c r="DK18" i="3"/>
  <c r="DJ18" i="3"/>
  <c r="DI18" i="3"/>
  <c r="DQ18" i="3" s="1"/>
  <c r="DN17" i="3"/>
  <c r="DL17" i="3"/>
  <c r="DK17" i="3"/>
  <c r="DJ17" i="3"/>
  <c r="DI17" i="3"/>
  <c r="DL16" i="3"/>
  <c r="DK16" i="3"/>
  <c r="DJ16" i="3"/>
  <c r="DI16" i="3"/>
  <c r="DN15" i="3"/>
  <c r="DM15" i="3"/>
  <c r="DQ15" i="3" s="1"/>
  <c r="DL15" i="3"/>
  <c r="DK15" i="3"/>
  <c r="DJ15" i="3"/>
  <c r="DI15" i="3"/>
  <c r="DL14" i="3"/>
  <c r="DK14" i="3"/>
  <c r="DJ14" i="3"/>
  <c r="DI14" i="3"/>
  <c r="DL13" i="3"/>
  <c r="DK13" i="3"/>
  <c r="DJ13" i="3"/>
  <c r="DI13" i="3"/>
  <c r="DN13" i="3" s="1"/>
  <c r="DL12" i="3"/>
  <c r="DK12" i="3"/>
  <c r="DJ12" i="3"/>
  <c r="DI12" i="3"/>
  <c r="DQ11" i="3"/>
  <c r="DM11" i="3"/>
  <c r="DO11" i="3" s="1"/>
  <c r="DP11" i="3" s="1"/>
  <c r="DL11" i="3"/>
  <c r="DK11" i="3"/>
  <c r="DJ11" i="3"/>
  <c r="DI11" i="3"/>
  <c r="DN11" i="3" s="1"/>
  <c r="DM10" i="3"/>
  <c r="DO10" i="3" s="1"/>
  <c r="DP10" i="3" s="1"/>
  <c r="DL10" i="3"/>
  <c r="DK10" i="3"/>
  <c r="DJ10" i="3"/>
  <c r="DN10" i="3" s="1"/>
  <c r="DI10" i="3"/>
  <c r="DN9" i="3"/>
  <c r="DL9" i="3"/>
  <c r="DK9" i="3"/>
  <c r="DJ9" i="3"/>
  <c r="DI9" i="3"/>
  <c r="DO8" i="3"/>
  <c r="DP8" i="3" s="1"/>
  <c r="DN8" i="3"/>
  <c r="DM8" i="3"/>
  <c r="DQ8" i="3" s="1"/>
  <c r="DL8" i="3"/>
  <c r="DK8" i="3"/>
  <c r="DJ8" i="3"/>
  <c r="DI8" i="3"/>
  <c r="DL7" i="3"/>
  <c r="DK7" i="3"/>
  <c r="DJ7" i="3"/>
  <c r="DI7" i="3"/>
  <c r="DN6" i="3"/>
  <c r="DL6" i="3"/>
  <c r="DK6" i="3"/>
  <c r="DJ6" i="3"/>
  <c r="DI6" i="3"/>
  <c r="DM6" i="3" s="1"/>
  <c r="DL5" i="3"/>
  <c r="DK5" i="3"/>
  <c r="DJ5" i="3"/>
  <c r="DI5" i="3"/>
  <c r="DL4" i="3"/>
  <c r="DK4" i="3"/>
  <c r="DJ4" i="3"/>
  <c r="DI4" i="3"/>
  <c r="DN4" i="3" s="1"/>
  <c r="BP64" i="2"/>
  <c r="BO64" i="2"/>
  <c r="BN64" i="2"/>
  <c r="BM64" i="2"/>
  <c r="BR63" i="2"/>
  <c r="BQ63" i="2"/>
  <c r="BS63" i="2" s="1"/>
  <c r="BT63" i="2" s="1"/>
  <c r="BP63" i="2"/>
  <c r="BO63" i="2"/>
  <c r="BN63" i="2"/>
  <c r="BM63" i="2"/>
  <c r="BU63" i="2" s="1"/>
  <c r="BR62" i="2"/>
  <c r="BP62" i="2"/>
  <c r="BO62" i="2"/>
  <c r="BN62" i="2"/>
  <c r="BM62" i="2"/>
  <c r="BP61" i="2"/>
  <c r="BO61" i="2"/>
  <c r="BN61" i="2"/>
  <c r="BM61" i="2"/>
  <c r="BR60" i="2"/>
  <c r="BQ60" i="2"/>
  <c r="BU60" i="2" s="1"/>
  <c r="BP60" i="2"/>
  <c r="BO60" i="2"/>
  <c r="BN60" i="2"/>
  <c r="BM60" i="2"/>
  <c r="BP59" i="2"/>
  <c r="BO59" i="2"/>
  <c r="BN59" i="2"/>
  <c r="BM59" i="2"/>
  <c r="BP58" i="2"/>
  <c r="BO58" i="2"/>
  <c r="BN58" i="2"/>
  <c r="BM58" i="2"/>
  <c r="BR58" i="2" s="1"/>
  <c r="BP57" i="2"/>
  <c r="BO57" i="2"/>
  <c r="BN57" i="2"/>
  <c r="BM57" i="2"/>
  <c r="BU56" i="2"/>
  <c r="BQ56" i="2"/>
  <c r="BS56" i="2" s="1"/>
  <c r="BT56" i="2" s="1"/>
  <c r="BP56" i="2"/>
  <c r="BO56" i="2"/>
  <c r="BN56" i="2"/>
  <c r="BM56" i="2"/>
  <c r="BR56" i="2" s="1"/>
  <c r="BQ55" i="2"/>
  <c r="BS55" i="2" s="1"/>
  <c r="BT55" i="2" s="1"/>
  <c r="BP55" i="2"/>
  <c r="BO55" i="2"/>
  <c r="BN55" i="2"/>
  <c r="BU55" i="2" s="1"/>
  <c r="BM55" i="2"/>
  <c r="BR54" i="2"/>
  <c r="BP54" i="2"/>
  <c r="BO54" i="2"/>
  <c r="BN54" i="2"/>
  <c r="BM54" i="2"/>
  <c r="BS53" i="2"/>
  <c r="BT53" i="2" s="1"/>
  <c r="BR53" i="2"/>
  <c r="BQ53" i="2"/>
  <c r="BU53" i="2" s="1"/>
  <c r="BP53" i="2"/>
  <c r="BO53" i="2"/>
  <c r="BN53" i="2"/>
  <c r="BM53" i="2"/>
  <c r="BP52" i="2"/>
  <c r="BO52" i="2"/>
  <c r="BN52" i="2"/>
  <c r="BM52" i="2"/>
  <c r="BR51" i="2"/>
  <c r="BP51" i="2"/>
  <c r="BO51" i="2"/>
  <c r="BN51" i="2"/>
  <c r="BM51" i="2"/>
  <c r="BQ51" i="2" s="1"/>
  <c r="BP50" i="2"/>
  <c r="BO50" i="2"/>
  <c r="BN50" i="2"/>
  <c r="BM50" i="2"/>
  <c r="BP49" i="2"/>
  <c r="BO49" i="2"/>
  <c r="BN49" i="2"/>
  <c r="BM49" i="2"/>
  <c r="BR49" i="2" s="1"/>
  <c r="BP48" i="2"/>
  <c r="BO48" i="2"/>
  <c r="BN48" i="2"/>
  <c r="BM48" i="2"/>
  <c r="BQ48" i="2" s="1"/>
  <c r="BS48" i="2" s="1"/>
  <c r="BT48" i="2" s="1"/>
  <c r="BR47" i="2"/>
  <c r="BQ47" i="2"/>
  <c r="BS47" i="2" s="1"/>
  <c r="BT47" i="2" s="1"/>
  <c r="BP47" i="2"/>
  <c r="BO47" i="2"/>
  <c r="BN47" i="2"/>
  <c r="BM47" i="2"/>
  <c r="BU47" i="2" s="1"/>
  <c r="BR46" i="2"/>
  <c r="BP46" i="2"/>
  <c r="BO46" i="2"/>
  <c r="BN46" i="2"/>
  <c r="BM46" i="2"/>
  <c r="BP45" i="2"/>
  <c r="BO45" i="2"/>
  <c r="BN45" i="2"/>
  <c r="BM45" i="2"/>
  <c r="BR44" i="2"/>
  <c r="BQ44" i="2"/>
  <c r="BU44" i="2" s="1"/>
  <c r="BP44" i="2"/>
  <c r="BO44" i="2"/>
  <c r="BN44" i="2"/>
  <c r="BM44" i="2"/>
  <c r="BP43" i="2"/>
  <c r="BO43" i="2"/>
  <c r="BN43" i="2"/>
  <c r="BM43" i="2"/>
  <c r="BP42" i="2"/>
  <c r="BO42" i="2"/>
  <c r="BN42" i="2"/>
  <c r="BM42" i="2"/>
  <c r="BR42" i="2" s="1"/>
  <c r="BP41" i="2"/>
  <c r="BO41" i="2"/>
  <c r="BN41" i="2"/>
  <c r="BM41" i="2"/>
  <c r="BU40" i="2"/>
  <c r="BQ40" i="2"/>
  <c r="BS40" i="2" s="1"/>
  <c r="BT40" i="2" s="1"/>
  <c r="BP40" i="2"/>
  <c r="BO40" i="2"/>
  <c r="BN40" i="2"/>
  <c r="BM40" i="2"/>
  <c r="BR40" i="2" s="1"/>
  <c r="BQ39" i="2"/>
  <c r="BS39" i="2" s="1"/>
  <c r="BT39" i="2" s="1"/>
  <c r="BP39" i="2"/>
  <c r="BO39" i="2"/>
  <c r="BN39" i="2"/>
  <c r="BR39" i="2" s="1"/>
  <c r="BM39" i="2"/>
  <c r="BR38" i="2"/>
  <c r="BP38" i="2"/>
  <c r="BO38" i="2"/>
  <c r="BN38" i="2"/>
  <c r="BM38" i="2"/>
  <c r="BS37" i="2"/>
  <c r="BT37" i="2" s="1"/>
  <c r="BR37" i="2"/>
  <c r="BQ37" i="2"/>
  <c r="BU37" i="2" s="1"/>
  <c r="BP37" i="2"/>
  <c r="BO37" i="2"/>
  <c r="BN37" i="2"/>
  <c r="BM37" i="2"/>
  <c r="BP36" i="2"/>
  <c r="BO36" i="2"/>
  <c r="BN36" i="2"/>
  <c r="BM36" i="2"/>
  <c r="BR35" i="2"/>
  <c r="BP35" i="2"/>
  <c r="BO35" i="2"/>
  <c r="BN35" i="2"/>
  <c r="BM35" i="2"/>
  <c r="BQ35" i="2" s="1"/>
  <c r="BP34" i="2"/>
  <c r="BO34" i="2"/>
  <c r="BN34" i="2"/>
  <c r="BM34" i="2"/>
  <c r="BP33" i="2"/>
  <c r="BO33" i="2"/>
  <c r="BN33" i="2"/>
  <c r="BM33" i="2"/>
  <c r="BR33" i="2" s="1"/>
  <c r="BP32" i="2"/>
  <c r="BO32" i="2"/>
  <c r="BN32" i="2"/>
  <c r="BM32" i="2"/>
  <c r="BR31" i="2"/>
  <c r="BQ31" i="2"/>
  <c r="BS31" i="2" s="1"/>
  <c r="BT31" i="2" s="1"/>
  <c r="BP31" i="2"/>
  <c r="BO31" i="2"/>
  <c r="BN31" i="2"/>
  <c r="BM31" i="2"/>
  <c r="BU31" i="2" s="1"/>
  <c r="BR30" i="2"/>
  <c r="BP30" i="2"/>
  <c r="BO30" i="2"/>
  <c r="BN30" i="2"/>
  <c r="BM30" i="2"/>
  <c r="BP29" i="2"/>
  <c r="BO29" i="2"/>
  <c r="BN29" i="2"/>
  <c r="BM29" i="2"/>
  <c r="BR28" i="2"/>
  <c r="BQ28" i="2"/>
  <c r="BU28" i="2" s="1"/>
  <c r="BP28" i="2"/>
  <c r="BO28" i="2"/>
  <c r="BN28" i="2"/>
  <c r="BM28" i="2"/>
  <c r="BP27" i="2"/>
  <c r="BO27" i="2"/>
  <c r="BN27" i="2"/>
  <c r="BM27" i="2"/>
  <c r="BP26" i="2"/>
  <c r="BO26" i="2"/>
  <c r="BN26" i="2"/>
  <c r="BM26" i="2"/>
  <c r="BR26" i="2" s="1"/>
  <c r="BP25" i="2"/>
  <c r="BO25" i="2"/>
  <c r="BN25" i="2"/>
  <c r="BM25" i="2"/>
  <c r="BU24" i="2"/>
  <c r="BQ24" i="2"/>
  <c r="BS24" i="2" s="1"/>
  <c r="BT24" i="2" s="1"/>
  <c r="BP24" i="2"/>
  <c r="BO24" i="2"/>
  <c r="BN24" i="2"/>
  <c r="BM24" i="2"/>
  <c r="BR24" i="2" s="1"/>
  <c r="BQ23" i="2"/>
  <c r="BS23" i="2" s="1"/>
  <c r="BT23" i="2" s="1"/>
  <c r="BP23" i="2"/>
  <c r="BO23" i="2"/>
  <c r="BN23" i="2"/>
  <c r="BR23" i="2" s="1"/>
  <c r="BM23" i="2"/>
  <c r="BR22" i="2"/>
  <c r="BP22" i="2"/>
  <c r="BO22" i="2"/>
  <c r="BN22" i="2"/>
  <c r="BM22" i="2"/>
  <c r="BS21" i="2"/>
  <c r="BT21" i="2" s="1"/>
  <c r="BR21" i="2"/>
  <c r="BQ21" i="2"/>
  <c r="BP21" i="2"/>
  <c r="BO21" i="2"/>
  <c r="BN21" i="2"/>
  <c r="BU21" i="2" s="1"/>
  <c r="BM21" i="2"/>
  <c r="BP20" i="2"/>
  <c r="BO20" i="2"/>
  <c r="BN20" i="2"/>
  <c r="BM20" i="2"/>
  <c r="BR19" i="2"/>
  <c r="BP19" i="2"/>
  <c r="BO19" i="2"/>
  <c r="BN19" i="2"/>
  <c r="BM19" i="2"/>
  <c r="BQ19" i="2" s="1"/>
  <c r="BP18" i="2"/>
  <c r="BO18" i="2"/>
  <c r="BN18" i="2"/>
  <c r="BM18" i="2"/>
  <c r="BP17" i="2"/>
  <c r="BO17" i="2"/>
  <c r="BN17" i="2"/>
  <c r="BM17" i="2"/>
  <c r="BR17" i="2" s="1"/>
  <c r="BP16" i="2"/>
  <c r="BO16" i="2"/>
  <c r="BN16" i="2"/>
  <c r="BM16" i="2"/>
  <c r="BR15" i="2"/>
  <c r="BQ15" i="2"/>
  <c r="BS15" i="2" s="1"/>
  <c r="BT15" i="2" s="1"/>
  <c r="BP15" i="2"/>
  <c r="BO15" i="2"/>
  <c r="BN15" i="2"/>
  <c r="BM15" i="2"/>
  <c r="BU15" i="2" s="1"/>
  <c r="BR14" i="2"/>
  <c r="BP14" i="2"/>
  <c r="BO14" i="2"/>
  <c r="BN14" i="2"/>
  <c r="BM14" i="2"/>
  <c r="BP13" i="2"/>
  <c r="BO13" i="2"/>
  <c r="BN13" i="2"/>
  <c r="BM13" i="2"/>
  <c r="BR12" i="2"/>
  <c r="BQ12" i="2"/>
  <c r="BU12" i="2" s="1"/>
  <c r="BP12" i="2"/>
  <c r="BO12" i="2"/>
  <c r="BN12" i="2"/>
  <c r="BM12" i="2"/>
  <c r="BP11" i="2"/>
  <c r="BO11" i="2"/>
  <c r="BN11" i="2"/>
  <c r="BM11" i="2"/>
  <c r="BP10" i="2"/>
  <c r="BO10" i="2"/>
  <c r="BU10" i="2" s="1"/>
  <c r="BN10" i="2"/>
  <c r="BQ10" i="2" s="1"/>
  <c r="BS10" i="2" s="1"/>
  <c r="BT10" i="2" s="1"/>
  <c r="BM10" i="2"/>
  <c r="BR10" i="2" s="1"/>
  <c r="BP9" i="2"/>
  <c r="BO9" i="2"/>
  <c r="BN9" i="2"/>
  <c r="BM9" i="2"/>
  <c r="BU8" i="2"/>
  <c r="BQ8" i="2"/>
  <c r="BS8" i="2" s="1"/>
  <c r="BT8" i="2" s="1"/>
  <c r="BP8" i="2"/>
  <c r="BO8" i="2"/>
  <c r="BN8" i="2"/>
  <c r="BM8" i="2"/>
  <c r="BR8" i="2" s="1"/>
  <c r="BQ7" i="2"/>
  <c r="BS7" i="2" s="1"/>
  <c r="BT7" i="2" s="1"/>
  <c r="BP7" i="2"/>
  <c r="BO7" i="2"/>
  <c r="BN7" i="2"/>
  <c r="BU7" i="2" s="1"/>
  <c r="BM7" i="2"/>
  <c r="BR6" i="2"/>
  <c r="BP6" i="2"/>
  <c r="BO6" i="2"/>
  <c r="BN6" i="2"/>
  <c r="BM6" i="2"/>
  <c r="BS5" i="2"/>
  <c r="BT5" i="2" s="1"/>
  <c r="BR5" i="2"/>
  <c r="BQ5" i="2"/>
  <c r="BP5" i="2"/>
  <c r="BO5" i="2"/>
  <c r="BN5" i="2"/>
  <c r="BU5" i="2" s="1"/>
  <c r="BM5" i="2"/>
  <c r="BP4" i="2"/>
  <c r="BO4" i="2"/>
  <c r="BN4" i="2"/>
  <c r="BM4" i="2"/>
  <c r="BU4" i="2" s="1"/>
  <c r="BR63" i="1"/>
  <c r="BP63" i="1"/>
  <c r="BO63" i="1"/>
  <c r="BN63" i="1"/>
  <c r="BM63" i="1"/>
  <c r="BQ63" i="1" s="1"/>
  <c r="BP62" i="1"/>
  <c r="BO62" i="1"/>
  <c r="BN62" i="1"/>
  <c r="BM62" i="1"/>
  <c r="BP61" i="1"/>
  <c r="BO61" i="1"/>
  <c r="BN61" i="1"/>
  <c r="BM61" i="1"/>
  <c r="BR61" i="1" s="1"/>
  <c r="BP60" i="1"/>
  <c r="BO60" i="1"/>
  <c r="BN60" i="1"/>
  <c r="BM60" i="1"/>
  <c r="BR59" i="1"/>
  <c r="BQ59" i="1"/>
  <c r="BS59" i="1" s="1"/>
  <c r="BT59" i="1" s="1"/>
  <c r="BP59" i="1"/>
  <c r="BO59" i="1"/>
  <c r="BN59" i="1"/>
  <c r="BM59" i="1"/>
  <c r="BU59" i="1" s="1"/>
  <c r="BP58" i="1"/>
  <c r="BO58" i="1"/>
  <c r="BR58" i="1" s="1"/>
  <c r="BN58" i="1"/>
  <c r="BM58" i="1"/>
  <c r="BP57" i="1"/>
  <c r="BO57" i="1"/>
  <c r="BN57" i="1"/>
  <c r="BM57" i="1"/>
  <c r="BR56" i="1"/>
  <c r="BQ56" i="1"/>
  <c r="BU56" i="1" s="1"/>
  <c r="BP56" i="1"/>
  <c r="BO56" i="1"/>
  <c r="BN56" i="1"/>
  <c r="BM56" i="1"/>
  <c r="BP55" i="1"/>
  <c r="BO55" i="1"/>
  <c r="BN55" i="1"/>
  <c r="BM55" i="1"/>
  <c r="BP54" i="1"/>
  <c r="BO54" i="1"/>
  <c r="BN54" i="1"/>
  <c r="BM54" i="1"/>
  <c r="BR54" i="1" s="1"/>
  <c r="BP53" i="1"/>
  <c r="BO53" i="1"/>
  <c r="BN53" i="1"/>
  <c r="BM53" i="1"/>
  <c r="BU52" i="1"/>
  <c r="BQ52" i="1"/>
  <c r="BS52" i="1" s="1"/>
  <c r="BT52" i="1" s="1"/>
  <c r="BP52" i="1"/>
  <c r="BO52" i="1"/>
  <c r="BN52" i="1"/>
  <c r="BM52" i="1"/>
  <c r="BR52" i="1" s="1"/>
  <c r="BP51" i="1"/>
  <c r="BO51" i="1"/>
  <c r="BN51" i="1"/>
  <c r="BR51" i="1" s="1"/>
  <c r="BM51" i="1"/>
  <c r="BR50" i="1"/>
  <c r="BP50" i="1"/>
  <c r="BO50" i="1"/>
  <c r="BN50" i="1"/>
  <c r="BM50" i="1"/>
  <c r="BS49" i="1"/>
  <c r="BT49" i="1" s="1"/>
  <c r="BR49" i="1"/>
  <c r="BQ49" i="1"/>
  <c r="BP49" i="1"/>
  <c r="BO49" i="1"/>
  <c r="BN49" i="1"/>
  <c r="BM49" i="1"/>
  <c r="BU49" i="1" s="1"/>
  <c r="BP48" i="1"/>
  <c r="BO48" i="1"/>
  <c r="BN48" i="1"/>
  <c r="BM48" i="1"/>
  <c r="BR47" i="1"/>
  <c r="BP47" i="1"/>
  <c r="BO47" i="1"/>
  <c r="BN47" i="1"/>
  <c r="BM47" i="1"/>
  <c r="BQ47" i="1" s="1"/>
  <c r="BP46" i="1"/>
  <c r="BO46" i="1"/>
  <c r="BN46" i="1"/>
  <c r="BM46" i="1"/>
  <c r="BP45" i="1"/>
  <c r="BO45" i="1"/>
  <c r="BN45" i="1"/>
  <c r="BM45" i="1"/>
  <c r="BR45" i="1" s="1"/>
  <c r="BP44" i="1"/>
  <c r="BO44" i="1"/>
  <c r="BN44" i="1"/>
  <c r="BM44" i="1"/>
  <c r="BQ44" i="1" s="1"/>
  <c r="BS44" i="1" s="1"/>
  <c r="BT44" i="1" s="1"/>
  <c r="BR43" i="1"/>
  <c r="BQ43" i="1"/>
  <c r="BS43" i="1" s="1"/>
  <c r="BT43" i="1" s="1"/>
  <c r="BP43" i="1"/>
  <c r="BO43" i="1"/>
  <c r="BN43" i="1"/>
  <c r="BM43" i="1"/>
  <c r="BU43" i="1" s="1"/>
  <c r="BP42" i="1"/>
  <c r="BO42" i="1"/>
  <c r="BR42" i="1" s="1"/>
  <c r="BN42" i="1"/>
  <c r="BM42" i="1"/>
  <c r="BP41" i="1"/>
  <c r="BO41" i="1"/>
  <c r="BN41" i="1"/>
  <c r="BM41" i="1"/>
  <c r="BR40" i="1"/>
  <c r="BQ40" i="1"/>
  <c r="BU40" i="1" s="1"/>
  <c r="BP40" i="1"/>
  <c r="BO40" i="1"/>
  <c r="BN40" i="1"/>
  <c r="BM40" i="1"/>
  <c r="BP39" i="1"/>
  <c r="BO39" i="1"/>
  <c r="BN39" i="1"/>
  <c r="BM39" i="1"/>
  <c r="BP38" i="1"/>
  <c r="BO38" i="1"/>
  <c r="BN38" i="1"/>
  <c r="BM38" i="1"/>
  <c r="BR38" i="1" s="1"/>
  <c r="BP37" i="1"/>
  <c r="BO37" i="1"/>
  <c r="BN37" i="1"/>
  <c r="BM37" i="1"/>
  <c r="BU36" i="1"/>
  <c r="BQ36" i="1"/>
  <c r="BS36" i="1" s="1"/>
  <c r="BT36" i="1" s="1"/>
  <c r="BP36" i="1"/>
  <c r="BO36" i="1"/>
  <c r="BN36" i="1"/>
  <c r="BM36" i="1"/>
  <c r="BR36" i="1" s="1"/>
  <c r="BP35" i="1"/>
  <c r="BO35" i="1"/>
  <c r="BN35" i="1"/>
  <c r="BQ35" i="1" s="1"/>
  <c r="BS35" i="1" s="1"/>
  <c r="BT35" i="1" s="1"/>
  <c r="BM35" i="1"/>
  <c r="BR34" i="1"/>
  <c r="BP34" i="1"/>
  <c r="BO34" i="1"/>
  <c r="BN34" i="1"/>
  <c r="BM34" i="1"/>
  <c r="BS33" i="1"/>
  <c r="BT33" i="1" s="1"/>
  <c r="BR33" i="1"/>
  <c r="BQ33" i="1"/>
  <c r="BP33" i="1"/>
  <c r="BO33" i="1"/>
  <c r="BN33" i="1"/>
  <c r="BM33" i="1"/>
  <c r="BU33" i="1" s="1"/>
  <c r="BP32" i="1"/>
  <c r="BO32" i="1"/>
  <c r="BN32" i="1"/>
  <c r="BM32" i="1"/>
  <c r="BR31" i="1"/>
  <c r="BP31" i="1"/>
  <c r="BO31" i="1"/>
  <c r="BN31" i="1"/>
  <c r="BM31" i="1"/>
  <c r="BQ31" i="1" s="1"/>
  <c r="BP30" i="1"/>
  <c r="BO30" i="1"/>
  <c r="BN30" i="1"/>
  <c r="BM30" i="1"/>
  <c r="BP29" i="1"/>
  <c r="BO29" i="1"/>
  <c r="BN29" i="1"/>
  <c r="BM29" i="1"/>
  <c r="BR29" i="1" s="1"/>
  <c r="BP28" i="1"/>
  <c r="BO28" i="1"/>
  <c r="BN28" i="1"/>
  <c r="BM28" i="1"/>
  <c r="BQ28" i="1" s="1"/>
  <c r="BS28" i="1" s="1"/>
  <c r="BT28" i="1" s="1"/>
  <c r="BR27" i="1"/>
  <c r="BQ27" i="1"/>
  <c r="BS27" i="1" s="1"/>
  <c r="BT27" i="1" s="1"/>
  <c r="BP27" i="1"/>
  <c r="BO27" i="1"/>
  <c r="BN27" i="1"/>
  <c r="BM27" i="1"/>
  <c r="BU27" i="1" s="1"/>
  <c r="BP26" i="1"/>
  <c r="BO26" i="1"/>
  <c r="BR26" i="1" s="1"/>
  <c r="BN26" i="1"/>
  <c r="BM26" i="1"/>
  <c r="BP25" i="1"/>
  <c r="BO25" i="1"/>
  <c r="BN25" i="1"/>
  <c r="BM25" i="1"/>
  <c r="BU25" i="1" s="1"/>
  <c r="BR24" i="1"/>
  <c r="BQ24" i="1"/>
  <c r="BU24" i="1" s="1"/>
  <c r="BP24" i="1"/>
  <c r="BO24" i="1"/>
  <c r="BN24" i="1"/>
  <c r="BM24" i="1"/>
  <c r="BP23" i="1"/>
  <c r="BO23" i="1"/>
  <c r="BN23" i="1"/>
  <c r="BM23" i="1"/>
  <c r="BP22" i="1"/>
  <c r="BO22" i="1"/>
  <c r="BN22" i="1"/>
  <c r="BR22" i="1" s="1"/>
  <c r="BM22" i="1"/>
  <c r="BQ22" i="1" s="1"/>
  <c r="BS22" i="1" s="1"/>
  <c r="BT22" i="1" s="1"/>
  <c r="BP21" i="1"/>
  <c r="BO21" i="1"/>
  <c r="BN21" i="1"/>
  <c r="BM21" i="1"/>
  <c r="BU20" i="1"/>
  <c r="BQ20" i="1"/>
  <c r="BS20" i="1" s="1"/>
  <c r="BT20" i="1" s="1"/>
  <c r="BP20" i="1"/>
  <c r="BO20" i="1"/>
  <c r="BN20" i="1"/>
  <c r="BM20" i="1"/>
  <c r="BR20" i="1" s="1"/>
  <c r="BP19" i="1"/>
  <c r="BO19" i="1"/>
  <c r="BN19" i="1"/>
  <c r="BR19" i="1" s="1"/>
  <c r="BM19" i="1"/>
  <c r="BR18" i="1"/>
  <c r="BP18" i="1"/>
  <c r="BO18" i="1"/>
  <c r="BN18" i="1"/>
  <c r="BM18" i="1"/>
  <c r="BS17" i="1"/>
  <c r="BT17" i="1" s="1"/>
  <c r="BR17" i="1"/>
  <c r="BQ17" i="1"/>
  <c r="BP17" i="1"/>
  <c r="BO17" i="1"/>
  <c r="BN17" i="1"/>
  <c r="BM17" i="1"/>
  <c r="BU17" i="1" s="1"/>
  <c r="BP16" i="1"/>
  <c r="BO16" i="1"/>
  <c r="BN16" i="1"/>
  <c r="BM16" i="1"/>
  <c r="BR15" i="1"/>
  <c r="BP15" i="1"/>
  <c r="BO15" i="1"/>
  <c r="BN15" i="1"/>
  <c r="BM15" i="1"/>
  <c r="BQ15" i="1" s="1"/>
  <c r="BP14" i="1"/>
  <c r="BO14" i="1"/>
  <c r="BN14" i="1"/>
  <c r="BM14" i="1"/>
  <c r="BP13" i="1"/>
  <c r="BO13" i="1"/>
  <c r="BN13" i="1"/>
  <c r="BM13" i="1"/>
  <c r="BR13" i="1" s="1"/>
  <c r="BP12" i="1"/>
  <c r="BO12" i="1"/>
  <c r="BN12" i="1"/>
  <c r="BM12" i="1"/>
  <c r="BQ12" i="1" s="1"/>
  <c r="BS12" i="1" s="1"/>
  <c r="BT12" i="1" s="1"/>
  <c r="BR11" i="1"/>
  <c r="BQ11" i="1"/>
  <c r="BS11" i="1" s="1"/>
  <c r="BT11" i="1" s="1"/>
  <c r="BP11" i="1"/>
  <c r="BO11" i="1"/>
  <c r="BN11" i="1"/>
  <c r="BM11" i="1"/>
  <c r="BU11" i="1" s="1"/>
  <c r="BP10" i="1"/>
  <c r="BO10" i="1"/>
  <c r="BR10" i="1" s="1"/>
  <c r="BN10" i="1"/>
  <c r="BM10" i="1"/>
  <c r="BP9" i="1"/>
  <c r="BO9" i="1"/>
  <c r="BN9" i="1"/>
  <c r="BM9" i="1"/>
  <c r="BR8" i="1"/>
  <c r="BQ8" i="1"/>
  <c r="BU8" i="1" s="1"/>
  <c r="BP8" i="1"/>
  <c r="BO8" i="1"/>
  <c r="BN8" i="1"/>
  <c r="BM8" i="1"/>
  <c r="BP7" i="1"/>
  <c r="BO7" i="1"/>
  <c r="BN7" i="1"/>
  <c r="BM7" i="1"/>
  <c r="BP6" i="1"/>
  <c r="BO6" i="1"/>
  <c r="BN6" i="1"/>
  <c r="BR6" i="1" s="1"/>
  <c r="BM6" i="1"/>
  <c r="BQ6" i="1" s="1"/>
  <c r="BS6" i="1" s="1"/>
  <c r="BT6" i="1" s="1"/>
  <c r="BP5" i="1"/>
  <c r="BO5" i="1"/>
  <c r="BN5" i="1"/>
  <c r="BM5" i="1"/>
  <c r="BU4" i="1"/>
  <c r="BQ4" i="1"/>
  <c r="BS4" i="1" s="1"/>
  <c r="BT4" i="1" s="1"/>
  <c r="BP4" i="1"/>
  <c r="BO4" i="1"/>
  <c r="BN4" i="1"/>
  <c r="BM4" i="1"/>
  <c r="BR4" i="1" s="1"/>
  <c r="BU31" i="1" l="1"/>
  <c r="BS31" i="1"/>
  <c r="BT31" i="1" s="1"/>
  <c r="BU35" i="2"/>
  <c r="BS35" i="2"/>
  <c r="BT35" i="2" s="1"/>
  <c r="BU41" i="2"/>
  <c r="DQ37" i="3"/>
  <c r="BU10" i="1"/>
  <c r="BU18" i="2"/>
  <c r="BU52" i="2"/>
  <c r="DQ17" i="3"/>
  <c r="BU19" i="2"/>
  <c r="BS19" i="2"/>
  <c r="BT19" i="2" s="1"/>
  <c r="BU22" i="2"/>
  <c r="BU25" i="2"/>
  <c r="BU15" i="1"/>
  <c r="BS15" i="1"/>
  <c r="BT15" i="1" s="1"/>
  <c r="BU18" i="1"/>
  <c r="BU35" i="1"/>
  <c r="BU62" i="2"/>
  <c r="DQ22" i="3"/>
  <c r="DO22" i="3"/>
  <c r="DP22" i="3" s="1"/>
  <c r="DQ38" i="3"/>
  <c r="DO38" i="3"/>
  <c r="DP38" i="3" s="1"/>
  <c r="DQ41" i="3"/>
  <c r="BU63" i="1"/>
  <c r="BS63" i="1"/>
  <c r="BT63" i="1" s="1"/>
  <c r="BU9" i="2"/>
  <c r="BU16" i="1"/>
  <c r="BU53" i="1"/>
  <c r="BU60" i="1"/>
  <c r="DQ6" i="3"/>
  <c r="DO6" i="3"/>
  <c r="DP6" i="3" s="1"/>
  <c r="BU47" i="1"/>
  <c r="BS47" i="1"/>
  <c r="BT47" i="1" s="1"/>
  <c r="BU50" i="1"/>
  <c r="BU27" i="2"/>
  <c r="BU30" i="2"/>
  <c r="DQ46" i="3"/>
  <c r="BU30" i="1"/>
  <c r="BU51" i="2"/>
  <c r="BS51" i="2"/>
  <c r="BT51" i="2" s="1"/>
  <c r="BU11" i="2"/>
  <c r="DN115" i="3"/>
  <c r="DM115" i="3"/>
  <c r="DO115" i="3" s="1"/>
  <c r="DP115" i="3" s="1"/>
  <c r="BU16" i="4"/>
  <c r="BR16" i="4"/>
  <c r="BQ16" i="4"/>
  <c r="BS16" i="4" s="1"/>
  <c r="BT16" i="4" s="1"/>
  <c r="BU39" i="4"/>
  <c r="BR39" i="4"/>
  <c r="BQ39" i="4"/>
  <c r="BS39" i="4" s="1"/>
  <c r="BT39" i="4" s="1"/>
  <c r="BQ4" i="5"/>
  <c r="BS4" i="5" s="1"/>
  <c r="BT4" i="5" s="1"/>
  <c r="BQ26" i="7"/>
  <c r="BS26" i="7" s="1"/>
  <c r="BT26" i="7" s="1"/>
  <c r="BR26" i="7"/>
  <c r="BR65" i="7"/>
  <c r="BQ65" i="7"/>
  <c r="BS65" i="7" s="1"/>
  <c r="BT65" i="7" s="1"/>
  <c r="BR148" i="7"/>
  <c r="BQ148" i="7"/>
  <c r="BS148" i="7" s="1"/>
  <c r="BT148" i="7" s="1"/>
  <c r="BR6" i="8"/>
  <c r="BQ6" i="8"/>
  <c r="BS6" i="8" s="1"/>
  <c r="BT6" i="8" s="1"/>
  <c r="BQ10" i="9"/>
  <c r="BS10" i="9" s="1"/>
  <c r="BT10" i="9" s="1"/>
  <c r="BU10" i="9"/>
  <c r="BR10" i="9"/>
  <c r="DN7" i="11"/>
  <c r="DM7" i="11"/>
  <c r="DO7" i="11" s="1"/>
  <c r="DP7" i="11" s="1"/>
  <c r="BU19" i="4"/>
  <c r="BR28" i="4"/>
  <c r="BU56" i="7"/>
  <c r="BR56" i="7"/>
  <c r="BQ151" i="7"/>
  <c r="BS151" i="7" s="1"/>
  <c r="BT151" i="7" s="1"/>
  <c r="BR151" i="7"/>
  <c r="BU6" i="1"/>
  <c r="BS8" i="1"/>
  <c r="BT8" i="1" s="1"/>
  <c r="BQ10" i="1"/>
  <c r="BS10" i="1" s="1"/>
  <c r="BT10" i="1" s="1"/>
  <c r="BU22" i="1"/>
  <c r="BS24" i="1"/>
  <c r="BT24" i="1" s="1"/>
  <c r="BQ26" i="1"/>
  <c r="BS26" i="1" s="1"/>
  <c r="BT26" i="1" s="1"/>
  <c r="BS40" i="1"/>
  <c r="BT40" i="1" s="1"/>
  <c r="BQ42" i="1"/>
  <c r="BS42" i="1" s="1"/>
  <c r="BT42" i="1" s="1"/>
  <c r="BS56" i="1"/>
  <c r="BT56" i="1" s="1"/>
  <c r="BQ58" i="1"/>
  <c r="BS58" i="1" s="1"/>
  <c r="BT58" i="1" s="1"/>
  <c r="BS12" i="2"/>
  <c r="BT12" i="2" s="1"/>
  <c r="BQ14" i="2"/>
  <c r="BS14" i="2" s="1"/>
  <c r="BT14" i="2" s="1"/>
  <c r="BS28" i="2"/>
  <c r="BT28" i="2" s="1"/>
  <c r="BQ30" i="2"/>
  <c r="BS30" i="2" s="1"/>
  <c r="BT30" i="2" s="1"/>
  <c r="BS44" i="2"/>
  <c r="BT44" i="2" s="1"/>
  <c r="BQ46" i="2"/>
  <c r="BS46" i="2" s="1"/>
  <c r="BT46" i="2" s="1"/>
  <c r="BS60" i="2"/>
  <c r="BT60" i="2" s="1"/>
  <c r="BQ62" i="2"/>
  <c r="BS62" i="2" s="1"/>
  <c r="BT62" i="2" s="1"/>
  <c r="DO15" i="3"/>
  <c r="DP15" i="3" s="1"/>
  <c r="DM17" i="3"/>
  <c r="DO17" i="3" s="1"/>
  <c r="DP17" i="3" s="1"/>
  <c r="DO31" i="3"/>
  <c r="DP31" i="3" s="1"/>
  <c r="DM33" i="3"/>
  <c r="DO33" i="3" s="1"/>
  <c r="DP33" i="3" s="1"/>
  <c r="DO47" i="3"/>
  <c r="DP47" i="3" s="1"/>
  <c r="DM49" i="3"/>
  <c r="DO49" i="3" s="1"/>
  <c r="DP49" i="3" s="1"/>
  <c r="DQ72" i="3"/>
  <c r="DQ74" i="3"/>
  <c r="BU5" i="4"/>
  <c r="BR5" i="4"/>
  <c r="BQ5" i="4"/>
  <c r="BS5" i="4" s="1"/>
  <c r="BT5" i="4" s="1"/>
  <c r="BR10" i="4"/>
  <c r="BU48" i="4"/>
  <c r="BR48" i="4"/>
  <c r="BQ48" i="4"/>
  <c r="BS48" i="4" s="1"/>
  <c r="BT48" i="4" s="1"/>
  <c r="BU60" i="4"/>
  <c r="BR60" i="4"/>
  <c r="BR4" i="5"/>
  <c r="BU38" i="5"/>
  <c r="BR38" i="5"/>
  <c r="BR5" i="6"/>
  <c r="BQ5" i="6"/>
  <c r="BS5" i="6" s="1"/>
  <c r="BT5" i="6" s="1"/>
  <c r="BU9" i="6"/>
  <c r="BR9" i="6"/>
  <c r="BR17" i="7"/>
  <c r="BQ17" i="7"/>
  <c r="BS17" i="7" s="1"/>
  <c r="BT17" i="7" s="1"/>
  <c r="BS36" i="7"/>
  <c r="BT36" i="7" s="1"/>
  <c r="BU36" i="7"/>
  <c r="CD8" i="10"/>
  <c r="CG8" i="10"/>
  <c r="CC8" i="10"/>
  <c r="CE8" i="10" s="1"/>
  <c r="CF8" i="10" s="1"/>
  <c r="DQ170" i="11"/>
  <c r="DM170" i="11"/>
  <c r="DO170" i="11" s="1"/>
  <c r="DP170" i="11" s="1"/>
  <c r="BR26" i="5"/>
  <c r="BQ26" i="5"/>
  <c r="BS26" i="5" s="1"/>
  <c r="BT26" i="5" s="1"/>
  <c r="DQ62" i="3"/>
  <c r="BR23" i="7"/>
  <c r="BQ23" i="7"/>
  <c r="BS23" i="7" s="1"/>
  <c r="BT23" i="7" s="1"/>
  <c r="BR35" i="1"/>
  <c r="BQ60" i="1"/>
  <c r="BS60" i="1" s="1"/>
  <c r="BT60" i="1" s="1"/>
  <c r="BR7" i="2"/>
  <c r="BQ32" i="2"/>
  <c r="BS32" i="2" s="1"/>
  <c r="BT32" i="2" s="1"/>
  <c r="BR55" i="2"/>
  <c r="BQ64" i="2"/>
  <c r="BS64" i="2" s="1"/>
  <c r="BT64" i="2" s="1"/>
  <c r="DM51" i="3"/>
  <c r="DO51" i="3" s="1"/>
  <c r="DP51" i="3" s="1"/>
  <c r="DN58" i="3"/>
  <c r="DN67" i="3"/>
  <c r="DM67" i="3"/>
  <c r="DO67" i="3" s="1"/>
  <c r="DP67" i="3" s="1"/>
  <c r="BU69" i="4"/>
  <c r="BR69" i="4"/>
  <c r="BQ69" i="4"/>
  <c r="BS69" i="4" s="1"/>
  <c r="BT69" i="4" s="1"/>
  <c r="BU29" i="5"/>
  <c r="BR79" i="7"/>
  <c r="BQ79" i="7"/>
  <c r="BS79" i="7" s="1"/>
  <c r="BT79" i="7" s="1"/>
  <c r="BS113" i="7"/>
  <c r="BT113" i="7" s="1"/>
  <c r="BQ24" i="8"/>
  <c r="BS24" i="8" s="1"/>
  <c r="BT24" i="8" s="1"/>
  <c r="BR24" i="8"/>
  <c r="BQ5" i="1"/>
  <c r="BS5" i="1" s="1"/>
  <c r="BT5" i="1" s="1"/>
  <c r="BR12" i="1"/>
  <c r="BQ21" i="1"/>
  <c r="BS21" i="1" s="1"/>
  <c r="BT21" i="1" s="1"/>
  <c r="BR28" i="1"/>
  <c r="BQ37" i="1"/>
  <c r="BS37" i="1" s="1"/>
  <c r="BT37" i="1" s="1"/>
  <c r="BR44" i="1"/>
  <c r="BQ53" i="1"/>
  <c r="BS53" i="1" s="1"/>
  <c r="BT53" i="1" s="1"/>
  <c r="BR60" i="1"/>
  <c r="BQ9" i="2"/>
  <c r="BS9" i="2" s="1"/>
  <c r="BT9" i="2" s="1"/>
  <c r="BR16" i="2"/>
  <c r="BQ25" i="2"/>
  <c r="BS25" i="2" s="1"/>
  <c r="BT25" i="2" s="1"/>
  <c r="BR32" i="2"/>
  <c r="BQ41" i="2"/>
  <c r="BS41" i="2" s="1"/>
  <c r="BT41" i="2" s="1"/>
  <c r="BR48" i="2"/>
  <c r="BQ57" i="2"/>
  <c r="BS57" i="2" s="1"/>
  <c r="BT57" i="2" s="1"/>
  <c r="BR64" i="2"/>
  <c r="DM12" i="3"/>
  <c r="DO12" i="3" s="1"/>
  <c r="DP12" i="3" s="1"/>
  <c r="DN19" i="3"/>
  <c r="DM28" i="3"/>
  <c r="DO28" i="3" s="1"/>
  <c r="DP28" i="3" s="1"/>
  <c r="DN35" i="3"/>
  <c r="DM44" i="3"/>
  <c r="DO44" i="3" s="1"/>
  <c r="DP44" i="3" s="1"/>
  <c r="DN51" i="3"/>
  <c r="DM60" i="3"/>
  <c r="DO60" i="3" s="1"/>
  <c r="DP60" i="3" s="1"/>
  <c r="DN69" i="3"/>
  <c r="DO77" i="3"/>
  <c r="DP77" i="3" s="1"/>
  <c r="DQ110" i="3"/>
  <c r="DN110" i="3"/>
  <c r="DM110" i="3"/>
  <c r="DO110" i="3" s="1"/>
  <c r="DP110" i="3" s="1"/>
  <c r="DN133" i="3"/>
  <c r="DM133" i="3"/>
  <c r="DO133" i="3" s="1"/>
  <c r="DP133" i="3" s="1"/>
  <c r="DQ136" i="3"/>
  <c r="DO141" i="3"/>
  <c r="DP141" i="3" s="1"/>
  <c r="BR19" i="4"/>
  <c r="BU25" i="4"/>
  <c r="BQ28" i="4"/>
  <c r="BS28" i="4" s="1"/>
  <c r="BT28" i="4" s="1"/>
  <c r="BQ51" i="4"/>
  <c r="BS51" i="4" s="1"/>
  <c r="BT51" i="4" s="1"/>
  <c r="BR8" i="5"/>
  <c r="BU20" i="5"/>
  <c r="BQ20" i="5"/>
  <c r="BS20" i="5" s="1"/>
  <c r="BT20" i="5" s="1"/>
  <c r="BU8" i="7"/>
  <c r="BR8" i="7"/>
  <c r="BQ8" i="7"/>
  <c r="BS8" i="7" s="1"/>
  <c r="BT8" i="7" s="1"/>
  <c r="BR14" i="7"/>
  <c r="BQ14" i="7"/>
  <c r="BS14" i="7" s="1"/>
  <c r="BT14" i="7" s="1"/>
  <c r="BQ30" i="7"/>
  <c r="BS30" i="7" s="1"/>
  <c r="BT30" i="7" s="1"/>
  <c r="BQ56" i="7"/>
  <c r="BS56" i="7" s="1"/>
  <c r="BT56" i="7" s="1"/>
  <c r="BS73" i="7"/>
  <c r="BT73" i="7" s="1"/>
  <c r="BU73" i="7"/>
  <c r="BU93" i="7"/>
  <c r="BS93" i="7"/>
  <c r="BT93" i="7" s="1"/>
  <c r="CG97" i="10"/>
  <c r="BR5" i="1"/>
  <c r="BQ14" i="1"/>
  <c r="BS14" i="1" s="1"/>
  <c r="BT14" i="1" s="1"/>
  <c r="BR21" i="1"/>
  <c r="BQ30" i="1"/>
  <c r="BS30" i="1" s="1"/>
  <c r="BT30" i="1" s="1"/>
  <c r="BR37" i="1"/>
  <c r="BQ46" i="1"/>
  <c r="BS46" i="1" s="1"/>
  <c r="BT46" i="1" s="1"/>
  <c r="BR53" i="1"/>
  <c r="BQ62" i="1"/>
  <c r="BS62" i="1" s="1"/>
  <c r="BT62" i="1" s="1"/>
  <c r="BR9" i="2"/>
  <c r="BQ18" i="2"/>
  <c r="BS18" i="2" s="1"/>
  <c r="BT18" i="2" s="1"/>
  <c r="BR25" i="2"/>
  <c r="BQ34" i="2"/>
  <c r="BS34" i="2" s="1"/>
  <c r="BT34" i="2" s="1"/>
  <c r="BR41" i="2"/>
  <c r="BQ50" i="2"/>
  <c r="BS50" i="2" s="1"/>
  <c r="BT50" i="2" s="1"/>
  <c r="BR57" i="2"/>
  <c r="DM5" i="3"/>
  <c r="DO5" i="3" s="1"/>
  <c r="DP5" i="3" s="1"/>
  <c r="DN12" i="3"/>
  <c r="DM21" i="3"/>
  <c r="DO21" i="3" s="1"/>
  <c r="DP21" i="3" s="1"/>
  <c r="DN28" i="3"/>
  <c r="DM37" i="3"/>
  <c r="DO37" i="3" s="1"/>
  <c r="DP37" i="3" s="1"/>
  <c r="DN44" i="3"/>
  <c r="DM53" i="3"/>
  <c r="DO53" i="3" s="1"/>
  <c r="DP53" i="3" s="1"/>
  <c r="DN60" i="3"/>
  <c r="DN72" i="3"/>
  <c r="DQ113" i="3"/>
  <c r="DN122" i="3"/>
  <c r="BR14" i="4"/>
  <c r="BU43" i="4"/>
  <c r="BR51" i="4"/>
  <c r="BU57" i="4"/>
  <c r="BQ60" i="4"/>
  <c r="BS60" i="4" s="1"/>
  <c r="BT60" i="4" s="1"/>
  <c r="BQ38" i="5"/>
  <c r="BS38" i="5" s="1"/>
  <c r="BT38" i="5" s="1"/>
  <c r="BQ9" i="6"/>
  <c r="BS9" i="6" s="1"/>
  <c r="BT9" i="6" s="1"/>
  <c r="BQ163" i="7"/>
  <c r="BS163" i="7" s="1"/>
  <c r="BT163" i="7" s="1"/>
  <c r="BU163" i="7"/>
  <c r="BR163" i="7"/>
  <c r="DM167" i="11"/>
  <c r="DO167" i="11" s="1"/>
  <c r="DP167" i="11" s="1"/>
  <c r="DN167" i="11"/>
  <c r="BQ16" i="2"/>
  <c r="BS16" i="2" s="1"/>
  <c r="BT16" i="2" s="1"/>
  <c r="BQ7" i="1"/>
  <c r="BS7" i="1" s="1"/>
  <c r="BT7" i="1" s="1"/>
  <c r="BR14" i="1"/>
  <c r="BQ23" i="1"/>
  <c r="BS23" i="1" s="1"/>
  <c r="BT23" i="1" s="1"/>
  <c r="BR30" i="1"/>
  <c r="BQ39" i="1"/>
  <c r="BS39" i="1" s="1"/>
  <c r="BT39" i="1" s="1"/>
  <c r="BR46" i="1"/>
  <c r="BQ55" i="1"/>
  <c r="BS55" i="1" s="1"/>
  <c r="BT55" i="1" s="1"/>
  <c r="BR62" i="1"/>
  <c r="BQ11" i="2"/>
  <c r="BS11" i="2" s="1"/>
  <c r="BT11" i="2" s="1"/>
  <c r="BR18" i="2"/>
  <c r="BU23" i="2"/>
  <c r="BQ27" i="2"/>
  <c r="BS27" i="2" s="1"/>
  <c r="BT27" i="2" s="1"/>
  <c r="BR34" i="2"/>
  <c r="BU39" i="2"/>
  <c r="BQ43" i="2"/>
  <c r="BS43" i="2" s="1"/>
  <c r="BT43" i="2" s="1"/>
  <c r="BR50" i="2"/>
  <c r="BQ59" i="2"/>
  <c r="BS59" i="2" s="1"/>
  <c r="BT59" i="2" s="1"/>
  <c r="DN5" i="3"/>
  <c r="DQ10" i="3"/>
  <c r="DM14" i="3"/>
  <c r="DO14" i="3" s="1"/>
  <c r="DP14" i="3" s="1"/>
  <c r="DN21" i="3"/>
  <c r="DQ26" i="3"/>
  <c r="DM30" i="3"/>
  <c r="DO30" i="3" s="1"/>
  <c r="DP30" i="3" s="1"/>
  <c r="DN37" i="3"/>
  <c r="DQ42" i="3"/>
  <c r="DM46" i="3"/>
  <c r="DO46" i="3" s="1"/>
  <c r="DP46" i="3" s="1"/>
  <c r="DN53" i="3"/>
  <c r="DM62" i="3"/>
  <c r="DO62" i="3" s="1"/>
  <c r="DP62" i="3" s="1"/>
  <c r="DQ78" i="3"/>
  <c r="DN78" i="3"/>
  <c r="DQ90" i="3"/>
  <c r="DN90" i="3"/>
  <c r="DQ118" i="3"/>
  <c r="DN142" i="3"/>
  <c r="DM142" i="3"/>
  <c r="DO142" i="3" s="1"/>
  <c r="DP142" i="3" s="1"/>
  <c r="BU23" i="4"/>
  <c r="BR23" i="4"/>
  <c r="BQ23" i="4"/>
  <c r="BS23" i="4" s="1"/>
  <c r="BT23" i="4" s="1"/>
  <c r="BS31" i="4"/>
  <c r="BT31" i="4" s="1"/>
  <c r="BQ29" i="5"/>
  <c r="BS29" i="5" s="1"/>
  <c r="BT29" i="5" s="1"/>
  <c r="BS41" i="5"/>
  <c r="BT41" i="5" s="1"/>
  <c r="BU87" i="7"/>
  <c r="BR87" i="7"/>
  <c r="BQ87" i="7"/>
  <c r="BS87" i="7" s="1"/>
  <c r="BT87" i="7" s="1"/>
  <c r="BU25" i="8"/>
  <c r="BS25" i="8"/>
  <c r="BT25" i="8" s="1"/>
  <c r="CG49" i="10"/>
  <c r="CD84" i="10"/>
  <c r="CC84" i="10"/>
  <c r="CE84" i="10" s="1"/>
  <c r="CF84" i="10" s="1"/>
  <c r="BR7" i="1"/>
  <c r="BU12" i="1"/>
  <c r="BQ16" i="1"/>
  <c r="BS16" i="1" s="1"/>
  <c r="BT16" i="1" s="1"/>
  <c r="BR23" i="1"/>
  <c r="BU28" i="1"/>
  <c r="BQ32" i="1"/>
  <c r="BS32" i="1" s="1"/>
  <c r="BT32" i="1" s="1"/>
  <c r="BR39" i="1"/>
  <c r="BU44" i="1"/>
  <c r="BQ48" i="1"/>
  <c r="BS48" i="1" s="1"/>
  <c r="BT48" i="1" s="1"/>
  <c r="BR55" i="1"/>
  <c r="BQ4" i="2"/>
  <c r="BS4" i="2" s="1"/>
  <c r="BT4" i="2" s="1"/>
  <c r="BR11" i="2"/>
  <c r="BQ20" i="2"/>
  <c r="BS20" i="2" s="1"/>
  <c r="BT20" i="2" s="1"/>
  <c r="BR27" i="2"/>
  <c r="BQ36" i="2"/>
  <c r="BS36" i="2" s="1"/>
  <c r="BT36" i="2" s="1"/>
  <c r="BR43" i="2"/>
  <c r="BU48" i="2"/>
  <c r="BQ52" i="2"/>
  <c r="BS52" i="2" s="1"/>
  <c r="BT52" i="2" s="1"/>
  <c r="BR59" i="2"/>
  <c r="DM7" i="3"/>
  <c r="DO7" i="3" s="1"/>
  <c r="DP7" i="3" s="1"/>
  <c r="DN14" i="3"/>
  <c r="DQ19" i="3"/>
  <c r="DM23" i="3"/>
  <c r="DO23" i="3" s="1"/>
  <c r="DP23" i="3" s="1"/>
  <c r="DN30" i="3"/>
  <c r="DQ35" i="3"/>
  <c r="DM39" i="3"/>
  <c r="DO39" i="3" s="1"/>
  <c r="DP39" i="3" s="1"/>
  <c r="DN46" i="3"/>
  <c r="DM55" i="3"/>
  <c r="DO55" i="3" s="1"/>
  <c r="DP55" i="3" s="1"/>
  <c r="DN62" i="3"/>
  <c r="DQ73" i="3"/>
  <c r="DN73" i="3"/>
  <c r="DM73" i="3"/>
  <c r="DO73" i="3" s="1"/>
  <c r="DP73" i="3" s="1"/>
  <c r="DQ145" i="3"/>
  <c r="BR12" i="4"/>
  <c r="BR55" i="4"/>
  <c r="BQ55" i="4"/>
  <c r="BS55" i="4" s="1"/>
  <c r="BT55" i="4" s="1"/>
  <c r="BS63" i="4"/>
  <c r="BT63" i="4" s="1"/>
  <c r="BU6" i="5"/>
  <c r="BR6" i="5"/>
  <c r="BR29" i="5"/>
  <c r="BR33" i="5"/>
  <c r="BQ33" i="5"/>
  <c r="BS33" i="5" s="1"/>
  <c r="BT33" i="5" s="1"/>
  <c r="BQ51" i="5"/>
  <c r="BS51" i="5" s="1"/>
  <c r="BT51" i="5" s="1"/>
  <c r="BU51" i="5"/>
  <c r="BR51" i="5"/>
  <c r="BU24" i="7"/>
  <c r="BU16" i="9"/>
  <c r="BS16" i="9"/>
  <c r="BT16" i="9" s="1"/>
  <c r="DM69" i="11"/>
  <c r="DO69" i="11" s="1"/>
  <c r="DP69" i="11" s="1"/>
  <c r="DN69" i="11"/>
  <c r="DQ69" i="11"/>
  <c r="BQ19" i="1"/>
  <c r="BS19" i="1" s="1"/>
  <c r="BT19" i="1" s="1"/>
  <c r="BQ51" i="1"/>
  <c r="BS51" i="1" s="1"/>
  <c r="BT51" i="1" s="1"/>
  <c r="DN83" i="3"/>
  <c r="DM83" i="3"/>
  <c r="DO83" i="3" s="1"/>
  <c r="DP83" i="3" s="1"/>
  <c r="BR22" i="9"/>
  <c r="BU22" i="9"/>
  <c r="DM69" i="3"/>
  <c r="DO69" i="3" s="1"/>
  <c r="DP69" i="3" s="1"/>
  <c r="BQ19" i="4"/>
  <c r="BS19" i="4" s="1"/>
  <c r="BT19" i="4" s="1"/>
  <c r="BR37" i="4"/>
  <c r="BQ37" i="4"/>
  <c r="BS37" i="4" s="1"/>
  <c r="BT37" i="4" s="1"/>
  <c r="BQ9" i="1"/>
  <c r="BS9" i="1" s="1"/>
  <c r="BT9" i="1" s="1"/>
  <c r="BR16" i="1"/>
  <c r="BQ25" i="1"/>
  <c r="BS25" i="1" s="1"/>
  <c r="BT25" i="1" s="1"/>
  <c r="BR32" i="1"/>
  <c r="BQ41" i="1"/>
  <c r="BS41" i="1" s="1"/>
  <c r="BT41" i="1" s="1"/>
  <c r="BR48" i="1"/>
  <c r="BQ57" i="1"/>
  <c r="BS57" i="1" s="1"/>
  <c r="BT57" i="1" s="1"/>
  <c r="BR4" i="2"/>
  <c r="BQ13" i="2"/>
  <c r="BS13" i="2" s="1"/>
  <c r="BT13" i="2" s="1"/>
  <c r="BR20" i="2"/>
  <c r="BQ29" i="2"/>
  <c r="BS29" i="2" s="1"/>
  <c r="BT29" i="2" s="1"/>
  <c r="BR36" i="2"/>
  <c r="BQ45" i="2"/>
  <c r="BS45" i="2" s="1"/>
  <c r="BT45" i="2" s="1"/>
  <c r="BR52" i="2"/>
  <c r="BQ61" i="2"/>
  <c r="BS61" i="2" s="1"/>
  <c r="BT61" i="2" s="1"/>
  <c r="DN7" i="3"/>
  <c r="DM16" i="3"/>
  <c r="DO16" i="3" s="1"/>
  <c r="DP16" i="3" s="1"/>
  <c r="DN23" i="3"/>
  <c r="DM32" i="3"/>
  <c r="DO32" i="3" s="1"/>
  <c r="DP32" i="3" s="1"/>
  <c r="DN39" i="3"/>
  <c r="DM48" i="3"/>
  <c r="DO48" i="3" s="1"/>
  <c r="DP48" i="3" s="1"/>
  <c r="DN55" i="3"/>
  <c r="DN99" i="3"/>
  <c r="DM99" i="3"/>
  <c r="DO99" i="3" s="1"/>
  <c r="DP99" i="3" s="1"/>
  <c r="DM113" i="3"/>
  <c r="DO113" i="3" s="1"/>
  <c r="DP113" i="3" s="1"/>
  <c r="DQ131" i="3"/>
  <c r="DN131" i="3"/>
  <c r="DM131" i="3"/>
  <c r="DO131" i="3" s="1"/>
  <c r="DP131" i="3" s="1"/>
  <c r="DN136" i="3"/>
  <c r="BU8" i="4"/>
  <c r="BR32" i="4"/>
  <c r="BQ32" i="4"/>
  <c r="BS32" i="4" s="1"/>
  <c r="BT32" i="4" s="1"/>
  <c r="BU72" i="4"/>
  <c r="BR15" i="5"/>
  <c r="BQ15" i="5"/>
  <c r="BS15" i="5" s="1"/>
  <c r="BT15" i="5" s="1"/>
  <c r="BU21" i="5"/>
  <c r="BU42" i="5"/>
  <c r="BR42" i="5"/>
  <c r="BQ42" i="5"/>
  <c r="BS42" i="5" s="1"/>
  <c r="BT42" i="5" s="1"/>
  <c r="BU45" i="5"/>
  <c r="BQ21" i="7"/>
  <c r="BS21" i="7" s="1"/>
  <c r="BT21" i="7" s="1"/>
  <c r="BR21" i="7"/>
  <c r="BR31" i="7"/>
  <c r="BQ31" i="7"/>
  <c r="BS31" i="7" s="1"/>
  <c r="BT31" i="7" s="1"/>
  <c r="BR47" i="7"/>
  <c r="BR157" i="7"/>
  <c r="BR47" i="5"/>
  <c r="BQ47" i="5"/>
  <c r="BS47" i="5" s="1"/>
  <c r="BT47" i="5" s="1"/>
  <c r="BR9" i="1"/>
  <c r="BQ18" i="1"/>
  <c r="BS18" i="1" s="1"/>
  <c r="BT18" i="1" s="1"/>
  <c r="BR25" i="1"/>
  <c r="BQ34" i="1"/>
  <c r="BS34" i="1" s="1"/>
  <c r="BT34" i="1" s="1"/>
  <c r="BR41" i="1"/>
  <c r="BQ50" i="1"/>
  <c r="BS50" i="1" s="1"/>
  <c r="BT50" i="1" s="1"/>
  <c r="BR57" i="1"/>
  <c r="BQ6" i="2"/>
  <c r="BS6" i="2" s="1"/>
  <c r="BT6" i="2" s="1"/>
  <c r="BR13" i="2"/>
  <c r="BQ22" i="2"/>
  <c r="BS22" i="2" s="1"/>
  <c r="BT22" i="2" s="1"/>
  <c r="BR29" i="2"/>
  <c r="BQ38" i="2"/>
  <c r="BS38" i="2" s="1"/>
  <c r="BT38" i="2" s="1"/>
  <c r="BR45" i="2"/>
  <c r="BQ54" i="2"/>
  <c r="BS54" i="2" s="1"/>
  <c r="BT54" i="2" s="1"/>
  <c r="BR61" i="2"/>
  <c r="DM9" i="3"/>
  <c r="DO9" i="3" s="1"/>
  <c r="DP9" i="3" s="1"/>
  <c r="DN16" i="3"/>
  <c r="DM25" i="3"/>
  <c r="DO25" i="3" s="1"/>
  <c r="DP25" i="3" s="1"/>
  <c r="DN32" i="3"/>
  <c r="DM41" i="3"/>
  <c r="DO41" i="3" s="1"/>
  <c r="DP41" i="3" s="1"/>
  <c r="DN48" i="3"/>
  <c r="DM57" i="3"/>
  <c r="DO57" i="3" s="1"/>
  <c r="DP57" i="3" s="1"/>
  <c r="DQ108" i="3"/>
  <c r="DN113" i="3"/>
  <c r="DM122" i="3"/>
  <c r="DO122" i="3" s="1"/>
  <c r="DP122" i="3" s="1"/>
  <c r="BU44" i="4"/>
  <c r="BR44" i="4"/>
  <c r="BU64" i="4"/>
  <c r="BR64" i="4"/>
  <c r="BQ64" i="4"/>
  <c r="BS64" i="4" s="1"/>
  <c r="BT64" i="4" s="1"/>
  <c r="BU67" i="4"/>
  <c r="BU12" i="5"/>
  <c r="BR24" i="5"/>
  <c r="BQ36" i="5"/>
  <c r="BS36" i="5" s="1"/>
  <c r="BT36" i="5" s="1"/>
  <c r="BU15" i="7"/>
  <c r="BU28" i="7"/>
  <c r="BR28" i="7"/>
  <c r="BQ28" i="7"/>
  <c r="BS28" i="7" s="1"/>
  <c r="BT28" i="7" s="1"/>
  <c r="BU47" i="7"/>
  <c r="BU130" i="7"/>
  <c r="BU133" i="7"/>
  <c r="BS133" i="7"/>
  <c r="BT133" i="7" s="1"/>
  <c r="BR19" i="9"/>
  <c r="CD36" i="10"/>
  <c r="CC36" i="10"/>
  <c r="CE36" i="10" s="1"/>
  <c r="CF36" i="10" s="1"/>
  <c r="DM97" i="11"/>
  <c r="DO97" i="11" s="1"/>
  <c r="DP97" i="11" s="1"/>
  <c r="DN97" i="11"/>
  <c r="DM81" i="3"/>
  <c r="DO81" i="3" s="1"/>
  <c r="DP81" i="3" s="1"/>
  <c r="DN108" i="3"/>
  <c r="DQ128" i="3"/>
  <c r="DM145" i="3"/>
  <c r="DO145" i="3" s="1"/>
  <c r="DP145" i="3" s="1"/>
  <c r="BR21" i="4"/>
  <c r="BQ21" i="4"/>
  <c r="BS21" i="4" s="1"/>
  <c r="BT21" i="4" s="1"/>
  <c r="BU40" i="4"/>
  <c r="BU7" i="6"/>
  <c r="BU88" i="7"/>
  <c r="BR88" i="7"/>
  <c r="BQ88" i="7"/>
  <c r="BS88" i="7" s="1"/>
  <c r="BT88" i="7" s="1"/>
  <c r="DM24" i="11"/>
  <c r="DO24" i="11" s="1"/>
  <c r="DP24" i="11" s="1"/>
  <c r="DN24" i="11"/>
  <c r="DM53" i="11"/>
  <c r="DO53" i="11" s="1"/>
  <c r="DP53" i="11" s="1"/>
  <c r="DQ53" i="11"/>
  <c r="DN53" i="11"/>
  <c r="BU17" i="5"/>
  <c r="BR17" i="5"/>
  <c r="BQ17" i="5"/>
  <c r="BS17" i="5" s="1"/>
  <c r="BT17" i="5" s="1"/>
  <c r="DQ79" i="3"/>
  <c r="DN81" i="3"/>
  <c r="DN117" i="3"/>
  <c r="DM117" i="3"/>
  <c r="DO117" i="3" s="1"/>
  <c r="DP117" i="3" s="1"/>
  <c r="DQ140" i="3"/>
  <c r="DN145" i="3"/>
  <c r="BQ12" i="4"/>
  <c r="BS12" i="4" s="1"/>
  <c r="BT12" i="4" s="1"/>
  <c r="BR53" i="4"/>
  <c r="BQ53" i="4"/>
  <c r="BS53" i="4" s="1"/>
  <c r="BT53" i="4" s="1"/>
  <c r="BQ6" i="5"/>
  <c r="BS6" i="5" s="1"/>
  <c r="BT6" i="5" s="1"/>
  <c r="BR19" i="7"/>
  <c r="BQ19" i="7"/>
  <c r="BS19" i="7" s="1"/>
  <c r="BT19" i="7" s="1"/>
  <c r="BR16" i="8"/>
  <c r="BQ16" i="8"/>
  <c r="BS16" i="8" s="1"/>
  <c r="BT16" i="8" s="1"/>
  <c r="DQ89" i="3"/>
  <c r="DQ101" i="3"/>
  <c r="DN101" i="3"/>
  <c r="DM101" i="3"/>
  <c r="DO101" i="3" s="1"/>
  <c r="DP101" i="3" s="1"/>
  <c r="BU169" i="7"/>
  <c r="BS169" i="7"/>
  <c r="BT169" i="7" s="1"/>
  <c r="CG4" i="10"/>
  <c r="CE4" i="10"/>
  <c r="CF4" i="10" s="1"/>
  <c r="DQ144" i="3"/>
  <c r="BU11" i="4"/>
  <c r="BQ13" i="1"/>
  <c r="BQ29" i="1"/>
  <c r="BQ45" i="1"/>
  <c r="BQ61" i="1"/>
  <c r="BQ17" i="2"/>
  <c r="BQ33" i="2"/>
  <c r="BQ49" i="2"/>
  <c r="DM4" i="3"/>
  <c r="DM20" i="3"/>
  <c r="DM36" i="3"/>
  <c r="DM52" i="3"/>
  <c r="DN65" i="3"/>
  <c r="DQ70" i="3"/>
  <c r="DQ85" i="3"/>
  <c r="DN85" i="3"/>
  <c r="DM85" i="3"/>
  <c r="DO85" i="3" s="1"/>
  <c r="DP85" i="3" s="1"/>
  <c r="DQ88" i="3"/>
  <c r="DQ106" i="3"/>
  <c r="DN106" i="3"/>
  <c r="BU33" i="4"/>
  <c r="BQ35" i="4"/>
  <c r="BS35" i="4" s="1"/>
  <c r="BT35" i="4" s="1"/>
  <c r="BQ67" i="4"/>
  <c r="BS67" i="4" s="1"/>
  <c r="BT67" i="4" s="1"/>
  <c r="BS9" i="5"/>
  <c r="BT9" i="5" s="1"/>
  <c r="BU22" i="5"/>
  <c r="BR22" i="5"/>
  <c r="BU43" i="5"/>
  <c r="BR45" i="5"/>
  <c r="BQ49" i="5"/>
  <c r="BS49" i="5" s="1"/>
  <c r="BT49" i="5" s="1"/>
  <c r="BU49" i="5"/>
  <c r="BR49" i="5"/>
  <c r="BR42" i="7"/>
  <c r="BQ157" i="7"/>
  <c r="BS157" i="7" s="1"/>
  <c r="BT157" i="7" s="1"/>
  <c r="CG36" i="10"/>
  <c r="BQ38" i="1"/>
  <c r="BS38" i="1" s="1"/>
  <c r="BT38" i="1" s="1"/>
  <c r="BQ54" i="1"/>
  <c r="BS54" i="1" s="1"/>
  <c r="BT54" i="1" s="1"/>
  <c r="BQ26" i="2"/>
  <c r="BS26" i="2" s="1"/>
  <c r="BT26" i="2" s="1"/>
  <c r="BQ42" i="2"/>
  <c r="BS42" i="2" s="1"/>
  <c r="BT42" i="2" s="1"/>
  <c r="BQ58" i="2"/>
  <c r="BS58" i="2" s="1"/>
  <c r="BT58" i="2" s="1"/>
  <c r="DM13" i="3"/>
  <c r="DO13" i="3" s="1"/>
  <c r="DP13" i="3" s="1"/>
  <c r="DM29" i="3"/>
  <c r="DM45" i="3"/>
  <c r="DM61" i="3"/>
  <c r="DN94" i="3"/>
  <c r="DM94" i="3"/>
  <c r="DO94" i="3" s="1"/>
  <c r="DP94" i="3" s="1"/>
  <c r="DQ102" i="3"/>
  <c r="DN126" i="3"/>
  <c r="DM126" i="3"/>
  <c r="DO126" i="3" s="1"/>
  <c r="DP126" i="3" s="1"/>
  <c r="BR7" i="4"/>
  <c r="BQ7" i="4"/>
  <c r="BS7" i="4" s="1"/>
  <c r="BT7" i="4" s="1"/>
  <c r="BU10" i="4"/>
  <c r="BS15" i="4"/>
  <c r="BT15" i="4" s="1"/>
  <c r="BR35" i="4"/>
  <c r="BU41" i="4"/>
  <c r="BQ44" i="4"/>
  <c r="BS44" i="4" s="1"/>
  <c r="BT44" i="4" s="1"/>
  <c r="BU65" i="4"/>
  <c r="BR67" i="4"/>
  <c r="BR71" i="4"/>
  <c r="BQ71" i="4"/>
  <c r="BS71" i="4" s="1"/>
  <c r="BT71" i="4" s="1"/>
  <c r="BR31" i="5"/>
  <c r="BQ31" i="5"/>
  <c r="BS31" i="5" s="1"/>
  <c r="BT31" i="5" s="1"/>
  <c r="BU40" i="5"/>
  <c r="BU99" i="7"/>
  <c r="BR99" i="7"/>
  <c r="BQ99" i="7"/>
  <c r="BS99" i="7" s="1"/>
  <c r="BT99" i="7" s="1"/>
  <c r="BS9" i="8"/>
  <c r="BT9" i="8" s="1"/>
  <c r="BU9" i="8"/>
  <c r="CC71" i="10"/>
  <c r="CE71" i="10" s="1"/>
  <c r="CF71" i="10" s="1"/>
  <c r="CD71" i="10"/>
  <c r="DM63" i="3"/>
  <c r="DO63" i="3" s="1"/>
  <c r="DP63" i="3" s="1"/>
  <c r="DN66" i="3"/>
  <c r="DM66" i="3"/>
  <c r="DO66" i="3" s="1"/>
  <c r="DP66" i="3" s="1"/>
  <c r="DQ97" i="3"/>
  <c r="DQ129" i="3"/>
  <c r="DQ138" i="3"/>
  <c r="DN138" i="3"/>
  <c r="BR30" i="4"/>
  <c r="BU62" i="4"/>
  <c r="BU10" i="5"/>
  <c r="BR10" i="5"/>
  <c r="BQ10" i="5"/>
  <c r="BS10" i="5" s="1"/>
  <c r="BT10" i="5" s="1"/>
  <c r="BU13" i="5"/>
  <c r="BU28" i="5"/>
  <c r="BR40" i="5"/>
  <c r="BU61" i="7"/>
  <c r="BS61" i="7"/>
  <c r="BT61" i="7" s="1"/>
  <c r="BR13" i="8"/>
  <c r="BQ13" i="8"/>
  <c r="BS13" i="8" s="1"/>
  <c r="BT13" i="8" s="1"/>
  <c r="CC20" i="10"/>
  <c r="CE20" i="10" s="1"/>
  <c r="CF20" i="10" s="1"/>
  <c r="CD20" i="10"/>
  <c r="DN79" i="3"/>
  <c r="BR49" i="4"/>
  <c r="BR65" i="4"/>
  <c r="BR11" i="5"/>
  <c r="BR27" i="5"/>
  <c r="BR43" i="5"/>
  <c r="BU12" i="7"/>
  <c r="BR12" i="7"/>
  <c r="BU25" i="7"/>
  <c r="BR39" i="7"/>
  <c r="BQ39" i="7"/>
  <c r="BS39" i="7" s="1"/>
  <c r="BT39" i="7" s="1"/>
  <c r="BU53" i="7"/>
  <c r="BQ70" i="7"/>
  <c r="BS70" i="7" s="1"/>
  <c r="BT70" i="7" s="1"/>
  <c r="BR76" i="7"/>
  <c r="BQ76" i="7"/>
  <c r="BS76" i="7" s="1"/>
  <c r="BT76" i="7" s="1"/>
  <c r="BR130" i="7"/>
  <c r="BR154" i="7"/>
  <c r="BU154" i="7"/>
  <c r="BQ154" i="7"/>
  <c r="BS154" i="7" s="1"/>
  <c r="BT154" i="7" s="1"/>
  <c r="BR19" i="8"/>
  <c r="BQ19" i="8"/>
  <c r="BS19" i="8" s="1"/>
  <c r="BT19" i="8" s="1"/>
  <c r="BU4" i="9"/>
  <c r="BR4" i="9"/>
  <c r="BQ4" i="9"/>
  <c r="BS4" i="9" s="1"/>
  <c r="BT4" i="9" s="1"/>
  <c r="CG23" i="10"/>
  <c r="CC29" i="10"/>
  <c r="CE29" i="10" s="1"/>
  <c r="CF29" i="10" s="1"/>
  <c r="CD29" i="10"/>
  <c r="CG46" i="10"/>
  <c r="CD46" i="10"/>
  <c r="CC62" i="10"/>
  <c r="CE62" i="10" s="1"/>
  <c r="CF62" i="10" s="1"/>
  <c r="CG62" i="10"/>
  <c r="CD62" i="10"/>
  <c r="DQ167" i="11"/>
  <c r="BQ7" i="6"/>
  <c r="BS7" i="6" s="1"/>
  <c r="BT7" i="6" s="1"/>
  <c r="BU51" i="7"/>
  <c r="BR51" i="7"/>
  <c r="BU84" i="7"/>
  <c r="BQ108" i="7"/>
  <c r="BS108" i="7" s="1"/>
  <c r="BT108" i="7" s="1"/>
  <c r="BU121" i="7"/>
  <c r="BU128" i="7"/>
  <c r="BR128" i="7"/>
  <c r="BQ128" i="7"/>
  <c r="BS128" i="7" s="1"/>
  <c r="BT128" i="7" s="1"/>
  <c r="BR158" i="7"/>
  <c r="BQ158" i="7"/>
  <c r="BS158" i="7" s="1"/>
  <c r="BT158" i="7" s="1"/>
  <c r="CC46" i="10"/>
  <c r="CE46" i="10" s="1"/>
  <c r="CF46" i="10" s="1"/>
  <c r="CE94" i="10"/>
  <c r="CF94" i="10" s="1"/>
  <c r="CG94" i="10"/>
  <c r="DN50" i="11"/>
  <c r="DM50" i="11"/>
  <c r="DO50" i="11" s="1"/>
  <c r="DP50" i="11" s="1"/>
  <c r="DM76" i="3"/>
  <c r="DO76" i="3" s="1"/>
  <c r="DP76" i="3" s="1"/>
  <c r="DM92" i="3"/>
  <c r="DO92" i="3" s="1"/>
  <c r="DP92" i="3" s="1"/>
  <c r="DM108" i="3"/>
  <c r="DO108" i="3" s="1"/>
  <c r="DP108" i="3" s="1"/>
  <c r="DM124" i="3"/>
  <c r="DO124" i="3" s="1"/>
  <c r="DP124" i="3" s="1"/>
  <c r="DM140" i="3"/>
  <c r="DO140" i="3" s="1"/>
  <c r="DP140" i="3" s="1"/>
  <c r="BQ14" i="4"/>
  <c r="BS14" i="4" s="1"/>
  <c r="BT14" i="4" s="1"/>
  <c r="BQ30" i="4"/>
  <c r="BS30" i="4" s="1"/>
  <c r="BT30" i="4" s="1"/>
  <c r="BQ46" i="4"/>
  <c r="BS46" i="4" s="1"/>
  <c r="BT46" i="4" s="1"/>
  <c r="BQ62" i="4"/>
  <c r="BS62" i="4" s="1"/>
  <c r="BT62" i="4" s="1"/>
  <c r="BQ8" i="5"/>
  <c r="BS8" i="5" s="1"/>
  <c r="BT8" i="5" s="1"/>
  <c r="BQ24" i="5"/>
  <c r="BS24" i="5" s="1"/>
  <c r="BT24" i="5" s="1"/>
  <c r="BQ40" i="5"/>
  <c r="BS40" i="5" s="1"/>
  <c r="BT40" i="5" s="1"/>
  <c r="BR7" i="6"/>
  <c r="BQ10" i="7"/>
  <c r="BS10" i="7" s="1"/>
  <c r="BT10" i="7" s="1"/>
  <c r="BQ12" i="7"/>
  <c r="BS12" i="7" s="1"/>
  <c r="BT12" i="7" s="1"/>
  <c r="BU40" i="7"/>
  <c r="BR40" i="7"/>
  <c r="BR71" i="7"/>
  <c r="BQ71" i="7"/>
  <c r="BS71" i="7" s="1"/>
  <c r="BT71" i="7" s="1"/>
  <c r="BQ102" i="7"/>
  <c r="BS102" i="7" s="1"/>
  <c r="BT102" i="7" s="1"/>
  <c r="BU114" i="7"/>
  <c r="BR114" i="7"/>
  <c r="BQ114" i="7"/>
  <c r="BS114" i="7" s="1"/>
  <c r="BT114" i="7" s="1"/>
  <c r="BR164" i="7"/>
  <c r="BQ164" i="7"/>
  <c r="BS164" i="7" s="1"/>
  <c r="BT164" i="7" s="1"/>
  <c r="BR10" i="8"/>
  <c r="BQ10" i="8"/>
  <c r="BS10" i="8" s="1"/>
  <c r="BT10" i="8" s="1"/>
  <c r="BS5" i="9"/>
  <c r="BT5" i="9" s="1"/>
  <c r="BU5" i="9"/>
  <c r="BR8" i="9"/>
  <c r="BQ8" i="9"/>
  <c r="BS8" i="9" s="1"/>
  <c r="BT8" i="9" s="1"/>
  <c r="CC47" i="10"/>
  <c r="CE47" i="10" s="1"/>
  <c r="CF47" i="10" s="1"/>
  <c r="CG47" i="10"/>
  <c r="CD47" i="10"/>
  <c r="BQ131" i="7"/>
  <c r="BS131" i="7" s="1"/>
  <c r="BT131" i="7" s="1"/>
  <c r="BU131" i="7"/>
  <c r="BR131" i="7"/>
  <c r="BR170" i="7"/>
  <c r="BQ170" i="7"/>
  <c r="BS170" i="7" s="1"/>
  <c r="BT170" i="7" s="1"/>
  <c r="BQ4" i="8"/>
  <c r="BS4" i="8" s="1"/>
  <c r="BT4" i="8" s="1"/>
  <c r="BU4" i="8"/>
  <c r="BR4" i="8"/>
  <c r="BU31" i="8"/>
  <c r="BR31" i="8"/>
  <c r="BQ31" i="8"/>
  <c r="BS31" i="8" s="1"/>
  <c r="BT31" i="8" s="1"/>
  <c r="CE14" i="10"/>
  <c r="CF14" i="10" s="1"/>
  <c r="CG14" i="10"/>
  <c r="CD37" i="10"/>
  <c r="CC37" i="10"/>
  <c r="CE37" i="10" s="1"/>
  <c r="CF37" i="10" s="1"/>
  <c r="CC89" i="10"/>
  <c r="CE89" i="10" s="1"/>
  <c r="CF89" i="10" s="1"/>
  <c r="CG89" i="10"/>
  <c r="CD89" i="10"/>
  <c r="CC95" i="10"/>
  <c r="CE95" i="10" s="1"/>
  <c r="CF95" i="10" s="1"/>
  <c r="CD95" i="10"/>
  <c r="CC101" i="10"/>
  <c r="CE101" i="10" s="1"/>
  <c r="CF101" i="10" s="1"/>
  <c r="BQ60" i="14"/>
  <c r="BS60" i="14" s="1"/>
  <c r="BT60" i="14" s="1"/>
  <c r="BR60" i="14"/>
  <c r="BQ19" i="15"/>
  <c r="BS19" i="15" s="1"/>
  <c r="BT19" i="15" s="1"/>
  <c r="BR19" i="15"/>
  <c r="BR10" i="6"/>
  <c r="BQ10" i="6"/>
  <c r="BS10" i="6" s="1"/>
  <c r="BT10" i="6" s="1"/>
  <c r="BU37" i="7"/>
  <c r="BQ54" i="7"/>
  <c r="BS54" i="7" s="1"/>
  <c r="BT54" i="7" s="1"/>
  <c r="BU60" i="7"/>
  <c r="BR60" i="7"/>
  <c r="BQ60" i="7"/>
  <c r="BS60" i="7" s="1"/>
  <c r="BT60" i="7" s="1"/>
  <c r="BU94" i="7"/>
  <c r="BR97" i="7"/>
  <c r="BQ97" i="7"/>
  <c r="BS97" i="7" s="1"/>
  <c r="BT97" i="7" s="1"/>
  <c r="BR139" i="7"/>
  <c r="BQ152" i="7"/>
  <c r="BS152" i="7" s="1"/>
  <c r="BT152" i="7" s="1"/>
  <c r="BU152" i="7"/>
  <c r="BR152" i="7"/>
  <c r="BQ20" i="9"/>
  <c r="BS20" i="9" s="1"/>
  <c r="BT20" i="9" s="1"/>
  <c r="DM71" i="3"/>
  <c r="DO71" i="3" s="1"/>
  <c r="DP71" i="3" s="1"/>
  <c r="DM87" i="3"/>
  <c r="DO87" i="3" s="1"/>
  <c r="DP87" i="3" s="1"/>
  <c r="DM103" i="3"/>
  <c r="DO103" i="3" s="1"/>
  <c r="DP103" i="3" s="1"/>
  <c r="DM119" i="3"/>
  <c r="DO119" i="3" s="1"/>
  <c r="DP119" i="3" s="1"/>
  <c r="DM135" i="3"/>
  <c r="DO135" i="3" s="1"/>
  <c r="DP135" i="3" s="1"/>
  <c r="BQ6" i="7"/>
  <c r="BS6" i="7" s="1"/>
  <c r="BT6" i="7" s="1"/>
  <c r="BQ24" i="7"/>
  <c r="BS24" i="7" s="1"/>
  <c r="BT24" i="7" s="1"/>
  <c r="BU83" i="7"/>
  <c r="BR83" i="7"/>
  <c r="BU106" i="7"/>
  <c r="BR106" i="7"/>
  <c r="BQ106" i="7"/>
  <c r="BS106" i="7" s="1"/>
  <c r="BT106" i="7" s="1"/>
  <c r="BU119" i="7"/>
  <c r="BU146" i="7"/>
  <c r="CC15" i="10"/>
  <c r="CE15" i="10" s="1"/>
  <c r="CF15" i="10" s="1"/>
  <c r="CG15" i="10"/>
  <c r="CG54" i="10"/>
  <c r="CD54" i="10"/>
  <c r="CD69" i="10"/>
  <c r="CD101" i="10"/>
  <c r="DM64" i="3"/>
  <c r="DO64" i="3" s="1"/>
  <c r="DP64" i="3" s="1"/>
  <c r="DN71" i="3"/>
  <c r="DM80" i="3"/>
  <c r="DO80" i="3" s="1"/>
  <c r="DP80" i="3" s="1"/>
  <c r="DM96" i="3"/>
  <c r="DO96" i="3" s="1"/>
  <c r="DP96" i="3" s="1"/>
  <c r="DM112" i="3"/>
  <c r="DO112" i="3" s="1"/>
  <c r="DP112" i="3" s="1"/>
  <c r="DM128" i="3"/>
  <c r="DO128" i="3" s="1"/>
  <c r="DP128" i="3" s="1"/>
  <c r="DM144" i="3"/>
  <c r="DO144" i="3" s="1"/>
  <c r="DP144" i="3" s="1"/>
  <c r="BR9" i="4"/>
  <c r="BQ18" i="4"/>
  <c r="BS18" i="4" s="1"/>
  <c r="BT18" i="4" s="1"/>
  <c r="BR25" i="4"/>
  <c r="BQ34" i="4"/>
  <c r="BS34" i="4" s="1"/>
  <c r="BT34" i="4" s="1"/>
  <c r="BQ50" i="4"/>
  <c r="BS50" i="4" s="1"/>
  <c r="BT50" i="4" s="1"/>
  <c r="BQ66" i="4"/>
  <c r="BS66" i="4" s="1"/>
  <c r="BT66" i="4" s="1"/>
  <c r="BR73" i="4"/>
  <c r="BR19" i="5"/>
  <c r="BR35" i="5"/>
  <c r="BR6" i="7"/>
  <c r="BQ15" i="7"/>
  <c r="BS15" i="7" s="1"/>
  <c r="BT15" i="7" s="1"/>
  <c r="BR32" i="7"/>
  <c r="BQ32" i="7"/>
  <c r="BS32" i="7" s="1"/>
  <c r="BT32" i="7" s="1"/>
  <c r="BU46" i="7"/>
  <c r="BR49" i="7"/>
  <c r="BQ49" i="7"/>
  <c r="BS49" i="7" s="1"/>
  <c r="BT49" i="7" s="1"/>
  <c r="BR54" i="7"/>
  <c r="BU72" i="7"/>
  <c r="BR72" i="7"/>
  <c r="BS91" i="7"/>
  <c r="BT91" i="7" s="1"/>
  <c r="BR103" i="7"/>
  <c r="BQ103" i="7"/>
  <c r="BS103" i="7" s="1"/>
  <c r="BT103" i="7" s="1"/>
  <c r="BR125" i="7"/>
  <c r="BQ155" i="7"/>
  <c r="BS155" i="7" s="1"/>
  <c r="BT155" i="7" s="1"/>
  <c r="BU161" i="7"/>
  <c r="BU10" i="8"/>
  <c r="BQ17" i="9"/>
  <c r="BS17" i="9" s="1"/>
  <c r="BT17" i="9" s="1"/>
  <c r="CD25" i="10"/>
  <c r="CG34" i="10"/>
  <c r="DN64" i="3"/>
  <c r="DN80" i="3"/>
  <c r="DM89" i="3"/>
  <c r="DO89" i="3" s="1"/>
  <c r="DP89" i="3" s="1"/>
  <c r="DN96" i="3"/>
  <c r="DM105" i="3"/>
  <c r="DO105" i="3" s="1"/>
  <c r="DP105" i="3" s="1"/>
  <c r="DN112" i="3"/>
  <c r="DM121" i="3"/>
  <c r="DO121" i="3" s="1"/>
  <c r="DP121" i="3" s="1"/>
  <c r="DM137" i="3"/>
  <c r="DO137" i="3" s="1"/>
  <c r="DP137" i="3" s="1"/>
  <c r="BQ11" i="4"/>
  <c r="BS11" i="4" s="1"/>
  <c r="BT11" i="4" s="1"/>
  <c r="BQ27" i="4"/>
  <c r="BS27" i="4" s="1"/>
  <c r="BT27" i="4" s="1"/>
  <c r="BQ43" i="4"/>
  <c r="BS43" i="4" s="1"/>
  <c r="BT43" i="4" s="1"/>
  <c r="BQ59" i="4"/>
  <c r="BS59" i="4" s="1"/>
  <c r="BT59" i="4" s="1"/>
  <c r="BQ5" i="5"/>
  <c r="BS5" i="5" s="1"/>
  <c r="BT5" i="5" s="1"/>
  <c r="BR12" i="5"/>
  <c r="BQ21" i="5"/>
  <c r="BS21" i="5" s="1"/>
  <c r="BT21" i="5" s="1"/>
  <c r="BR28" i="5"/>
  <c r="BQ37" i="5"/>
  <c r="BS37" i="5" s="1"/>
  <c r="BT37" i="5" s="1"/>
  <c r="BR44" i="5"/>
  <c r="BR4" i="6"/>
  <c r="BR6" i="6"/>
  <c r="BR4" i="7"/>
  <c r="BR15" i="7"/>
  <c r="BU35" i="7"/>
  <c r="BR35" i="7"/>
  <c r="BU125" i="7"/>
  <c r="BU140" i="7"/>
  <c r="BR140" i="7"/>
  <c r="BQ140" i="7"/>
  <c r="BS140" i="7" s="1"/>
  <c r="BT140" i="7" s="1"/>
  <c r="BS173" i="7"/>
  <c r="BT173" i="7" s="1"/>
  <c r="BU173" i="7"/>
  <c r="BU29" i="8"/>
  <c r="BR29" i="8"/>
  <c r="BR12" i="9"/>
  <c r="BQ12" i="9"/>
  <c r="BS12" i="9" s="1"/>
  <c r="BT12" i="9" s="1"/>
  <c r="BU111" i="14"/>
  <c r="BS111" i="14"/>
  <c r="BT111" i="14" s="1"/>
  <c r="DM82" i="3"/>
  <c r="DN89" i="3"/>
  <c r="DM98" i="3"/>
  <c r="DN105" i="3"/>
  <c r="DM114" i="3"/>
  <c r="DN121" i="3"/>
  <c r="DM130" i="3"/>
  <c r="DN137" i="3"/>
  <c r="BQ4" i="4"/>
  <c r="BR11" i="4"/>
  <c r="BQ20" i="4"/>
  <c r="BR27" i="4"/>
  <c r="BQ36" i="4"/>
  <c r="BR43" i="4"/>
  <c r="BQ52" i="4"/>
  <c r="BR59" i="4"/>
  <c r="BQ68" i="4"/>
  <c r="BS68" i="4" s="1"/>
  <c r="BT68" i="4" s="1"/>
  <c r="BR5" i="5"/>
  <c r="BQ14" i="5"/>
  <c r="BR21" i="5"/>
  <c r="BQ30" i="5"/>
  <c r="BR37" i="5"/>
  <c r="BQ46" i="5"/>
  <c r="BQ9" i="7"/>
  <c r="BR18" i="7"/>
  <c r="BQ18" i="7"/>
  <c r="BS29" i="7"/>
  <c r="BT29" i="7" s="1"/>
  <c r="BR55" i="7"/>
  <c r="BQ55" i="7"/>
  <c r="BS55" i="7" s="1"/>
  <c r="BT55" i="7" s="1"/>
  <c r="BU58" i="7"/>
  <c r="BQ63" i="7"/>
  <c r="BS63" i="7" s="1"/>
  <c r="BT63" i="7" s="1"/>
  <c r="BS77" i="7"/>
  <c r="BT77" i="7" s="1"/>
  <c r="BU86" i="7"/>
  <c r="BQ86" i="7"/>
  <c r="BS86" i="7" s="1"/>
  <c r="BT86" i="7" s="1"/>
  <c r="BU92" i="7"/>
  <c r="BR92" i="7"/>
  <c r="BQ92" i="7"/>
  <c r="BS92" i="7" s="1"/>
  <c r="BT92" i="7" s="1"/>
  <c r="BQ168" i="7"/>
  <c r="BS168" i="7" s="1"/>
  <c r="BT168" i="7" s="1"/>
  <c r="BU168" i="7"/>
  <c r="BR168" i="7"/>
  <c r="BQ14" i="8"/>
  <c r="BR6" i="9"/>
  <c r="BQ6" i="9"/>
  <c r="BS6" i="9" s="1"/>
  <c r="BT6" i="9" s="1"/>
  <c r="CG22" i="10"/>
  <c r="CD22" i="10"/>
  <c r="CC22" i="10"/>
  <c r="CE22" i="10" s="1"/>
  <c r="CF22" i="10" s="1"/>
  <c r="CG61" i="10"/>
  <c r="CC80" i="10"/>
  <c r="CE80" i="10" s="1"/>
  <c r="CF80" i="10" s="1"/>
  <c r="BQ104" i="14"/>
  <c r="BS104" i="14" s="1"/>
  <c r="BT104" i="14" s="1"/>
  <c r="BR104" i="14"/>
  <c r="BU156" i="7"/>
  <c r="BU174" i="7"/>
  <c r="BR174" i="7"/>
  <c r="CG39" i="10"/>
  <c r="CD39" i="10"/>
  <c r="DN48" i="11"/>
  <c r="DM48" i="11"/>
  <c r="DO48" i="11" s="1"/>
  <c r="DP48" i="11" s="1"/>
  <c r="AS5" i="13"/>
  <c r="AU5" i="13" s="1"/>
  <c r="AV5" i="13" s="1"/>
  <c r="AT5" i="13"/>
  <c r="DM68" i="3"/>
  <c r="DO68" i="3" s="1"/>
  <c r="DP68" i="3" s="1"/>
  <c r="DM84" i="3"/>
  <c r="DM100" i="3"/>
  <c r="BQ70" i="4"/>
  <c r="BQ16" i="5"/>
  <c r="BQ32" i="5"/>
  <c r="BQ48" i="5"/>
  <c r="BQ8" i="6"/>
  <c r="BS8" i="6" s="1"/>
  <c r="BT8" i="6" s="1"/>
  <c r="BU10" i="6"/>
  <c r="BU7" i="7"/>
  <c r="BQ7" i="7"/>
  <c r="BS7" i="7" s="1"/>
  <c r="BT7" i="7" s="1"/>
  <c r="BU32" i="7"/>
  <c r="BU38" i="7"/>
  <c r="BQ38" i="7"/>
  <c r="BS38" i="7" s="1"/>
  <c r="BT38" i="7" s="1"/>
  <c r="BU44" i="7"/>
  <c r="BR44" i="7"/>
  <c r="BQ44" i="7"/>
  <c r="BS44" i="7" s="1"/>
  <c r="BT44" i="7" s="1"/>
  <c r="BQ72" i="7"/>
  <c r="BS72" i="7" s="1"/>
  <c r="BT72" i="7" s="1"/>
  <c r="BU78" i="7"/>
  <c r="BU81" i="7"/>
  <c r="BR81" i="7"/>
  <c r="BQ81" i="7"/>
  <c r="BS81" i="7" s="1"/>
  <c r="BT81" i="7" s="1"/>
  <c r="BR86" i="7"/>
  <c r="BU109" i="7"/>
  <c r="BR150" i="7"/>
  <c r="BQ150" i="7"/>
  <c r="BS150" i="7" s="1"/>
  <c r="BT150" i="7" s="1"/>
  <c r="BU153" i="7"/>
  <c r="BQ153" i="7"/>
  <c r="BS153" i="7" s="1"/>
  <c r="BT153" i="7" s="1"/>
  <c r="BU18" i="8"/>
  <c r="CE51" i="10"/>
  <c r="CF51" i="10" s="1"/>
  <c r="CG71" i="10"/>
  <c r="DN62" i="11"/>
  <c r="DM62" i="11"/>
  <c r="DO62" i="11" s="1"/>
  <c r="DP62" i="11" s="1"/>
  <c r="DM133" i="11"/>
  <c r="DO133" i="11" s="1"/>
  <c r="DP133" i="11" s="1"/>
  <c r="DN133" i="11"/>
  <c r="BQ4" i="6"/>
  <c r="BQ6" i="6"/>
  <c r="BS6" i="6" s="1"/>
  <c r="BT6" i="6" s="1"/>
  <c r="BU8" i="6"/>
  <c r="BU11" i="6"/>
  <c r="BQ5" i="7"/>
  <c r="BS5" i="7" s="1"/>
  <c r="BT5" i="7" s="1"/>
  <c r="BR16" i="7"/>
  <c r="BQ16" i="7"/>
  <c r="BU30" i="7"/>
  <c r="BU33" i="7"/>
  <c r="BR33" i="7"/>
  <c r="BQ33" i="7"/>
  <c r="BS33" i="7" s="1"/>
  <c r="BT33" i="7" s="1"/>
  <c r="BQ35" i="7"/>
  <c r="BS35" i="7" s="1"/>
  <c r="BT35" i="7" s="1"/>
  <c r="BU67" i="7"/>
  <c r="BR67" i="7"/>
  <c r="BU89" i="7"/>
  <c r="BU100" i="7"/>
  <c r="BU110" i="7"/>
  <c r="BU141" i="7"/>
  <c r="BQ147" i="7"/>
  <c r="BS147" i="7" s="1"/>
  <c r="BT147" i="7" s="1"/>
  <c r="BU147" i="7"/>
  <c r="BQ12" i="8"/>
  <c r="BS12" i="8" s="1"/>
  <c r="BT12" i="8" s="1"/>
  <c r="BQ29" i="8"/>
  <c r="BS29" i="8" s="1"/>
  <c r="BT29" i="8" s="1"/>
  <c r="DN100" i="11"/>
  <c r="DM100" i="11"/>
  <c r="DO100" i="11" s="1"/>
  <c r="DP100" i="11" s="1"/>
  <c r="DM119" i="11"/>
  <c r="DO119" i="11" s="1"/>
  <c r="DP119" i="11" s="1"/>
  <c r="DN119" i="11"/>
  <c r="BR35" i="14"/>
  <c r="BU8" i="8"/>
  <c r="CG59" i="10"/>
  <c r="CG69" i="10"/>
  <c r="CC74" i="10"/>
  <c r="CE74" i="10" s="1"/>
  <c r="CF74" i="10" s="1"/>
  <c r="CG74" i="10"/>
  <c r="CG79" i="10"/>
  <c r="CG82" i="10"/>
  <c r="DN4" i="11"/>
  <c r="DQ4" i="11"/>
  <c r="DN19" i="11"/>
  <c r="DM19" i="11"/>
  <c r="DO19" i="11" s="1"/>
  <c r="DP19" i="11" s="1"/>
  <c r="DQ125" i="11"/>
  <c r="DN125" i="11"/>
  <c r="DN132" i="11"/>
  <c r="DM132" i="11"/>
  <c r="DO132" i="11" s="1"/>
  <c r="DP132" i="11" s="1"/>
  <c r="BU11" i="14"/>
  <c r="BR64" i="14"/>
  <c r="BU116" i="7"/>
  <c r="BR118" i="7"/>
  <c r="BQ120" i="7"/>
  <c r="BS120" i="7" s="1"/>
  <c r="BT120" i="7" s="1"/>
  <c r="BU145" i="7"/>
  <c r="BQ160" i="7"/>
  <c r="BS160" i="7" s="1"/>
  <c r="BT160" i="7" s="1"/>
  <c r="BR166" i="7"/>
  <c r="BU172" i="7"/>
  <c r="CG13" i="10"/>
  <c r="CD18" i="10"/>
  <c r="CC32" i="10"/>
  <c r="CG37" i="10"/>
  <c r="DN9" i="11"/>
  <c r="DM14" i="11"/>
  <c r="DO14" i="11" s="1"/>
  <c r="DP14" i="11" s="1"/>
  <c r="DQ19" i="11"/>
  <c r="DN34" i="11"/>
  <c r="DM34" i="11"/>
  <c r="DO34" i="11" s="1"/>
  <c r="DP34" i="11" s="1"/>
  <c r="DN72" i="11"/>
  <c r="DM72" i="11"/>
  <c r="DO72" i="11" s="1"/>
  <c r="DP72" i="11" s="1"/>
  <c r="DQ85" i="11"/>
  <c r="DN116" i="11"/>
  <c r="DM116" i="11"/>
  <c r="DO116" i="11" s="1"/>
  <c r="DP116" i="11" s="1"/>
  <c r="BQ11" i="14"/>
  <c r="BS11" i="14" s="1"/>
  <c r="BT11" i="14" s="1"/>
  <c r="BQ42" i="7"/>
  <c r="BS42" i="7" s="1"/>
  <c r="BT42" i="7" s="1"/>
  <c r="BQ58" i="7"/>
  <c r="BS58" i="7" s="1"/>
  <c r="BT58" i="7" s="1"/>
  <c r="BQ74" i="7"/>
  <c r="BS74" i="7" s="1"/>
  <c r="BT74" i="7" s="1"/>
  <c r="BQ90" i="7"/>
  <c r="BS90" i="7" s="1"/>
  <c r="BT90" i="7" s="1"/>
  <c r="BQ110" i="7"/>
  <c r="BS110" i="7" s="1"/>
  <c r="BT110" i="7" s="1"/>
  <c r="BQ112" i="7"/>
  <c r="BS112" i="7" s="1"/>
  <c r="BT112" i="7" s="1"/>
  <c r="BU132" i="7"/>
  <c r="BR134" i="7"/>
  <c r="BQ136" i="7"/>
  <c r="BS136" i="7" s="1"/>
  <c r="BT136" i="7" s="1"/>
  <c r="BU164" i="7"/>
  <c r="CC9" i="10"/>
  <c r="CE9" i="10" s="1"/>
  <c r="CF9" i="10" s="1"/>
  <c r="CD40" i="10"/>
  <c r="CG40" i="10"/>
  <c r="CD44" i="10"/>
  <c r="CD52" i="10"/>
  <c r="CC59" i="10"/>
  <c r="CE59" i="10" s="1"/>
  <c r="CF59" i="10" s="1"/>
  <c r="CD67" i="10"/>
  <c r="CD74" i="10"/>
  <c r="CC77" i="10"/>
  <c r="CE77" i="10" s="1"/>
  <c r="CF77" i="10" s="1"/>
  <c r="CD80" i="10"/>
  <c r="CC82" i="10"/>
  <c r="CE82" i="10" s="1"/>
  <c r="CF82" i="10" s="1"/>
  <c r="DM4" i="11"/>
  <c r="DO4" i="11" s="1"/>
  <c r="DP4" i="11" s="1"/>
  <c r="DQ17" i="11"/>
  <c r="DN17" i="11"/>
  <c r="DM66" i="11"/>
  <c r="DO66" i="11" s="1"/>
  <c r="DP66" i="11" s="1"/>
  <c r="DN86" i="11"/>
  <c r="DQ86" i="11"/>
  <c r="DM86" i="11"/>
  <c r="DO86" i="11" s="1"/>
  <c r="DP86" i="11" s="1"/>
  <c r="DN141" i="11"/>
  <c r="DQ174" i="11"/>
  <c r="BU15" i="8"/>
  <c r="BQ13" i="9"/>
  <c r="BS13" i="9" s="1"/>
  <c r="BT13" i="9" s="1"/>
  <c r="BU13" i="9"/>
  <c r="CD70" i="10"/>
  <c r="DM98" i="11"/>
  <c r="DO98" i="11" s="1"/>
  <c r="DP98" i="11" s="1"/>
  <c r="DQ98" i="11"/>
  <c r="DN98" i="11"/>
  <c r="DN113" i="11"/>
  <c r="DM113" i="11"/>
  <c r="DO113" i="11" s="1"/>
  <c r="DP113" i="11" s="1"/>
  <c r="BQ57" i="15"/>
  <c r="BS57" i="15" s="1"/>
  <c r="BT57" i="15" s="1"/>
  <c r="BU57" i="15"/>
  <c r="BR57" i="15"/>
  <c r="BQ37" i="7"/>
  <c r="BS37" i="7" s="1"/>
  <c r="BT37" i="7" s="1"/>
  <c r="BQ53" i="7"/>
  <c r="BS53" i="7" s="1"/>
  <c r="BT53" i="7" s="1"/>
  <c r="BQ69" i="7"/>
  <c r="BS69" i="7" s="1"/>
  <c r="BT69" i="7" s="1"/>
  <c r="BQ85" i="7"/>
  <c r="BS85" i="7" s="1"/>
  <c r="BT85" i="7" s="1"/>
  <c r="BQ101" i="7"/>
  <c r="BS101" i="7" s="1"/>
  <c r="BT101" i="7" s="1"/>
  <c r="BQ116" i="7"/>
  <c r="BS116" i="7" s="1"/>
  <c r="BT116" i="7" s="1"/>
  <c r="BQ118" i="7"/>
  <c r="BS118" i="7" s="1"/>
  <c r="BT118" i="7" s="1"/>
  <c r="BR120" i="7"/>
  <c r="BQ122" i="7"/>
  <c r="BS122" i="7" s="1"/>
  <c r="BT122" i="7" s="1"/>
  <c r="BQ124" i="7"/>
  <c r="BS124" i="7" s="1"/>
  <c r="BT124" i="7" s="1"/>
  <c r="BQ126" i="7"/>
  <c r="BS126" i="7" s="1"/>
  <c r="BT126" i="7" s="1"/>
  <c r="BQ130" i="7"/>
  <c r="BS130" i="7" s="1"/>
  <c r="BT130" i="7" s="1"/>
  <c r="BQ144" i="7"/>
  <c r="BS144" i="7" s="1"/>
  <c r="BT144" i="7" s="1"/>
  <c r="BR160" i="7"/>
  <c r="BQ162" i="7"/>
  <c r="BS162" i="7" s="1"/>
  <c r="BT162" i="7" s="1"/>
  <c r="BQ166" i="7"/>
  <c r="BS166" i="7" s="1"/>
  <c r="BT166" i="7" s="1"/>
  <c r="BR172" i="7"/>
  <c r="BR11" i="8"/>
  <c r="BQ21" i="8"/>
  <c r="BS21" i="8" s="1"/>
  <c r="BT21" i="8" s="1"/>
  <c r="BQ7" i="9"/>
  <c r="BQ15" i="9"/>
  <c r="BS15" i="9" s="1"/>
  <c r="BT15" i="9" s="1"/>
  <c r="BU18" i="9"/>
  <c r="CC11" i="10"/>
  <c r="CE11" i="10" s="1"/>
  <c r="CF11" i="10" s="1"/>
  <c r="CD16" i="10"/>
  <c r="CC16" i="10"/>
  <c r="CE16" i="10" s="1"/>
  <c r="CF16" i="10" s="1"/>
  <c r="CC18" i="10"/>
  <c r="CE18" i="10" s="1"/>
  <c r="CF18" i="10" s="1"/>
  <c r="CD35" i="10"/>
  <c r="CC35" i="10"/>
  <c r="CE35" i="10" s="1"/>
  <c r="CF35" i="10" s="1"/>
  <c r="CG42" i="10"/>
  <c r="CD57" i="10"/>
  <c r="CD65" i="10"/>
  <c r="CC65" i="10"/>
  <c r="CE65" i="10" s="1"/>
  <c r="CF65" i="10" s="1"/>
  <c r="CG65" i="10"/>
  <c r="CC67" i="10"/>
  <c r="CE67" i="10" s="1"/>
  <c r="CF67" i="10" s="1"/>
  <c r="CD77" i="10"/>
  <c r="CC87" i="10"/>
  <c r="DM46" i="11"/>
  <c r="DO46" i="11" s="1"/>
  <c r="DP46" i="11" s="1"/>
  <c r="DQ51" i="11"/>
  <c r="DN51" i="11"/>
  <c r="DM51" i="11"/>
  <c r="DO51" i="11" s="1"/>
  <c r="DP51" i="11" s="1"/>
  <c r="DN77" i="11"/>
  <c r="DM93" i="11"/>
  <c r="DO93" i="11" s="1"/>
  <c r="DP93" i="11" s="1"/>
  <c r="DN130" i="11"/>
  <c r="BR26" i="14"/>
  <c r="BQ26" i="14"/>
  <c r="BS26" i="14" s="1"/>
  <c r="BT26" i="14" s="1"/>
  <c r="BR81" i="14"/>
  <c r="BQ81" i="14"/>
  <c r="BS81" i="14" s="1"/>
  <c r="BT81" i="14" s="1"/>
  <c r="BR37" i="7"/>
  <c r="BQ46" i="7"/>
  <c r="BS46" i="7" s="1"/>
  <c r="BT46" i="7" s="1"/>
  <c r="BR53" i="7"/>
  <c r="BQ62" i="7"/>
  <c r="BS62" i="7" s="1"/>
  <c r="BT62" i="7" s="1"/>
  <c r="BR69" i="7"/>
  <c r="BQ78" i="7"/>
  <c r="BS78" i="7" s="1"/>
  <c r="BT78" i="7" s="1"/>
  <c r="BR85" i="7"/>
  <c r="BQ94" i="7"/>
  <c r="BS94" i="7" s="1"/>
  <c r="BT94" i="7" s="1"/>
  <c r="BR101" i="7"/>
  <c r="BR116" i="7"/>
  <c r="BR124" i="7"/>
  <c r="BR126" i="7"/>
  <c r="BR162" i="7"/>
  <c r="BR23" i="8"/>
  <c r="BU11" i="9"/>
  <c r="CC23" i="10"/>
  <c r="CE23" i="10" s="1"/>
  <c r="CF23" i="10" s="1"/>
  <c r="CD100" i="10"/>
  <c r="CC100" i="10"/>
  <c r="CE100" i="10" s="1"/>
  <c r="CF100" i="10" s="1"/>
  <c r="DO70" i="11"/>
  <c r="DP70" i="11" s="1"/>
  <c r="DQ70" i="11"/>
  <c r="DN154" i="11"/>
  <c r="DM154" i="11"/>
  <c r="DO154" i="11" s="1"/>
  <c r="DP154" i="11" s="1"/>
  <c r="DM174" i="11"/>
  <c r="DO174" i="11" s="1"/>
  <c r="DP174" i="11" s="1"/>
  <c r="BR30" i="7"/>
  <c r="BR46" i="7"/>
  <c r="BR62" i="7"/>
  <c r="BR78" i="7"/>
  <c r="BR94" i="7"/>
  <c r="BR111" i="7"/>
  <c r="BQ111" i="7"/>
  <c r="BU118" i="7"/>
  <c r="BR132" i="7"/>
  <c r="BR142" i="7"/>
  <c r="BR146" i="7"/>
  <c r="BQ156" i="7"/>
  <c r="BS156" i="7" s="1"/>
  <c r="BT156" i="7" s="1"/>
  <c r="BU166" i="7"/>
  <c r="BU175" i="7"/>
  <c r="BR175" i="7"/>
  <c r="BQ175" i="7"/>
  <c r="BS175" i="7" s="1"/>
  <c r="BT175" i="7" s="1"/>
  <c r="BU27" i="8"/>
  <c r="CC30" i="10"/>
  <c r="CE30" i="10" s="1"/>
  <c r="CF30" i="10" s="1"/>
  <c r="CD33" i="10"/>
  <c r="CC33" i="10"/>
  <c r="CE33" i="10" s="1"/>
  <c r="CF33" i="10" s="1"/>
  <c r="CG52" i="10"/>
  <c r="CG68" i="10"/>
  <c r="CD83" i="10"/>
  <c r="CC83" i="10"/>
  <c r="CD88" i="10"/>
  <c r="CG88" i="10"/>
  <c r="CG93" i="10"/>
  <c r="DN174" i="11"/>
  <c r="BQ48" i="7"/>
  <c r="BQ64" i="7"/>
  <c r="BQ80" i="7"/>
  <c r="BQ96" i="7"/>
  <c r="BQ105" i="7"/>
  <c r="BU134" i="7"/>
  <c r="BU136" i="7"/>
  <c r="BR156" i="7"/>
  <c r="BQ15" i="8"/>
  <c r="BS15" i="8" s="1"/>
  <c r="BT15" i="8" s="1"/>
  <c r="BQ17" i="8"/>
  <c r="BS17" i="8" s="1"/>
  <c r="BT17" i="8" s="1"/>
  <c r="BR13" i="9"/>
  <c r="BR21" i="9"/>
  <c r="BQ21" i="9"/>
  <c r="CC7" i="10"/>
  <c r="CE7" i="10" s="1"/>
  <c r="CF7" i="10" s="1"/>
  <c r="CD30" i="10"/>
  <c r="CC50" i="10"/>
  <c r="CE50" i="10" s="1"/>
  <c r="CF50" i="10" s="1"/>
  <c r="CD55" i="10"/>
  <c r="CD60" i="10"/>
  <c r="CC70" i="10"/>
  <c r="CE70" i="10" s="1"/>
  <c r="CF70" i="10" s="1"/>
  <c r="CD78" i="10"/>
  <c r="CC78" i="10"/>
  <c r="CD81" i="10"/>
  <c r="CC81" i="10"/>
  <c r="CD85" i="10"/>
  <c r="CD93" i="10"/>
  <c r="CC93" i="10"/>
  <c r="CE93" i="10" s="1"/>
  <c r="CF93" i="10" s="1"/>
  <c r="DN5" i="11"/>
  <c r="DN10" i="11"/>
  <c r="DM10" i="11"/>
  <c r="DN18" i="11"/>
  <c r="DM18" i="11"/>
  <c r="DO18" i="11" s="1"/>
  <c r="DP18" i="11" s="1"/>
  <c r="DN30" i="11"/>
  <c r="DQ30" i="11"/>
  <c r="DN52" i="11"/>
  <c r="DM52" i="11"/>
  <c r="DM74" i="11"/>
  <c r="DO74" i="11" s="1"/>
  <c r="DP74" i="11" s="1"/>
  <c r="BS22" i="14"/>
  <c r="BT22" i="14" s="1"/>
  <c r="BU22" i="14"/>
  <c r="BU78" i="14"/>
  <c r="BR78" i="14"/>
  <c r="BU91" i="14"/>
  <c r="BR91" i="14"/>
  <c r="BU123" i="7"/>
  <c r="BU138" i="7"/>
  <c r="BR167" i="7"/>
  <c r="BR15" i="8"/>
  <c r="BR17" i="8"/>
  <c r="BQ20" i="8"/>
  <c r="BU23" i="8"/>
  <c r="BR26" i="8"/>
  <c r="BU32" i="8"/>
  <c r="BR7" i="9"/>
  <c r="BR18" i="9"/>
  <c r="CD7" i="10"/>
  <c r="CG9" i="10"/>
  <c r="CD24" i="10"/>
  <c r="CG24" i="10"/>
  <c r="CD28" i="10"/>
  <c r="CG35" i="10"/>
  <c r="CC45" i="10"/>
  <c r="CE45" i="10" s="1"/>
  <c r="CF45" i="10" s="1"/>
  <c r="CD48" i="10"/>
  <c r="CD50" i="10"/>
  <c r="CC63" i="10"/>
  <c r="CD63" i="10"/>
  <c r="CG91" i="10"/>
  <c r="CD91" i="10"/>
  <c r="CC91" i="10"/>
  <c r="CE91" i="10" s="1"/>
  <c r="CF91" i="10" s="1"/>
  <c r="CC96" i="10"/>
  <c r="CE96" i="10" s="1"/>
  <c r="CF96" i="10" s="1"/>
  <c r="CC98" i="10"/>
  <c r="CE98" i="10" s="1"/>
  <c r="CF98" i="10" s="1"/>
  <c r="CG100" i="10"/>
  <c r="DQ61" i="11"/>
  <c r="DN93" i="11"/>
  <c r="DM130" i="11"/>
  <c r="DO130" i="11" s="1"/>
  <c r="DP130" i="11" s="1"/>
  <c r="DM169" i="11"/>
  <c r="DO169" i="11" s="1"/>
  <c r="DP169" i="11" s="1"/>
  <c r="BQ34" i="7"/>
  <c r="BQ50" i="7"/>
  <c r="BQ66" i="7"/>
  <c r="BQ82" i="7"/>
  <c r="BQ98" i="7"/>
  <c r="BQ107" i="7"/>
  <c r="BS107" i="7" s="1"/>
  <c r="BT107" i="7" s="1"/>
  <c r="BR127" i="7"/>
  <c r="BQ127" i="7"/>
  <c r="BS127" i="7" s="1"/>
  <c r="BT127" i="7" s="1"/>
  <c r="BU139" i="7"/>
  <c r="BR7" i="8"/>
  <c r="BU24" i="8"/>
  <c r="BQ14" i="9"/>
  <c r="BS14" i="9" s="1"/>
  <c r="BT14" i="9" s="1"/>
  <c r="CD21" i="10"/>
  <c r="CC43" i="10"/>
  <c r="CE43" i="10" s="1"/>
  <c r="CF43" i="10" s="1"/>
  <c r="CG55" i="10"/>
  <c r="CD73" i="10"/>
  <c r="CC103" i="10"/>
  <c r="DN36" i="11"/>
  <c r="DM36" i="11"/>
  <c r="DM39" i="11"/>
  <c r="DO39" i="11" s="1"/>
  <c r="DP39" i="11" s="1"/>
  <c r="DQ39" i="11"/>
  <c r="DN90" i="11"/>
  <c r="DM164" i="11"/>
  <c r="DO164" i="11" s="1"/>
  <c r="DP164" i="11" s="1"/>
  <c r="DN164" i="11"/>
  <c r="DQ164" i="11"/>
  <c r="BU7" i="14"/>
  <c r="BR7" i="14"/>
  <c r="BQ7" i="14"/>
  <c r="BS7" i="14" s="1"/>
  <c r="BT7" i="14" s="1"/>
  <c r="BU14" i="14"/>
  <c r="BR107" i="7"/>
  <c r="BU143" i="7"/>
  <c r="BR143" i="7"/>
  <c r="BQ143" i="7"/>
  <c r="BS143" i="7" s="1"/>
  <c r="BT143" i="7" s="1"/>
  <c r="BU155" i="7"/>
  <c r="BU159" i="7"/>
  <c r="BR159" i="7"/>
  <c r="BQ159" i="7"/>
  <c r="BS159" i="7" s="1"/>
  <c r="BT159" i="7" s="1"/>
  <c r="BU11" i="8"/>
  <c r="BQ19" i="9"/>
  <c r="BS19" i="9" s="1"/>
  <c r="BT19" i="9" s="1"/>
  <c r="CC31" i="10"/>
  <c r="CE31" i="10" s="1"/>
  <c r="CF31" i="10" s="1"/>
  <c r="CG31" i="10"/>
  <c r="CD43" i="10"/>
  <c r="CD58" i="10"/>
  <c r="CG60" i="10"/>
  <c r="CC66" i="10"/>
  <c r="CE66" i="10" s="1"/>
  <c r="CF66" i="10" s="1"/>
  <c r="CG66" i="10"/>
  <c r="CC68" i="10"/>
  <c r="CE68" i="10" s="1"/>
  <c r="CF68" i="10" s="1"/>
  <c r="CC76" i="10"/>
  <c r="CE76" i="10" s="1"/>
  <c r="CF76" i="10" s="1"/>
  <c r="CD76" i="10"/>
  <c r="CC88" i="10"/>
  <c r="CE88" i="10" s="1"/>
  <c r="CF88" i="10" s="1"/>
  <c r="DM6" i="11"/>
  <c r="DN6" i="11"/>
  <c r="DN78" i="11"/>
  <c r="DM78" i="11"/>
  <c r="DO78" i="11" s="1"/>
  <c r="DP78" i="11" s="1"/>
  <c r="DQ78" i="11"/>
  <c r="DQ90" i="11"/>
  <c r="DN140" i="11"/>
  <c r="DM140" i="11"/>
  <c r="BR72" i="14"/>
  <c r="DM21" i="11"/>
  <c r="DO21" i="11" s="1"/>
  <c r="DP21" i="11" s="1"/>
  <c r="DN21" i="11"/>
  <c r="DM29" i="11"/>
  <c r="DN29" i="11"/>
  <c r="DQ121" i="11"/>
  <c r="DM121" i="11"/>
  <c r="DO121" i="11" s="1"/>
  <c r="DP121" i="11" s="1"/>
  <c r="DN124" i="11"/>
  <c r="DM124" i="11"/>
  <c r="DM127" i="11"/>
  <c r="DO127" i="11" s="1"/>
  <c r="DP127" i="11" s="1"/>
  <c r="DQ153" i="11"/>
  <c r="DQ177" i="11"/>
  <c r="BU40" i="14"/>
  <c r="BU63" i="14"/>
  <c r="CG5" i="10"/>
  <c r="CC26" i="10"/>
  <c r="CE26" i="10" s="1"/>
  <c r="CF26" i="10" s="1"/>
  <c r="CD56" i="10"/>
  <c r="CG56" i="10"/>
  <c r="CG86" i="10"/>
  <c r="CD86" i="10"/>
  <c r="CD97" i="10"/>
  <c r="CC97" i="10"/>
  <c r="CE97" i="10" s="1"/>
  <c r="CF97" i="10" s="1"/>
  <c r="DN12" i="11"/>
  <c r="DM12" i="11"/>
  <c r="DN26" i="11"/>
  <c r="DM26" i="11"/>
  <c r="DQ63" i="11"/>
  <c r="DN95" i="11"/>
  <c r="DM143" i="11"/>
  <c r="DN143" i="11"/>
  <c r="DQ161" i="11"/>
  <c r="DN161" i="11"/>
  <c r="DQ172" i="11"/>
  <c r="BQ75" i="14"/>
  <c r="BS75" i="14" s="1"/>
  <c r="BT75" i="14" s="1"/>
  <c r="BU75" i="14"/>
  <c r="BR75" i="14"/>
  <c r="BU108" i="14"/>
  <c r="BR108" i="14"/>
  <c r="BQ108" i="14"/>
  <c r="BS108" i="14" s="1"/>
  <c r="BT108" i="14" s="1"/>
  <c r="DN44" i="11"/>
  <c r="DM44" i="11"/>
  <c r="DO44" i="11" s="1"/>
  <c r="DP44" i="11" s="1"/>
  <c r="DQ54" i="11"/>
  <c r="DQ59" i="11"/>
  <c r="DM15" i="11"/>
  <c r="DO15" i="11" s="1"/>
  <c r="DP15" i="11" s="1"/>
  <c r="DN22" i="11"/>
  <c r="DM22" i="11"/>
  <c r="DO22" i="11" s="1"/>
  <c r="DP22" i="11" s="1"/>
  <c r="DQ22" i="11"/>
  <c r="DN101" i="11"/>
  <c r="DM106" i="11"/>
  <c r="DO106" i="11" s="1"/>
  <c r="DP106" i="11" s="1"/>
  <c r="DN106" i="11"/>
  <c r="DQ114" i="11"/>
  <c r="DM114" i="11"/>
  <c r="DO114" i="11" s="1"/>
  <c r="DP114" i="11" s="1"/>
  <c r="AW4" i="13"/>
  <c r="BQ12" i="14"/>
  <c r="BS12" i="14" s="1"/>
  <c r="BT12" i="14" s="1"/>
  <c r="BU12" i="14"/>
  <c r="BR12" i="14"/>
  <c r="BR58" i="14"/>
  <c r="BQ58" i="14"/>
  <c r="BS58" i="14" s="1"/>
  <c r="BT58" i="14" s="1"/>
  <c r="BR20" i="9"/>
  <c r="CG27" i="10"/>
  <c r="CG29" i="10"/>
  <c r="CC42" i="10"/>
  <c r="CE42" i="10" s="1"/>
  <c r="CF42" i="10" s="1"/>
  <c r="CD72" i="10"/>
  <c r="CG72" i="10"/>
  <c r="CG102" i="10"/>
  <c r="CD102" i="10"/>
  <c r="DM54" i="11"/>
  <c r="DO54" i="11" s="1"/>
  <c r="DP54" i="11" s="1"/>
  <c r="DN76" i="11"/>
  <c r="DM76" i="11"/>
  <c r="DO76" i="11" s="1"/>
  <c r="DP76" i="11" s="1"/>
  <c r="DM117" i="11"/>
  <c r="DO117" i="11" s="1"/>
  <c r="DP117" i="11" s="1"/>
  <c r="DN117" i="11"/>
  <c r="DQ117" i="11"/>
  <c r="DM159" i="11"/>
  <c r="DO159" i="11" s="1"/>
  <c r="DP159" i="11" s="1"/>
  <c r="BQ28" i="14"/>
  <c r="BS28" i="14" s="1"/>
  <c r="BT28" i="14" s="1"/>
  <c r="BU25" i="17"/>
  <c r="BS25" i="17"/>
  <c r="BT25" i="17" s="1"/>
  <c r="CG6" i="10"/>
  <c r="CD6" i="10"/>
  <c r="CC25" i="10"/>
  <c r="CE25" i="10" s="1"/>
  <c r="CF25" i="10" s="1"/>
  <c r="CG85" i="10"/>
  <c r="CD96" i="10"/>
  <c r="DN57" i="11"/>
  <c r="DN68" i="11"/>
  <c r="DM68" i="11"/>
  <c r="DQ73" i="11"/>
  <c r="DN73" i="11"/>
  <c r="DM79" i="11"/>
  <c r="DN79" i="11"/>
  <c r="DN111" i="11"/>
  <c r="DM155" i="11"/>
  <c r="DO155" i="11" s="1"/>
  <c r="DP155" i="11" s="1"/>
  <c r="DQ155" i="11"/>
  <c r="DN155" i="11"/>
  <c r="DQ168" i="11"/>
  <c r="DN175" i="11"/>
  <c r="BQ24" i="14"/>
  <c r="BU79" i="14"/>
  <c r="BQ79" i="14"/>
  <c r="BS79" i="14" s="1"/>
  <c r="BT79" i="14" s="1"/>
  <c r="BR79" i="14"/>
  <c r="BR106" i="14"/>
  <c r="BQ106" i="14"/>
  <c r="BS106" i="14" s="1"/>
  <c r="BT106" i="14" s="1"/>
  <c r="DQ99" i="11"/>
  <c r="DN99" i="11"/>
  <c r="DM99" i="11"/>
  <c r="DO99" i="11" s="1"/>
  <c r="DP99" i="11" s="1"/>
  <c r="DQ102" i="11"/>
  <c r="DN102" i="11"/>
  <c r="DQ120" i="11"/>
  <c r="DQ123" i="11"/>
  <c r="DQ131" i="11"/>
  <c r="DN131" i="11"/>
  <c r="DO157" i="11"/>
  <c r="DP157" i="11" s="1"/>
  <c r="DQ157" i="11"/>
  <c r="DM163" i="11"/>
  <c r="DO163" i="11" s="1"/>
  <c r="DP163" i="11" s="1"/>
  <c r="DQ163" i="11"/>
  <c r="DN163" i="11"/>
  <c r="BQ16" i="14"/>
  <c r="BS16" i="14" s="1"/>
  <c r="BT16" i="14" s="1"/>
  <c r="BR16" i="14"/>
  <c r="BU16" i="14"/>
  <c r="BR31" i="14"/>
  <c r="BQ31" i="14"/>
  <c r="BS31" i="14" s="1"/>
  <c r="BT31" i="14" s="1"/>
  <c r="DM20" i="11"/>
  <c r="DO20" i="11" s="1"/>
  <c r="DP20" i="11" s="1"/>
  <c r="DN20" i="11"/>
  <c r="DQ25" i="11"/>
  <c r="DN28" i="11"/>
  <c r="DM28" i="11"/>
  <c r="DO28" i="11" s="1"/>
  <c r="DP28" i="11" s="1"/>
  <c r="DQ28" i="11"/>
  <c r="DN38" i="11"/>
  <c r="DM38" i="11"/>
  <c r="DO38" i="11" s="1"/>
  <c r="DP38" i="11" s="1"/>
  <c r="DM55" i="11"/>
  <c r="DO55" i="11" s="1"/>
  <c r="DP55" i="11" s="1"/>
  <c r="DN60" i="11"/>
  <c r="DM60" i="11"/>
  <c r="DM87" i="11"/>
  <c r="DO87" i="11" s="1"/>
  <c r="DP87" i="11" s="1"/>
  <c r="DN87" i="11"/>
  <c r="DN109" i="11"/>
  <c r="DQ111" i="11"/>
  <c r="DN114" i="11"/>
  <c r="DO144" i="11"/>
  <c r="DP144" i="11" s="1"/>
  <c r="DQ144" i="11"/>
  <c r="DN147" i="11"/>
  <c r="BR13" i="14"/>
  <c r="BQ13" i="14"/>
  <c r="BS13" i="14" s="1"/>
  <c r="BT13" i="14" s="1"/>
  <c r="BU13" i="14"/>
  <c r="BU51" i="14"/>
  <c r="BR117" i="14"/>
  <c r="BU117" i="14"/>
  <c r="BQ117" i="14"/>
  <c r="BS117" i="14" s="1"/>
  <c r="BT117" i="14" s="1"/>
  <c r="CD17" i="10"/>
  <c r="CC17" i="10"/>
  <c r="CE17" i="10" s="1"/>
  <c r="CF17" i="10" s="1"/>
  <c r="CG38" i="10"/>
  <c r="CD38" i="10"/>
  <c r="CD49" i="10"/>
  <c r="CC49" i="10"/>
  <c r="CE49" i="10" s="1"/>
  <c r="CF49" i="10" s="1"/>
  <c r="CC79" i="10"/>
  <c r="CE79" i="10" s="1"/>
  <c r="CF79" i="10" s="1"/>
  <c r="DM5" i="11"/>
  <c r="DO5" i="11" s="1"/>
  <c r="DP5" i="11" s="1"/>
  <c r="DQ35" i="11"/>
  <c r="DN35" i="11"/>
  <c r="DM35" i="11"/>
  <c r="DO35" i="11" s="1"/>
  <c r="DP35" i="11" s="1"/>
  <c r="DM57" i="11"/>
  <c r="DO57" i="11" s="1"/>
  <c r="DP57" i="11" s="1"/>
  <c r="DM73" i="11"/>
  <c r="DO73" i="11" s="1"/>
  <c r="DP73" i="11" s="1"/>
  <c r="DQ82" i="11"/>
  <c r="DN82" i="11"/>
  <c r="DQ126" i="11"/>
  <c r="DM126" i="11"/>
  <c r="DO126" i="11" s="1"/>
  <c r="DP126" i="11" s="1"/>
  <c r="DQ142" i="11"/>
  <c r="DQ147" i="11"/>
  <c r="DN152" i="11"/>
  <c r="BR4" i="14"/>
  <c r="BQ4" i="14"/>
  <c r="BS4" i="14" s="1"/>
  <c r="BT4" i="14" s="1"/>
  <c r="BU19" i="14"/>
  <c r="BR19" i="14"/>
  <c r="BR28" i="14"/>
  <c r="BR49" i="14"/>
  <c r="CG75" i="10"/>
  <c r="CG77" i="10"/>
  <c r="CC90" i="10"/>
  <c r="CE90" i="10" s="1"/>
  <c r="CF90" i="10" s="1"/>
  <c r="DN66" i="11"/>
  <c r="DM77" i="11"/>
  <c r="DO77" i="11" s="1"/>
  <c r="DP77" i="11" s="1"/>
  <c r="DQ97" i="11"/>
  <c r="DM107" i="11"/>
  <c r="DO107" i="11" s="1"/>
  <c r="DP107" i="11" s="1"/>
  <c r="DQ109" i="11"/>
  <c r="DQ115" i="11"/>
  <c r="DN115" i="11"/>
  <c r="DQ118" i="11"/>
  <c r="DN118" i="11"/>
  <c r="DM118" i="11"/>
  <c r="DO118" i="11" s="1"/>
  <c r="DP118" i="11" s="1"/>
  <c r="DM120" i="11"/>
  <c r="DO120" i="11" s="1"/>
  <c r="DP120" i="11" s="1"/>
  <c r="DM131" i="11"/>
  <c r="DO131" i="11" s="1"/>
  <c r="DP131" i="11" s="1"/>
  <c r="DM145" i="11"/>
  <c r="DO145" i="11" s="1"/>
  <c r="DP145" i="11" s="1"/>
  <c r="DN145" i="11"/>
  <c r="DQ152" i="11"/>
  <c r="DN160" i="11"/>
  <c r="DN168" i="11"/>
  <c r="BU29" i="14"/>
  <c r="BU68" i="14"/>
  <c r="BR68" i="14"/>
  <c r="BQ68" i="14"/>
  <c r="BS68" i="14" s="1"/>
  <c r="BT68" i="14" s="1"/>
  <c r="BU71" i="14"/>
  <c r="BR71" i="14"/>
  <c r="BQ71" i="14"/>
  <c r="BS71" i="14" s="1"/>
  <c r="BT71" i="14" s="1"/>
  <c r="BR52" i="15"/>
  <c r="BQ52" i="15"/>
  <c r="BS52" i="15" s="1"/>
  <c r="BT52" i="15" s="1"/>
  <c r="BR55" i="15"/>
  <c r="BU62" i="14"/>
  <c r="DQ27" i="11"/>
  <c r="DM61" i="11"/>
  <c r="DO61" i="11" s="1"/>
  <c r="DP61" i="11" s="1"/>
  <c r="DN70" i="11"/>
  <c r="DQ83" i="11"/>
  <c r="DN83" i="11"/>
  <c r="DM125" i="11"/>
  <c r="DO125" i="11" s="1"/>
  <c r="DP125" i="11" s="1"/>
  <c r="DN146" i="11"/>
  <c r="DM146" i="11"/>
  <c r="DO146" i="11" s="1"/>
  <c r="DP146" i="11" s="1"/>
  <c r="BU30" i="14"/>
  <c r="BQ94" i="14"/>
  <c r="BS94" i="14" s="1"/>
  <c r="BT94" i="14" s="1"/>
  <c r="BR94" i="14"/>
  <c r="BQ107" i="14"/>
  <c r="BS107" i="14" s="1"/>
  <c r="BT107" i="14" s="1"/>
  <c r="BU107" i="14"/>
  <c r="BR107" i="14"/>
  <c r="BR9" i="19"/>
  <c r="BU9" i="19"/>
  <c r="BQ9" i="19"/>
  <c r="BS9" i="19" s="1"/>
  <c r="BT9" i="19" s="1"/>
  <c r="BU64" i="15"/>
  <c r="BR64" i="15"/>
  <c r="DM46" i="16"/>
  <c r="DO46" i="16" s="1"/>
  <c r="DP46" i="16" s="1"/>
  <c r="DQ46" i="16"/>
  <c r="DN46" i="16"/>
  <c r="BQ126" i="14"/>
  <c r="BS126" i="14" s="1"/>
  <c r="BT126" i="14" s="1"/>
  <c r="BR126" i="14"/>
  <c r="DQ11" i="11"/>
  <c r="DN11" i="11"/>
  <c r="DM37" i="11"/>
  <c r="DO37" i="11" s="1"/>
  <c r="DP37" i="11" s="1"/>
  <c r="DN46" i="11"/>
  <c r="DN84" i="11"/>
  <c r="DM84" i="11"/>
  <c r="DO84" i="11" s="1"/>
  <c r="DP84" i="11" s="1"/>
  <c r="DQ137" i="11"/>
  <c r="DQ146" i="11"/>
  <c r="DQ165" i="11"/>
  <c r="AS7" i="13"/>
  <c r="AU7" i="13" s="1"/>
  <c r="AV7" i="13" s="1"/>
  <c r="BU8" i="14"/>
  <c r="BR25" i="14"/>
  <c r="BQ25" i="14"/>
  <c r="BS25" i="14" s="1"/>
  <c r="BT25" i="14" s="1"/>
  <c r="BU60" i="15"/>
  <c r="BR86" i="15"/>
  <c r="BU86" i="15"/>
  <c r="BQ86" i="15"/>
  <c r="BS86" i="15" s="1"/>
  <c r="BT86" i="15" s="1"/>
  <c r="DN33" i="16"/>
  <c r="DM33" i="16"/>
  <c r="DO33" i="16" s="1"/>
  <c r="DP33" i="16" s="1"/>
  <c r="BU29" i="15"/>
  <c r="BQ29" i="15"/>
  <c r="BS29" i="15" s="1"/>
  <c r="BT29" i="15" s="1"/>
  <c r="BR29" i="15"/>
  <c r="BR50" i="15"/>
  <c r="BU50" i="15"/>
  <c r="BQ50" i="15"/>
  <c r="BS50" i="15" s="1"/>
  <c r="BT50" i="15" s="1"/>
  <c r="BR66" i="15"/>
  <c r="BQ66" i="15"/>
  <c r="BS66" i="15" s="1"/>
  <c r="BT66" i="15" s="1"/>
  <c r="BU77" i="15"/>
  <c r="BR77" i="15"/>
  <c r="BR50" i="17"/>
  <c r="BR105" i="14"/>
  <c r="BQ105" i="14"/>
  <c r="BS105" i="14" s="1"/>
  <c r="BT105" i="14" s="1"/>
  <c r="BU105" i="14"/>
  <c r="BU109" i="14"/>
  <c r="BR109" i="14"/>
  <c r="BQ109" i="14"/>
  <c r="BS109" i="14" s="1"/>
  <c r="BT109" i="14" s="1"/>
  <c r="BU121" i="14"/>
  <c r="BQ121" i="14"/>
  <c r="BS121" i="14" s="1"/>
  <c r="BT121" i="14" s="1"/>
  <c r="BR44" i="17"/>
  <c r="BQ44" i="17"/>
  <c r="BS44" i="17" s="1"/>
  <c r="BT44" i="17" s="1"/>
  <c r="BU44" i="17"/>
  <c r="BU15" i="14"/>
  <c r="BU20" i="14"/>
  <c r="BR20" i="14"/>
  <c r="BU61" i="14"/>
  <c r="BR61" i="14"/>
  <c r="BQ61" i="14"/>
  <c r="BS61" i="14" s="1"/>
  <c r="BT61" i="14" s="1"/>
  <c r="BU72" i="14"/>
  <c r="BU86" i="14"/>
  <c r="BR86" i="14"/>
  <c r="BQ86" i="14"/>
  <c r="BS86" i="14" s="1"/>
  <c r="BT86" i="14" s="1"/>
  <c r="BR102" i="14"/>
  <c r="BQ102" i="14"/>
  <c r="BS102" i="14" s="1"/>
  <c r="BT102" i="14" s="1"/>
  <c r="BU4" i="15"/>
  <c r="BS16" i="15"/>
  <c r="BT16" i="15" s="1"/>
  <c r="BU20" i="15"/>
  <c r="BR20" i="15"/>
  <c r="BQ20" i="15"/>
  <c r="BS20" i="15" s="1"/>
  <c r="BT20" i="15" s="1"/>
  <c r="BU38" i="15"/>
  <c r="BR38" i="15"/>
  <c r="BQ38" i="15"/>
  <c r="BS38" i="15" s="1"/>
  <c r="BT38" i="15" s="1"/>
  <c r="DN53" i="18"/>
  <c r="DM53" i="18"/>
  <c r="DO53" i="18" s="1"/>
  <c r="DP53" i="18" s="1"/>
  <c r="DQ53" i="18"/>
  <c r="BQ19" i="19"/>
  <c r="BS19" i="19" s="1"/>
  <c r="BT19" i="19" s="1"/>
  <c r="BR19" i="19"/>
  <c r="BQ96" i="14"/>
  <c r="BS96" i="14" s="1"/>
  <c r="BT96" i="14" s="1"/>
  <c r="BU96" i="14"/>
  <c r="BQ98" i="14"/>
  <c r="BS98" i="14" s="1"/>
  <c r="BT98" i="14" s="1"/>
  <c r="BR118" i="14"/>
  <c r="BQ118" i="14"/>
  <c r="BS118" i="14" s="1"/>
  <c r="BT118" i="14" s="1"/>
  <c r="DQ24" i="11"/>
  <c r="DQ33" i="11"/>
  <c r="DM85" i="11"/>
  <c r="DO85" i="11" s="1"/>
  <c r="DP85" i="11" s="1"/>
  <c r="DQ89" i="11"/>
  <c r="DN94" i="11"/>
  <c r="DQ96" i="11"/>
  <c r="DQ105" i="11"/>
  <c r="DQ149" i="11"/>
  <c r="DQ173" i="11"/>
  <c r="BQ115" i="14"/>
  <c r="BS115" i="14" s="1"/>
  <c r="BT115" i="14" s="1"/>
  <c r="BU115" i="14"/>
  <c r="BR115" i="14"/>
  <c r="BR17" i="15"/>
  <c r="BU17" i="15"/>
  <c r="BQ17" i="15"/>
  <c r="BS17" i="15" s="1"/>
  <c r="BT17" i="15" s="1"/>
  <c r="BR33" i="15"/>
  <c r="BU33" i="15"/>
  <c r="BQ33" i="15"/>
  <c r="BS33" i="15" s="1"/>
  <c r="BT33" i="15" s="1"/>
  <c r="BR42" i="15"/>
  <c r="BQ42" i="15"/>
  <c r="BS42" i="15" s="1"/>
  <c r="BT42" i="15" s="1"/>
  <c r="BU42" i="15"/>
  <c r="BU58" i="15"/>
  <c r="DQ40" i="11"/>
  <c r="DQ49" i="11"/>
  <c r="DM101" i="11"/>
  <c r="DO101" i="11" s="1"/>
  <c r="DP101" i="11" s="1"/>
  <c r="DN108" i="11"/>
  <c r="DM108" i="11"/>
  <c r="DM141" i="11"/>
  <c r="DO141" i="11" s="1"/>
  <c r="DP141" i="11" s="1"/>
  <c r="DN148" i="11"/>
  <c r="DQ176" i="11"/>
  <c r="AT6" i="13"/>
  <c r="BU10" i="14"/>
  <c r="BR10" i="14"/>
  <c r="BR15" i="14"/>
  <c r="BU21" i="14"/>
  <c r="BQ32" i="14"/>
  <c r="BS32" i="14" s="1"/>
  <c r="BT32" i="14" s="1"/>
  <c r="BU32" i="14"/>
  <c r="BS36" i="14"/>
  <c r="BT36" i="14" s="1"/>
  <c r="BU99" i="14"/>
  <c r="BQ99" i="14"/>
  <c r="BS99" i="14" s="1"/>
  <c r="BT99" i="14" s="1"/>
  <c r="BR103" i="14"/>
  <c r="BQ103" i="14"/>
  <c r="BS103" i="14" s="1"/>
  <c r="BT103" i="14" s="1"/>
  <c r="BQ14" i="15"/>
  <c r="BS14" i="15" s="1"/>
  <c r="BT14" i="15" s="1"/>
  <c r="BU14" i="15"/>
  <c r="BR45" i="15"/>
  <c r="BQ45" i="15"/>
  <c r="BS45" i="15" s="1"/>
  <c r="BT45" i="15" s="1"/>
  <c r="BQ8" i="17"/>
  <c r="BS8" i="17" s="1"/>
  <c r="BT8" i="17" s="1"/>
  <c r="BR8" i="17"/>
  <c r="DM45" i="11"/>
  <c r="DO45" i="11" s="1"/>
  <c r="DP45" i="11" s="1"/>
  <c r="DN54" i="11"/>
  <c r="DQ67" i="11"/>
  <c r="DN67" i="11"/>
  <c r="DM89" i="11"/>
  <c r="DO89" i="11" s="1"/>
  <c r="DP89" i="11" s="1"/>
  <c r="DN92" i="11"/>
  <c r="DM92" i="11"/>
  <c r="DM122" i="11"/>
  <c r="DQ129" i="11"/>
  <c r="DQ134" i="11"/>
  <c r="DN134" i="11"/>
  <c r="DQ136" i="11"/>
  <c r="DQ150" i="11"/>
  <c r="BU65" i="14"/>
  <c r="BQ73" i="14"/>
  <c r="BS73" i="14" s="1"/>
  <c r="BT73" i="14" s="1"/>
  <c r="BR96" i="14"/>
  <c r="BR122" i="14"/>
  <c r="BU24" i="15"/>
  <c r="BQ24" i="15"/>
  <c r="BS24" i="15" s="1"/>
  <c r="BT24" i="15" s="1"/>
  <c r="BQ55" i="15"/>
  <c r="BS55" i="15" s="1"/>
  <c r="BT55" i="15" s="1"/>
  <c r="BQ84" i="15"/>
  <c r="BS84" i="15" s="1"/>
  <c r="BT84" i="15" s="1"/>
  <c r="BU84" i="15"/>
  <c r="DN162" i="11"/>
  <c r="DM162" i="11"/>
  <c r="DO162" i="11" s="1"/>
  <c r="DP162" i="11" s="1"/>
  <c r="DN170" i="11"/>
  <c r="BU23" i="14"/>
  <c r="BR23" i="14"/>
  <c r="BU41" i="14"/>
  <c r="BU43" i="14"/>
  <c r="BU104" i="14"/>
  <c r="BQ13" i="15"/>
  <c r="BS13" i="15" s="1"/>
  <c r="BT13" i="15" s="1"/>
  <c r="BU13" i="15"/>
  <c r="BR13" i="15"/>
  <c r="DQ61" i="16"/>
  <c r="DN61" i="16"/>
  <c r="DQ158" i="11"/>
  <c r="AT4" i="12"/>
  <c r="AS4" i="12"/>
  <c r="BR5" i="14"/>
  <c r="BR69" i="14"/>
  <c r="BU69" i="14"/>
  <c r="BU83" i="14"/>
  <c r="BR101" i="14"/>
  <c r="BU101" i="14"/>
  <c r="BQ101" i="14"/>
  <c r="BS101" i="14" s="1"/>
  <c r="BT101" i="14" s="1"/>
  <c r="BU51" i="15"/>
  <c r="BQ51" i="15"/>
  <c r="BS51" i="15" s="1"/>
  <c r="BT51" i="15" s="1"/>
  <c r="BR51" i="15"/>
  <c r="DQ5" i="16"/>
  <c r="DO41" i="16"/>
  <c r="DP41" i="16" s="1"/>
  <c r="DQ41" i="16"/>
  <c r="DN52" i="18"/>
  <c r="DM52" i="18"/>
  <c r="DO52" i="18" s="1"/>
  <c r="DP52" i="18" s="1"/>
  <c r="BU22" i="15"/>
  <c r="BQ22" i="15"/>
  <c r="BS22" i="15" s="1"/>
  <c r="BT22" i="15" s="1"/>
  <c r="BU62" i="15"/>
  <c r="DQ29" i="16"/>
  <c r="DN29" i="16"/>
  <c r="DM29" i="16"/>
  <c r="DO29" i="16" s="1"/>
  <c r="DP29" i="16" s="1"/>
  <c r="BR35" i="17"/>
  <c r="BQ61" i="17"/>
  <c r="BS61" i="17" s="1"/>
  <c r="BT61" i="17" s="1"/>
  <c r="BU9" i="14"/>
  <c r="BU81" i="14"/>
  <c r="BU8" i="15"/>
  <c r="BQ40" i="15"/>
  <c r="BS40" i="15" s="1"/>
  <c r="BT40" i="15" s="1"/>
  <c r="BU40" i="15"/>
  <c r="BR78" i="15"/>
  <c r="BQ78" i="15"/>
  <c r="BR87" i="15"/>
  <c r="BQ87" i="15"/>
  <c r="BS87" i="15" s="1"/>
  <c r="BT87" i="15" s="1"/>
  <c r="BU87" i="15"/>
  <c r="DM17" i="16"/>
  <c r="DO17" i="16" s="1"/>
  <c r="DP17" i="16" s="1"/>
  <c r="DM5" i="18"/>
  <c r="DO5" i="18" s="1"/>
  <c r="DP5" i="18" s="1"/>
  <c r="BU65" i="15"/>
  <c r="BQ65" i="15"/>
  <c r="BS65" i="15" s="1"/>
  <c r="BT65" i="15" s="1"/>
  <c r="BQ68" i="15"/>
  <c r="BS68" i="15" s="1"/>
  <c r="BT68" i="15" s="1"/>
  <c r="BU73" i="15"/>
  <c r="BQ73" i="15"/>
  <c r="BS73" i="15" s="1"/>
  <c r="BT73" i="15" s="1"/>
  <c r="DQ9" i="18"/>
  <c r="DN9" i="18"/>
  <c r="DM16" i="18"/>
  <c r="DO16" i="18" s="1"/>
  <c r="DP16" i="18" s="1"/>
  <c r="DQ16" i="18"/>
  <c r="DN16" i="18"/>
  <c r="DN39" i="16"/>
  <c r="DM39" i="16"/>
  <c r="DO39" i="16" s="1"/>
  <c r="DP39" i="16" s="1"/>
  <c r="BR29" i="17"/>
  <c r="BQ29" i="17"/>
  <c r="BS29" i="17" s="1"/>
  <c r="BT29" i="17" s="1"/>
  <c r="BR43" i="19"/>
  <c r="BQ43" i="19"/>
  <c r="BS43" i="19" s="1"/>
  <c r="BT43" i="19" s="1"/>
  <c r="DN27" i="11"/>
  <c r="DN43" i="11"/>
  <c r="DN59" i="11"/>
  <c r="DN75" i="11"/>
  <c r="DN91" i="11"/>
  <c r="DN107" i="11"/>
  <c r="DN123" i="11"/>
  <c r="DN139" i="11"/>
  <c r="DN153" i="11"/>
  <c r="DM171" i="11"/>
  <c r="AS5" i="12"/>
  <c r="BU5" i="14"/>
  <c r="BR9" i="14"/>
  <c r="BQ45" i="14"/>
  <c r="BS45" i="14" s="1"/>
  <c r="BT45" i="14" s="1"/>
  <c r="BU97" i="14"/>
  <c r="BR111" i="14"/>
  <c r="BQ113" i="14"/>
  <c r="BR113" i="14"/>
  <c r="BU6" i="15"/>
  <c r="BR6" i="15"/>
  <c r="BQ6" i="15"/>
  <c r="BS6" i="15" s="1"/>
  <c r="BT6" i="15" s="1"/>
  <c r="BR73" i="15"/>
  <c r="DO6" i="16"/>
  <c r="DP6" i="16" s="1"/>
  <c r="DQ6" i="16"/>
  <c r="DM53" i="16"/>
  <c r="DO53" i="16" s="1"/>
  <c r="DP53" i="16" s="1"/>
  <c r="DQ53" i="16"/>
  <c r="DM56" i="16"/>
  <c r="DO56" i="16" s="1"/>
  <c r="DP56" i="16" s="1"/>
  <c r="DN56" i="16"/>
  <c r="DM9" i="18"/>
  <c r="DO9" i="18" s="1"/>
  <c r="DP9" i="18" s="1"/>
  <c r="DQ151" i="11"/>
  <c r="DQ159" i="11"/>
  <c r="DN169" i="11"/>
  <c r="BQ6" i="14"/>
  <c r="BS6" i="14" s="1"/>
  <c r="BT6" i="14" s="1"/>
  <c r="BQ14" i="14"/>
  <c r="BS14" i="14" s="1"/>
  <c r="BT14" i="14" s="1"/>
  <c r="BQ29" i="14"/>
  <c r="BS29" i="14" s="1"/>
  <c r="BT29" i="14" s="1"/>
  <c r="BR33" i="14"/>
  <c r="BQ35" i="14"/>
  <c r="BS35" i="14" s="1"/>
  <c r="BT35" i="14" s="1"/>
  <c r="BU39" i="14"/>
  <c r="BR39" i="14"/>
  <c r="BQ23" i="15"/>
  <c r="BS23" i="15" s="1"/>
  <c r="BT23" i="15" s="1"/>
  <c r="BU23" i="15"/>
  <c r="BR23" i="15"/>
  <c r="BQ41" i="15"/>
  <c r="BS41" i="15" s="1"/>
  <c r="BT41" i="15" s="1"/>
  <c r="BU41" i="15"/>
  <c r="BR41" i="15"/>
  <c r="DN75" i="16"/>
  <c r="DM75" i="16"/>
  <c r="DO75" i="16" s="1"/>
  <c r="DP75" i="16" s="1"/>
  <c r="DQ75" i="16"/>
  <c r="BU90" i="17"/>
  <c r="BR90" i="17"/>
  <c r="BQ90" i="17"/>
  <c r="BS90" i="17" s="1"/>
  <c r="BT90" i="17" s="1"/>
  <c r="BU92" i="14"/>
  <c r="BQ116" i="14"/>
  <c r="BS116" i="14" s="1"/>
  <c r="BT116" i="14" s="1"/>
  <c r="BR116" i="14"/>
  <c r="BR119" i="14"/>
  <c r="BU15" i="15"/>
  <c r="DM40" i="16"/>
  <c r="DO40" i="16" s="1"/>
  <c r="DP40" i="16" s="1"/>
  <c r="DN40" i="16"/>
  <c r="DN50" i="16"/>
  <c r="DM50" i="16"/>
  <c r="DO50" i="16" s="1"/>
  <c r="DP50" i="16" s="1"/>
  <c r="DQ50" i="16"/>
  <c r="DO30" i="18"/>
  <c r="DP30" i="18" s="1"/>
  <c r="DQ30" i="18"/>
  <c r="DQ34" i="18"/>
  <c r="AW6" i="13"/>
  <c r="BU18" i="14"/>
  <c r="BQ27" i="14"/>
  <c r="BS27" i="14" s="1"/>
  <c r="BT27" i="14" s="1"/>
  <c r="BR27" i="14"/>
  <c r="BQ70" i="14"/>
  <c r="BS70" i="14" s="1"/>
  <c r="BT70" i="14" s="1"/>
  <c r="BU82" i="14"/>
  <c r="BQ84" i="14"/>
  <c r="BS84" i="14" s="1"/>
  <c r="BT84" i="14" s="1"/>
  <c r="BU100" i="14"/>
  <c r="BR4" i="15"/>
  <c r="BQ4" i="15"/>
  <c r="BS4" i="15" s="1"/>
  <c r="BT4" i="15" s="1"/>
  <c r="BR12" i="15"/>
  <c r="BU12" i="15"/>
  <c r="BQ12" i="15"/>
  <c r="BS12" i="15" s="1"/>
  <c r="BT12" i="15" s="1"/>
  <c r="BR18" i="15"/>
  <c r="BQ18" i="15"/>
  <c r="BS18" i="15" s="1"/>
  <c r="BT18" i="15" s="1"/>
  <c r="BU28" i="15"/>
  <c r="BR31" i="15"/>
  <c r="BU49" i="15"/>
  <c r="BU53" i="15"/>
  <c r="BU56" i="15"/>
  <c r="BR56" i="15"/>
  <c r="BQ56" i="15"/>
  <c r="BS56" i="15" s="1"/>
  <c r="BT56" i="15" s="1"/>
  <c r="BQ77" i="15"/>
  <c r="BS77" i="15" s="1"/>
  <c r="BT77" i="15" s="1"/>
  <c r="DO9" i="16"/>
  <c r="DP9" i="16" s="1"/>
  <c r="DQ9" i="16"/>
  <c r="DN13" i="16"/>
  <c r="DM13" i="16"/>
  <c r="DO13" i="16" s="1"/>
  <c r="DP13" i="16" s="1"/>
  <c r="DN37" i="16"/>
  <c r="DM37" i="16"/>
  <c r="DO37" i="16" s="1"/>
  <c r="DP37" i="16" s="1"/>
  <c r="DM63" i="16"/>
  <c r="DO63" i="16" s="1"/>
  <c r="DP63" i="16" s="1"/>
  <c r="DQ63" i="16"/>
  <c r="BU14" i="17"/>
  <c r="BR14" i="17"/>
  <c r="BU40" i="17"/>
  <c r="BQ40" i="17"/>
  <c r="BS40" i="17" s="1"/>
  <c r="BT40" i="17" s="1"/>
  <c r="DQ10" i="16"/>
  <c r="DN10" i="16"/>
  <c r="DM10" i="16"/>
  <c r="DO10" i="16" s="1"/>
  <c r="DP10" i="16" s="1"/>
  <c r="BR60" i="17"/>
  <c r="BQ60" i="17"/>
  <c r="BS60" i="17" s="1"/>
  <c r="BT60" i="17" s="1"/>
  <c r="BU90" i="14"/>
  <c r="BQ92" i="14"/>
  <c r="BS92" i="14" s="1"/>
  <c r="BT92" i="14" s="1"/>
  <c r="BR98" i="14"/>
  <c r="BQ100" i="14"/>
  <c r="BS100" i="14" s="1"/>
  <c r="BT100" i="14" s="1"/>
  <c r="BU116" i="14"/>
  <c r="BQ119" i="14"/>
  <c r="BS119" i="14" s="1"/>
  <c r="BT119" i="14" s="1"/>
  <c r="BR24" i="15"/>
  <c r="BQ31" i="15"/>
  <c r="BS31" i="15" s="1"/>
  <c r="BT31" i="15" s="1"/>
  <c r="BQ47" i="15"/>
  <c r="BS47" i="15" s="1"/>
  <c r="BT47" i="15" s="1"/>
  <c r="BR47" i="15"/>
  <c r="BQ69" i="15"/>
  <c r="BS69" i="15" s="1"/>
  <c r="BT69" i="15" s="1"/>
  <c r="BU72" i="15"/>
  <c r="BQ83" i="15"/>
  <c r="BS83" i="15" s="1"/>
  <c r="BT83" i="15" s="1"/>
  <c r="BR83" i="15"/>
  <c r="BU83" i="15"/>
  <c r="DN51" i="16"/>
  <c r="DQ51" i="16"/>
  <c r="DM51" i="16"/>
  <c r="DO51" i="16" s="1"/>
  <c r="DP51" i="16" s="1"/>
  <c r="BS11" i="17"/>
  <c r="BT11" i="17" s="1"/>
  <c r="BU11" i="17"/>
  <c r="BU24" i="17"/>
  <c r="BR31" i="17"/>
  <c r="BQ31" i="17"/>
  <c r="BS31" i="17" s="1"/>
  <c r="BT31" i="17" s="1"/>
  <c r="BQ70" i="17"/>
  <c r="BS70" i="17" s="1"/>
  <c r="BT70" i="17" s="1"/>
  <c r="BR70" i="17"/>
  <c r="DM61" i="18"/>
  <c r="DO61" i="18" s="1"/>
  <c r="DP61" i="18" s="1"/>
  <c r="DN61" i="18"/>
  <c r="BU32" i="17"/>
  <c r="BQ43" i="17"/>
  <c r="BS43" i="17" s="1"/>
  <c r="BT43" i="17" s="1"/>
  <c r="BU47" i="17"/>
  <c r="BR47" i="17"/>
  <c r="BR53" i="17"/>
  <c r="BQ53" i="17"/>
  <c r="BS53" i="17" s="1"/>
  <c r="BT53" i="17" s="1"/>
  <c r="BU53" i="17"/>
  <c r="BR74" i="17"/>
  <c r="BQ74" i="17"/>
  <c r="BS74" i="17" s="1"/>
  <c r="BT74" i="17" s="1"/>
  <c r="BQ77" i="17"/>
  <c r="BS77" i="17" s="1"/>
  <c r="BT77" i="17" s="1"/>
  <c r="BU77" i="17"/>
  <c r="BQ83" i="17"/>
  <c r="BS83" i="17" s="1"/>
  <c r="BT83" i="17" s="1"/>
  <c r="BU83" i="17"/>
  <c r="BR83" i="17"/>
  <c r="DN36" i="18"/>
  <c r="DM36" i="18"/>
  <c r="DO36" i="18" s="1"/>
  <c r="DP36" i="18" s="1"/>
  <c r="DM45" i="18"/>
  <c r="DO45" i="18" s="1"/>
  <c r="DP45" i="18" s="1"/>
  <c r="BR53" i="14"/>
  <c r="BU55" i="14"/>
  <c r="BR55" i="14"/>
  <c r="BQ59" i="14"/>
  <c r="BS59" i="14" s="1"/>
  <c r="BT59" i="14" s="1"/>
  <c r="BQ36" i="15"/>
  <c r="BU68" i="15"/>
  <c r="BQ71" i="15"/>
  <c r="BS71" i="15" s="1"/>
  <c r="BT71" i="15" s="1"/>
  <c r="DM12" i="16"/>
  <c r="DO12" i="16" s="1"/>
  <c r="DP12" i="16" s="1"/>
  <c r="DN12" i="16"/>
  <c r="BU15" i="17"/>
  <c r="DN18" i="18"/>
  <c r="DM18" i="18"/>
  <c r="DO18" i="18" s="1"/>
  <c r="DP18" i="18" s="1"/>
  <c r="BQ52" i="19"/>
  <c r="BS52" i="19" s="1"/>
  <c r="BT52" i="19" s="1"/>
  <c r="BR52" i="19"/>
  <c r="BR85" i="14"/>
  <c r="BU87" i="14"/>
  <c r="BR87" i="14"/>
  <c r="BQ91" i="14"/>
  <c r="BS91" i="14" s="1"/>
  <c r="BT91" i="14" s="1"/>
  <c r="BU122" i="14"/>
  <c r="BR15" i="15"/>
  <c r="BU25" i="15"/>
  <c r="BR34" i="15"/>
  <c r="BQ48" i="15"/>
  <c r="BS48" i="15" s="1"/>
  <c r="BT48" i="15" s="1"/>
  <c r="BQ67" i="15"/>
  <c r="BS67" i="15" s="1"/>
  <c r="BT67" i="15" s="1"/>
  <c r="BR74" i="15"/>
  <c r="BU74" i="15"/>
  <c r="DQ26" i="16"/>
  <c r="DN34" i="16"/>
  <c r="DQ34" i="16"/>
  <c r="DN59" i="16"/>
  <c r="DM59" i="16"/>
  <c r="DO59" i="16" s="1"/>
  <c r="DP59" i="16" s="1"/>
  <c r="DQ59" i="16"/>
  <c r="DN67" i="16"/>
  <c r="DQ67" i="16"/>
  <c r="DM72" i="16"/>
  <c r="DO72" i="16" s="1"/>
  <c r="DP72" i="16" s="1"/>
  <c r="DQ72" i="16"/>
  <c r="DN72" i="16"/>
  <c r="BU68" i="17"/>
  <c r="BQ68" i="17"/>
  <c r="BS68" i="17" s="1"/>
  <c r="BT68" i="17" s="1"/>
  <c r="BR68" i="17"/>
  <c r="DO21" i="18"/>
  <c r="DP21" i="18" s="1"/>
  <c r="DQ21" i="18"/>
  <c r="CA81" i="23"/>
  <c r="BX81" i="23"/>
  <c r="BW81" i="23"/>
  <c r="BY81" i="23" s="1"/>
  <c r="BZ81" i="23" s="1"/>
  <c r="BX103" i="23"/>
  <c r="BW103" i="23"/>
  <c r="BY103" i="23" s="1"/>
  <c r="BZ103" i="23" s="1"/>
  <c r="BR32" i="17"/>
  <c r="BQ75" i="17"/>
  <c r="BS75" i="17" s="1"/>
  <c r="BT75" i="17" s="1"/>
  <c r="BU75" i="17"/>
  <c r="BR75" i="17"/>
  <c r="DN31" i="18"/>
  <c r="DM31" i="18"/>
  <c r="DO31" i="18" s="1"/>
  <c r="DP31" i="18" s="1"/>
  <c r="BR39" i="19"/>
  <c r="BQ39" i="19"/>
  <c r="BS39" i="19" s="1"/>
  <c r="BT39" i="19" s="1"/>
  <c r="BU43" i="19"/>
  <c r="DM26" i="16"/>
  <c r="DO26" i="16" s="1"/>
  <c r="DP26" i="16" s="1"/>
  <c r="DN43" i="16"/>
  <c r="DM43" i="16"/>
  <c r="DO43" i="16" s="1"/>
  <c r="DP43" i="16" s="1"/>
  <c r="DM67" i="16"/>
  <c r="DO67" i="16" s="1"/>
  <c r="DP67" i="16" s="1"/>
  <c r="BR10" i="17"/>
  <c r="BQ10" i="17"/>
  <c r="BS10" i="17" s="1"/>
  <c r="BT10" i="17" s="1"/>
  <c r="BR13" i="17"/>
  <c r="BQ13" i="17"/>
  <c r="BS13" i="17" s="1"/>
  <c r="BT13" i="17" s="1"/>
  <c r="BU13" i="17"/>
  <c r="BU22" i="17"/>
  <c r="BS41" i="17"/>
  <c r="BT41" i="17" s="1"/>
  <c r="BU41" i="17"/>
  <c r="BR57" i="17"/>
  <c r="BQ57" i="17"/>
  <c r="BS57" i="17" s="1"/>
  <c r="BT57" i="17" s="1"/>
  <c r="BQ72" i="17"/>
  <c r="BS72" i="17" s="1"/>
  <c r="BT72" i="17" s="1"/>
  <c r="BU72" i="17"/>
  <c r="BR72" i="17"/>
  <c r="DQ4" i="18"/>
  <c r="DN4" i="18"/>
  <c r="DN13" i="18"/>
  <c r="DM13" i="18"/>
  <c r="DO13" i="18" s="1"/>
  <c r="DP13" i="18" s="1"/>
  <c r="DQ28" i="18"/>
  <c r="DN28" i="18"/>
  <c r="DQ50" i="18"/>
  <c r="DM50" i="18"/>
  <c r="DO50" i="18" s="1"/>
  <c r="DP50" i="18" s="1"/>
  <c r="DN50" i="18"/>
  <c r="BS23" i="19"/>
  <c r="BT23" i="19" s="1"/>
  <c r="BU23" i="19"/>
  <c r="BQ128" i="19"/>
  <c r="BS128" i="19" s="1"/>
  <c r="BT128" i="19" s="1"/>
  <c r="BU42" i="14"/>
  <c r="BU44" i="14"/>
  <c r="BQ46" i="14"/>
  <c r="BQ48" i="14"/>
  <c r="BR50" i="14"/>
  <c r="BU114" i="14"/>
  <c r="BR114" i="14"/>
  <c r="BR8" i="15"/>
  <c r="BQ11" i="15"/>
  <c r="BS11" i="15" s="1"/>
  <c r="BT11" i="15" s="1"/>
  <c r="BR11" i="15"/>
  <c r="BR16" i="15"/>
  <c r="BU39" i="15"/>
  <c r="BR80" i="15"/>
  <c r="BQ80" i="15"/>
  <c r="BS80" i="15" s="1"/>
  <c r="BT80" i="15" s="1"/>
  <c r="BU80" i="15"/>
  <c r="DN19" i="16"/>
  <c r="DQ19" i="16"/>
  <c r="DN26" i="16"/>
  <c r="DN32" i="16"/>
  <c r="DM32" i="16"/>
  <c r="DO32" i="16" s="1"/>
  <c r="DP32" i="16" s="1"/>
  <c r="DN54" i="16"/>
  <c r="DM54" i="16"/>
  <c r="DO54" i="16" s="1"/>
  <c r="DP54" i="16" s="1"/>
  <c r="DQ68" i="16"/>
  <c r="DM68" i="16"/>
  <c r="DO68" i="16" s="1"/>
  <c r="DP68" i="16" s="1"/>
  <c r="DN73" i="16"/>
  <c r="DM73" i="16"/>
  <c r="DO73" i="16" s="1"/>
  <c r="DP73" i="16" s="1"/>
  <c r="DQ73" i="16"/>
  <c r="BQ19" i="17"/>
  <c r="BS19" i="17" s="1"/>
  <c r="BT19" i="17" s="1"/>
  <c r="BU19" i="17"/>
  <c r="BR76" i="17"/>
  <c r="BU76" i="17"/>
  <c r="BR85" i="17"/>
  <c r="BQ85" i="17"/>
  <c r="BS85" i="17" s="1"/>
  <c r="BT85" i="17" s="1"/>
  <c r="BR88" i="17"/>
  <c r="BQ11" i="19"/>
  <c r="BS11" i="19" s="1"/>
  <c r="BT11" i="19" s="1"/>
  <c r="BR11" i="19"/>
  <c r="BR27" i="19"/>
  <c r="BQ27" i="19"/>
  <c r="BS27" i="19" s="1"/>
  <c r="BT27" i="19" s="1"/>
  <c r="BU33" i="19"/>
  <c r="BR33" i="19"/>
  <c r="BQ33" i="19"/>
  <c r="BS33" i="19" s="1"/>
  <c r="BT33" i="19" s="1"/>
  <c r="BQ40" i="19"/>
  <c r="BS40" i="19" s="1"/>
  <c r="BT40" i="19" s="1"/>
  <c r="BR40" i="19"/>
  <c r="BR69" i="19"/>
  <c r="BQ69" i="19"/>
  <c r="BS69" i="19" s="1"/>
  <c r="BT69" i="19" s="1"/>
  <c r="BS115" i="19"/>
  <c r="BT115" i="19" s="1"/>
  <c r="BU115" i="19"/>
  <c r="BR19" i="20"/>
  <c r="BQ19" i="20"/>
  <c r="BS19" i="20" s="1"/>
  <c r="BT19" i="20" s="1"/>
  <c r="BQ29" i="21"/>
  <c r="BS29" i="21" s="1"/>
  <c r="BT29" i="21" s="1"/>
  <c r="BU29" i="21"/>
  <c r="BR29" i="21"/>
  <c r="BU58" i="14"/>
  <c r="BU60" i="14"/>
  <c r="BQ62" i="14"/>
  <c r="BS62" i="14" s="1"/>
  <c r="BT62" i="14" s="1"/>
  <c r="BQ64" i="14"/>
  <c r="BS64" i="14" s="1"/>
  <c r="BT64" i="14" s="1"/>
  <c r="BR66" i="14"/>
  <c r="BU85" i="14"/>
  <c r="BU21" i="15"/>
  <c r="BR21" i="15"/>
  <c r="BU34" i="15"/>
  <c r="BR49" i="15"/>
  <c r="BU54" i="15"/>
  <c r="BR54" i="15"/>
  <c r="BU70" i="15"/>
  <c r="BU85" i="15"/>
  <c r="BR88" i="15"/>
  <c r="BU88" i="15"/>
  <c r="DM8" i="16"/>
  <c r="DO8" i="16" s="1"/>
  <c r="DP8" i="16" s="1"/>
  <c r="DQ8" i="16"/>
  <c r="DQ21" i="16"/>
  <c r="DM76" i="16"/>
  <c r="DN76" i="16"/>
  <c r="BR69" i="17"/>
  <c r="BQ69" i="17"/>
  <c r="BS69" i="17" s="1"/>
  <c r="BT69" i="17" s="1"/>
  <c r="BU69" i="17"/>
  <c r="DM34" i="18"/>
  <c r="DO34" i="18" s="1"/>
  <c r="DP34" i="18" s="1"/>
  <c r="BU24" i="19"/>
  <c r="BR24" i="19"/>
  <c r="BU50" i="19"/>
  <c r="BQ88" i="19"/>
  <c r="BS88" i="19" s="1"/>
  <c r="BT88" i="19" s="1"/>
  <c r="BR128" i="19"/>
  <c r="BU74" i="14"/>
  <c r="BU76" i="14"/>
  <c r="BQ78" i="14"/>
  <c r="BS78" i="14" s="1"/>
  <c r="BT78" i="14" s="1"/>
  <c r="BQ80" i="14"/>
  <c r="BS80" i="14" s="1"/>
  <c r="BT80" i="14" s="1"/>
  <c r="BR82" i="14"/>
  <c r="BU110" i="14"/>
  <c r="BQ110" i="14"/>
  <c r="BS110" i="14" s="1"/>
  <c r="BT110" i="14" s="1"/>
  <c r="BR9" i="15"/>
  <c r="BR26" i="15"/>
  <c r="BQ26" i="15"/>
  <c r="BQ35" i="15"/>
  <c r="BS35" i="15" s="1"/>
  <c r="BT35" i="15" s="1"/>
  <c r="DN11" i="16"/>
  <c r="DM11" i="16"/>
  <c r="DQ49" i="16"/>
  <c r="DN49" i="16"/>
  <c r="BR30" i="17"/>
  <c r="BS36" i="17"/>
  <c r="BT36" i="17" s="1"/>
  <c r="BU36" i="17"/>
  <c r="DQ7" i="18"/>
  <c r="DN7" i="18"/>
  <c r="DN14" i="18"/>
  <c r="DM14" i="18"/>
  <c r="BR102" i="19"/>
  <c r="BQ102" i="19"/>
  <c r="BS102" i="19" s="1"/>
  <c r="BT102" i="19" s="1"/>
  <c r="BU102" i="19"/>
  <c r="DQ43" i="16"/>
  <c r="DQ52" i="16"/>
  <c r="DM52" i="16"/>
  <c r="DO52" i="16" s="1"/>
  <c r="DP52" i="16" s="1"/>
  <c r="DM65" i="16"/>
  <c r="DO65" i="16" s="1"/>
  <c r="DP65" i="16" s="1"/>
  <c r="BQ5" i="17"/>
  <c r="BS5" i="17" s="1"/>
  <c r="BT5" i="17" s="1"/>
  <c r="BQ24" i="17"/>
  <c r="BS24" i="17" s="1"/>
  <c r="BT24" i="17" s="1"/>
  <c r="BU57" i="17"/>
  <c r="DM4" i="18"/>
  <c r="DO4" i="18" s="1"/>
  <c r="DP4" i="18" s="1"/>
  <c r="BQ18" i="19"/>
  <c r="BS18" i="19" s="1"/>
  <c r="BT18" i="19" s="1"/>
  <c r="BR18" i="19"/>
  <c r="BU43" i="17"/>
  <c r="BU55" i="17"/>
  <c r="BR55" i="17"/>
  <c r="BR61" i="17"/>
  <c r="DN26" i="18"/>
  <c r="DM26" i="18"/>
  <c r="DO26" i="18" s="1"/>
  <c r="DP26" i="18" s="1"/>
  <c r="BR96" i="19"/>
  <c r="BQ96" i="19"/>
  <c r="BS96" i="19" s="1"/>
  <c r="BT96" i="19" s="1"/>
  <c r="BR59" i="15"/>
  <c r="BR85" i="15"/>
  <c r="DN17" i="16"/>
  <c r="DQ17" i="16"/>
  <c r="DM44" i="16"/>
  <c r="DO44" i="16" s="1"/>
  <c r="DP44" i="16" s="1"/>
  <c r="DQ44" i="16"/>
  <c r="DM49" i="16"/>
  <c r="DO49" i="16" s="1"/>
  <c r="DP49" i="16" s="1"/>
  <c r="DQ55" i="16"/>
  <c r="DN55" i="16"/>
  <c r="DM61" i="16"/>
  <c r="DO61" i="16" s="1"/>
  <c r="DP61" i="16" s="1"/>
  <c r="BU17" i="17"/>
  <c r="BR17" i="17"/>
  <c r="BR20" i="17"/>
  <c r="BQ20" i="17"/>
  <c r="BS20" i="17" s="1"/>
  <c r="BT20" i="17" s="1"/>
  <c r="BU46" i="17"/>
  <c r="BR46" i="17"/>
  <c r="BU85" i="17"/>
  <c r="BU88" i="17"/>
  <c r="DQ23" i="18"/>
  <c r="DN51" i="18"/>
  <c r="DM51" i="18"/>
  <c r="DO51" i="18" s="1"/>
  <c r="DP51" i="18" s="1"/>
  <c r="DQ51" i="18"/>
  <c r="DN57" i="18"/>
  <c r="BQ24" i="19"/>
  <c r="BS24" i="19" s="1"/>
  <c r="BT24" i="19" s="1"/>
  <c r="BQ45" i="19"/>
  <c r="BR45" i="19"/>
  <c r="BQ55" i="19"/>
  <c r="BS55" i="19" s="1"/>
  <c r="BT55" i="19" s="1"/>
  <c r="BU69" i="19"/>
  <c r="DM11" i="18"/>
  <c r="DO11" i="18" s="1"/>
  <c r="DP11" i="18" s="1"/>
  <c r="DN11" i="18"/>
  <c r="DQ29" i="18"/>
  <c r="BR15" i="19"/>
  <c r="BR121" i="14"/>
  <c r="BQ27" i="15"/>
  <c r="BR58" i="15"/>
  <c r="BQ58" i="15"/>
  <c r="BS58" i="15" s="1"/>
  <c r="BT58" i="15" s="1"/>
  <c r="BR62" i="15"/>
  <c r="BU75" i="15"/>
  <c r="DN58" i="16"/>
  <c r="DM58" i="16"/>
  <c r="DO58" i="16" s="1"/>
  <c r="DP58" i="16" s="1"/>
  <c r="BR27" i="17"/>
  <c r="BQ27" i="17"/>
  <c r="BS27" i="17" s="1"/>
  <c r="BT27" i="17" s="1"/>
  <c r="BU27" i="17"/>
  <c r="BU38" i="17"/>
  <c r="BU63" i="17"/>
  <c r="BQ63" i="17"/>
  <c r="BS63" i="17" s="1"/>
  <c r="BT63" i="17" s="1"/>
  <c r="BQ71" i="17"/>
  <c r="BR71" i="17"/>
  <c r="DN12" i="18"/>
  <c r="DM23" i="18"/>
  <c r="DO23" i="18" s="1"/>
  <c r="DP23" i="18" s="1"/>
  <c r="DQ43" i="18"/>
  <c r="DN43" i="18"/>
  <c r="DM46" i="18"/>
  <c r="DO46" i="18" s="1"/>
  <c r="DP46" i="18" s="1"/>
  <c r="DQ46" i="18"/>
  <c r="DN46" i="18"/>
  <c r="DN49" i="18"/>
  <c r="DM49" i="18"/>
  <c r="DO49" i="18" s="1"/>
  <c r="DP49" i="18" s="1"/>
  <c r="BQ36" i="19"/>
  <c r="BR36" i="19"/>
  <c r="BQ67" i="19"/>
  <c r="BU95" i="19"/>
  <c r="BR88" i="19"/>
  <c r="BQ105" i="19"/>
  <c r="BS105" i="19" s="1"/>
  <c r="BT105" i="19" s="1"/>
  <c r="BR105" i="19"/>
  <c r="BU27" i="20"/>
  <c r="BS27" i="20"/>
  <c r="BT27" i="20" s="1"/>
  <c r="BR125" i="19"/>
  <c r="BU125" i="19"/>
  <c r="BR8" i="20"/>
  <c r="BQ8" i="20"/>
  <c r="BS8" i="20" s="1"/>
  <c r="BT8" i="20" s="1"/>
  <c r="BS31" i="20"/>
  <c r="BT31" i="20" s="1"/>
  <c r="BU31" i="20"/>
  <c r="BR124" i="14"/>
  <c r="BQ7" i="15"/>
  <c r="BS7" i="15" s="1"/>
  <c r="BT7" i="15" s="1"/>
  <c r="BU7" i="15"/>
  <c r="BR65" i="15"/>
  <c r="BU76" i="15"/>
  <c r="DM30" i="16"/>
  <c r="DO30" i="16" s="1"/>
  <c r="DP30" i="16" s="1"/>
  <c r="DM71" i="16"/>
  <c r="DO71" i="16" s="1"/>
  <c r="DP71" i="16" s="1"/>
  <c r="BU28" i="17"/>
  <c r="BQ28" i="17"/>
  <c r="BS28" i="17" s="1"/>
  <c r="BT28" i="17" s="1"/>
  <c r="BQ34" i="17"/>
  <c r="BS34" i="17" s="1"/>
  <c r="BT34" i="17" s="1"/>
  <c r="BR34" i="17"/>
  <c r="BR89" i="17"/>
  <c r="DQ8" i="18"/>
  <c r="DN19" i="18"/>
  <c r="DM19" i="18"/>
  <c r="DO19" i="18" s="1"/>
  <c r="DP19" i="18" s="1"/>
  <c r="DQ24" i="18"/>
  <c r="DQ27" i="18"/>
  <c r="DN27" i="18"/>
  <c r="DM56" i="18"/>
  <c r="DO56" i="18" s="1"/>
  <c r="DP56" i="18" s="1"/>
  <c r="DQ56" i="18"/>
  <c r="DN56" i="18"/>
  <c r="BR13" i="19"/>
  <c r="BQ13" i="19"/>
  <c r="BS13" i="19" s="1"/>
  <c r="BT13" i="19" s="1"/>
  <c r="BR16" i="19"/>
  <c r="BQ16" i="19"/>
  <c r="BS16" i="19" s="1"/>
  <c r="BT16" i="19" s="1"/>
  <c r="BU16" i="19"/>
  <c r="BR22" i="19"/>
  <c r="BQ22" i="19"/>
  <c r="BS22" i="19" s="1"/>
  <c r="BT22" i="19" s="1"/>
  <c r="BQ28" i="19"/>
  <c r="BS28" i="19" s="1"/>
  <c r="BT28" i="19" s="1"/>
  <c r="BQ34" i="19"/>
  <c r="BR34" i="19"/>
  <c r="BR56" i="19"/>
  <c r="BQ56" i="19"/>
  <c r="BS56" i="19" s="1"/>
  <c r="BT56" i="19" s="1"/>
  <c r="DN69" i="16"/>
  <c r="DM69" i="16"/>
  <c r="DO69" i="16" s="1"/>
  <c r="DP69" i="16" s="1"/>
  <c r="BU42" i="17"/>
  <c r="BR42" i="17"/>
  <c r="BQ42" i="17"/>
  <c r="BS42" i="17" s="1"/>
  <c r="BT42" i="17" s="1"/>
  <c r="BU45" i="17"/>
  <c r="BR45" i="17"/>
  <c r="BU48" i="17"/>
  <c r="BQ48" i="17"/>
  <c r="BS48" i="17" s="1"/>
  <c r="BT48" i="17" s="1"/>
  <c r="BU59" i="17"/>
  <c r="BU78" i="17"/>
  <c r="DN54" i="18"/>
  <c r="DQ54" i="18"/>
  <c r="BR7" i="19"/>
  <c r="BQ7" i="19"/>
  <c r="BS7" i="19" s="1"/>
  <c r="BT7" i="19" s="1"/>
  <c r="BR53" i="19"/>
  <c r="BQ53" i="19"/>
  <c r="BS53" i="19" s="1"/>
  <c r="BT53" i="19" s="1"/>
  <c r="BU53" i="19"/>
  <c r="DN18" i="16"/>
  <c r="DQ18" i="16"/>
  <c r="DQ23" i="16"/>
  <c r="DM47" i="16"/>
  <c r="DO47" i="16" s="1"/>
  <c r="DP47" i="16" s="1"/>
  <c r="DQ74" i="16"/>
  <c r="BQ9" i="17"/>
  <c r="BU18" i="17"/>
  <c r="BQ18" i="17"/>
  <c r="BS18" i="17" s="1"/>
  <c r="BT18" i="17" s="1"/>
  <c r="BR37" i="17"/>
  <c r="BQ37" i="17"/>
  <c r="BQ67" i="17"/>
  <c r="BR67" i="17"/>
  <c r="BQ89" i="17"/>
  <c r="BS89" i="17" s="1"/>
  <c r="BT89" i="17" s="1"/>
  <c r="BU11" i="19"/>
  <c r="BR29" i="19"/>
  <c r="BQ29" i="19"/>
  <c r="BU38" i="19"/>
  <c r="BR90" i="19"/>
  <c r="BQ90" i="19"/>
  <c r="BS90" i="19" s="1"/>
  <c r="BT90" i="19" s="1"/>
  <c r="BU111" i="19"/>
  <c r="BR111" i="19"/>
  <c r="BQ111" i="19"/>
  <c r="BS111" i="19" s="1"/>
  <c r="BT111" i="19" s="1"/>
  <c r="BR10" i="20"/>
  <c r="BR10" i="15"/>
  <c r="BQ10" i="15"/>
  <c r="BR14" i="15"/>
  <c r="BQ43" i="15"/>
  <c r="BS43" i="15" s="1"/>
  <c r="BT43" i="15" s="1"/>
  <c r="DQ4" i="16"/>
  <c r="DM4" i="16"/>
  <c r="DO4" i="16" s="1"/>
  <c r="DP4" i="16" s="1"/>
  <c r="DM28" i="16"/>
  <c r="DO28" i="16" s="1"/>
  <c r="DP28" i="16" s="1"/>
  <c r="DN28" i="16"/>
  <c r="DQ30" i="16"/>
  <c r="DQ36" i="16"/>
  <c r="DM36" i="16"/>
  <c r="DO36" i="16" s="1"/>
  <c r="DP36" i="16" s="1"/>
  <c r="DM45" i="16"/>
  <c r="DO45" i="16" s="1"/>
  <c r="DP45" i="16" s="1"/>
  <c r="DN53" i="16"/>
  <c r="DM60" i="16"/>
  <c r="DO60" i="16" s="1"/>
  <c r="DP60" i="16" s="1"/>
  <c r="BR26" i="17"/>
  <c r="BQ26" i="17"/>
  <c r="BS26" i="17" s="1"/>
  <c r="BT26" i="17" s="1"/>
  <c r="BU39" i="17"/>
  <c r="BU54" i="17"/>
  <c r="BU56" i="17"/>
  <c r="BR73" i="17"/>
  <c r="BU73" i="17"/>
  <c r="BQ73" i="17"/>
  <c r="BS73" i="17" s="1"/>
  <c r="BT73" i="17" s="1"/>
  <c r="BQ79" i="17"/>
  <c r="BS79" i="17" s="1"/>
  <c r="BT79" i="17" s="1"/>
  <c r="BR79" i="17"/>
  <c r="DN8" i="18"/>
  <c r="DN24" i="18"/>
  <c r="BQ8" i="19"/>
  <c r="BS8" i="19" s="1"/>
  <c r="BT8" i="19" s="1"/>
  <c r="BR8" i="19"/>
  <c r="BR26" i="19"/>
  <c r="BQ26" i="19"/>
  <c r="BS26" i="19" s="1"/>
  <c r="BT26" i="19" s="1"/>
  <c r="BR50" i="19"/>
  <c r="BR100" i="19"/>
  <c r="BQ100" i="19"/>
  <c r="BS100" i="19" s="1"/>
  <c r="BT100" i="19" s="1"/>
  <c r="BU49" i="17"/>
  <c r="BR49" i="17"/>
  <c r="DM60" i="18"/>
  <c r="DN60" i="18"/>
  <c r="BQ84" i="19"/>
  <c r="BS84" i="19" s="1"/>
  <c r="BT84" i="19" s="1"/>
  <c r="BU84" i="19"/>
  <c r="BR84" i="19"/>
  <c r="BU87" i="19"/>
  <c r="BS87" i="19"/>
  <c r="BT87" i="19" s="1"/>
  <c r="BR11" i="20"/>
  <c r="BQ11" i="20"/>
  <c r="BS11" i="20" s="1"/>
  <c r="BT11" i="20" s="1"/>
  <c r="BR83" i="19"/>
  <c r="BR38" i="20"/>
  <c r="BQ38" i="20"/>
  <c r="BS38" i="20" s="1"/>
  <c r="BT38" i="20" s="1"/>
  <c r="BQ75" i="20"/>
  <c r="BS75" i="20" s="1"/>
  <c r="BT75" i="20" s="1"/>
  <c r="BU75" i="20"/>
  <c r="DM62" i="16"/>
  <c r="DO62" i="16" s="1"/>
  <c r="DP62" i="16" s="1"/>
  <c r="DQ64" i="16"/>
  <c r="DN66" i="16"/>
  <c r="DQ6" i="18"/>
  <c r="DQ37" i="18"/>
  <c r="DO42" i="18"/>
  <c r="DP42" i="18" s="1"/>
  <c r="DQ42" i="18"/>
  <c r="BU13" i="19"/>
  <c r="BR41" i="19"/>
  <c r="BQ41" i="19"/>
  <c r="BS41" i="19" s="1"/>
  <c r="BT41" i="19" s="1"/>
  <c r="BR44" i="19"/>
  <c r="BQ44" i="19"/>
  <c r="BS44" i="19" s="1"/>
  <c r="BT44" i="19" s="1"/>
  <c r="BU44" i="19"/>
  <c r="BR86" i="19"/>
  <c r="BQ86" i="19"/>
  <c r="BS86" i="19" s="1"/>
  <c r="BT86" i="19" s="1"/>
  <c r="BQ17" i="20"/>
  <c r="BS17" i="20" s="1"/>
  <c r="BT17" i="20" s="1"/>
  <c r="BU17" i="20"/>
  <c r="BR48" i="20"/>
  <c r="BQ48" i="20"/>
  <c r="BS48" i="20" s="1"/>
  <c r="BT48" i="20" s="1"/>
  <c r="BU93" i="19"/>
  <c r="BQ93" i="19"/>
  <c r="BS93" i="19" s="1"/>
  <c r="BT93" i="19" s="1"/>
  <c r="BQ39" i="20"/>
  <c r="BS39" i="20" s="1"/>
  <c r="BT39" i="20" s="1"/>
  <c r="BR112" i="19"/>
  <c r="BQ112" i="19"/>
  <c r="BS112" i="19" s="1"/>
  <c r="BT112" i="19" s="1"/>
  <c r="BQ126" i="19"/>
  <c r="BS126" i="19" s="1"/>
  <c r="BT126" i="19" s="1"/>
  <c r="BU126" i="19"/>
  <c r="BR126" i="19"/>
  <c r="BQ135" i="19"/>
  <c r="BS135" i="19" s="1"/>
  <c r="BT135" i="19" s="1"/>
  <c r="BU135" i="19"/>
  <c r="BR135" i="19"/>
  <c r="BU79" i="15"/>
  <c r="BU4" i="17"/>
  <c r="DQ17" i="18"/>
  <c r="DQ41" i="18"/>
  <c r="DM41" i="18"/>
  <c r="DO41" i="18" s="1"/>
  <c r="DP41" i="18" s="1"/>
  <c r="DN47" i="18"/>
  <c r="DM47" i="18"/>
  <c r="BR60" i="19"/>
  <c r="BQ60" i="19"/>
  <c r="BS60" i="19" s="1"/>
  <c r="BT60" i="19" s="1"/>
  <c r="BR65" i="19"/>
  <c r="BQ65" i="19"/>
  <c r="BS65" i="19" s="1"/>
  <c r="BT65" i="19" s="1"/>
  <c r="BU72" i="19"/>
  <c r="BR93" i="19"/>
  <c r="BU119" i="19"/>
  <c r="BR123" i="19"/>
  <c r="BQ123" i="19"/>
  <c r="BR15" i="20"/>
  <c r="BQ15" i="20"/>
  <c r="BS15" i="20" s="1"/>
  <c r="BT15" i="20" s="1"/>
  <c r="BR30" i="20"/>
  <c r="BQ30" i="20"/>
  <c r="BS30" i="20" s="1"/>
  <c r="BT30" i="20" s="1"/>
  <c r="DN5" i="16"/>
  <c r="DQ20" i="16"/>
  <c r="DM20" i="16"/>
  <c r="DO20" i="16" s="1"/>
  <c r="DP20" i="16" s="1"/>
  <c r="DM24" i="16"/>
  <c r="DO24" i="16" s="1"/>
  <c r="DP24" i="16" s="1"/>
  <c r="DQ24" i="16"/>
  <c r="DN35" i="16"/>
  <c r="DN63" i="16"/>
  <c r="DN17" i="18"/>
  <c r="BU17" i="19"/>
  <c r="BR17" i="19"/>
  <c r="BQ48" i="19"/>
  <c r="BS48" i="19" s="1"/>
  <c r="BT48" i="19" s="1"/>
  <c r="BR48" i="19"/>
  <c r="BQ117" i="19"/>
  <c r="BS117" i="19" s="1"/>
  <c r="BT117" i="19" s="1"/>
  <c r="BR117" i="19"/>
  <c r="BU117" i="19"/>
  <c r="BR9" i="20"/>
  <c r="BU9" i="20"/>
  <c r="BQ9" i="20"/>
  <c r="BS9" i="20" s="1"/>
  <c r="BT9" i="20" s="1"/>
  <c r="BR54" i="19"/>
  <c r="BR76" i="19"/>
  <c r="BQ76" i="19"/>
  <c r="BS76" i="19" s="1"/>
  <c r="BT76" i="19" s="1"/>
  <c r="BQ97" i="19"/>
  <c r="BR97" i="19"/>
  <c r="BQ15" i="21"/>
  <c r="BS15" i="21" s="1"/>
  <c r="BT15" i="21" s="1"/>
  <c r="BR82" i="19"/>
  <c r="BQ91" i="19"/>
  <c r="BR91" i="19"/>
  <c r="BS43" i="20"/>
  <c r="BT43" i="20" s="1"/>
  <c r="BU43" i="20"/>
  <c r="BU60" i="20"/>
  <c r="BR5" i="21"/>
  <c r="BQ5" i="21"/>
  <c r="BS5" i="21" s="1"/>
  <c r="BT5" i="21" s="1"/>
  <c r="BQ23" i="21"/>
  <c r="BS23" i="21" s="1"/>
  <c r="BT23" i="21" s="1"/>
  <c r="BR23" i="21"/>
  <c r="BR79" i="15"/>
  <c r="BR84" i="15"/>
  <c r="DM5" i="16"/>
  <c r="DO5" i="16" s="1"/>
  <c r="DP5" i="16" s="1"/>
  <c r="DM7" i="16"/>
  <c r="DO7" i="16" s="1"/>
  <c r="DP7" i="16" s="1"/>
  <c r="DN20" i="16"/>
  <c r="DN27" i="16"/>
  <c r="DM27" i="16"/>
  <c r="DM35" i="16"/>
  <c r="DO35" i="16" s="1"/>
  <c r="DP35" i="16" s="1"/>
  <c r="DQ42" i="16"/>
  <c r="BU6" i="17"/>
  <c r="BR54" i="17"/>
  <c r="BQ82" i="17"/>
  <c r="BQ84" i="17"/>
  <c r="BR87" i="17"/>
  <c r="BQ87" i="17"/>
  <c r="DN10" i="18"/>
  <c r="DM10" i="18"/>
  <c r="DO10" i="18" s="1"/>
  <c r="DP10" i="18" s="1"/>
  <c r="DQ25" i="18"/>
  <c r="DN25" i="18"/>
  <c r="DN33" i="18"/>
  <c r="DQ33" i="18"/>
  <c r="DM33" i="18"/>
  <c r="DO33" i="18" s="1"/>
  <c r="DP33" i="18" s="1"/>
  <c r="DN39" i="18"/>
  <c r="BU12" i="19"/>
  <c r="BQ12" i="19"/>
  <c r="BS12" i="19" s="1"/>
  <c r="BT12" i="19" s="1"/>
  <c r="BQ17" i="19"/>
  <c r="BS17" i="19" s="1"/>
  <c r="BT17" i="19" s="1"/>
  <c r="BU49" i="19"/>
  <c r="BR49" i="19"/>
  <c r="BQ49" i="19"/>
  <c r="BS49" i="19" s="1"/>
  <c r="BT49" i="19" s="1"/>
  <c r="BU52" i="19"/>
  <c r="BR57" i="19"/>
  <c r="BQ57" i="19"/>
  <c r="BS57" i="19" s="1"/>
  <c r="BT57" i="19" s="1"/>
  <c r="BQ103" i="19"/>
  <c r="BR103" i="19"/>
  <c r="BR16" i="21"/>
  <c r="BQ16" i="21"/>
  <c r="BS16" i="21" s="1"/>
  <c r="BT16" i="21" s="1"/>
  <c r="BU16" i="21"/>
  <c r="BQ118" i="19"/>
  <c r="BS118" i="19" s="1"/>
  <c r="BT118" i="19" s="1"/>
  <c r="BR118" i="19"/>
  <c r="BQ10" i="20"/>
  <c r="BS10" i="20" s="1"/>
  <c r="BT10" i="20" s="1"/>
  <c r="BU10" i="20"/>
  <c r="BR25" i="20"/>
  <c r="BU25" i="20"/>
  <c r="BQ35" i="17"/>
  <c r="BS35" i="17" s="1"/>
  <c r="BT35" i="17" s="1"/>
  <c r="BQ50" i="17"/>
  <c r="BS50" i="17" s="1"/>
  <c r="BT50" i="17" s="1"/>
  <c r="BU65" i="17"/>
  <c r="BR65" i="17"/>
  <c r="DQ48" i="18"/>
  <c r="BU20" i="19"/>
  <c r="BR20" i="19"/>
  <c r="BQ35" i="19"/>
  <c r="BS35" i="19" s="1"/>
  <c r="BT35" i="19" s="1"/>
  <c r="BR35" i="19"/>
  <c r="BQ50" i="19"/>
  <c r="BS50" i="19" s="1"/>
  <c r="BT50" i="19" s="1"/>
  <c r="BQ120" i="19"/>
  <c r="BS120" i="19" s="1"/>
  <c r="BT120" i="19" s="1"/>
  <c r="BR120" i="19"/>
  <c r="BU120" i="19"/>
  <c r="BQ36" i="20"/>
  <c r="BS36" i="20" s="1"/>
  <c r="BT36" i="20" s="1"/>
  <c r="BR36" i="20"/>
  <c r="BR53" i="20"/>
  <c r="BQ53" i="20"/>
  <c r="BS53" i="20" s="1"/>
  <c r="BT53" i="20" s="1"/>
  <c r="BR71" i="20"/>
  <c r="BU71" i="20"/>
  <c r="BW12" i="23"/>
  <c r="BY12" i="23" s="1"/>
  <c r="BZ12" i="23" s="1"/>
  <c r="BX12" i="23"/>
  <c r="BR12" i="17"/>
  <c r="BQ14" i="17"/>
  <c r="BS14" i="17" s="1"/>
  <c r="BT14" i="17" s="1"/>
  <c r="BU33" i="17"/>
  <c r="BR33" i="17"/>
  <c r="DQ15" i="18"/>
  <c r="DM35" i="18"/>
  <c r="DO35" i="18" s="1"/>
  <c r="DP35" i="18" s="1"/>
  <c r="DN40" i="18"/>
  <c r="BR5" i="19"/>
  <c r="BQ5" i="19"/>
  <c r="BS5" i="19" s="1"/>
  <c r="BT5" i="19" s="1"/>
  <c r="BU5" i="19"/>
  <c r="BU30" i="19"/>
  <c r="BQ63" i="19"/>
  <c r="BS63" i="19" s="1"/>
  <c r="BT63" i="19" s="1"/>
  <c r="BQ75" i="19"/>
  <c r="BS75" i="19" s="1"/>
  <c r="BT75" i="19" s="1"/>
  <c r="BR77" i="19"/>
  <c r="BU5" i="20"/>
  <c r="BR5" i="20"/>
  <c r="BR39" i="20"/>
  <c r="BQ47" i="21"/>
  <c r="BS47" i="21" s="1"/>
  <c r="BT47" i="21" s="1"/>
  <c r="BU13" i="24"/>
  <c r="BQ13" i="24"/>
  <c r="BS13" i="24" s="1"/>
  <c r="BT13" i="24" s="1"/>
  <c r="BU28" i="20"/>
  <c r="BQ28" i="20"/>
  <c r="BS28" i="20" s="1"/>
  <c r="BT28" i="20" s="1"/>
  <c r="BR28" i="20"/>
  <c r="BQ66" i="20"/>
  <c r="BS66" i="20" s="1"/>
  <c r="BT66" i="20" s="1"/>
  <c r="BU66" i="20"/>
  <c r="BR66" i="20"/>
  <c r="BQ51" i="17"/>
  <c r="BS51" i="17" s="1"/>
  <c r="BT51" i="17" s="1"/>
  <c r="BU81" i="17"/>
  <c r="BR81" i="17"/>
  <c r="BR31" i="19"/>
  <c r="BQ31" i="19"/>
  <c r="BS31" i="19" s="1"/>
  <c r="BT31" i="19" s="1"/>
  <c r="BU51" i="19"/>
  <c r="BU54" i="19"/>
  <c r="BR98" i="19"/>
  <c r="BQ98" i="19"/>
  <c r="BS98" i="19" s="1"/>
  <c r="BT98" i="19" s="1"/>
  <c r="BR106" i="19"/>
  <c r="BQ106" i="19"/>
  <c r="BS106" i="19" s="1"/>
  <c r="BT106" i="19" s="1"/>
  <c r="BU127" i="19"/>
  <c r="BQ14" i="20"/>
  <c r="BS14" i="20" s="1"/>
  <c r="BT14" i="20" s="1"/>
  <c r="BR14" i="20"/>
  <c r="BQ60" i="20"/>
  <c r="BS60" i="20" s="1"/>
  <c r="BT60" i="20" s="1"/>
  <c r="BU12" i="17"/>
  <c r="BR21" i="17"/>
  <c r="BQ21" i="17"/>
  <c r="BU79" i="17"/>
  <c r="DN5" i="18"/>
  <c r="DM7" i="18"/>
  <c r="DO7" i="18" s="1"/>
  <c r="DP7" i="18" s="1"/>
  <c r="BQ6" i="19"/>
  <c r="BS6" i="19" s="1"/>
  <c r="BT6" i="19" s="1"/>
  <c r="BQ59" i="19"/>
  <c r="BS59" i="19" s="1"/>
  <c r="BT59" i="19" s="1"/>
  <c r="BU75" i="19"/>
  <c r="BU78" i="19"/>
  <c r="BR78" i="19"/>
  <c r="BU108" i="19"/>
  <c r="BR60" i="20"/>
  <c r="BQ24" i="21"/>
  <c r="BS24" i="21" s="1"/>
  <c r="BT24" i="21" s="1"/>
  <c r="BR24" i="21"/>
  <c r="BQ46" i="20"/>
  <c r="BS46" i="20" s="1"/>
  <c r="BT46" i="20" s="1"/>
  <c r="BQ55" i="20"/>
  <c r="BS55" i="20" s="1"/>
  <c r="BT55" i="20" s="1"/>
  <c r="BU55" i="20"/>
  <c r="BR55" i="20"/>
  <c r="BU58" i="20"/>
  <c r="BR63" i="20"/>
  <c r="BQ63" i="20"/>
  <c r="BS63" i="20" s="1"/>
  <c r="BT63" i="20" s="1"/>
  <c r="BU63" i="20"/>
  <c r="BR4" i="21"/>
  <c r="BQ4" i="21"/>
  <c r="BS4" i="21" s="1"/>
  <c r="BT4" i="21" s="1"/>
  <c r="BQ35" i="21"/>
  <c r="BS35" i="21" s="1"/>
  <c r="BT35" i="21" s="1"/>
  <c r="BU35" i="21"/>
  <c r="BR35" i="21"/>
  <c r="BR109" i="19"/>
  <c r="BQ109" i="19"/>
  <c r="BS109" i="19" s="1"/>
  <c r="BT109" i="19" s="1"/>
  <c r="BU52" i="20"/>
  <c r="BS69" i="20"/>
  <c r="BT69" i="20" s="1"/>
  <c r="BX5" i="23"/>
  <c r="BW5" i="23"/>
  <c r="BY5" i="23" s="1"/>
  <c r="BZ5" i="23" s="1"/>
  <c r="CA5" i="23"/>
  <c r="BQ21" i="21"/>
  <c r="BS21" i="21" s="1"/>
  <c r="BT21" i="21" s="1"/>
  <c r="BR21" i="21"/>
  <c r="CA19" i="23"/>
  <c r="BR28" i="17"/>
  <c r="BQ30" i="17"/>
  <c r="BS30" i="17" s="1"/>
  <c r="BT30" i="17" s="1"/>
  <c r="BR58" i="17"/>
  <c r="BQ58" i="17"/>
  <c r="BS58" i="17" s="1"/>
  <c r="BT58" i="17" s="1"/>
  <c r="BU62" i="17"/>
  <c r="DM12" i="18"/>
  <c r="DO12" i="18" s="1"/>
  <c r="DP12" i="18" s="1"/>
  <c r="BU22" i="19"/>
  <c r="BR37" i="19"/>
  <c r="BQ37" i="19"/>
  <c r="BS37" i="19" s="1"/>
  <c r="BT37" i="19" s="1"/>
  <c r="BU37" i="19"/>
  <c r="BR59" i="19"/>
  <c r="BU73" i="19"/>
  <c r="BQ79" i="19"/>
  <c r="BS79" i="19" s="1"/>
  <c r="BT79" i="19" s="1"/>
  <c r="BU122" i="19"/>
  <c r="BQ130" i="19"/>
  <c r="BS130" i="19" s="1"/>
  <c r="BT130" i="19" s="1"/>
  <c r="BQ133" i="19"/>
  <c r="BS133" i="19" s="1"/>
  <c r="BT133" i="19" s="1"/>
  <c r="BR133" i="19"/>
  <c r="BR18" i="20"/>
  <c r="BR23" i="20"/>
  <c r="BQ23" i="20"/>
  <c r="BR32" i="20"/>
  <c r="BQ32" i="20"/>
  <c r="BS32" i="20" s="1"/>
  <c r="BT32" i="20" s="1"/>
  <c r="BR18" i="21"/>
  <c r="BU18" i="21"/>
  <c r="BQ18" i="21"/>
  <c r="BS18" i="21" s="1"/>
  <c r="BT18" i="21" s="1"/>
  <c r="BW14" i="23"/>
  <c r="BY14" i="23" s="1"/>
  <c r="BZ14" i="23" s="1"/>
  <c r="BX14" i="23"/>
  <c r="BU47" i="19"/>
  <c r="BU74" i="19"/>
  <c r="BR74" i="19"/>
  <c r="BQ74" i="19"/>
  <c r="BS74" i="19" s="1"/>
  <c r="BT74" i="19" s="1"/>
  <c r="BQ82" i="19"/>
  <c r="BS82" i="19" s="1"/>
  <c r="BT82" i="19" s="1"/>
  <c r="BU82" i="19"/>
  <c r="BR107" i="19"/>
  <c r="BQ107" i="19"/>
  <c r="BS107" i="19" s="1"/>
  <c r="BT107" i="19" s="1"/>
  <c r="BR21" i="20"/>
  <c r="BQ21" i="20"/>
  <c r="BU41" i="20"/>
  <c r="BR46" i="20"/>
  <c r="BR52" i="20"/>
  <c r="BQ58" i="20"/>
  <c r="BS58" i="20" s="1"/>
  <c r="BT58" i="20" s="1"/>
  <c r="BR15" i="21"/>
  <c r="BW20" i="23"/>
  <c r="BY20" i="23" s="1"/>
  <c r="BZ20" i="23" s="1"/>
  <c r="BX20" i="23"/>
  <c r="CA20" i="23"/>
  <c r="DM28" i="18"/>
  <c r="DO28" i="18" s="1"/>
  <c r="DP28" i="18" s="1"/>
  <c r="BU15" i="19"/>
  <c r="BR28" i="19"/>
  <c r="BR58" i="19"/>
  <c r="BQ58" i="19"/>
  <c r="BS58" i="19" s="1"/>
  <c r="BT58" i="19" s="1"/>
  <c r="BU62" i="19"/>
  <c r="BR104" i="19"/>
  <c r="BQ104" i="19"/>
  <c r="BQ113" i="19"/>
  <c r="BU7" i="20"/>
  <c r="BR7" i="20"/>
  <c r="BQ26" i="20"/>
  <c r="BR57" i="20"/>
  <c r="BQ57" i="20"/>
  <c r="BS57" i="20" s="1"/>
  <c r="BT57" i="20" s="1"/>
  <c r="BQ68" i="20"/>
  <c r="BS68" i="20" s="1"/>
  <c r="BT68" i="20" s="1"/>
  <c r="BQ70" i="20"/>
  <c r="BS70" i="20" s="1"/>
  <c r="BT70" i="20" s="1"/>
  <c r="BU30" i="21"/>
  <c r="BR30" i="21"/>
  <c r="BW11" i="23"/>
  <c r="BX11" i="23"/>
  <c r="CA87" i="23"/>
  <c r="BX87" i="23"/>
  <c r="BW87" i="23"/>
  <c r="BY87" i="23" s="1"/>
  <c r="BZ87" i="23" s="1"/>
  <c r="BW91" i="23"/>
  <c r="BY91" i="23" s="1"/>
  <c r="BZ91" i="23" s="1"/>
  <c r="CA91" i="23"/>
  <c r="BX91" i="23"/>
  <c r="BU70" i="20"/>
  <c r="BU74" i="20"/>
  <c r="BR74" i="20"/>
  <c r="BQ74" i="20"/>
  <c r="BS74" i="20" s="1"/>
  <c r="BT74" i="20" s="1"/>
  <c r="BR34" i="21"/>
  <c r="BQ34" i="21"/>
  <c r="BQ8" i="22"/>
  <c r="BS8" i="22" s="1"/>
  <c r="BT8" i="22" s="1"/>
  <c r="BR8" i="22"/>
  <c r="BY16" i="23"/>
  <c r="BZ16" i="23" s="1"/>
  <c r="CA16" i="23"/>
  <c r="BR5" i="24"/>
  <c r="BQ5" i="24"/>
  <c r="BS5" i="24" s="1"/>
  <c r="BT5" i="24" s="1"/>
  <c r="BR37" i="21"/>
  <c r="BQ37" i="21"/>
  <c r="BS37" i="21" s="1"/>
  <c r="BT37" i="21" s="1"/>
  <c r="BX85" i="23"/>
  <c r="CA85" i="23"/>
  <c r="BW85" i="23"/>
  <c r="BY85" i="23" s="1"/>
  <c r="BZ85" i="23" s="1"/>
  <c r="BX34" i="23"/>
  <c r="BW59" i="23"/>
  <c r="BY59" i="23" s="1"/>
  <c r="BZ59" i="23" s="1"/>
  <c r="CA59" i="23"/>
  <c r="BX59" i="23"/>
  <c r="DM29" i="18"/>
  <c r="DO29" i="18" s="1"/>
  <c r="DP29" i="18" s="1"/>
  <c r="DQ59" i="18"/>
  <c r="DN59" i="18"/>
  <c r="BU70" i="19"/>
  <c r="BR85" i="19"/>
  <c r="BQ85" i="19"/>
  <c r="BU13" i="20"/>
  <c r="BQ13" i="20"/>
  <c r="BS13" i="20" s="1"/>
  <c r="BT13" i="20" s="1"/>
  <c r="BQ35" i="20"/>
  <c r="BR35" i="20"/>
  <c r="BU45" i="20"/>
  <c r="BQ45" i="20"/>
  <c r="BS45" i="20" s="1"/>
  <c r="BT45" i="20" s="1"/>
  <c r="BR12" i="21"/>
  <c r="BQ12" i="21"/>
  <c r="BS12" i="21" s="1"/>
  <c r="BT12" i="21" s="1"/>
  <c r="BR32" i="21"/>
  <c r="BU32" i="21"/>
  <c r="BQ32" i="21"/>
  <c r="BS32" i="21" s="1"/>
  <c r="BT32" i="21" s="1"/>
  <c r="BY17" i="23"/>
  <c r="BZ17" i="23" s="1"/>
  <c r="CA37" i="23"/>
  <c r="BW37" i="23"/>
  <c r="BY37" i="23" s="1"/>
  <c r="BZ37" i="23" s="1"/>
  <c r="BX79" i="23"/>
  <c r="BW79" i="23"/>
  <c r="BY79" i="23" s="1"/>
  <c r="BZ79" i="23" s="1"/>
  <c r="DQ57" i="18"/>
  <c r="BR12" i="19"/>
  <c r="BR42" i="19"/>
  <c r="BQ42" i="19"/>
  <c r="BS42" i="19" s="1"/>
  <c r="BT42" i="19" s="1"/>
  <c r="BU46" i="19"/>
  <c r="BQ83" i="19"/>
  <c r="BS83" i="19" s="1"/>
  <c r="BT83" i="19" s="1"/>
  <c r="BQ94" i="19"/>
  <c r="BS94" i="19" s="1"/>
  <c r="BT94" i="19" s="1"/>
  <c r="BU94" i="19"/>
  <c r="BQ40" i="20"/>
  <c r="BS40" i="20" s="1"/>
  <c r="BT40" i="20" s="1"/>
  <c r="BR6" i="21"/>
  <c r="BQ6" i="21"/>
  <c r="BS6" i="21" s="1"/>
  <c r="BT6" i="21" s="1"/>
  <c r="BR19" i="21"/>
  <c r="BQ19" i="21"/>
  <c r="BQ10" i="22"/>
  <c r="BS10" i="22" s="1"/>
  <c r="BT10" i="22" s="1"/>
  <c r="BW34" i="23"/>
  <c r="BY34" i="23" s="1"/>
  <c r="BZ34" i="23" s="1"/>
  <c r="DN38" i="18"/>
  <c r="DQ40" i="18"/>
  <c r="DN44" i="18"/>
  <c r="BU10" i="19"/>
  <c r="BR10" i="19"/>
  <c r="BQ10" i="19"/>
  <c r="BS10" i="19" s="1"/>
  <c r="BT10" i="19" s="1"/>
  <c r="BU14" i="19"/>
  <c r="BR46" i="19"/>
  <c r="BQ51" i="19"/>
  <c r="BS51" i="19" s="1"/>
  <c r="BT51" i="19" s="1"/>
  <c r="BQ66" i="19"/>
  <c r="BU81" i="19"/>
  <c r="BR81" i="19"/>
  <c r="BU92" i="19"/>
  <c r="BQ92" i="19"/>
  <c r="BS92" i="19" s="1"/>
  <c r="BT92" i="19" s="1"/>
  <c r="BU37" i="20"/>
  <c r="BR59" i="20"/>
  <c r="BQ59" i="20"/>
  <c r="BS59" i="20" s="1"/>
  <c r="BT59" i="20" s="1"/>
  <c r="BU59" i="20"/>
  <c r="BU76" i="20"/>
  <c r="BR42" i="21"/>
  <c r="BQ42" i="21"/>
  <c r="BS42" i="21" s="1"/>
  <c r="BT42" i="21" s="1"/>
  <c r="BU42" i="21"/>
  <c r="BQ13" i="22"/>
  <c r="BS13" i="22" s="1"/>
  <c r="BT13" i="22" s="1"/>
  <c r="BU13" i="22"/>
  <c r="BR13" i="22"/>
  <c r="DN29" i="18"/>
  <c r="BR21" i="19"/>
  <c r="BQ21" i="19"/>
  <c r="BU79" i="19"/>
  <c r="BU124" i="19"/>
  <c r="BU129" i="19"/>
  <c r="BU73" i="20"/>
  <c r="BR22" i="21"/>
  <c r="BU26" i="21"/>
  <c r="BR26" i="21"/>
  <c r="BR45" i="21"/>
  <c r="BQ45" i="21"/>
  <c r="BS45" i="21" s="1"/>
  <c r="BT45" i="21" s="1"/>
  <c r="BW63" i="23"/>
  <c r="BY63" i="23" s="1"/>
  <c r="BZ63" i="23" s="1"/>
  <c r="BY66" i="23"/>
  <c r="BZ66" i="23" s="1"/>
  <c r="CA66" i="23"/>
  <c r="BX99" i="23"/>
  <c r="CA99" i="23"/>
  <c r="BW99" i="23"/>
  <c r="BY99" i="23" s="1"/>
  <c r="BZ99" i="23" s="1"/>
  <c r="BR8" i="24"/>
  <c r="BQ8" i="24"/>
  <c r="BS8" i="24" s="1"/>
  <c r="BT8" i="24" s="1"/>
  <c r="BR11" i="24"/>
  <c r="BQ11" i="24"/>
  <c r="BS11" i="24" s="1"/>
  <c r="BT11" i="24" s="1"/>
  <c r="BX32" i="23"/>
  <c r="BW32" i="23"/>
  <c r="BY32" i="23" s="1"/>
  <c r="BZ32" i="23" s="1"/>
  <c r="BW67" i="23"/>
  <c r="BY67" i="23" s="1"/>
  <c r="BZ67" i="23" s="1"/>
  <c r="BW90" i="23"/>
  <c r="BY90" i="23" s="1"/>
  <c r="BZ90" i="23" s="1"/>
  <c r="BX90" i="23"/>
  <c r="BR101" i="19"/>
  <c r="BU132" i="19"/>
  <c r="BQ34" i="20"/>
  <c r="BQ65" i="20"/>
  <c r="BS65" i="20" s="1"/>
  <c r="BT65" i="20" s="1"/>
  <c r="BR65" i="20"/>
  <c r="BU65" i="20"/>
  <c r="BR14" i="21"/>
  <c r="BQ14" i="21"/>
  <c r="BS14" i="21" s="1"/>
  <c r="BT14" i="21" s="1"/>
  <c r="BU20" i="21"/>
  <c r="BQ20" i="21"/>
  <c r="BS20" i="21" s="1"/>
  <c r="BT20" i="21" s="1"/>
  <c r="BU38" i="21"/>
  <c r="BQ46" i="21"/>
  <c r="BQ5" i="22"/>
  <c r="CA22" i="23"/>
  <c r="BW31" i="23"/>
  <c r="BY31" i="23" s="1"/>
  <c r="BZ31" i="23" s="1"/>
  <c r="BW36" i="23"/>
  <c r="BY36" i="23" s="1"/>
  <c r="BZ36" i="23" s="1"/>
  <c r="BW41" i="23"/>
  <c r="BY41" i="23" s="1"/>
  <c r="BZ41" i="23" s="1"/>
  <c r="BR10" i="24"/>
  <c r="BQ10" i="24"/>
  <c r="BS10" i="24" s="1"/>
  <c r="BT10" i="24" s="1"/>
  <c r="BU39" i="21"/>
  <c r="BR39" i="21"/>
  <c r="BX31" i="23"/>
  <c r="CA39" i="23"/>
  <c r="CA61" i="23"/>
  <c r="CA84" i="23"/>
  <c r="BY84" i="23"/>
  <c r="BZ84" i="23" s="1"/>
  <c r="BR4" i="24"/>
  <c r="BQ4" i="24"/>
  <c r="BS4" i="24" s="1"/>
  <c r="BT4" i="24" s="1"/>
  <c r="BU7" i="24"/>
  <c r="BR7" i="24"/>
  <c r="BR47" i="21"/>
  <c r="BQ15" i="22"/>
  <c r="BS15" i="22" s="1"/>
  <c r="BT15" i="22" s="1"/>
  <c r="CA47" i="23"/>
  <c r="BW69" i="23"/>
  <c r="BY69" i="23" s="1"/>
  <c r="BZ69" i="23" s="1"/>
  <c r="BX73" i="23"/>
  <c r="BW73" i="23"/>
  <c r="BY73" i="23" s="1"/>
  <c r="BZ73" i="23" s="1"/>
  <c r="BX102" i="23"/>
  <c r="BX53" i="23"/>
  <c r="CA53" i="23"/>
  <c r="CA97" i="23"/>
  <c r="BX97" i="23"/>
  <c r="BW97" i="23"/>
  <c r="BY97" i="23" s="1"/>
  <c r="BZ97" i="23" s="1"/>
  <c r="BQ27" i="21"/>
  <c r="BS27" i="21" s="1"/>
  <c r="BT27" i="21" s="1"/>
  <c r="BR27" i="21"/>
  <c r="BQ40" i="21"/>
  <c r="BS40" i="21" s="1"/>
  <c r="BT40" i="21" s="1"/>
  <c r="BR40" i="21"/>
  <c r="BR15" i="22"/>
  <c r="BR20" i="22"/>
  <c r="BQ20" i="22"/>
  <c r="BS20" i="22" s="1"/>
  <c r="BT20" i="22" s="1"/>
  <c r="BX88" i="23"/>
  <c r="BQ110" i="19"/>
  <c r="BS110" i="19" s="1"/>
  <c r="BT110" i="19" s="1"/>
  <c r="BQ20" i="20"/>
  <c r="BU44" i="20"/>
  <c r="BU56" i="20"/>
  <c r="BQ30" i="21"/>
  <c r="BS30" i="21" s="1"/>
  <c r="BT30" i="21" s="1"/>
  <c r="BQ43" i="21"/>
  <c r="BR43" i="21"/>
  <c r="CA43" i="23"/>
  <c r="CA64" i="23"/>
  <c r="BR127" i="19"/>
  <c r="BU131" i="19"/>
  <c r="BQ18" i="20"/>
  <c r="BS18" i="20" s="1"/>
  <c r="BT18" i="20" s="1"/>
  <c r="BU42" i="20"/>
  <c r="BU7" i="21"/>
  <c r="BR7" i="21"/>
  <c r="BQ7" i="21"/>
  <c r="BS7" i="21" s="1"/>
  <c r="BT7" i="21" s="1"/>
  <c r="BR33" i="21"/>
  <c r="BQ33" i="21"/>
  <c r="BU11" i="22"/>
  <c r="BQ11" i="22"/>
  <c r="BS11" i="22" s="1"/>
  <c r="BT11" i="22" s="1"/>
  <c r="BU15" i="22"/>
  <c r="BX51" i="23"/>
  <c r="CA51" i="23"/>
  <c r="BW53" i="23"/>
  <c r="BY53" i="23" s="1"/>
  <c r="BZ53" i="23" s="1"/>
  <c r="BX83" i="23"/>
  <c r="BW83" i="23"/>
  <c r="BY83" i="23" s="1"/>
  <c r="BZ83" i="23" s="1"/>
  <c r="BX89" i="23"/>
  <c r="BW89" i="23"/>
  <c r="BY89" i="23" s="1"/>
  <c r="BZ89" i="23" s="1"/>
  <c r="CA65" i="23"/>
  <c r="CA71" i="23"/>
  <c r="BX71" i="23"/>
  <c r="BW71" i="23"/>
  <c r="BY71" i="23" s="1"/>
  <c r="BZ71" i="23" s="1"/>
  <c r="BX95" i="23"/>
  <c r="BW95" i="23"/>
  <c r="BY95" i="23" s="1"/>
  <c r="BZ95" i="23" s="1"/>
  <c r="BQ89" i="19"/>
  <c r="BR119" i="19"/>
  <c r="BQ121" i="19"/>
  <c r="BU16" i="20"/>
  <c r="BR31" i="20"/>
  <c r="BQ47" i="20"/>
  <c r="BS47" i="20" s="1"/>
  <c r="BT47" i="20" s="1"/>
  <c r="CA33" i="23"/>
  <c r="BW77" i="23"/>
  <c r="BY77" i="23" s="1"/>
  <c r="BZ77" i="23" s="1"/>
  <c r="BX101" i="23"/>
  <c r="CA101" i="23"/>
  <c r="BW101" i="23"/>
  <c r="BY101" i="23" s="1"/>
  <c r="BZ101" i="23" s="1"/>
  <c r="BQ6" i="24"/>
  <c r="BS6" i="24" s="1"/>
  <c r="BT6" i="24" s="1"/>
  <c r="BR6" i="24"/>
  <c r="BU14" i="20"/>
  <c r="BU54" i="20"/>
  <c r="BR67" i="20"/>
  <c r="BR13" i="21"/>
  <c r="BQ13" i="21"/>
  <c r="BS13" i="21" s="1"/>
  <c r="BT13" i="21" s="1"/>
  <c r="BQ22" i="21"/>
  <c r="BS22" i="21" s="1"/>
  <c r="BT22" i="21" s="1"/>
  <c r="BQ25" i="21"/>
  <c r="BS25" i="21" s="1"/>
  <c r="BT25" i="21" s="1"/>
  <c r="BR25" i="21"/>
  <c r="BU40" i="21"/>
  <c r="BQ9" i="22"/>
  <c r="BS9" i="22" s="1"/>
  <c r="BT9" i="22" s="1"/>
  <c r="BW19" i="23"/>
  <c r="BY19" i="23" s="1"/>
  <c r="BZ19" i="23" s="1"/>
  <c r="CA41" i="23"/>
  <c r="BX77" i="23"/>
  <c r="CA93" i="23"/>
  <c r="BU67" i="20"/>
  <c r="BR72" i="20"/>
  <c r="BR28" i="21"/>
  <c r="BQ28" i="21"/>
  <c r="BQ41" i="21"/>
  <c r="BS41" i="21" s="1"/>
  <c r="BT41" i="21" s="1"/>
  <c r="BU41" i="21"/>
  <c r="BR41" i="21"/>
  <c r="CA4" i="23"/>
  <c r="BX4" i="23"/>
  <c r="CA38" i="23"/>
  <c r="CA46" i="23"/>
  <c r="BW51" i="23"/>
  <c r="BY51" i="23" s="1"/>
  <c r="BZ51" i="23" s="1"/>
  <c r="BW65" i="23"/>
  <c r="BY65" i="23" s="1"/>
  <c r="BZ65" i="23" s="1"/>
  <c r="BR15" i="24"/>
  <c r="BU7" i="22"/>
  <c r="BR7" i="22"/>
  <c r="CA49" i="23"/>
  <c r="CA57" i="23"/>
  <c r="CA7" i="23"/>
  <c r="BX19" i="23"/>
  <c r="BX21" i="23"/>
  <c r="BW27" i="23"/>
  <c r="CA60" i="23"/>
  <c r="BX70" i="23"/>
  <c r="BU101" i="19"/>
  <c r="BU30" i="20"/>
  <c r="BR40" i="20"/>
  <c r="BQ50" i="20"/>
  <c r="BQ52" i="20"/>
  <c r="BS52" i="20" s="1"/>
  <c r="BT52" i="20" s="1"/>
  <c r="CA23" i="23"/>
  <c r="BX35" i="23"/>
  <c r="BX37" i="23"/>
  <c r="BW43" i="23"/>
  <c r="BY43" i="23" s="1"/>
  <c r="BZ43" i="23" s="1"/>
  <c r="CA48" i="23"/>
  <c r="CA50" i="23"/>
  <c r="CA62" i="23"/>
  <c r="BY82" i="23"/>
  <c r="BZ82" i="23" s="1"/>
  <c r="BU62" i="20"/>
  <c r="BU64" i="20"/>
  <c r="BQ9" i="21"/>
  <c r="BS9" i="21" s="1"/>
  <c r="BT9" i="21" s="1"/>
  <c r="BQ11" i="21"/>
  <c r="CA55" i="23"/>
  <c r="BX67" i="23"/>
  <c r="BX69" i="23"/>
  <c r="BW75" i="23"/>
  <c r="BY75" i="23" s="1"/>
  <c r="BZ75" i="23" s="1"/>
  <c r="BR17" i="24"/>
  <c r="BR14" i="24"/>
  <c r="BR16" i="24"/>
  <c r="BR27" i="20"/>
  <c r="BQ33" i="20"/>
  <c r="BR62" i="20"/>
  <c r="BR64" i="20"/>
  <c r="BR76" i="20"/>
  <c r="BR17" i="21"/>
  <c r="CA8" i="23"/>
  <c r="CA10" i="23"/>
  <c r="BX18" i="23"/>
  <c r="BW28" i="23"/>
  <c r="BY28" i="23" s="1"/>
  <c r="BZ28" i="23" s="1"/>
  <c r="BX55" i="23"/>
  <c r="BX93" i="23"/>
  <c r="BU29" i="20"/>
  <c r="BR41" i="20"/>
  <c r="BR43" i="20"/>
  <c r="BQ49" i="20"/>
  <c r="BU9" i="21"/>
  <c r="CA24" i="23"/>
  <c r="CA26" i="23"/>
  <c r="BW44" i="23"/>
  <c r="BY44" i="23" s="1"/>
  <c r="BZ44" i="23" s="1"/>
  <c r="BW46" i="23"/>
  <c r="BY46" i="23" s="1"/>
  <c r="BZ46" i="23" s="1"/>
  <c r="CA67" i="23"/>
  <c r="BQ12" i="24"/>
  <c r="BS12" i="24" s="1"/>
  <c r="BT12" i="24" s="1"/>
  <c r="BQ14" i="24"/>
  <c r="BS14" i="24" s="1"/>
  <c r="BT14" i="24" s="1"/>
  <c r="BQ16" i="24"/>
  <c r="BS16" i="24" s="1"/>
  <c r="BT16" i="24" s="1"/>
  <c r="BU61" i="20"/>
  <c r="BR73" i="20"/>
  <c r="BR75" i="20"/>
  <c r="BQ8" i="21"/>
  <c r="CA56" i="23"/>
  <c r="CA58" i="23"/>
  <c r="BX66" i="23"/>
  <c r="BW76" i="23"/>
  <c r="BY76" i="23" s="1"/>
  <c r="BZ76" i="23" s="1"/>
  <c r="BW78" i="23"/>
  <c r="BR12" i="24"/>
  <c r="BQ18" i="24"/>
  <c r="BS18" i="24" s="1"/>
  <c r="BT18" i="24" s="1"/>
  <c r="CA72" i="23"/>
  <c r="CA74" i="23"/>
  <c r="BU14" i="24"/>
  <c r="BR18" i="24"/>
  <c r="CA88" i="23"/>
  <c r="CA90" i="23"/>
  <c r="BX98" i="23"/>
  <c r="BQ7" i="24"/>
  <c r="BS7" i="24" s="1"/>
  <c r="BT7" i="24" s="1"/>
  <c r="BU114" i="19"/>
  <c r="BU116" i="19"/>
  <c r="BR124" i="19"/>
  <c r="BQ134" i="19"/>
  <c r="BQ4" i="20"/>
  <c r="BS4" i="20" s="1"/>
  <c r="BT4" i="20" s="1"/>
  <c r="BR29" i="20"/>
  <c r="BU36" i="21"/>
  <c r="BR4" i="22"/>
  <c r="BR6" i="22"/>
  <c r="BQ12" i="22"/>
  <c r="BX24" i="23"/>
  <c r="BX26" i="23"/>
  <c r="BW40" i="23"/>
  <c r="BY40" i="23" s="1"/>
  <c r="BZ40" i="23" s="1"/>
  <c r="BW42" i="23"/>
  <c r="BY42" i="23" s="1"/>
  <c r="BZ42" i="23" s="1"/>
  <c r="BX60" i="23"/>
  <c r="BX62" i="23"/>
  <c r="CA104" i="23"/>
  <c r="BR13" i="24"/>
  <c r="BU107" i="19" l="1"/>
  <c r="DQ54" i="16"/>
  <c r="BS21" i="17"/>
  <c r="BT21" i="17" s="1"/>
  <c r="BU21" i="17"/>
  <c r="BS10" i="15"/>
  <c r="BT10" i="15" s="1"/>
  <c r="BU10" i="15"/>
  <c r="BU59" i="14"/>
  <c r="BU74" i="17"/>
  <c r="AU4" i="12"/>
  <c r="AV4" i="12" s="1"/>
  <c r="AW4" i="12"/>
  <c r="DO122" i="11"/>
  <c r="DP122" i="11" s="1"/>
  <c r="DQ122" i="11"/>
  <c r="BU5" i="7"/>
  <c r="BS52" i="4"/>
  <c r="BT52" i="4" s="1"/>
  <c r="BU52" i="4"/>
  <c r="BU112" i="7"/>
  <c r="DQ50" i="11"/>
  <c r="CG95" i="10"/>
  <c r="BU170" i="7"/>
  <c r="BU108" i="7"/>
  <c r="BS17" i="2"/>
  <c r="BT17" i="2" s="1"/>
  <c r="BU17" i="2"/>
  <c r="BU24" i="5"/>
  <c r="DQ124" i="3"/>
  <c r="BU57" i="1"/>
  <c r="DQ5" i="3"/>
  <c r="BU39" i="1"/>
  <c r="BS11" i="21"/>
  <c r="BT11" i="21" s="1"/>
  <c r="BU11" i="21"/>
  <c r="BS104" i="19"/>
  <c r="BT104" i="19" s="1"/>
  <c r="BU104" i="19"/>
  <c r="BS29" i="19"/>
  <c r="BT29" i="19" s="1"/>
  <c r="BU29" i="19"/>
  <c r="BY78" i="23"/>
  <c r="BZ78" i="23" s="1"/>
  <c r="CA78" i="23"/>
  <c r="BU14" i="21"/>
  <c r="BU20" i="17"/>
  <c r="BS78" i="15"/>
  <c r="BT78" i="15" s="1"/>
  <c r="BU78" i="15"/>
  <c r="BS134" i="19"/>
  <c r="BT134" i="19" s="1"/>
  <c r="BU134" i="19"/>
  <c r="BU33" i="20"/>
  <c r="BS33" i="20"/>
  <c r="BT33" i="20" s="1"/>
  <c r="BU22" i="21"/>
  <c r="BU46" i="20"/>
  <c r="BU11" i="20"/>
  <c r="BS67" i="17"/>
  <c r="BT67" i="17" s="1"/>
  <c r="BU67" i="17"/>
  <c r="DQ45" i="16"/>
  <c r="BU55" i="19"/>
  <c r="DQ92" i="3"/>
  <c r="DQ48" i="3"/>
  <c r="BU31" i="19"/>
  <c r="DQ47" i="18"/>
  <c r="DO47" i="18"/>
  <c r="DP47" i="18" s="1"/>
  <c r="BU26" i="17"/>
  <c r="DQ58" i="16"/>
  <c r="DQ26" i="18"/>
  <c r="BU10" i="17"/>
  <c r="DO92" i="11"/>
  <c r="DP92" i="11" s="1"/>
  <c r="DQ92" i="11"/>
  <c r="BU103" i="14"/>
  <c r="BU27" i="14"/>
  <c r="DQ106" i="11"/>
  <c r="DO140" i="11"/>
  <c r="DP140" i="11" s="1"/>
  <c r="DQ140" i="11"/>
  <c r="CE83" i="10"/>
  <c r="CF83" i="10" s="1"/>
  <c r="CG83" i="10"/>
  <c r="BU150" i="7"/>
  <c r="DQ169" i="11"/>
  <c r="BU39" i="7"/>
  <c r="BU13" i="8"/>
  <c r="BU31" i="5"/>
  <c r="BU7" i="4"/>
  <c r="BU27" i="4"/>
  <c r="BS61" i="1"/>
  <c r="BT61" i="1" s="1"/>
  <c r="BU61" i="1"/>
  <c r="DQ80" i="3"/>
  <c r="DQ99" i="3"/>
  <c r="BS49" i="20"/>
  <c r="BT49" i="20" s="1"/>
  <c r="BU49" i="20"/>
  <c r="BU18" i="24"/>
  <c r="CA75" i="23"/>
  <c r="BU13" i="21"/>
  <c r="BS121" i="19"/>
  <c r="BT121" i="19" s="1"/>
  <c r="BU121" i="19"/>
  <c r="CA69" i="23"/>
  <c r="BU8" i="24"/>
  <c r="BU42" i="19"/>
  <c r="BU48" i="20"/>
  <c r="CA34" i="23"/>
  <c r="BU68" i="20"/>
  <c r="BU133" i="19"/>
  <c r="BU58" i="17"/>
  <c r="BU24" i="21"/>
  <c r="BU110" i="19"/>
  <c r="BU35" i="19"/>
  <c r="DO27" i="16"/>
  <c r="DP27" i="16" s="1"/>
  <c r="DQ27" i="16"/>
  <c r="BU112" i="19"/>
  <c r="DQ60" i="16"/>
  <c r="BU7" i="19"/>
  <c r="DQ47" i="16"/>
  <c r="BU45" i="19"/>
  <c r="BS45" i="19"/>
  <c r="BT45" i="19" s="1"/>
  <c r="BS26" i="15"/>
  <c r="BT26" i="15" s="1"/>
  <c r="BU26" i="15"/>
  <c r="BU48" i="14"/>
  <c r="BS48" i="14"/>
  <c r="BT48" i="14" s="1"/>
  <c r="CA103" i="23"/>
  <c r="DQ37" i="16"/>
  <c r="BU18" i="15"/>
  <c r="DQ52" i="18"/>
  <c r="BU102" i="14"/>
  <c r="DQ74" i="11"/>
  <c r="BU31" i="14"/>
  <c r="BU28" i="14"/>
  <c r="DQ15" i="11"/>
  <c r="BU120" i="7"/>
  <c r="DQ46" i="11"/>
  <c r="DQ14" i="11"/>
  <c r="BS36" i="4"/>
  <c r="BT36" i="4" s="1"/>
  <c r="BU36" i="4"/>
  <c r="BU124" i="7"/>
  <c r="BS45" i="1"/>
  <c r="BT45" i="1" s="1"/>
  <c r="BU45" i="1"/>
  <c r="DQ64" i="3"/>
  <c r="DQ117" i="3"/>
  <c r="BU47" i="5"/>
  <c r="BU19" i="9"/>
  <c r="DQ142" i="3"/>
  <c r="BU34" i="4"/>
  <c r="DQ121" i="3"/>
  <c r="BU148" i="7"/>
  <c r="BU23" i="1"/>
  <c r="BU19" i="1"/>
  <c r="BU37" i="1"/>
  <c r="CA89" i="23"/>
  <c r="BU58" i="19"/>
  <c r="BU50" i="7"/>
  <c r="BS50" i="7"/>
  <c r="BT50" i="7" s="1"/>
  <c r="BU8" i="22"/>
  <c r="DQ7" i="16"/>
  <c r="DQ13" i="18"/>
  <c r="BU34" i="7"/>
  <c r="BS34" i="7"/>
  <c r="BT34" i="7" s="1"/>
  <c r="BU28" i="21"/>
  <c r="BS28" i="21"/>
  <c r="BT28" i="21" s="1"/>
  <c r="CA83" i="23"/>
  <c r="BU12" i="21"/>
  <c r="BU34" i="21"/>
  <c r="BS34" i="21"/>
  <c r="BT34" i="21" s="1"/>
  <c r="BU109" i="19"/>
  <c r="BU26" i="19"/>
  <c r="DQ71" i="16"/>
  <c r="BU27" i="21"/>
  <c r="BS34" i="20"/>
  <c r="BT34" i="20" s="1"/>
  <c r="BU34" i="20"/>
  <c r="BU10" i="22"/>
  <c r="BU51" i="17"/>
  <c r="CA12" i="23"/>
  <c r="BU8" i="19"/>
  <c r="BU56" i="19"/>
  <c r="DQ31" i="18"/>
  <c r="BS46" i="14"/>
  <c r="BT46" i="14" s="1"/>
  <c r="BU46" i="14"/>
  <c r="BU59" i="19"/>
  <c r="BU19" i="19"/>
  <c r="DQ107" i="11"/>
  <c r="DO79" i="11"/>
  <c r="DP79" i="11" s="1"/>
  <c r="DQ79" i="11"/>
  <c r="DO143" i="11"/>
  <c r="DP143" i="11" s="1"/>
  <c r="DQ143" i="11"/>
  <c r="BU14" i="9"/>
  <c r="BU160" i="7"/>
  <c r="CG43" i="10"/>
  <c r="DQ38" i="11"/>
  <c r="BU64" i="14"/>
  <c r="BU144" i="7"/>
  <c r="CG7" i="10"/>
  <c r="BU6" i="9"/>
  <c r="BU55" i="7"/>
  <c r="BU6" i="6"/>
  <c r="BU103" i="7"/>
  <c r="BU19" i="8"/>
  <c r="BS29" i="1"/>
  <c r="BT29" i="1" s="1"/>
  <c r="BU29" i="1"/>
  <c r="BU35" i="4"/>
  <c r="BU33" i="5"/>
  <c r="BU26" i="5"/>
  <c r="BU28" i="4"/>
  <c r="DQ115" i="3"/>
  <c r="DQ49" i="3"/>
  <c r="BU59" i="2"/>
  <c r="BU5" i="24"/>
  <c r="BU10" i="24"/>
  <c r="BU18" i="20"/>
  <c r="BU39" i="20"/>
  <c r="BU37" i="17"/>
  <c r="BS37" i="17"/>
  <c r="BT37" i="17" s="1"/>
  <c r="BU35" i="15"/>
  <c r="BU16" i="24"/>
  <c r="BS8" i="21"/>
  <c r="BT8" i="21" s="1"/>
  <c r="BU8" i="21"/>
  <c r="BS89" i="19"/>
  <c r="BT89" i="19" s="1"/>
  <c r="BU89" i="19"/>
  <c r="CA36" i="23"/>
  <c r="BU19" i="20"/>
  <c r="BS91" i="19"/>
  <c r="BT91" i="19" s="1"/>
  <c r="BU91" i="19"/>
  <c r="BU15" i="20"/>
  <c r="BU105" i="19"/>
  <c r="DO14" i="18"/>
  <c r="DP14" i="18" s="1"/>
  <c r="DQ14" i="18"/>
  <c r="DQ45" i="18"/>
  <c r="DQ13" i="16"/>
  <c r="DQ69" i="16"/>
  <c r="BU66" i="15"/>
  <c r="DQ48" i="11"/>
  <c r="DO60" i="11"/>
  <c r="DP60" i="11" s="1"/>
  <c r="DQ60" i="11"/>
  <c r="CG33" i="10"/>
  <c r="CG81" i="10"/>
  <c r="CE81" i="10"/>
  <c r="CF81" i="10" s="1"/>
  <c r="BS111" i="7"/>
  <c r="BT111" i="7" s="1"/>
  <c r="BU111" i="7"/>
  <c r="DQ34" i="11"/>
  <c r="CG70" i="10"/>
  <c r="BU35" i="14"/>
  <c r="BS4" i="6"/>
  <c r="BT4" i="6" s="1"/>
  <c r="BU4" i="6"/>
  <c r="BU21" i="8"/>
  <c r="BS14" i="8"/>
  <c r="BT14" i="8" s="1"/>
  <c r="BU14" i="8"/>
  <c r="BS20" i="4"/>
  <c r="BT20" i="4" s="1"/>
  <c r="BU20" i="4"/>
  <c r="BU12" i="9"/>
  <c r="BU54" i="7"/>
  <c r="BU71" i="4"/>
  <c r="DQ126" i="3"/>
  <c r="BS13" i="1"/>
  <c r="BT13" i="1" s="1"/>
  <c r="BU13" i="1"/>
  <c r="BU21" i="4"/>
  <c r="BU157" i="7"/>
  <c r="BU15" i="5"/>
  <c r="DQ83" i="3"/>
  <c r="DQ67" i="3"/>
  <c r="BU5" i="6"/>
  <c r="DQ69" i="3"/>
  <c r="BU42" i="2"/>
  <c r="DQ51" i="3"/>
  <c r="BU36" i="2"/>
  <c r="DQ57" i="3"/>
  <c r="DQ13" i="3"/>
  <c r="BU20" i="9"/>
  <c r="DQ113" i="11"/>
  <c r="CG50" i="10"/>
  <c r="BU10" i="7"/>
  <c r="BU16" i="8"/>
  <c r="DQ119" i="3"/>
  <c r="DQ122" i="3"/>
  <c r="BU14" i="4"/>
  <c r="DQ112" i="3"/>
  <c r="BU65" i="7"/>
  <c r="BU64" i="2"/>
  <c r="DQ39" i="3"/>
  <c r="BU29" i="2"/>
  <c r="BS12" i="22"/>
  <c r="BT12" i="22" s="1"/>
  <c r="BU12" i="22"/>
  <c r="BU12" i="24"/>
  <c r="BU43" i="21"/>
  <c r="BS43" i="21"/>
  <c r="BT43" i="21" s="1"/>
  <c r="BS21" i="19"/>
  <c r="BT21" i="19" s="1"/>
  <c r="BU21" i="19"/>
  <c r="BS19" i="21"/>
  <c r="BT19" i="21" s="1"/>
  <c r="BU19" i="21"/>
  <c r="BU130" i="19"/>
  <c r="BS103" i="19"/>
  <c r="BT103" i="19" s="1"/>
  <c r="BU103" i="19"/>
  <c r="BS9" i="17"/>
  <c r="BT9" i="17" s="1"/>
  <c r="BU9" i="17"/>
  <c r="BS34" i="19"/>
  <c r="BT34" i="19" s="1"/>
  <c r="BU34" i="19"/>
  <c r="BU71" i="15"/>
  <c r="DQ12" i="18"/>
  <c r="CE87" i="10"/>
  <c r="CF87" i="10" s="1"/>
  <c r="CG87" i="10"/>
  <c r="BU18" i="7"/>
  <c r="BS18" i="7"/>
  <c r="BT18" i="7" s="1"/>
  <c r="BS35" i="20"/>
  <c r="BT35" i="20" s="1"/>
  <c r="BU35" i="20"/>
  <c r="BS26" i="20"/>
  <c r="BT26" i="20" s="1"/>
  <c r="BU26" i="20"/>
  <c r="BU60" i="19"/>
  <c r="BU48" i="19"/>
  <c r="BU31" i="15"/>
  <c r="DQ18" i="18"/>
  <c r="BU60" i="17"/>
  <c r="BS113" i="14"/>
  <c r="BT113" i="14" s="1"/>
  <c r="BU113" i="14"/>
  <c r="BU55" i="15"/>
  <c r="DQ145" i="11"/>
  <c r="DQ76" i="11"/>
  <c r="DQ55" i="11"/>
  <c r="DO68" i="11"/>
  <c r="DP68" i="11" s="1"/>
  <c r="DQ68" i="11"/>
  <c r="DQ44" i="11"/>
  <c r="DO26" i="11"/>
  <c r="DP26" i="11" s="1"/>
  <c r="DQ26" i="11"/>
  <c r="DQ127" i="11"/>
  <c r="CE78" i="10"/>
  <c r="CF78" i="10" s="1"/>
  <c r="CG78" i="10"/>
  <c r="BU26" i="14"/>
  <c r="BS7" i="9"/>
  <c r="BT7" i="9" s="1"/>
  <c r="BU7" i="9"/>
  <c r="CG32" i="10"/>
  <c r="CE32" i="10"/>
  <c r="CF32" i="10" s="1"/>
  <c r="DQ133" i="11"/>
  <c r="BU32" i="5"/>
  <c r="BS32" i="5"/>
  <c r="BT32" i="5" s="1"/>
  <c r="BS4" i="4"/>
  <c r="BT4" i="4" s="1"/>
  <c r="BU4" i="4"/>
  <c r="DQ101" i="11"/>
  <c r="DQ137" i="3"/>
  <c r="CG17" i="10"/>
  <c r="DQ103" i="3"/>
  <c r="BU14" i="2"/>
  <c r="DQ32" i="3"/>
  <c r="BU38" i="1"/>
  <c r="DQ14" i="3"/>
  <c r="BU38" i="2"/>
  <c r="BU63" i="19"/>
  <c r="CA28" i="23"/>
  <c r="BS50" i="20"/>
  <c r="BT50" i="20" s="1"/>
  <c r="BU50" i="20"/>
  <c r="BU6" i="24"/>
  <c r="BU4" i="24"/>
  <c r="BU6" i="19"/>
  <c r="CA79" i="23"/>
  <c r="CA14" i="23"/>
  <c r="BU4" i="21"/>
  <c r="BU86" i="19"/>
  <c r="BU57" i="19"/>
  <c r="BU15" i="21"/>
  <c r="BS123" i="19"/>
  <c r="BT123" i="19" s="1"/>
  <c r="BU123" i="19"/>
  <c r="DQ62" i="16"/>
  <c r="BU28" i="19"/>
  <c r="DQ19" i="18"/>
  <c r="BU57" i="20"/>
  <c r="BS27" i="15"/>
  <c r="BT27" i="15" s="1"/>
  <c r="BU27" i="15"/>
  <c r="BU18" i="19"/>
  <c r="BU40" i="19"/>
  <c r="BU5" i="17"/>
  <c r="BU128" i="19"/>
  <c r="BU61" i="17"/>
  <c r="BU84" i="14"/>
  <c r="BU106" i="14"/>
  <c r="BU6" i="14"/>
  <c r="BU122" i="7"/>
  <c r="CG67" i="10"/>
  <c r="DQ119" i="11"/>
  <c r="BU16" i="5"/>
  <c r="BS16" i="5"/>
  <c r="BT16" i="5" s="1"/>
  <c r="BS9" i="7"/>
  <c r="BT9" i="7" s="1"/>
  <c r="BU9" i="7"/>
  <c r="DQ162" i="11"/>
  <c r="BU17" i="8"/>
  <c r="DQ77" i="11"/>
  <c r="CG30" i="10"/>
  <c r="BU59" i="4"/>
  <c r="BU50" i="2"/>
  <c r="BU70" i="4"/>
  <c r="BS70" i="4"/>
  <c r="BT70" i="4" s="1"/>
  <c r="BU126" i="7"/>
  <c r="BS46" i="5"/>
  <c r="BT46" i="5" s="1"/>
  <c r="BU46" i="5"/>
  <c r="DO130" i="3"/>
  <c r="DP130" i="3" s="1"/>
  <c r="DQ130" i="3"/>
  <c r="DQ66" i="11"/>
  <c r="BU50" i="4"/>
  <c r="DQ94" i="3"/>
  <c r="BU19" i="7"/>
  <c r="DQ96" i="3"/>
  <c r="BU31" i="7"/>
  <c r="BU32" i="4"/>
  <c r="BU8" i="5"/>
  <c r="BU63" i="7"/>
  <c r="BU58" i="1"/>
  <c r="BU26" i="7"/>
  <c r="BU57" i="2"/>
  <c r="BU26" i="2"/>
  <c r="BU32" i="2"/>
  <c r="BU32" i="1"/>
  <c r="BU45" i="2"/>
  <c r="BU48" i="5"/>
  <c r="BS48" i="5"/>
  <c r="BT48" i="5" s="1"/>
  <c r="CA95" i="23"/>
  <c r="BS5" i="22"/>
  <c r="BT5" i="22" s="1"/>
  <c r="BU5" i="22"/>
  <c r="BS66" i="19"/>
  <c r="BT66" i="19" s="1"/>
  <c r="BU66" i="19"/>
  <c r="DO60" i="18"/>
  <c r="DP60" i="18" s="1"/>
  <c r="DQ60" i="18"/>
  <c r="BU90" i="19"/>
  <c r="BS71" i="17"/>
  <c r="BT71" i="17" s="1"/>
  <c r="BU71" i="17"/>
  <c r="DO76" i="16"/>
  <c r="DP76" i="16" s="1"/>
  <c r="DQ76" i="16"/>
  <c r="BU48" i="15"/>
  <c r="DQ36" i="18"/>
  <c r="BU35" i="17"/>
  <c r="AW7" i="13"/>
  <c r="DO12" i="11"/>
  <c r="DP12" i="11" s="1"/>
  <c r="DQ12" i="11"/>
  <c r="DO124" i="11"/>
  <c r="DP124" i="11" s="1"/>
  <c r="DQ124" i="11"/>
  <c r="DO6" i="11"/>
  <c r="DP6" i="11" s="1"/>
  <c r="DQ6" i="11"/>
  <c r="DO52" i="11"/>
  <c r="DP52" i="11" s="1"/>
  <c r="DQ52" i="11"/>
  <c r="BS105" i="7"/>
  <c r="BT105" i="7" s="1"/>
  <c r="BU105" i="7"/>
  <c r="CG18" i="10"/>
  <c r="BU32" i="20"/>
  <c r="BU20" i="22"/>
  <c r="BS33" i="21"/>
  <c r="BT33" i="21" s="1"/>
  <c r="BU33" i="21"/>
  <c r="BU20" i="20"/>
  <c r="BS20" i="20"/>
  <c r="BT20" i="20" s="1"/>
  <c r="BS46" i="21"/>
  <c r="BT46" i="21" s="1"/>
  <c r="BU46" i="21"/>
  <c r="CA63" i="23"/>
  <c r="BU6" i="21"/>
  <c r="BS85" i="19"/>
  <c r="BT85" i="19" s="1"/>
  <c r="BU85" i="19"/>
  <c r="BU37" i="21"/>
  <c r="BS113" i="19"/>
  <c r="BT113" i="19" s="1"/>
  <c r="BU113" i="19"/>
  <c r="BU21" i="21"/>
  <c r="BU106" i="19"/>
  <c r="BU53" i="20"/>
  <c r="DQ10" i="18"/>
  <c r="BU97" i="19"/>
  <c r="BS97" i="19"/>
  <c r="BT97" i="19" s="1"/>
  <c r="DQ33" i="16"/>
  <c r="BU89" i="17"/>
  <c r="BS67" i="19"/>
  <c r="BT67" i="19" s="1"/>
  <c r="BU67" i="19"/>
  <c r="BU39" i="19"/>
  <c r="BU67" i="15"/>
  <c r="DQ12" i="16"/>
  <c r="DQ61" i="18"/>
  <c r="DQ40" i="16"/>
  <c r="BU29" i="17"/>
  <c r="DQ5" i="18"/>
  <c r="BU73" i="14"/>
  <c r="BU8" i="17"/>
  <c r="DQ37" i="11"/>
  <c r="BU50" i="17"/>
  <c r="BU94" i="14"/>
  <c r="BU52" i="15"/>
  <c r="DQ57" i="11"/>
  <c r="CG98" i="10"/>
  <c r="DQ84" i="11"/>
  <c r="BS96" i="7"/>
  <c r="BT96" i="7" s="1"/>
  <c r="BU96" i="7"/>
  <c r="CG11" i="10"/>
  <c r="DQ62" i="11"/>
  <c r="DQ100" i="3"/>
  <c r="DO100" i="3"/>
  <c r="DP100" i="3" s="1"/>
  <c r="BU162" i="7"/>
  <c r="DQ71" i="3"/>
  <c r="DQ87" i="3"/>
  <c r="DQ76" i="3"/>
  <c r="DQ7" i="11"/>
  <c r="BU54" i="2"/>
  <c r="BU5" i="1"/>
  <c r="BU21" i="1"/>
  <c r="BU62" i="1"/>
  <c r="BU54" i="1"/>
  <c r="BU127" i="7"/>
  <c r="BS80" i="7"/>
  <c r="BT80" i="7" s="1"/>
  <c r="BU80" i="7"/>
  <c r="DQ130" i="11"/>
  <c r="DQ141" i="11"/>
  <c r="DQ116" i="11"/>
  <c r="BU15" i="9"/>
  <c r="DQ84" i="3"/>
  <c r="DO84" i="3"/>
  <c r="DP84" i="3" s="1"/>
  <c r="DQ5" i="11"/>
  <c r="BS30" i="5"/>
  <c r="BT30" i="5" s="1"/>
  <c r="BU30" i="5"/>
  <c r="DO114" i="3"/>
  <c r="DP114" i="3" s="1"/>
  <c r="DQ114" i="3"/>
  <c r="CG25" i="10"/>
  <c r="BU49" i="7"/>
  <c r="BU19" i="15"/>
  <c r="BU102" i="7"/>
  <c r="BU158" i="7"/>
  <c r="BU76" i="7"/>
  <c r="DQ61" i="3"/>
  <c r="DO61" i="3"/>
  <c r="DP61" i="3" s="1"/>
  <c r="DO52" i="3"/>
  <c r="DP52" i="3" s="1"/>
  <c r="DQ52" i="3"/>
  <c r="BU36" i="5"/>
  <c r="BU55" i="4"/>
  <c r="BU14" i="7"/>
  <c r="DQ133" i="3"/>
  <c r="BU62" i="7"/>
  <c r="BU51" i="4"/>
  <c r="BU4" i="5"/>
  <c r="BU26" i="1"/>
  <c r="BU6" i="2"/>
  <c r="DQ28" i="3"/>
  <c r="BU55" i="1"/>
  <c r="BU48" i="1"/>
  <c r="CA42" i="23"/>
  <c r="BU9" i="22"/>
  <c r="CA76" i="23"/>
  <c r="CA32" i="23"/>
  <c r="BU45" i="21"/>
  <c r="BU40" i="20"/>
  <c r="BS21" i="20"/>
  <c r="BT21" i="20" s="1"/>
  <c r="BU21" i="20"/>
  <c r="BU98" i="19"/>
  <c r="BU23" i="21"/>
  <c r="BU76" i="19"/>
  <c r="BU100" i="19"/>
  <c r="BU34" i="17"/>
  <c r="BS36" i="19"/>
  <c r="BT36" i="19" s="1"/>
  <c r="BU36" i="19"/>
  <c r="DQ11" i="18"/>
  <c r="BU30" i="17"/>
  <c r="BU27" i="19"/>
  <c r="BU69" i="15"/>
  <c r="DQ56" i="16"/>
  <c r="BU25" i="14"/>
  <c r="BU126" i="14"/>
  <c r="BU4" i="14"/>
  <c r="BS24" i="14"/>
  <c r="BT24" i="14" s="1"/>
  <c r="BU24" i="14"/>
  <c r="BS20" i="8"/>
  <c r="BT20" i="8" s="1"/>
  <c r="BU20" i="8"/>
  <c r="BS64" i="7"/>
  <c r="BT64" i="7" s="1"/>
  <c r="BU64" i="7"/>
  <c r="DQ93" i="11"/>
  <c r="DQ132" i="11"/>
  <c r="CG84" i="10"/>
  <c r="BU85" i="7"/>
  <c r="DQ68" i="3"/>
  <c r="DQ45" i="3"/>
  <c r="DO45" i="3"/>
  <c r="DP45" i="3" s="1"/>
  <c r="DO36" i="3"/>
  <c r="DP36" i="3" s="1"/>
  <c r="DQ36" i="3"/>
  <c r="BU90" i="7"/>
  <c r="DQ63" i="3"/>
  <c r="BU21" i="7"/>
  <c r="BU37" i="4"/>
  <c r="BU46" i="4"/>
  <c r="BU42" i="1"/>
  <c r="BU9" i="1"/>
  <c r="DQ100" i="11"/>
  <c r="DQ25" i="3"/>
  <c r="DQ60" i="3"/>
  <c r="BU34" i="1"/>
  <c r="BU118" i="14"/>
  <c r="CG76" i="10"/>
  <c r="DO36" i="11"/>
  <c r="DP36" i="11" s="1"/>
  <c r="DQ36" i="11"/>
  <c r="BU98" i="7"/>
  <c r="BS98" i="7"/>
  <c r="BT98" i="7" s="1"/>
  <c r="CE63" i="10"/>
  <c r="CF63" i="10" s="1"/>
  <c r="CG63" i="10"/>
  <c r="BS48" i="7"/>
  <c r="BT48" i="7" s="1"/>
  <c r="BU48" i="7"/>
  <c r="DQ154" i="11"/>
  <c r="CG45" i="10"/>
  <c r="CG16" i="10"/>
  <c r="CG80" i="10"/>
  <c r="BS14" i="5"/>
  <c r="BT14" i="5" s="1"/>
  <c r="BU14" i="5"/>
  <c r="DO98" i="3"/>
  <c r="DP98" i="3" s="1"/>
  <c r="DQ98" i="3"/>
  <c r="BU17" i="9"/>
  <c r="BU74" i="7"/>
  <c r="BU70" i="7"/>
  <c r="BU6" i="7"/>
  <c r="BU30" i="4"/>
  <c r="DQ29" i="3"/>
  <c r="DO29" i="3"/>
  <c r="DP29" i="3" s="1"/>
  <c r="DO20" i="3"/>
  <c r="DP20" i="3" s="1"/>
  <c r="DQ20" i="3"/>
  <c r="DQ135" i="3"/>
  <c r="BU53" i="4"/>
  <c r="BU101" i="7"/>
  <c r="BU12" i="4"/>
  <c r="BU79" i="7"/>
  <c r="DQ30" i="3"/>
  <c r="DQ12" i="3"/>
  <c r="BU46" i="2"/>
  <c r="DQ81" i="3"/>
  <c r="BU41" i="1"/>
  <c r="CA77" i="23"/>
  <c r="BU84" i="17"/>
  <c r="BS84" i="17"/>
  <c r="BT84" i="17" s="1"/>
  <c r="DQ35" i="18"/>
  <c r="BS82" i="17"/>
  <c r="BT82" i="17" s="1"/>
  <c r="BU82" i="17"/>
  <c r="BU47" i="15"/>
  <c r="BU8" i="20"/>
  <c r="BU96" i="19"/>
  <c r="DQ171" i="11"/>
  <c r="DO171" i="11"/>
  <c r="DP171" i="11" s="1"/>
  <c r="DO29" i="11"/>
  <c r="DP29" i="11" s="1"/>
  <c r="DQ29" i="11"/>
  <c r="BU82" i="7"/>
  <c r="BS82" i="7"/>
  <c r="BT82" i="7" s="1"/>
  <c r="BS16" i="7"/>
  <c r="BT16" i="7" s="1"/>
  <c r="BU16" i="7"/>
  <c r="DO4" i="3"/>
  <c r="DP4" i="3" s="1"/>
  <c r="DQ4" i="3"/>
  <c r="BU66" i="4"/>
  <c r="DQ23" i="3"/>
  <c r="DQ9" i="3"/>
  <c r="BU43" i="2"/>
  <c r="DQ44" i="3"/>
  <c r="BU14" i="1"/>
  <c r="BU87" i="17"/>
  <c r="BS87" i="17"/>
  <c r="BT87" i="17" s="1"/>
  <c r="BU38" i="20"/>
  <c r="AU5" i="12"/>
  <c r="AV5" i="12" s="1"/>
  <c r="AW5" i="12"/>
  <c r="CA27" i="23"/>
  <c r="BY27" i="23"/>
  <c r="BZ27" i="23" s="1"/>
  <c r="BU47" i="20"/>
  <c r="CA73" i="23"/>
  <c r="BU11" i="24"/>
  <c r="BU25" i="21"/>
  <c r="BY11" i="23"/>
  <c r="BZ11" i="23" s="1"/>
  <c r="CA11" i="23"/>
  <c r="BS23" i="20"/>
  <c r="BT23" i="20" s="1"/>
  <c r="BU23" i="20"/>
  <c r="BU47" i="21"/>
  <c r="BU5" i="21"/>
  <c r="BU65" i="19"/>
  <c r="BU41" i="19"/>
  <c r="BU83" i="19"/>
  <c r="BU70" i="17"/>
  <c r="DQ49" i="18"/>
  <c r="DO11" i="16"/>
  <c r="DP11" i="16" s="1"/>
  <c r="DQ11" i="16"/>
  <c r="BU88" i="19"/>
  <c r="BU36" i="15"/>
  <c r="BS36" i="15"/>
  <c r="BT36" i="15" s="1"/>
  <c r="BU119" i="14"/>
  <c r="BU70" i="14"/>
  <c r="DQ39" i="16"/>
  <c r="DQ20" i="11"/>
  <c r="CE103" i="10"/>
  <c r="CF103" i="10" s="1"/>
  <c r="CG103" i="10"/>
  <c r="BU66" i="7"/>
  <c r="BS66" i="7"/>
  <c r="BT66" i="7" s="1"/>
  <c r="DO10" i="11"/>
  <c r="DP10" i="11" s="1"/>
  <c r="DQ10" i="11"/>
  <c r="BU21" i="9"/>
  <c r="BS21" i="9"/>
  <c r="BT21" i="9" s="1"/>
  <c r="BU12" i="8"/>
  <c r="AW5" i="13"/>
  <c r="DO82" i="3"/>
  <c r="DP82" i="3" s="1"/>
  <c r="DQ82" i="3"/>
  <c r="BU97" i="7"/>
  <c r="CG101" i="10"/>
  <c r="BU42" i="7"/>
  <c r="CG20" i="10"/>
  <c r="BU37" i="5"/>
  <c r="BS49" i="2"/>
  <c r="BT49" i="2" s="1"/>
  <c r="BU49" i="2"/>
  <c r="DQ72" i="11"/>
  <c r="BU51" i="1"/>
  <c r="BU5" i="5"/>
  <c r="DQ16" i="3"/>
  <c r="BU20" i="2"/>
  <c r="BU16" i="2"/>
  <c r="DQ21" i="3"/>
  <c r="BU7" i="1"/>
  <c r="DQ33" i="3"/>
  <c r="BU31" i="17"/>
  <c r="DO108" i="11"/>
  <c r="DP108" i="11" s="1"/>
  <c r="DQ108" i="11"/>
  <c r="BU8" i="9"/>
  <c r="BU71" i="7"/>
  <c r="BS33" i="2"/>
  <c r="BT33" i="2" s="1"/>
  <c r="BU33" i="2"/>
  <c r="BU23" i="7"/>
  <c r="BU17" i="7"/>
  <c r="BU151" i="7"/>
  <c r="BU6" i="8"/>
  <c r="BU34" i="2"/>
  <c r="BU13" i="2"/>
  <c r="BU46" i="1"/>
  <c r="BU58" i="2"/>
  <c r="DQ7" i="3"/>
  <c r="BU61" i="2"/>
</calcChain>
</file>

<file path=xl/sharedStrings.xml><?xml version="1.0" encoding="utf-8"?>
<sst xmlns="http://schemas.openxmlformats.org/spreadsheetml/2006/main" count="18496" uniqueCount="4399">
  <si>
    <t>Team Name</t>
  </si>
  <si>
    <t>Primary Substation</t>
  </si>
  <si>
    <t>H.T Feeder No.</t>
  </si>
  <si>
    <t>Location</t>
  </si>
  <si>
    <t>Tx. No.</t>
  </si>
  <si>
    <t>Type</t>
  </si>
  <si>
    <t>Tap No.</t>
  </si>
  <si>
    <t>Capacity</t>
  </si>
  <si>
    <t>Time &amp; Date</t>
  </si>
  <si>
    <t>Reading No.</t>
  </si>
  <si>
    <t>Voltage Value</t>
  </si>
  <si>
    <t>Feeder 1</t>
  </si>
  <si>
    <t>Feeder 2</t>
  </si>
  <si>
    <t>Feeder 3</t>
  </si>
  <si>
    <t>Feeder 4</t>
  </si>
  <si>
    <t>Feeder 5</t>
  </si>
  <si>
    <t>Feeder 6</t>
  </si>
  <si>
    <t>Feeder 7</t>
  </si>
  <si>
    <t>Feeder 8</t>
  </si>
  <si>
    <t>Total Load</t>
  </si>
  <si>
    <t>MAX Value</t>
  </si>
  <si>
    <t>MIN Value</t>
  </si>
  <si>
    <t>Load %</t>
  </si>
  <si>
    <t>Action (Upgrade)</t>
  </si>
  <si>
    <t>Action (Balance)</t>
  </si>
  <si>
    <t>Phase Voltage</t>
  </si>
  <si>
    <t>Line Voltage</t>
  </si>
  <si>
    <t>Cable mm²</t>
  </si>
  <si>
    <t>R</t>
  </si>
  <si>
    <t>Y</t>
  </si>
  <si>
    <t>B</t>
  </si>
  <si>
    <t>N</t>
  </si>
  <si>
    <t>R/N</t>
  </si>
  <si>
    <t>Y/N</t>
  </si>
  <si>
    <t>B/N</t>
  </si>
  <si>
    <t>R/Y</t>
  </si>
  <si>
    <t>R/B</t>
  </si>
  <si>
    <t>Y/B</t>
  </si>
  <si>
    <t>Ibri</t>
  </si>
  <si>
    <t>HELAT AL NAHADAH</t>
  </si>
  <si>
    <t>K_LN2</t>
  </si>
  <si>
    <t>23.170301, 56.45696</t>
  </si>
  <si>
    <t>1589</t>
  </si>
  <si>
    <t>Pole (PMT)</t>
  </si>
  <si>
    <t>3</t>
  </si>
  <si>
    <t>05/06/2026, 15:13</t>
  </si>
  <si>
    <t>120 mm²</t>
  </si>
  <si>
    <t>185 mm²</t>
  </si>
  <si>
    <t>23.172512, 56.462625</t>
  </si>
  <si>
    <t>1331</t>
  </si>
  <si>
    <t>05/06/2026, 15:08</t>
  </si>
  <si>
    <t>23.169324, 56.471644</t>
  </si>
  <si>
    <t>1697</t>
  </si>
  <si>
    <t>05/06/2026, 15:01</t>
  </si>
  <si>
    <t>23.168744, 56.470718</t>
  </si>
  <si>
    <t>1567</t>
  </si>
  <si>
    <t>Ground (GMT)</t>
  </si>
  <si>
    <t>05/06/2026, 14:52</t>
  </si>
  <si>
    <t>23.168218, 56.470623</t>
  </si>
  <si>
    <t>176</t>
  </si>
  <si>
    <t>05/06/2026, 14:43</t>
  </si>
  <si>
    <t>23.172043, 56.469507</t>
  </si>
  <si>
    <t>2165</t>
  </si>
  <si>
    <t>05/06/2026, 14:35</t>
  </si>
  <si>
    <t>23.176973, 56.475117</t>
  </si>
  <si>
    <t>1546</t>
  </si>
  <si>
    <t>05/06/2026, 14:27</t>
  </si>
  <si>
    <t>23.172978, 56.469913</t>
  </si>
  <si>
    <t>1857</t>
  </si>
  <si>
    <t>05/06/2026, 14:21</t>
  </si>
  <si>
    <t>240 mm²</t>
  </si>
  <si>
    <t>23.177215, 56.469691</t>
  </si>
  <si>
    <t>2094</t>
  </si>
  <si>
    <t>05/06/2026, 14:12</t>
  </si>
  <si>
    <t>23.176804, 56.468373</t>
  </si>
  <si>
    <t>1848</t>
  </si>
  <si>
    <t>05/06/2026, 14:07</t>
  </si>
  <si>
    <t>23.185852, 56.480448</t>
  </si>
  <si>
    <t>172</t>
  </si>
  <si>
    <t>04/06/2026, 15:40</t>
  </si>
  <si>
    <t>23.188089, 56.480729</t>
  </si>
  <si>
    <t>169</t>
  </si>
  <si>
    <t>04/06/2026, 15:30</t>
  </si>
  <si>
    <t>23.18584, 56.473754</t>
  </si>
  <si>
    <t>1692</t>
  </si>
  <si>
    <t>04/06/2026, 15:05</t>
  </si>
  <si>
    <t>23.187853, 56.475304</t>
  </si>
  <si>
    <t>1443</t>
  </si>
  <si>
    <t>04/06/2026, 14:59</t>
  </si>
  <si>
    <t>23.188559, 56.476453</t>
  </si>
  <si>
    <t>1776</t>
  </si>
  <si>
    <t>04/06/2026, 14:54</t>
  </si>
  <si>
    <t>300 mm²</t>
  </si>
  <si>
    <t>K_LN13</t>
  </si>
  <si>
    <t>23.212206, 56.501779</t>
  </si>
  <si>
    <t>1657</t>
  </si>
  <si>
    <t>31/05/2026, 15:23</t>
  </si>
  <si>
    <t>23.203594, 56.513526</t>
  </si>
  <si>
    <t>1636</t>
  </si>
  <si>
    <t>31/05/2026, 15:15</t>
  </si>
  <si>
    <t>23.20023, 56.516996</t>
  </si>
  <si>
    <t>323</t>
  </si>
  <si>
    <t>31/05/2026, 15:05</t>
  </si>
  <si>
    <t>23.1984, 56.515401</t>
  </si>
  <si>
    <t>324</t>
  </si>
  <si>
    <t>31/05/2026, 15:00</t>
  </si>
  <si>
    <t>23.194525, 56.51296</t>
  </si>
  <si>
    <t>325</t>
  </si>
  <si>
    <t>31/05/2026, 14:52</t>
  </si>
  <si>
    <t>23.190727, 56.5097</t>
  </si>
  <si>
    <t>2194</t>
  </si>
  <si>
    <t>31/05/2026, 14:44</t>
  </si>
  <si>
    <t>23.185605, 56.503077</t>
  </si>
  <si>
    <t>4319</t>
  </si>
  <si>
    <t>31/05/2026, 14:37</t>
  </si>
  <si>
    <t>23.193496, 56.507437</t>
  </si>
  <si>
    <t>2195</t>
  </si>
  <si>
    <t>31/05/2026, 14:33</t>
  </si>
  <si>
    <t>23.197447, 56.50931</t>
  </si>
  <si>
    <t>326</t>
  </si>
  <si>
    <t>31/05/2026, 14:28</t>
  </si>
  <si>
    <t>23.199939, 56.506808</t>
  </si>
  <si>
    <t>327</t>
  </si>
  <si>
    <t>31/05/2026, 14:24</t>
  </si>
  <si>
    <t>K_LN3</t>
  </si>
  <si>
    <t>4398</t>
  </si>
  <si>
    <t>31/05/2026, 14:23</t>
  </si>
  <si>
    <t>23.202085, 56.510048</t>
  </si>
  <si>
    <t>2193</t>
  </si>
  <si>
    <t>31/05/2026, 14:19</t>
  </si>
  <si>
    <t>4626</t>
  </si>
  <si>
    <t>31/05/2026, 14:16</t>
  </si>
  <si>
    <t>70 mm²</t>
  </si>
  <si>
    <t>23.205274, 56.510729</t>
  </si>
  <si>
    <t>302</t>
  </si>
  <si>
    <t>31/05/2026, 14:11</t>
  </si>
  <si>
    <t>1737</t>
  </si>
  <si>
    <t>31/05/2026, 14:07</t>
  </si>
  <si>
    <t>23.207187, 56.506485</t>
  </si>
  <si>
    <t>303</t>
  </si>
  <si>
    <t>31/05/2026, 14:01</t>
  </si>
  <si>
    <t>163</t>
  </si>
  <si>
    <t>31/05/2026, 14:00</t>
  </si>
  <si>
    <t>23.214745, 56.506732</t>
  </si>
  <si>
    <t>301</t>
  </si>
  <si>
    <t>31/05/2026, 13:54</t>
  </si>
  <si>
    <t>297</t>
  </si>
  <si>
    <t>31/05/2026, 13:52</t>
  </si>
  <si>
    <t>23.214171, 56.506727</t>
  </si>
  <si>
    <t>4405</t>
  </si>
  <si>
    <t>31/05/2026, 13:46</t>
  </si>
  <si>
    <t>142</t>
  </si>
  <si>
    <t>31/05/2026, 13:44</t>
  </si>
  <si>
    <t>23.216146, 56.503513</t>
  </si>
  <si>
    <t>4647</t>
  </si>
  <si>
    <t>31/05/2026, 13:38</t>
  </si>
  <si>
    <t>144</t>
  </si>
  <si>
    <t>31/05/2026, 13:32</t>
  </si>
  <si>
    <t>K_LN15</t>
  </si>
  <si>
    <t>159</t>
  </si>
  <si>
    <t>30/05/2026, 16:08</t>
  </si>
  <si>
    <t>1402</t>
  </si>
  <si>
    <t>30/05/2026, 15:53</t>
  </si>
  <si>
    <t>147</t>
  </si>
  <si>
    <t>30/05/2026, 15:39</t>
  </si>
  <si>
    <t>158</t>
  </si>
  <si>
    <t>30/05/2026, 15:18</t>
  </si>
  <si>
    <t>4372</t>
  </si>
  <si>
    <t>30/05/2026, 14:58</t>
  </si>
  <si>
    <t>160</t>
  </si>
  <si>
    <t>30/05/2026, 14:52</t>
  </si>
  <si>
    <t>1306</t>
  </si>
  <si>
    <t>30/05/2026, 14:41</t>
  </si>
  <si>
    <t>4707</t>
  </si>
  <si>
    <t>30/05/2026, 14:22</t>
  </si>
  <si>
    <t>4515</t>
  </si>
  <si>
    <t>30/05/2026, 14:07</t>
  </si>
  <si>
    <t>1946</t>
  </si>
  <si>
    <t>30/05/2026, 14:00</t>
  </si>
  <si>
    <t>1821</t>
  </si>
  <si>
    <t>30/05/2026, 13:39</t>
  </si>
  <si>
    <t>1188</t>
  </si>
  <si>
    <t>29/05/2026, 15:28</t>
  </si>
  <si>
    <t>1720</t>
  </si>
  <si>
    <t>29/05/2026, 15:22</t>
  </si>
  <si>
    <t>1397</t>
  </si>
  <si>
    <t>29/05/2026, 15:10</t>
  </si>
  <si>
    <t>1475</t>
  </si>
  <si>
    <t>29/05/2026, 15:04</t>
  </si>
  <si>
    <t>1752</t>
  </si>
  <si>
    <t>29/05/2026, 14:54</t>
  </si>
  <si>
    <t>1879</t>
  </si>
  <si>
    <t>29/05/2026, 14:46</t>
  </si>
  <si>
    <t>1420</t>
  </si>
  <si>
    <t>29/05/2026, 14:33</t>
  </si>
  <si>
    <t>162</t>
  </si>
  <si>
    <t>29/05/2026, 14:29</t>
  </si>
  <si>
    <t>23.206667, 56.463081</t>
  </si>
  <si>
    <t>1480</t>
  </si>
  <si>
    <t>29/05/2026, 14:18</t>
  </si>
  <si>
    <t>1791</t>
  </si>
  <si>
    <t>29/05/2026, 14:08</t>
  </si>
  <si>
    <t>23.578, 58.4021</t>
  </si>
  <si>
    <t>145</t>
  </si>
  <si>
    <t>03/05/2026, 07:59</t>
  </si>
  <si>
    <t>SULAIF</t>
  </si>
  <si>
    <t>23.212874, 56.511339</t>
  </si>
  <si>
    <t>304</t>
  </si>
  <si>
    <t>13/06/2026, 15:02</t>
  </si>
  <si>
    <t>23.215687, 56.5113</t>
  </si>
  <si>
    <t>305</t>
  </si>
  <si>
    <t>13/06/2026, 14:57</t>
  </si>
  <si>
    <t>23.214643, 56.513329</t>
  </si>
  <si>
    <t>1554</t>
  </si>
  <si>
    <t>13/06/2026, 14:47</t>
  </si>
  <si>
    <t>23.214921, 56.514247</t>
  </si>
  <si>
    <t>306</t>
  </si>
  <si>
    <t>13/06/2026, 14:43</t>
  </si>
  <si>
    <t>322</t>
  </si>
  <si>
    <t>13/06/2026, 14:28</t>
  </si>
  <si>
    <t>1378</t>
  </si>
  <si>
    <t>13/06/2026, 14:19</t>
  </si>
  <si>
    <t>23.209377, 56.519107</t>
  </si>
  <si>
    <t>1547</t>
  </si>
  <si>
    <t>13/06/2026, 14:14</t>
  </si>
  <si>
    <t>23.209205, 56.516966</t>
  </si>
  <si>
    <t>318</t>
  </si>
  <si>
    <t>13/06/2026, 14:08</t>
  </si>
  <si>
    <t>23.212647, 56.519515</t>
  </si>
  <si>
    <t>1522</t>
  </si>
  <si>
    <t>13/06/2026, 13:58</t>
  </si>
  <si>
    <t>23.214666, 56.515388</t>
  </si>
  <si>
    <t>310</t>
  </si>
  <si>
    <t>13/06/2026, 13:48</t>
  </si>
  <si>
    <t>23.199013, 56.488255</t>
  </si>
  <si>
    <t>1947</t>
  </si>
  <si>
    <t>12/06/2026, 15:40</t>
  </si>
  <si>
    <t>23.198808, 56.48834</t>
  </si>
  <si>
    <t>458</t>
  </si>
  <si>
    <t>23.198272, 56.489639</t>
  </si>
  <si>
    <t>2347</t>
  </si>
  <si>
    <t>12/06/2026, 15:34</t>
  </si>
  <si>
    <t>23.204466, 56.52293</t>
  </si>
  <si>
    <t>321</t>
  </si>
  <si>
    <t>12/06/2026, 15:28</t>
  </si>
  <si>
    <t>23.192044, 56.486318</t>
  </si>
  <si>
    <t>463</t>
  </si>
  <si>
    <t>12/06/2026, 15:26</t>
  </si>
  <si>
    <t>23.208287, 56.523188</t>
  </si>
  <si>
    <t>320</t>
  </si>
  <si>
    <t>12/06/2026, 15:21</t>
  </si>
  <si>
    <t>23.192684, 56.488828</t>
  </si>
  <si>
    <t>1431</t>
  </si>
  <si>
    <t>12/06/2026, 15:20</t>
  </si>
  <si>
    <t>23.208523, 56.524778</t>
  </si>
  <si>
    <t>319</t>
  </si>
  <si>
    <t>12/06/2026, 15:17</t>
  </si>
  <si>
    <t>23.196168, 56.489364</t>
  </si>
  <si>
    <t>462</t>
  </si>
  <si>
    <t>12/06/2026, 15:13</t>
  </si>
  <si>
    <t>23.210646, 56.522809</t>
  </si>
  <si>
    <t>1500</t>
  </si>
  <si>
    <t>23.193823, 56.492674</t>
  </si>
  <si>
    <t>1649</t>
  </si>
  <si>
    <t>12/06/2026, 15:05</t>
  </si>
  <si>
    <t>K_LN1</t>
  </si>
  <si>
    <t>23.215949, 56.51359</t>
  </si>
  <si>
    <t>309</t>
  </si>
  <si>
    <t>12/06/2026, 15:04</t>
  </si>
  <si>
    <t>23.217523, 56.511099</t>
  </si>
  <si>
    <t>1679</t>
  </si>
  <si>
    <t>12/06/2026, 14:54</t>
  </si>
  <si>
    <t>23.219141, 56.510931</t>
  </si>
  <si>
    <t>114</t>
  </si>
  <si>
    <t>12/06/2026, 14:50</t>
  </si>
  <si>
    <t>23.187542, 56.487813</t>
  </si>
  <si>
    <t>1492</t>
  </si>
  <si>
    <t>12/06/2026, 14:47</t>
  </si>
  <si>
    <t>23.218494, 56.503881</t>
  </si>
  <si>
    <t>113</t>
  </si>
  <si>
    <t>12/06/2026, 14:42</t>
  </si>
  <si>
    <t>23.18824, 56.489933</t>
  </si>
  <si>
    <t>464</t>
  </si>
  <si>
    <t>12/06/2026, 14:41</t>
  </si>
  <si>
    <t>23.217664, 56.502685</t>
  </si>
  <si>
    <t>1916</t>
  </si>
  <si>
    <t>12/06/2026, 14:38</t>
  </si>
  <si>
    <t>23.191021, 56.497714</t>
  </si>
  <si>
    <t>2110</t>
  </si>
  <si>
    <t>12/06/2026, 14:28</t>
  </si>
  <si>
    <t>23.219258, 56.499432</t>
  </si>
  <si>
    <t>112</t>
  </si>
  <si>
    <t>23.191388, 56.496845</t>
  </si>
  <si>
    <t>479</t>
  </si>
  <si>
    <t>12/06/2026, 14:22</t>
  </si>
  <si>
    <t>23.186967, 56.495385</t>
  </si>
  <si>
    <t>478</t>
  </si>
  <si>
    <t>12/06/2026, 14:18</t>
  </si>
  <si>
    <t>23.218771, 56.498418</t>
  </si>
  <si>
    <t>110</t>
  </si>
  <si>
    <t>12/06/2026, 14:21</t>
  </si>
  <si>
    <t>23.186086, 56.493371</t>
  </si>
  <si>
    <t>165</t>
  </si>
  <si>
    <t>12/06/2026, 14:13</t>
  </si>
  <si>
    <t>23.217711, 56.50076</t>
  </si>
  <si>
    <t>4262</t>
  </si>
  <si>
    <t>12/06/2026, 14:12</t>
  </si>
  <si>
    <t>23.218335, 56.49421</t>
  </si>
  <si>
    <t>1651</t>
  </si>
  <si>
    <t>12/06/2026, 14:06</t>
  </si>
  <si>
    <t>23.177958, 56.495468</t>
  </si>
  <si>
    <t>1990</t>
  </si>
  <si>
    <t>11/06/2026, 15:23</t>
  </si>
  <si>
    <t>23.182688, 56.489865</t>
  </si>
  <si>
    <t>1823</t>
  </si>
  <si>
    <t>11/06/2026, 15:15</t>
  </si>
  <si>
    <t>23.180177, 56.494824</t>
  </si>
  <si>
    <t>465</t>
  </si>
  <si>
    <t>11/06/2026, 15:05</t>
  </si>
  <si>
    <t>23.180161, 56.494908</t>
  </si>
  <si>
    <t>1363</t>
  </si>
  <si>
    <t>11/06/2026, 15:01</t>
  </si>
  <si>
    <t>23.173153, 56.486337</t>
  </si>
  <si>
    <t>1918</t>
  </si>
  <si>
    <t>11/06/2026, 14:47</t>
  </si>
  <si>
    <t>23.179354, 56.490583</t>
  </si>
  <si>
    <t>466</t>
  </si>
  <si>
    <t>11/06/2026, 14:41</t>
  </si>
  <si>
    <t>23.174002, 56.489489</t>
  </si>
  <si>
    <t>467</t>
  </si>
  <si>
    <t>11/06/2026, 14:33</t>
  </si>
  <si>
    <t>23.169691, 56.499861</t>
  </si>
  <si>
    <t>468</t>
  </si>
  <si>
    <t>11/06/2026, 14:26</t>
  </si>
  <si>
    <t>50 mm²</t>
  </si>
  <si>
    <t>23.171597, 56.501446</t>
  </si>
  <si>
    <t>1994</t>
  </si>
  <si>
    <t>11/06/2026, 14:27</t>
  </si>
  <si>
    <t>23.195466, 56.495038</t>
  </si>
  <si>
    <t>1949</t>
  </si>
  <si>
    <t>30/05/2026, 15:24</t>
  </si>
  <si>
    <t>23.197338, 56.498579</t>
  </si>
  <si>
    <t>2305</t>
  </si>
  <si>
    <t>30/05/2026, 15:14</t>
  </si>
  <si>
    <t>23.196642, 56.497646</t>
  </si>
  <si>
    <t>1707</t>
  </si>
  <si>
    <t>30/05/2026, 15:04</t>
  </si>
  <si>
    <t>23.200468, 56.493091</t>
  </si>
  <si>
    <t>459</t>
  </si>
  <si>
    <t>30/05/2026, 14:54</t>
  </si>
  <si>
    <t>23.200198, 56.498412</t>
  </si>
  <si>
    <t>461</t>
  </si>
  <si>
    <t>30/05/2026, 14:43</t>
  </si>
  <si>
    <t>23.203543, 56.497092</t>
  </si>
  <si>
    <t>1416</t>
  </si>
  <si>
    <t>30/05/2026, 14:33</t>
  </si>
  <si>
    <t>23.204786, 56.497894</t>
  </si>
  <si>
    <t>300</t>
  </si>
  <si>
    <t>30/05/2026, 14:27</t>
  </si>
  <si>
    <t>23.216968, 56.502388</t>
  </si>
  <si>
    <t>1455</t>
  </si>
  <si>
    <t>30/05/2026, 14:15</t>
  </si>
  <si>
    <t>23.217404, 56.501765</t>
  </si>
  <si>
    <t>1870</t>
  </si>
  <si>
    <t>30/05/2026, 14:04</t>
  </si>
  <si>
    <t>23.217468, 56.501448</t>
  </si>
  <si>
    <t>295</t>
  </si>
  <si>
    <t>30/05/2026, 13:59</t>
  </si>
  <si>
    <t>23.217733, 56.499259</t>
  </si>
  <si>
    <t>30/05/2026, 13:53</t>
  </si>
  <si>
    <t>23.210058, 56.499614</t>
  </si>
  <si>
    <t>299</t>
  </si>
  <si>
    <t>21/05/2026, 12:32</t>
  </si>
  <si>
    <t>1851</t>
  </si>
  <si>
    <t>03/05/2026, 12:27</t>
  </si>
  <si>
    <t>314</t>
  </si>
  <si>
    <t>313</t>
  </si>
  <si>
    <t>Feeder 9</t>
  </si>
  <si>
    <t>Feeder 10</t>
  </si>
  <si>
    <t>Feeder 11</t>
  </si>
  <si>
    <t>Feeder 12</t>
  </si>
  <si>
    <t>Feeder 13</t>
  </si>
  <si>
    <t>Feeder 14</t>
  </si>
  <si>
    <t>Feeder 15</t>
  </si>
  <si>
    <t>Feeder 16</t>
  </si>
  <si>
    <t>AL-MURTAFA</t>
  </si>
  <si>
    <t>23.209002, 56.530882</t>
  </si>
  <si>
    <t>340</t>
  </si>
  <si>
    <t>10/06/2026, 22:37</t>
  </si>
  <si>
    <t>K_LN4</t>
  </si>
  <si>
    <t>23.226277, 56.519505</t>
  </si>
  <si>
    <t>282</t>
  </si>
  <si>
    <t>09/06/2026, 21:47</t>
  </si>
  <si>
    <t>09/06/2026, 21:04</t>
  </si>
  <si>
    <t>K_LN7</t>
  </si>
  <si>
    <t>23.223047, 56.504572</t>
  </si>
  <si>
    <t>1374</t>
  </si>
  <si>
    <t>06/06/2026, 14:37</t>
  </si>
  <si>
    <t>10/06/2026, 22:39</t>
  </si>
  <si>
    <t>23.224378, 56.505688</t>
  </si>
  <si>
    <t>2032</t>
  </si>
  <si>
    <t>06/06/2026, 14:33</t>
  </si>
  <si>
    <t>10/06/2026, 22:36</t>
  </si>
  <si>
    <t>23.230172, 56.504465</t>
  </si>
  <si>
    <t>1789</t>
  </si>
  <si>
    <t>06/06/2026, 14:29</t>
  </si>
  <si>
    <t>10/06/2026, 22:49</t>
  </si>
  <si>
    <t>23.226519, 56.50523</t>
  </si>
  <si>
    <t>8</t>
  </si>
  <si>
    <t>06/06/2026, 14:24</t>
  </si>
  <si>
    <t>10/06/2026, 22:45</t>
  </si>
  <si>
    <t>23.226938, 56.51013</t>
  </si>
  <si>
    <t>9</t>
  </si>
  <si>
    <t>06/06/2026, 14:21</t>
  </si>
  <si>
    <t>10/06/2026, 22:31</t>
  </si>
  <si>
    <t>23.231113, 56.506805</t>
  </si>
  <si>
    <t>1977</t>
  </si>
  <si>
    <t>06/06/2026, 14:16</t>
  </si>
  <si>
    <t>10/06/2026, 22:13</t>
  </si>
  <si>
    <t>23.234213, 56.507509</t>
  </si>
  <si>
    <t>4349</t>
  </si>
  <si>
    <t>06/06/2026, 14:09</t>
  </si>
  <si>
    <t>10/06/2026, 22:23</t>
  </si>
  <si>
    <t>23.230605, 56.509516</t>
  </si>
  <si>
    <t>1376</t>
  </si>
  <si>
    <t>06/06/2026, 14:05</t>
  </si>
  <si>
    <t>10/06/2026, 22:18</t>
  </si>
  <si>
    <t>23.229485, 56.511476</t>
  </si>
  <si>
    <t>10</t>
  </si>
  <si>
    <t>06/06/2026, 14:01</t>
  </si>
  <si>
    <t>10/06/2026, 22:08</t>
  </si>
  <si>
    <t>23.230117, 56.511859</t>
  </si>
  <si>
    <t>11</t>
  </si>
  <si>
    <t>06/06/2026, 13:57</t>
  </si>
  <si>
    <t>10/06/2026, 23:02</t>
  </si>
  <si>
    <t>23.23188, 56.513334</t>
  </si>
  <si>
    <t>12</t>
  </si>
  <si>
    <t>06/06/2026, 13:50</t>
  </si>
  <si>
    <t>10/06/2026, 22:02</t>
  </si>
  <si>
    <t>23.231784, 56.514809</t>
  </si>
  <si>
    <t>13</t>
  </si>
  <si>
    <t>06/06/2026, 13:39</t>
  </si>
  <si>
    <t>10/06/2026, 23:10</t>
  </si>
  <si>
    <t>23.213651, 56.551409</t>
  </si>
  <si>
    <t>341</t>
  </si>
  <si>
    <t>05/06/2026, 14:38</t>
  </si>
  <si>
    <t>10/06/2026, 22:07</t>
  </si>
  <si>
    <t>23.213826, 56.548851</t>
  </si>
  <si>
    <t>2031</t>
  </si>
  <si>
    <t>05/06/2026, 14:31</t>
  </si>
  <si>
    <t>10/06/2026, 22:16</t>
  </si>
  <si>
    <t>23.211015, 56.543314</t>
  </si>
  <si>
    <t>336</t>
  </si>
  <si>
    <t>05/06/2026, 14:24</t>
  </si>
  <si>
    <t>10/06/2026, 22:20</t>
  </si>
  <si>
    <t>23.209277, 56.53789</t>
  </si>
  <si>
    <t>338</t>
  </si>
  <si>
    <t>05/06/2026, 14:17</t>
  </si>
  <si>
    <t>10/06/2026, 22:26</t>
  </si>
  <si>
    <t>23.209449, 56.537614</t>
  </si>
  <si>
    <t>339</t>
  </si>
  <si>
    <t>10/06/2026, 22:32</t>
  </si>
  <si>
    <t>23.220709, 56.51406</t>
  </si>
  <si>
    <t>134</t>
  </si>
  <si>
    <t>05/06/2026, 14:04</t>
  </si>
  <si>
    <t>09/06/2026, 22:36</t>
  </si>
  <si>
    <t>23.22145, 56.515303</t>
  </si>
  <si>
    <t>1391</t>
  </si>
  <si>
    <t>05/06/2026, 13:57</t>
  </si>
  <si>
    <t>4</t>
  </si>
  <si>
    <t>09/06/2026, 22:28</t>
  </si>
  <si>
    <t>23.222374, 56.514306</t>
  </si>
  <si>
    <t>133</t>
  </si>
  <si>
    <t>05/06/2026, 13:51</t>
  </si>
  <si>
    <t>09/06/2026, 22:20</t>
  </si>
  <si>
    <t>23.223631, 56.513116</t>
  </si>
  <si>
    <t>132</t>
  </si>
  <si>
    <t>05/06/2026, 13:44</t>
  </si>
  <si>
    <t>09/06/2026, 22:14</t>
  </si>
  <si>
    <t>23.228394, 56.511028</t>
  </si>
  <si>
    <t>1375</t>
  </si>
  <si>
    <t>05/06/2026, 13:36</t>
  </si>
  <si>
    <t>09/06/2026, 21:57</t>
  </si>
  <si>
    <t>23.225175, 56.5111</t>
  </si>
  <si>
    <t>1447</t>
  </si>
  <si>
    <t>05/06/2026, 13:30</t>
  </si>
  <si>
    <t>09/06/2026, 22:06</t>
  </si>
  <si>
    <t>23.223338, 56.558491</t>
  </si>
  <si>
    <t>4670</t>
  </si>
  <si>
    <t>29/05/2026, 15:37</t>
  </si>
  <si>
    <t>10/06/2026, 22:00</t>
  </si>
  <si>
    <t>23.220429, 56.55207</t>
  </si>
  <si>
    <t>4254</t>
  </si>
  <si>
    <t>29/05/2026, 15:31</t>
  </si>
  <si>
    <t>10/06/2026, 21:57</t>
  </si>
  <si>
    <t>23.22164, 56.546782</t>
  </si>
  <si>
    <t>4646</t>
  </si>
  <si>
    <t>29/05/2026, 15:27</t>
  </si>
  <si>
    <t>10/06/2026, 21:47</t>
  </si>
  <si>
    <t>23.223816, 56.541588</t>
  </si>
  <si>
    <t>10/06/2026, 21:42</t>
  </si>
  <si>
    <t>23.218417, 56.543408</t>
  </si>
  <si>
    <t>29/05/2026, 15:15</t>
  </si>
  <si>
    <t>10/06/2026, 21:37</t>
  </si>
  <si>
    <t>23.214696, 56.541149</t>
  </si>
  <si>
    <t>337</t>
  </si>
  <si>
    <t>29/05/2026, 15:08</t>
  </si>
  <si>
    <t>10/06/2026, 21:30</t>
  </si>
  <si>
    <t>23.216047, 56.541191</t>
  </si>
  <si>
    <t>4538</t>
  </si>
  <si>
    <t>10/06/2026, 21:22</t>
  </si>
  <si>
    <t>10/06/2026, 21:25</t>
  </si>
  <si>
    <t>K_LN5</t>
  </si>
  <si>
    <t>23.21457, 56.519268</t>
  </si>
  <si>
    <t>116</t>
  </si>
  <si>
    <t>29/05/2026, 14:50</t>
  </si>
  <si>
    <t>09/06/2026, 22:57</t>
  </si>
  <si>
    <t>23.210917, 56.523702</t>
  </si>
  <si>
    <t>122</t>
  </si>
  <si>
    <t>29/05/2026, 14:42</t>
  </si>
  <si>
    <t>09/06/2026, 22:49</t>
  </si>
  <si>
    <t>23.212913, 56.523714</t>
  </si>
  <si>
    <t>121</t>
  </si>
  <si>
    <t>29/05/2026, 14:36</t>
  </si>
  <si>
    <t>09/06/2026, 22:44</t>
  </si>
  <si>
    <t>23.213929, 56.52234</t>
  </si>
  <si>
    <t>4507</t>
  </si>
  <si>
    <t>29/05/2026, 14:28</t>
  </si>
  <si>
    <t>23.215237, 56.521137</t>
  </si>
  <si>
    <t>117</t>
  </si>
  <si>
    <t>29/05/2026, 14:22</t>
  </si>
  <si>
    <t>09/06/2026, 22:32</t>
  </si>
  <si>
    <t>23.216665, 56.521443</t>
  </si>
  <si>
    <t>118</t>
  </si>
  <si>
    <t>29/05/2026, 14:15</t>
  </si>
  <si>
    <t>09/06/2026, 22:23</t>
  </si>
  <si>
    <t>K_LN8</t>
  </si>
  <si>
    <t>23.21649, 56.516316</t>
  </si>
  <si>
    <t>115</t>
  </si>
  <si>
    <t>10/06/2026, 21:06</t>
  </si>
  <si>
    <t>10/06/2026, 21:10</t>
  </si>
  <si>
    <t>23.219057, 56.516703</t>
  </si>
  <si>
    <t>123</t>
  </si>
  <si>
    <t>29/05/2026, 13:58</t>
  </si>
  <si>
    <t>10/06/2026, 21:05</t>
  </si>
  <si>
    <t>23.220092, 56.516563</t>
  </si>
  <si>
    <t>124</t>
  </si>
  <si>
    <t>29/05/2026, 13:47</t>
  </si>
  <si>
    <t>10/06/2026, 20:58</t>
  </si>
  <si>
    <t>23.223507, 56.516475</t>
  </si>
  <si>
    <t>125</t>
  </si>
  <si>
    <t>29/05/2026, 13:42</t>
  </si>
  <si>
    <t>10/06/2026, 20:52</t>
  </si>
  <si>
    <t>23.224835, 56.515428</t>
  </si>
  <si>
    <t>1408</t>
  </si>
  <si>
    <t>29/05/2026, 13:35</t>
  </si>
  <si>
    <t>10/06/2026, 20:47</t>
  </si>
  <si>
    <t>23.22585, 56.517291</t>
  </si>
  <si>
    <t>127</t>
  </si>
  <si>
    <t>29/05/2026, 15:53</t>
  </si>
  <si>
    <t>10/06/2026, 20:39</t>
  </si>
  <si>
    <t>23.227558, 56.515208</t>
  </si>
  <si>
    <t>126</t>
  </si>
  <si>
    <t>29/05/2026, 15:49</t>
  </si>
  <si>
    <t>10/06/2026, 20:33</t>
  </si>
  <si>
    <t>23.228146, 56.517132</t>
  </si>
  <si>
    <t>128</t>
  </si>
  <si>
    <t>29/05/2026, 13:07</t>
  </si>
  <si>
    <t>10/06/2026, 20:25</t>
  </si>
  <si>
    <t>23.229456, 56.515532</t>
  </si>
  <si>
    <t>2288</t>
  </si>
  <si>
    <t>29/05/2026, 12:59</t>
  </si>
  <si>
    <t>10/06/2026, 20:21</t>
  </si>
  <si>
    <t>K_LN6</t>
  </si>
  <si>
    <t>23.222014, 56.51988</t>
  </si>
  <si>
    <t>2189</t>
  </si>
  <si>
    <t>28/05/2026, 15:33</t>
  </si>
  <si>
    <t>09/06/2026, 22:15</t>
  </si>
  <si>
    <t>23.222845, 56.519081</t>
  </si>
  <si>
    <t>285</t>
  </si>
  <si>
    <t>28/05/2026, 15:29</t>
  </si>
  <si>
    <t>09/06/2026, 22:10</t>
  </si>
  <si>
    <t>23.22508, 56.523125</t>
  </si>
  <si>
    <t>284</t>
  </si>
  <si>
    <t>28/05/2026, 15:24</t>
  </si>
  <si>
    <t>1684</t>
  </si>
  <si>
    <t>28/05/2026, 15:08</t>
  </si>
  <si>
    <t>09/06/2026, 21:49</t>
  </si>
  <si>
    <t>23.22965, 56.522146</t>
  </si>
  <si>
    <t>1444</t>
  </si>
  <si>
    <t>09/06/2026, 21:40</t>
  </si>
  <si>
    <t>130</t>
  </si>
  <si>
    <t>28/05/2026, 14:59</t>
  </si>
  <si>
    <t>09/06/2026, 21:42</t>
  </si>
  <si>
    <t>23.236046, 56.516329</t>
  </si>
  <si>
    <t>925</t>
  </si>
  <si>
    <t>28/05/2026, 14:55</t>
  </si>
  <si>
    <t>09/06/2026, 21:34</t>
  </si>
  <si>
    <t>932</t>
  </si>
  <si>
    <t>28/05/2026, 14:48</t>
  </si>
  <si>
    <t>09/06/2026, 21:33</t>
  </si>
  <si>
    <t>930</t>
  </si>
  <si>
    <t>28/05/2026, 14:40</t>
  </si>
  <si>
    <t>09/06/2026, 21:26</t>
  </si>
  <si>
    <t>23.235023, 56.515596</t>
  </si>
  <si>
    <t>926</t>
  </si>
  <si>
    <t>09/06/2026, 21:28</t>
  </si>
  <si>
    <t>269</t>
  </si>
  <si>
    <t>28/05/2026, 14:30</t>
  </si>
  <si>
    <t>09/06/2026, 21:13</t>
  </si>
  <si>
    <t>23.233952, 56.517279</t>
  </si>
  <si>
    <t>16</t>
  </si>
  <si>
    <t>28/05/2026, 14:28</t>
  </si>
  <si>
    <t>09/06/2026, 21:20</t>
  </si>
  <si>
    <t>23.234011, 56.522985</t>
  </si>
  <si>
    <t>272</t>
  </si>
  <si>
    <t>28/05/2026, 14:24</t>
  </si>
  <si>
    <t>09/06/2026, 21:07</t>
  </si>
  <si>
    <t>273</t>
  </si>
  <si>
    <t>28/05/2026, 14:16</t>
  </si>
  <si>
    <t>09/06/2026, 21:00</t>
  </si>
  <si>
    <t>23.232183, 56.517383</t>
  </si>
  <si>
    <t>15</t>
  </si>
  <si>
    <t>28/05/2026, 14:21</t>
  </si>
  <si>
    <t>274</t>
  </si>
  <si>
    <t>28/05/2026, 14:09</t>
  </si>
  <si>
    <t>09/06/2026, 20:43</t>
  </si>
  <si>
    <t>23.230901, 56.519655</t>
  </si>
  <si>
    <t>283</t>
  </si>
  <si>
    <t>09/06/2026, 21:53</t>
  </si>
  <si>
    <t>09/06/2026, 22:00</t>
  </si>
  <si>
    <t>23.23584, 56.519982</t>
  </si>
  <si>
    <t>922</t>
  </si>
  <si>
    <t>28/05/2026, 13:59</t>
  </si>
  <si>
    <t>09/06/2026, 20:44</t>
  </si>
  <si>
    <t>275</t>
  </si>
  <si>
    <t>28/05/2026, 14:00</t>
  </si>
  <si>
    <t>09/06/2026, 20:52</t>
  </si>
  <si>
    <t>23.234252, 56.523602</t>
  </si>
  <si>
    <t>281</t>
  </si>
  <si>
    <t>28/05/2026, 13:50</t>
  </si>
  <si>
    <t>09/06/2026, 20:37</t>
  </si>
  <si>
    <t>276</t>
  </si>
  <si>
    <t>28/05/2026, 13:46</t>
  </si>
  <si>
    <t>09/06/2026, 20:35</t>
  </si>
  <si>
    <t>23.231087, 56.522025</t>
  </si>
  <si>
    <t>280</t>
  </si>
  <si>
    <t>28/05/2026, 13:39</t>
  </si>
  <si>
    <t>09/06/2026, 20:29</t>
  </si>
  <si>
    <t>129</t>
  </si>
  <si>
    <t>04/05/2026, 09:25</t>
  </si>
  <si>
    <t>279</t>
  </si>
  <si>
    <t>03/05/2026, 09:24</t>
  </si>
  <si>
    <t>23.230764, 56.523867</t>
  </si>
  <si>
    <t>278</t>
  </si>
  <si>
    <t>03/05/2026, 09:20</t>
  </si>
  <si>
    <t>28/05/2026, 13:29</t>
  </si>
  <si>
    <t>09/06/2026, 20:23</t>
  </si>
  <si>
    <t>MAZERA BIN KHATER</t>
  </si>
  <si>
    <t>23.211917, 56.489541</t>
  </si>
  <si>
    <t>453</t>
  </si>
  <si>
    <t>04/06/2026, 15:22</t>
  </si>
  <si>
    <t>K_LN9</t>
  </si>
  <si>
    <t>23.190284, 56.480694</t>
  </si>
  <si>
    <t>168</t>
  </si>
  <si>
    <t>23.19115, 56.475179</t>
  </si>
  <si>
    <t>4141</t>
  </si>
  <si>
    <t>04/06/2026, 15:14</t>
  </si>
  <si>
    <t>23.210753, 56.488183</t>
  </si>
  <si>
    <t>1770</t>
  </si>
  <si>
    <t>23.212202, 56.486057</t>
  </si>
  <si>
    <t>1459</t>
  </si>
  <si>
    <t>04/06/2026, 15:00</t>
  </si>
  <si>
    <t>23.209031, 56.485126</t>
  </si>
  <si>
    <t>456</t>
  </si>
  <si>
    <t>04/06/2026, 14:53</t>
  </si>
  <si>
    <t>23.190353, 56.477443</t>
  </si>
  <si>
    <t>1511</t>
  </si>
  <si>
    <t>04/06/2026, 14:47</t>
  </si>
  <si>
    <t>23.193563, 56.477946</t>
  </si>
  <si>
    <t>167</t>
  </si>
  <si>
    <t>04/06/2026, 14:41</t>
  </si>
  <si>
    <t>23.215795, 56.487197</t>
  </si>
  <si>
    <t>138</t>
  </si>
  <si>
    <t>04/06/2026, 14:33</t>
  </si>
  <si>
    <t>23.210161, 56.489987</t>
  </si>
  <si>
    <t>522</t>
  </si>
  <si>
    <t>04/06/2026, 14:27</t>
  </si>
  <si>
    <t>23.213027, 56.486715</t>
  </si>
  <si>
    <t>140</t>
  </si>
  <si>
    <t>04/06/2026, 14:26</t>
  </si>
  <si>
    <t>23.215066, 56.489653</t>
  </si>
  <si>
    <t>137</t>
  </si>
  <si>
    <t>04/06/2026, 14:19</t>
  </si>
  <si>
    <t>23.215173, 56.49101</t>
  </si>
  <si>
    <t>136</t>
  </si>
  <si>
    <t>04/06/2026, 14:12</t>
  </si>
  <si>
    <t>23.214676, 56.4911</t>
  </si>
  <si>
    <t>135</t>
  </si>
  <si>
    <t>04/06/2026, 14:07</t>
  </si>
  <si>
    <t>K_LN45</t>
  </si>
  <si>
    <t>23.218842, 56.493274</t>
  </si>
  <si>
    <t>107</t>
  </si>
  <si>
    <t>23.197241, 56.463819</t>
  </si>
  <si>
    <t>156</t>
  </si>
  <si>
    <t>03/06/2026, 15:44</t>
  </si>
  <si>
    <t>23.194244, 56.466769</t>
  </si>
  <si>
    <t>4444</t>
  </si>
  <si>
    <t>03/06/2026, 15:30</t>
  </si>
  <si>
    <t>23.196802, 56.466041</t>
  </si>
  <si>
    <t>1989</t>
  </si>
  <si>
    <t>03/06/2026, 15:23</t>
  </si>
  <si>
    <t>23.196921, 56.46952</t>
  </si>
  <si>
    <t>1599</t>
  </si>
  <si>
    <t>03/06/2026, 15:13</t>
  </si>
  <si>
    <t>23.199814, 56.47906</t>
  </si>
  <si>
    <t>1494</t>
  </si>
  <si>
    <t>03/06/2026, 14:59</t>
  </si>
  <si>
    <t>23.201869, 56.470325</t>
  </si>
  <si>
    <t>1794</t>
  </si>
  <si>
    <t>03/06/2026, 14:38</t>
  </si>
  <si>
    <t>23.199581, 56.473115</t>
  </si>
  <si>
    <t>154</t>
  </si>
  <si>
    <t>03/06/2026, 14:30</t>
  </si>
  <si>
    <t>23.20355, 56.475108</t>
  </si>
  <si>
    <t>153</t>
  </si>
  <si>
    <t>03/06/2026, 14:19</t>
  </si>
  <si>
    <t>23.204945, 56.47753</t>
  </si>
  <si>
    <t>152</t>
  </si>
  <si>
    <t>03/06/2026, 14:01</t>
  </si>
  <si>
    <t>23.197321, 56.475363</t>
  </si>
  <si>
    <t>1535</t>
  </si>
  <si>
    <t>02/06/2026, 15:45</t>
  </si>
  <si>
    <t>23.196255, 56.480698</t>
  </si>
  <si>
    <t>166</t>
  </si>
  <si>
    <t>02/06/2026, 15:40</t>
  </si>
  <si>
    <t>23.202283, 56.483477</t>
  </si>
  <si>
    <t>1782</t>
  </si>
  <si>
    <t>02/06/2026, 15:30</t>
  </si>
  <si>
    <t>23.201836, 56.484575</t>
  </si>
  <si>
    <t>1775</t>
  </si>
  <si>
    <t>02/06/2026, 15:22</t>
  </si>
  <si>
    <t>23.204953, 56.489054</t>
  </si>
  <si>
    <t>1333</t>
  </si>
  <si>
    <t>02/06/2026, 15:08</t>
  </si>
  <si>
    <t>23.205861, 56.486558</t>
  </si>
  <si>
    <t>518</t>
  </si>
  <si>
    <t>02/06/2026, 15:04</t>
  </si>
  <si>
    <t>23.218348, 56.494045</t>
  </si>
  <si>
    <t>02/06/2026, 14:59</t>
  </si>
  <si>
    <t>23.207756, 56.488665</t>
  </si>
  <si>
    <t>1908</t>
  </si>
  <si>
    <t>02/06/2026, 14:54</t>
  </si>
  <si>
    <t>23.218217, 56.492079</t>
  </si>
  <si>
    <t>109</t>
  </si>
  <si>
    <t>02/06/2026, 14:49</t>
  </si>
  <si>
    <t>23.207532, 56.489453</t>
  </si>
  <si>
    <t>700</t>
  </si>
  <si>
    <t>02/06/2026, 14:47</t>
  </si>
  <si>
    <t>23.2178, 56.490323</t>
  </si>
  <si>
    <t>2118</t>
  </si>
  <si>
    <t>02/06/2026, 14:41</t>
  </si>
  <si>
    <t>23.21666, 56.487319</t>
  </si>
  <si>
    <t>54</t>
  </si>
  <si>
    <t>02/06/2026, 14:33</t>
  </si>
  <si>
    <t>23.216693, 56.487033</t>
  </si>
  <si>
    <t>55</t>
  </si>
  <si>
    <t>02/06/2026, 14:29</t>
  </si>
  <si>
    <t>23.217389, 56.48807</t>
  </si>
  <si>
    <t>801</t>
  </si>
  <si>
    <t>02/06/2026, 14:24</t>
  </si>
  <si>
    <t>23.144501, 56.476112</t>
  </si>
  <si>
    <t>203</t>
  </si>
  <si>
    <t>02/06/2026, 13:59</t>
  </si>
  <si>
    <t>23.140185, 56.468801</t>
  </si>
  <si>
    <t>004513</t>
  </si>
  <si>
    <t>02/06/2026, 13:54</t>
  </si>
  <si>
    <t>04513</t>
  </si>
  <si>
    <t>23.141048, 56.468732</t>
  </si>
  <si>
    <t>1309</t>
  </si>
  <si>
    <t>02/06/2026, 13:46</t>
  </si>
  <si>
    <t>23.141077, 56.468749</t>
  </si>
  <si>
    <t>1308</t>
  </si>
  <si>
    <t>02/06/2026, 13:42</t>
  </si>
  <si>
    <t>23.143419, 56.470776</t>
  </si>
  <si>
    <t>185</t>
  </si>
  <si>
    <t>01/06/2026, 16:07</t>
  </si>
  <si>
    <t>23.141499, 56.467984</t>
  </si>
  <si>
    <t>188</t>
  </si>
  <si>
    <t>01/06/2026, 15:57</t>
  </si>
  <si>
    <t>23.141512, 56.467996</t>
  </si>
  <si>
    <t>1883</t>
  </si>
  <si>
    <t>01/06/2026, 15:49</t>
  </si>
  <si>
    <t>23.117024, 56.457922</t>
  </si>
  <si>
    <t>208</t>
  </si>
  <si>
    <t>01/06/2026, 15:33</t>
  </si>
  <si>
    <t>23.102693, 56.456604</t>
  </si>
  <si>
    <t>210</t>
  </si>
  <si>
    <t>01/06/2026, 15:23</t>
  </si>
  <si>
    <t>23.10849, 56.457226</t>
  </si>
  <si>
    <t>209</t>
  </si>
  <si>
    <t>01/06/2026, 15:17</t>
  </si>
  <si>
    <t>23.108702, 56.463567</t>
  </si>
  <si>
    <t>211</t>
  </si>
  <si>
    <t>01/06/2026, 15:13</t>
  </si>
  <si>
    <t>23.118898, 56.466379</t>
  </si>
  <si>
    <t>207</t>
  </si>
  <si>
    <t>01/06/2026, 15:08</t>
  </si>
  <si>
    <t>23.136184, 56.476694</t>
  </si>
  <si>
    <t>206</t>
  </si>
  <si>
    <t>01/06/2026, 15:03</t>
  </si>
  <si>
    <t>23.133608, 56.471421</t>
  </si>
  <si>
    <t>205</t>
  </si>
  <si>
    <t>01/06/2026, 14:56</t>
  </si>
  <si>
    <t>23.141043, 56.474795</t>
  </si>
  <si>
    <t>204</t>
  </si>
  <si>
    <t>01/06/2026, 14:47</t>
  </si>
  <si>
    <t>23.141535, 56.473978</t>
  </si>
  <si>
    <t>202</t>
  </si>
  <si>
    <t>01/06/2026, 14:39</t>
  </si>
  <si>
    <t>23.139375, 56.468862</t>
  </si>
  <si>
    <t>201</t>
  </si>
  <si>
    <t>01/06/2026, 14:34</t>
  </si>
  <si>
    <t>23.141233, 56.472087</t>
  </si>
  <si>
    <t>200</t>
  </si>
  <si>
    <t>01/06/2026, 14:30</t>
  </si>
  <si>
    <t>23.147203, 56.475765</t>
  </si>
  <si>
    <t>184</t>
  </si>
  <si>
    <t>01/06/2026, 14:25</t>
  </si>
  <si>
    <t>23.147157, 56.475743</t>
  </si>
  <si>
    <t>1966</t>
  </si>
  <si>
    <t>01/06/2026, 14:17</t>
  </si>
  <si>
    <t>23.147232, 56.477866</t>
  </si>
  <si>
    <t>180</t>
  </si>
  <si>
    <t>01/06/2026, 14:10</t>
  </si>
  <si>
    <t>23.149683, 56.474966</t>
  </si>
  <si>
    <t>182</t>
  </si>
  <si>
    <t>01/06/2026, 14:03</t>
  </si>
  <si>
    <t>23.157497, 56.478208</t>
  </si>
  <si>
    <t>2186</t>
  </si>
  <si>
    <t>01/06/2026, 13:58</t>
  </si>
  <si>
    <t>23.157057, 56.478452</t>
  </si>
  <si>
    <t>4547</t>
  </si>
  <si>
    <t>01/06/2026, 13:55</t>
  </si>
  <si>
    <t>23.157603, 56.478336</t>
  </si>
  <si>
    <t>179</t>
  </si>
  <si>
    <t>01/06/2026, 13:50</t>
  </si>
  <si>
    <t>23.162719, 56.477119</t>
  </si>
  <si>
    <t>4440</t>
  </si>
  <si>
    <t>01/06/2026, 13:45</t>
  </si>
  <si>
    <t>23.164738, 56.47458</t>
  </si>
  <si>
    <t>178</t>
  </si>
  <si>
    <t>01/06/2026, 13:32</t>
  </si>
  <si>
    <t>23.212251, 56.491267</t>
  </si>
  <si>
    <t>1437</t>
  </si>
  <si>
    <t>01/06/2026, 13:26</t>
  </si>
  <si>
    <t>23.214472, 56.491875</t>
  </si>
  <si>
    <t>1836</t>
  </si>
  <si>
    <t>01/06/2026, 13:19</t>
  </si>
  <si>
    <t>181</t>
  </si>
  <si>
    <t>03/05/2026, 11:23</t>
  </si>
  <si>
    <t>2147</t>
  </si>
  <si>
    <t>03/05/2026, 11:11</t>
  </si>
  <si>
    <t>AL-ARAQI</t>
  </si>
  <si>
    <t>23.23748, 56.519219</t>
  </si>
  <si>
    <t>920</t>
  </si>
  <si>
    <t>23.240197, 56.514109</t>
  </si>
  <si>
    <t>916</t>
  </si>
  <si>
    <t>23.239621, 56.514915</t>
  </si>
  <si>
    <t>1312</t>
  </si>
  <si>
    <t>23.243248, 56.516977</t>
  </si>
  <si>
    <t>917</t>
  </si>
  <si>
    <t>13/06/2026, 14:37</t>
  </si>
  <si>
    <t>23.243265, 56.514462</t>
  </si>
  <si>
    <t>1311</t>
  </si>
  <si>
    <t>13/06/2026, 14:30</t>
  </si>
  <si>
    <t>23.242541, 56.513524</t>
  </si>
  <si>
    <t>913</t>
  </si>
  <si>
    <t>13/06/2026, 14:25</t>
  </si>
  <si>
    <t>23.25009, 56.509775</t>
  </si>
  <si>
    <t>237</t>
  </si>
  <si>
    <t>13/06/2026, 14:20</t>
  </si>
  <si>
    <t>23.250562, 56.510265</t>
  </si>
  <si>
    <t>236</t>
  </si>
  <si>
    <t>13/06/2026, 14:13</t>
  </si>
  <si>
    <t>23.256297, 56.512834</t>
  </si>
  <si>
    <t>235</t>
  </si>
  <si>
    <t>13/06/2026, 14:07</t>
  </si>
  <si>
    <t>23.251066, 56.528814</t>
  </si>
  <si>
    <t>1979</t>
  </si>
  <si>
    <t>13/06/2026, 13:57</t>
  </si>
  <si>
    <t>23.249021, 56.529932</t>
  </si>
  <si>
    <t>268</t>
  </si>
  <si>
    <t>13/06/2026, 13:53</t>
  </si>
  <si>
    <t>23.259223, 56.524106</t>
  </si>
  <si>
    <t>2159</t>
  </si>
  <si>
    <t>23.256127, 56.521328</t>
  </si>
  <si>
    <t>4579</t>
  </si>
  <si>
    <t>13/06/2026, 13:40</t>
  </si>
  <si>
    <t>23.255793, 56.521189</t>
  </si>
  <si>
    <t>1523</t>
  </si>
  <si>
    <t>13/06/2026, 13:32</t>
  </si>
  <si>
    <t>23.259148, 56.521872</t>
  </si>
  <si>
    <t>1577</t>
  </si>
  <si>
    <t>Araqi</t>
  </si>
  <si>
    <t>K_LN02</t>
  </si>
  <si>
    <t>251</t>
  </si>
  <si>
    <t>07/06/2026, 14:34</t>
  </si>
  <si>
    <t>23.267674, 56.538849</t>
  </si>
  <si>
    <t>252</t>
  </si>
  <si>
    <t>07/06/2026, 13:50</t>
  </si>
  <si>
    <t>23.276305, 56.532117</t>
  </si>
  <si>
    <t>289</t>
  </si>
  <si>
    <t>07/06/2026, 13:32</t>
  </si>
  <si>
    <t>23.273717, 56.527718</t>
  </si>
  <si>
    <t>402</t>
  </si>
  <si>
    <t>07/06/2026, 13:26</t>
  </si>
  <si>
    <t>23.27685, 56.528972</t>
  </si>
  <si>
    <t>401</t>
  </si>
  <si>
    <t>07/06/2026, 13:21</t>
  </si>
  <si>
    <t>23.317298, 56.615638</t>
  </si>
  <si>
    <t>1800</t>
  </si>
  <si>
    <t>06/06/2026, 13:14</t>
  </si>
  <si>
    <t>23.273376, 56.531538</t>
  </si>
  <si>
    <t>288</t>
  </si>
  <si>
    <t>06/06/2026, 13:06</t>
  </si>
  <si>
    <t>23.270033, 56.530315</t>
  </si>
  <si>
    <t>287</t>
  </si>
  <si>
    <t>06/06/2026, 13:00</t>
  </si>
  <si>
    <t>23.266127, 56.522362</t>
  </si>
  <si>
    <t>290</t>
  </si>
  <si>
    <t>06/06/2026, 12:49</t>
  </si>
  <si>
    <t>23.262074, 56.523987</t>
  </si>
  <si>
    <t>4763</t>
  </si>
  <si>
    <t>06/06/2026, 12:43</t>
  </si>
  <si>
    <t>23.260312, 56.522553</t>
  </si>
  <si>
    <t>1696</t>
  </si>
  <si>
    <t>06/06/2026, 12:38</t>
  </si>
  <si>
    <t>K_LN07</t>
  </si>
  <si>
    <t>23.272353, 56.541292</t>
  </si>
  <si>
    <t>2309</t>
  </si>
  <si>
    <t>31/05/2026, 14:54</t>
  </si>
  <si>
    <t>23.279983, 56.543408</t>
  </si>
  <si>
    <t>1318</t>
  </si>
  <si>
    <t>31/05/2026, 14:46</t>
  </si>
  <si>
    <t>23.279921, 56.541241</t>
  </si>
  <si>
    <t>507</t>
  </si>
  <si>
    <t>31/05/2026, 14:42</t>
  </si>
  <si>
    <t>23.276813, 56.542557</t>
  </si>
  <si>
    <t>390</t>
  </si>
  <si>
    <t>31/05/2026, 14:38</t>
  </si>
  <si>
    <t>23.274825, 56.541057</t>
  </si>
  <si>
    <t>391</t>
  </si>
  <si>
    <t>31/05/2026, 14:35</t>
  </si>
  <si>
    <t>23.274604, 56.537937</t>
  </si>
  <si>
    <t>393</t>
  </si>
  <si>
    <t>31/05/2026, 14:30</t>
  </si>
  <si>
    <t>23.273839, 56.536136</t>
  </si>
  <si>
    <t>1388</t>
  </si>
  <si>
    <t>31/05/2026, 14:29</t>
  </si>
  <si>
    <t>23.274818, 56.53459</t>
  </si>
  <si>
    <t>394</t>
  </si>
  <si>
    <t>31/05/2026, 14:25</t>
  </si>
  <si>
    <t>23.272622, 56.539188</t>
  </si>
  <si>
    <t>392</t>
  </si>
  <si>
    <t>31/05/2026, 14:13</t>
  </si>
  <si>
    <t>23.270806, 56.53825</t>
  </si>
  <si>
    <t>250</t>
  </si>
  <si>
    <t>31/05/2026, 14:08</t>
  </si>
  <si>
    <t>23.27026, 56.534497</t>
  </si>
  <si>
    <t>248</t>
  </si>
  <si>
    <t>31/05/2026, 14:02</t>
  </si>
  <si>
    <t>23.269857, 56.534476</t>
  </si>
  <si>
    <t>249</t>
  </si>
  <si>
    <t>31/05/2026, 13:57</t>
  </si>
  <si>
    <t>23.267829, 56.535275</t>
  </si>
  <si>
    <t>1860</t>
  </si>
  <si>
    <t>23.264575, 56.534542</t>
  </si>
  <si>
    <t>2174</t>
  </si>
  <si>
    <t>23.263084, 56.531388</t>
  </si>
  <si>
    <t>246</t>
  </si>
  <si>
    <t>31/05/2026, 13:39</t>
  </si>
  <si>
    <t>23.261957, 56.52878</t>
  </si>
  <si>
    <t>245</t>
  </si>
  <si>
    <t>31/05/2026, 13:33</t>
  </si>
  <si>
    <t>23.261042, 56.526919</t>
  </si>
  <si>
    <t>914</t>
  </si>
  <si>
    <t>03/05/2026, 12:14</t>
  </si>
  <si>
    <t>23.242605, 56.514059</t>
  </si>
  <si>
    <t>915</t>
  </si>
  <si>
    <t>03/05/2026, 12:13</t>
  </si>
  <si>
    <t>270</t>
  </si>
  <si>
    <t>03/05/2026, 12:10</t>
  </si>
  <si>
    <t>23.204746, 56.470239</t>
  </si>
  <si>
    <t>271</t>
  </si>
  <si>
    <t>03/05/2026, 12:07</t>
  </si>
  <si>
    <t>918</t>
  </si>
  <si>
    <t>03/05/2026, 12:04</t>
  </si>
  <si>
    <t>919</t>
  </si>
  <si>
    <t>03/05/2026, 12:02</t>
  </si>
  <si>
    <t>AL-SANAEYYAH</t>
  </si>
  <si>
    <t>23.217267, 56.482271</t>
  </si>
  <si>
    <t>1909</t>
  </si>
  <si>
    <t>31/05/2026, 20:50</t>
  </si>
  <si>
    <t>23.253655, 56.487771</t>
  </si>
  <si>
    <t>4758</t>
  </si>
  <si>
    <t>10/05/2026, 13:10</t>
  </si>
  <si>
    <t>K_LN17</t>
  </si>
  <si>
    <t>23.251928, 56.488603</t>
  </si>
  <si>
    <t>4757</t>
  </si>
  <si>
    <t>06/05/2026, 20:51</t>
  </si>
  <si>
    <t>13/05/2026, 10:37</t>
  </si>
  <si>
    <t>23.251943, 56.488569</t>
  </si>
  <si>
    <t>86</t>
  </si>
  <si>
    <t>06/05/2026, 12:33</t>
  </si>
  <si>
    <t>10/05/2026, 11:38</t>
  </si>
  <si>
    <t>56</t>
  </si>
  <si>
    <t>04/05/2026, 09:08</t>
  </si>
  <si>
    <t>1972</t>
  </si>
  <si>
    <t>04/05/2026, 09:00</t>
  </si>
  <si>
    <t>630 mm²</t>
  </si>
  <si>
    <t>Hamra AlDaroo</t>
  </si>
  <si>
    <t>22.682583, 56.540912</t>
  </si>
  <si>
    <t>31</t>
  </si>
  <si>
    <t>21/05/2026, 09:20</t>
  </si>
  <si>
    <t>22.694864, 56.583987</t>
  </si>
  <si>
    <t>21/05/2026, 09:08</t>
  </si>
  <si>
    <t>22.835796, 56.658766</t>
  </si>
  <si>
    <t>46</t>
  </si>
  <si>
    <t>21/05/2026, 06:44</t>
  </si>
  <si>
    <t>22.817537, 56.73096</t>
  </si>
  <si>
    <t>51</t>
  </si>
  <si>
    <t>20/05/2026, 15:44</t>
  </si>
  <si>
    <t>22.841258, 56.755425</t>
  </si>
  <si>
    <t>20/05/2026, 14:57</t>
  </si>
  <si>
    <t>66</t>
  </si>
  <si>
    <t>21/05/2026, 06:46</t>
  </si>
  <si>
    <t>22.83978, 56.754737</t>
  </si>
  <si>
    <t>50</t>
  </si>
  <si>
    <t>20/05/2026, 14:39</t>
  </si>
  <si>
    <t>49</t>
  </si>
  <si>
    <t>22.816189, 56.736889</t>
  </si>
  <si>
    <t>48</t>
  </si>
  <si>
    <t>21/05/2026, 06:47</t>
  </si>
  <si>
    <t>22.816167, 56.736884</t>
  </si>
  <si>
    <t>45</t>
  </si>
  <si>
    <t>20/05/2026, 14:20</t>
  </si>
  <si>
    <t>22.760884, 56.681434</t>
  </si>
  <si>
    <t>17</t>
  </si>
  <si>
    <t>19/05/2026, 11:28</t>
  </si>
  <si>
    <t>22.76088, 56.681479</t>
  </si>
  <si>
    <t>44</t>
  </si>
  <si>
    <t>19/05/2026, 11:27</t>
  </si>
  <si>
    <t>22.768301, 56.677723</t>
  </si>
  <si>
    <t>40</t>
  </si>
  <si>
    <t>19/05/2026, 11:25</t>
  </si>
  <si>
    <t>22.777766, 56.678499</t>
  </si>
  <si>
    <t>64</t>
  </si>
  <si>
    <t>19/05/2026, 11:24</t>
  </si>
  <si>
    <t>22.777031, 56.680473</t>
  </si>
  <si>
    <t>39</t>
  </si>
  <si>
    <t>20/05/2026, 13:46</t>
  </si>
  <si>
    <t>22.769454, 56.677387</t>
  </si>
  <si>
    <t>41</t>
  </si>
  <si>
    <t>19/05/2026, 11:17</t>
  </si>
  <si>
    <t>22.760852, 56.681442</t>
  </si>
  <si>
    <t>42</t>
  </si>
  <si>
    <t>19/05/2026, 11:16</t>
  </si>
  <si>
    <t>38</t>
  </si>
  <si>
    <t>19/05/2026, 11:14</t>
  </si>
  <si>
    <t>36</t>
  </si>
  <si>
    <t>19/05/2026, 11:12</t>
  </si>
  <si>
    <t>37</t>
  </si>
  <si>
    <t>19/05/2026, 11:10</t>
  </si>
  <si>
    <t>35</t>
  </si>
  <si>
    <t>19/05/2026, 11:09</t>
  </si>
  <si>
    <t>22.727664, 56.618678</t>
  </si>
  <si>
    <t>5</t>
  </si>
  <si>
    <t>19/05/2026, 10:30</t>
  </si>
  <si>
    <t>22.737527, 56.615724</t>
  </si>
  <si>
    <t>6</t>
  </si>
  <si>
    <t>19/05/2026, 10:17</t>
  </si>
  <si>
    <t>22.742113, 56.605665</t>
  </si>
  <si>
    <t>57</t>
  </si>
  <si>
    <t>19/05/2026, 10:11</t>
  </si>
  <si>
    <t>22.754879, 56.604276</t>
  </si>
  <si>
    <t>19/05/2026, 10:06</t>
  </si>
  <si>
    <t>22.751807, 56.604558</t>
  </si>
  <si>
    <t>7</t>
  </si>
  <si>
    <t>19/05/2026, 09:59</t>
  </si>
  <si>
    <t>22.758028, 56.612911</t>
  </si>
  <si>
    <t>19/05/2026, 09:52</t>
  </si>
  <si>
    <t>22.776837, 56.601989</t>
  </si>
  <si>
    <t>19/05/2026, 09:46</t>
  </si>
  <si>
    <t>22.908289, 56.622093</t>
  </si>
  <si>
    <t>25</t>
  </si>
  <si>
    <t>19/05/2026, 09:25</t>
  </si>
  <si>
    <t>11/06/2026, 08:07</t>
  </si>
  <si>
    <t>22.910367, 56.627459</t>
  </si>
  <si>
    <t>26</t>
  </si>
  <si>
    <t>19/05/2026, 09:21</t>
  </si>
  <si>
    <t>03</t>
  </si>
  <si>
    <t>22.90465, 56.629781</t>
  </si>
  <si>
    <t>27</t>
  </si>
  <si>
    <t>19/05/2026, 09:15</t>
  </si>
  <si>
    <t>11/06/2026, 08:03</t>
  </si>
  <si>
    <t>22.901805, 56.624444</t>
  </si>
  <si>
    <t>24</t>
  </si>
  <si>
    <t>19/05/2026, 09:10</t>
  </si>
  <si>
    <t>11/06/2026, 08:12</t>
  </si>
  <si>
    <t>22.903386, 56.620179</t>
  </si>
  <si>
    <t>23</t>
  </si>
  <si>
    <t>19/05/2026, 09:05</t>
  </si>
  <si>
    <t>11/06/2026, 08:17</t>
  </si>
  <si>
    <t>22.897989, 56.616751</t>
  </si>
  <si>
    <t>22</t>
  </si>
  <si>
    <t>19/05/2026, 09:02</t>
  </si>
  <si>
    <t>22.897237, 56.611992</t>
  </si>
  <si>
    <t>21</t>
  </si>
  <si>
    <t>19/05/2026, 08:57</t>
  </si>
  <si>
    <t>22.891811, 56.606618</t>
  </si>
  <si>
    <t>20</t>
  </si>
  <si>
    <t>19/05/2026, 08:54</t>
  </si>
  <si>
    <t>22.888711, 56.603389</t>
  </si>
  <si>
    <t>60</t>
  </si>
  <si>
    <t>19/05/2026, 08:50</t>
  </si>
  <si>
    <t>22.868308, 56.599402</t>
  </si>
  <si>
    <t>19</t>
  </si>
  <si>
    <t>19/05/2026, 08:44</t>
  </si>
  <si>
    <t>22.862837, 56.599136</t>
  </si>
  <si>
    <t>18</t>
  </si>
  <si>
    <t>19/05/2026, 08:40</t>
  </si>
  <si>
    <t>22.863451, 56.605195</t>
  </si>
  <si>
    <t>19/05/2026, 08:35</t>
  </si>
  <si>
    <t>22.853655, 56.603271</t>
  </si>
  <si>
    <t>19/05/2026, 08:30</t>
  </si>
  <si>
    <t>22.84356, 56.610479</t>
  </si>
  <si>
    <t>19/05/2026, 08:24</t>
  </si>
  <si>
    <t>22.832136, 56.607543</t>
  </si>
  <si>
    <t>14</t>
  </si>
  <si>
    <t>19/05/2026, 08:17</t>
  </si>
  <si>
    <t>22.83077, 56.598354</t>
  </si>
  <si>
    <t>19/05/2026, 08:11</t>
  </si>
  <si>
    <t>22.807395, 56.607101</t>
  </si>
  <si>
    <t>19/05/2026, 08:02</t>
  </si>
  <si>
    <t>11/06/2026, 06:52</t>
  </si>
  <si>
    <t>22.791257, 56.610425</t>
  </si>
  <si>
    <t>19/05/2026, 08:00</t>
  </si>
  <si>
    <t>11/06/2026, 06:46</t>
  </si>
  <si>
    <t>22.718493, 56.663778</t>
  </si>
  <si>
    <t>68</t>
  </si>
  <si>
    <t>18/05/2026, 10:12</t>
  </si>
  <si>
    <t>22.727601, 56.678467</t>
  </si>
  <si>
    <t>43</t>
  </si>
  <si>
    <t>18/05/2026, 11:32</t>
  </si>
  <si>
    <t>22.73086, 56.692988</t>
  </si>
  <si>
    <t>52</t>
  </si>
  <si>
    <t>17/05/2026, 11:53</t>
  </si>
  <si>
    <t>22.737075, 56.701147</t>
  </si>
  <si>
    <t>67</t>
  </si>
  <si>
    <t>17/05/2026, 11:52</t>
  </si>
  <si>
    <t>22.738361, 56.700182</t>
  </si>
  <si>
    <t>53</t>
  </si>
  <si>
    <t>17/05/2026, 13:43</t>
  </si>
  <si>
    <t>22.949667, 56.688988</t>
  </si>
  <si>
    <t>17/05/2026, 11:41</t>
  </si>
  <si>
    <t>22.949774, 56.676685</t>
  </si>
  <si>
    <t>30</t>
  </si>
  <si>
    <t>17/05/2026, 11:37</t>
  </si>
  <si>
    <t>22.958897, 56.676007</t>
  </si>
  <si>
    <t>17/05/2026, 11:32</t>
  </si>
  <si>
    <t>22.656639, 56.844153</t>
  </si>
  <si>
    <t>59</t>
  </si>
  <si>
    <t>17/05/2026, 11:26</t>
  </si>
  <si>
    <t>22.966059, 56.680735</t>
  </si>
  <si>
    <t>17/05/2026, 13:44</t>
  </si>
  <si>
    <t>22.656673, 56.844097</t>
  </si>
  <si>
    <t>63</t>
  </si>
  <si>
    <t>17/05/2026, 11:24</t>
  </si>
  <si>
    <t>22.656627, 56.844302</t>
  </si>
  <si>
    <t>58</t>
  </si>
  <si>
    <t>17/05/2026, 11:23</t>
  </si>
  <si>
    <t>22.656659, 56.844268</t>
  </si>
  <si>
    <t>17/05/2026, 11:22</t>
  </si>
  <si>
    <t>22.973507, 56.68488</t>
  </si>
  <si>
    <t>17/05/2026, 11:21</t>
  </si>
  <si>
    <t>22.656621, 56.844156</t>
  </si>
  <si>
    <t>17/05/2026, 11:20</t>
  </si>
  <si>
    <t>22.656616, 56.844066</t>
  </si>
  <si>
    <t>65</t>
  </si>
  <si>
    <t>17/05/2026, 11:18</t>
  </si>
  <si>
    <t>22.6593, 56.844269</t>
  </si>
  <si>
    <t>18/05/2026, 11:35</t>
  </si>
  <si>
    <t>22.659258, 56.844289</t>
  </si>
  <si>
    <t>17/05/2026, 11:14</t>
  </si>
  <si>
    <t>22.667275, 56.843648</t>
  </si>
  <si>
    <t>18/05/2026, 11:33</t>
  </si>
  <si>
    <t>22.964262, 56.727778</t>
  </si>
  <si>
    <t>32</t>
  </si>
  <si>
    <t>17/05/2026, 11:10</t>
  </si>
  <si>
    <t>22.959873, 56.750506</t>
  </si>
  <si>
    <t>33</t>
  </si>
  <si>
    <t>17/05/2026, 11:02</t>
  </si>
  <si>
    <t>22.954167, 56.776297</t>
  </si>
  <si>
    <t>17/05/2026, 10:54</t>
  </si>
  <si>
    <t>22.957876, 56.758019</t>
  </si>
  <si>
    <t>17/05/2026, 10:46</t>
  </si>
  <si>
    <t>23.000484, 56.745537</t>
  </si>
  <si>
    <t>34</t>
  </si>
  <si>
    <t>17/05/2026, 10:35</t>
  </si>
  <si>
    <t>23.024832, 56.692345</t>
  </si>
  <si>
    <t>17/05/2026, 10:20</t>
  </si>
  <si>
    <t>23.027362, 56.686526</t>
  </si>
  <si>
    <t>17/05/2026, 10:15</t>
  </si>
  <si>
    <t>23.031104, 56.688251</t>
  </si>
  <si>
    <t>47</t>
  </si>
  <si>
    <t>17/05/2026, 10:12</t>
  </si>
  <si>
    <t>23.08051, 56.671661</t>
  </si>
  <si>
    <t>17/05/2026, 09:59</t>
  </si>
  <si>
    <t>23.058321, 56.655912</t>
  </si>
  <si>
    <t>17/05/2026, 09:50</t>
  </si>
  <si>
    <t>23.096349, 56.623273</t>
  </si>
  <si>
    <t>17/05/2026, 09:34</t>
  </si>
  <si>
    <t>17/05/2026, 09:20</t>
  </si>
  <si>
    <t>17/05/2026, 09:13</t>
  </si>
  <si>
    <t>17/05/2026, 09:05</t>
  </si>
  <si>
    <t>17/05/2026, 08:56</t>
  </si>
  <si>
    <t>17/05/2026, 08:48</t>
  </si>
  <si>
    <t>17/05/2026, 08:38</t>
  </si>
  <si>
    <t>17/05/2026, 08:30</t>
  </si>
  <si>
    <t>17/05/2026, 08:22</t>
  </si>
  <si>
    <t>17/05/2026, 08:16</t>
  </si>
  <si>
    <t>06/06/2026, 21:48</t>
  </si>
  <si>
    <t>22.953511, 56.657247</t>
  </si>
  <si>
    <t>17/05/2026, 08:06</t>
  </si>
  <si>
    <t>11/06/2026, 07:42</t>
  </si>
  <si>
    <t>22.952749, 56.661989</t>
  </si>
  <si>
    <t>17/05/2026, 08:01</t>
  </si>
  <si>
    <t>11/06/2026, 07:37</t>
  </si>
  <si>
    <t>22.948438, 56.671079</t>
  </si>
  <si>
    <t>29</t>
  </si>
  <si>
    <t>17/05/2026, 07:54</t>
  </si>
  <si>
    <t>11/06/2026, 07:31</t>
  </si>
  <si>
    <t>22.947364, 56.665267</t>
  </si>
  <si>
    <t>28</t>
  </si>
  <si>
    <t>17/05/2026, 07:48</t>
  </si>
  <si>
    <t>11/06/2026, 07:26</t>
  </si>
  <si>
    <t>22.945698, 56.661696</t>
  </si>
  <si>
    <t>17/05/2026, 07:44</t>
  </si>
  <si>
    <t>11/06/2026, 07:20</t>
  </si>
  <si>
    <t>22.727904, 56.694638</t>
  </si>
  <si>
    <t>15/05/2026, 18:06</t>
  </si>
  <si>
    <t>22.723291, 56.69725</t>
  </si>
  <si>
    <t>15/05/2026, 17:55</t>
  </si>
  <si>
    <t>15/05/2026, 17:51</t>
  </si>
  <si>
    <t>62</t>
  </si>
  <si>
    <t>15/05/2026, 17:45</t>
  </si>
  <si>
    <t>22.737558, 56.60958</t>
  </si>
  <si>
    <t>14/05/2026, 17:19</t>
  </si>
  <si>
    <t>22.736839, 56.607726</t>
  </si>
  <si>
    <t>14/05/2026, 17:08</t>
  </si>
  <si>
    <t>22.758207, 56.581522</t>
  </si>
  <si>
    <t>14/05/2026, 17:01</t>
  </si>
  <si>
    <t>22.763676, 56.571698</t>
  </si>
  <si>
    <t>14/05/2026, 16:54</t>
  </si>
  <si>
    <t>22.736196, 56.697051</t>
  </si>
  <si>
    <t>14/05/2026, 16:43</t>
  </si>
  <si>
    <t>22.740827, 56.580814</t>
  </si>
  <si>
    <t>22.738234, 56.706015</t>
  </si>
  <si>
    <t>14/05/2026, 16:36</t>
  </si>
  <si>
    <t>22.724084, 56.547213</t>
  </si>
  <si>
    <t>14/05/2026, 16:31</t>
  </si>
  <si>
    <t>22.728851, 56.704217</t>
  </si>
  <si>
    <t>22.708741, 56.54546</t>
  </si>
  <si>
    <t>14/05/2026, 16:25</t>
  </si>
  <si>
    <t>22.725915, 56.719243</t>
  </si>
  <si>
    <t>14/05/2026, 16:23</t>
  </si>
  <si>
    <t>22.709172, 56.538668</t>
  </si>
  <si>
    <t>14/05/2026, 16:20</t>
  </si>
  <si>
    <t>22.723724, 56.724659</t>
  </si>
  <si>
    <t>14/05/2026, 16:18</t>
  </si>
  <si>
    <t>22.697805, 56.541227</t>
  </si>
  <si>
    <t>14/05/2026, 16:15</t>
  </si>
  <si>
    <t>22.72515, 56.726098</t>
  </si>
  <si>
    <t>14/05/2026, 16:13</t>
  </si>
  <si>
    <t>22.725179, 56.726058</t>
  </si>
  <si>
    <t>14/05/2026, 16:12</t>
  </si>
  <si>
    <t>22.72516, 56.726136</t>
  </si>
  <si>
    <t>14/05/2026, 16:11</t>
  </si>
  <si>
    <t>22.725093, 56.726182</t>
  </si>
  <si>
    <t>14/05/2026, 16:09</t>
  </si>
  <si>
    <t>22.695279, 56.536166</t>
  </si>
  <si>
    <t>14/05/2026, 16:10</t>
  </si>
  <si>
    <t>22.725201, 56.726081</t>
  </si>
  <si>
    <t>14/05/2026, 16:08</t>
  </si>
  <si>
    <t>22.725214, 56.726139</t>
  </si>
  <si>
    <t>14/05/2026, 16:06</t>
  </si>
  <si>
    <t>22.690227, 56.533144</t>
  </si>
  <si>
    <t>14/05/2026, 16:03</t>
  </si>
  <si>
    <t>22.696, 56.518856</t>
  </si>
  <si>
    <t>14/05/2026, 15:53</t>
  </si>
  <si>
    <t>22.684034, 56.524462</t>
  </si>
  <si>
    <t>14/05/2026, 15:45</t>
  </si>
  <si>
    <t>22.623134, 56.472349</t>
  </si>
  <si>
    <t>14/05/2026, 15:30</t>
  </si>
  <si>
    <t>22.618027, 56.466853</t>
  </si>
  <si>
    <t>14/05/2026, 15:24</t>
  </si>
  <si>
    <t>22.619467, 56.474076</t>
  </si>
  <si>
    <t>14/05/2026, 15:18</t>
  </si>
  <si>
    <t>22.676783, 56.846917</t>
  </si>
  <si>
    <t>14/05/2026, 15:14</t>
  </si>
  <si>
    <t>22.627375, 56.476717</t>
  </si>
  <si>
    <t>14/05/2026, 15:12</t>
  </si>
  <si>
    <t>22.672818, 56.844668</t>
  </si>
  <si>
    <t>14/05/2026, 15:08</t>
  </si>
  <si>
    <t>22.636601, 56.486417</t>
  </si>
  <si>
    <t>14/05/2026, 15:06</t>
  </si>
  <si>
    <t>22.667212, 56.84377</t>
  </si>
  <si>
    <t>14/05/2026, 14:59</t>
  </si>
  <si>
    <t>22.649298, 56.49394</t>
  </si>
  <si>
    <t>14/05/2026, 14:58</t>
  </si>
  <si>
    <t>22.661678, 56.842138</t>
  </si>
  <si>
    <t>14/05/2026, 14:53</t>
  </si>
  <si>
    <t>22.649664, 56.494239</t>
  </si>
  <si>
    <t>14/05/2026, 14:56</t>
  </si>
  <si>
    <t>22.656411, 56.843959</t>
  </si>
  <si>
    <t>14/05/2026, 14:48</t>
  </si>
  <si>
    <t>22.653022, 56.843721</t>
  </si>
  <si>
    <t>14/05/2026, 14:50</t>
  </si>
  <si>
    <t>22.656467, 56.843836</t>
  </si>
  <si>
    <t>22.681597, 56.515693</t>
  </si>
  <si>
    <t>14/05/2026, 14:36</t>
  </si>
  <si>
    <t>22.683749, 56.513616</t>
  </si>
  <si>
    <t>14/05/2026, 14:32</t>
  </si>
  <si>
    <t>22.687015, 56.514344</t>
  </si>
  <si>
    <t>14/05/2026, 14:22</t>
  </si>
  <si>
    <t>22.685053, 56.519267</t>
  </si>
  <si>
    <t>14/05/2026, 14:16</t>
  </si>
  <si>
    <t>13/05/2026, 21:25</t>
  </si>
  <si>
    <t>05</t>
  </si>
  <si>
    <t>13/05/2026, 16:26</t>
  </si>
  <si>
    <t>04</t>
  </si>
  <si>
    <t>13/05/2026, 16:21</t>
  </si>
  <si>
    <t>13/05/2026, 16:18</t>
  </si>
  <si>
    <t>02</t>
  </si>
  <si>
    <t>13/05/2026, 16:13</t>
  </si>
  <si>
    <t>01</t>
  </si>
  <si>
    <t>13/05/2026, 16:07</t>
  </si>
  <si>
    <t>13/05/2026, 16:02</t>
  </si>
  <si>
    <t>13/05/2026, 15:54</t>
  </si>
  <si>
    <t>09</t>
  </si>
  <si>
    <t>13/05/2026, 15:48</t>
  </si>
  <si>
    <t>13/05/2026, 15:43</t>
  </si>
  <si>
    <t>06</t>
  </si>
  <si>
    <t>13/05/2026, 15:37</t>
  </si>
  <si>
    <t>13/05/2026, 15:26</t>
  </si>
  <si>
    <t>07</t>
  </si>
  <si>
    <t>13/05/2026, 15:21</t>
  </si>
  <si>
    <t>13/05/2026, 15:16</t>
  </si>
  <si>
    <t>13/05/2026, 15:09</t>
  </si>
  <si>
    <t>13/05/2026, 14:51</t>
  </si>
  <si>
    <t>13/05/2026, 14:45</t>
  </si>
  <si>
    <t>13/05/2026, 14:38</t>
  </si>
  <si>
    <t>61</t>
  </si>
  <si>
    <t>13/05/2026, 14:29</t>
  </si>
  <si>
    <t>13/05/2026, 14:22</t>
  </si>
  <si>
    <t>13/05/2026, 14:12</t>
  </si>
  <si>
    <t>22.724789, 56.620395</t>
  </si>
  <si>
    <t>13/05/2026, 14:04</t>
  </si>
  <si>
    <t>22.724922, 56.620669</t>
  </si>
  <si>
    <t>12/05/2026, 13:54</t>
  </si>
  <si>
    <t>Masrooq</t>
  </si>
  <si>
    <t>22.784807, 55.996691</t>
  </si>
  <si>
    <t>20/05/2026, 12:08</t>
  </si>
  <si>
    <t>22.789156, 56.003392</t>
  </si>
  <si>
    <t>20/05/2026, 12:16</t>
  </si>
  <si>
    <t>22.77422, 55.9931</t>
  </si>
  <si>
    <t>20/05/2026, 12:03</t>
  </si>
  <si>
    <t>22.783506, 55.994187</t>
  </si>
  <si>
    <t>20/05/2026, 12:13</t>
  </si>
  <si>
    <t>22.787198, 56.000406</t>
  </si>
  <si>
    <t>2</t>
  </si>
  <si>
    <t>20/05/2026, 12:12</t>
  </si>
  <si>
    <t>22.794371, 56.00735</t>
  </si>
  <si>
    <t>1</t>
  </si>
  <si>
    <t>20/05/2026, 12:25</t>
  </si>
  <si>
    <t>22.853302, 56.023898</t>
  </si>
  <si>
    <t>20/05/2026, 12:51</t>
  </si>
  <si>
    <t>22.801492, 56.019843</t>
  </si>
  <si>
    <t>20/05/2026, 12:31</t>
  </si>
  <si>
    <t>22.855746, 56.024164</t>
  </si>
  <si>
    <t>20/05/2026, 12:57</t>
  </si>
  <si>
    <t>22.847281, 56.023834</t>
  </si>
  <si>
    <t>20/05/2026, 12:44</t>
  </si>
  <si>
    <t>22.859674, 56.029307</t>
  </si>
  <si>
    <t>20/05/2026, 13:39</t>
  </si>
  <si>
    <t>22.865642, 56.031987</t>
  </si>
  <si>
    <t>20/05/2026, 13:21</t>
  </si>
  <si>
    <t>22.865765, 56.031986</t>
  </si>
  <si>
    <t>111</t>
  </si>
  <si>
    <t>20/05/2026, 13:19</t>
  </si>
  <si>
    <t>22.882656, 56.069821</t>
  </si>
  <si>
    <t>18/05/2026, 12:41</t>
  </si>
  <si>
    <t>22.861867, 56.095349</t>
  </si>
  <si>
    <t>28/05/2026, 13:35</t>
  </si>
  <si>
    <t>08/06/2026, 10:27</t>
  </si>
  <si>
    <t>22.859014, 56.092206</t>
  </si>
  <si>
    <t>18/05/2026, 12:15</t>
  </si>
  <si>
    <t>08/06/2026, 10:23</t>
  </si>
  <si>
    <t>22.853201, 56.088693</t>
  </si>
  <si>
    <t>18/05/2026, 12:17</t>
  </si>
  <si>
    <t>08/06/2026, 10:19</t>
  </si>
  <si>
    <t>22.850006, 56.081099</t>
  </si>
  <si>
    <t>28/05/2026, 13:34</t>
  </si>
  <si>
    <t>08/06/2026, 10:15</t>
  </si>
  <si>
    <t>22.853109, 56.084358</t>
  </si>
  <si>
    <t>18/05/2026, 12:21</t>
  </si>
  <si>
    <t>22.855922, 56.082551</t>
  </si>
  <si>
    <t>08/06/2026, 10:05</t>
  </si>
  <si>
    <t>22.856392, 56.083074</t>
  </si>
  <si>
    <t>23.580032, 56.57179</t>
  </si>
  <si>
    <t>20/05/2026, 13:04</t>
  </si>
  <si>
    <t>23.273949, 56.385169</t>
  </si>
  <si>
    <t>18/05/2026, 12:50</t>
  </si>
  <si>
    <t>Al Rob’a AlKhali</t>
  </si>
  <si>
    <t>22.247998, 55.562671</t>
  </si>
  <si>
    <t>19/05/2026, 13:00</t>
  </si>
  <si>
    <t>11/06/2026, 11:55</t>
  </si>
  <si>
    <t>22.248976, 55.560888</t>
  </si>
  <si>
    <t>19/05/2026, 13:04</t>
  </si>
  <si>
    <t>19/05/2026, 12:22</t>
  </si>
  <si>
    <t>11/06/2026, 11:35</t>
  </si>
  <si>
    <t>22.237265, 55.546383</t>
  </si>
  <si>
    <t>502</t>
  </si>
  <si>
    <t>21/05/2026, 12:53</t>
  </si>
  <si>
    <t>22.237831, 55.546037</t>
  </si>
  <si>
    <t>403</t>
  </si>
  <si>
    <t>21/05/2026, 12:50</t>
  </si>
  <si>
    <t>22.238156, 55.546037</t>
  </si>
  <si>
    <t>21/05/2026, 12:47</t>
  </si>
  <si>
    <t>22.228414, 55.545632</t>
  </si>
  <si>
    <t>18/05/2026, 23:01</t>
  </si>
  <si>
    <t>22.228443, 55.545646</t>
  </si>
  <si>
    <t>18/05/2026, 23:00</t>
  </si>
  <si>
    <t>22.222186, 55.540306</t>
  </si>
  <si>
    <t>18/05/2026, 22:43</t>
  </si>
  <si>
    <t>22.215028, 55.530826</t>
  </si>
  <si>
    <t>22.232228, 55.545493</t>
  </si>
  <si>
    <t>21/05/2026, 12:36</t>
  </si>
  <si>
    <t>18/05/2026, 22:33</t>
  </si>
  <si>
    <t>22.236104, 55.546952</t>
  </si>
  <si>
    <t>16/05/2026, 11:38</t>
  </si>
  <si>
    <t>22.236082, 55.546944</t>
  </si>
  <si>
    <t>501</t>
  </si>
  <si>
    <t>18/05/2026, 22:49</t>
  </si>
  <si>
    <t>22.241475, 55.554433</t>
  </si>
  <si>
    <t>19/05/2026, 12:52</t>
  </si>
  <si>
    <t>19/05/2026, 12:53</t>
  </si>
  <si>
    <t>11/06/2026, 11:44</t>
  </si>
  <si>
    <t>Hijermat</t>
  </si>
  <si>
    <t>AL-ARED</t>
  </si>
  <si>
    <t>23.375757, 56.590374</t>
  </si>
  <si>
    <t>4622</t>
  </si>
  <si>
    <t>08/06/2026, 14:59</t>
  </si>
  <si>
    <t>1225</t>
  </si>
  <si>
    <t>08/06/2026, 14:56</t>
  </si>
  <si>
    <t>1224</t>
  </si>
  <si>
    <t>08/06/2026, 14:50</t>
  </si>
  <si>
    <t>1223</t>
  </si>
  <si>
    <t>08/06/2026, 14:41</t>
  </si>
  <si>
    <t>1822</t>
  </si>
  <si>
    <t>08/06/2026, 14:36</t>
  </si>
  <si>
    <t>1222</t>
  </si>
  <si>
    <t>08/06/2026, 14:34</t>
  </si>
  <si>
    <t>23.403826, 56.617002</t>
  </si>
  <si>
    <t>1221</t>
  </si>
  <si>
    <t>08/06/2026, 14:29</t>
  </si>
  <si>
    <t>1220</t>
  </si>
  <si>
    <t>08/06/2026, 14:23</t>
  </si>
  <si>
    <t>2015</t>
  </si>
  <si>
    <t>08/06/2026, 14:19</t>
  </si>
  <si>
    <t>1219</t>
  </si>
  <si>
    <t>08/06/2026, 14:16</t>
  </si>
  <si>
    <t>1218</t>
  </si>
  <si>
    <t>08/06/2026, 14:10</t>
  </si>
  <si>
    <t>4659</t>
  </si>
  <si>
    <t>08/06/2026, 14:07</t>
  </si>
  <si>
    <t>23.394355, 56.647386</t>
  </si>
  <si>
    <t>4400</t>
  </si>
  <si>
    <t>08/06/2026, 14:04</t>
  </si>
  <si>
    <t>4258</t>
  </si>
  <si>
    <t>08/06/2026, 13:56</t>
  </si>
  <si>
    <t>4390</t>
  </si>
  <si>
    <t>08/06/2026, 13:52</t>
  </si>
  <si>
    <t>4563</t>
  </si>
  <si>
    <t>08/06/2026, 13:50</t>
  </si>
  <si>
    <t>08/06/2026, 13:48</t>
  </si>
  <si>
    <t>4257</t>
  </si>
  <si>
    <t>08/06/2026, 13:45</t>
  </si>
  <si>
    <t>2276</t>
  </si>
  <si>
    <t>08/06/2026, 13:42</t>
  </si>
  <si>
    <t>4308</t>
  </si>
  <si>
    <t>08/06/2026, 13:39</t>
  </si>
  <si>
    <t>23.376468, 56.687716</t>
  </si>
  <si>
    <t>2318</t>
  </si>
  <si>
    <t>08/06/2026, 13:26</t>
  </si>
  <si>
    <t>1216</t>
  </si>
  <si>
    <t>08/06/2026, 13:23</t>
  </si>
  <si>
    <t>603</t>
  </si>
  <si>
    <t>08/06/2026, 13:18</t>
  </si>
  <si>
    <t>23.376452, 56.687674</t>
  </si>
  <si>
    <t>4498</t>
  </si>
  <si>
    <t>08/06/2026, 13:16</t>
  </si>
  <si>
    <t>23.404009, 56.629381</t>
  </si>
  <si>
    <t>1214</t>
  </si>
  <si>
    <t>07/06/2026, 14:39</t>
  </si>
  <si>
    <t>23.411878, 56.635088</t>
  </si>
  <si>
    <t>1213</t>
  </si>
  <si>
    <t>07/06/2026, 14:30</t>
  </si>
  <si>
    <t>2067</t>
  </si>
  <si>
    <t>07/06/2026, 14:26</t>
  </si>
  <si>
    <t>23.414854, 56.632891</t>
  </si>
  <si>
    <t>1479</t>
  </si>
  <si>
    <t>07/06/2026, 14:18</t>
  </si>
  <si>
    <t>23.414954, 56.632776</t>
  </si>
  <si>
    <t>1204</t>
  </si>
  <si>
    <t>07/06/2026, 14:13</t>
  </si>
  <si>
    <t>23.427036, 56.622059</t>
  </si>
  <si>
    <t>1199</t>
  </si>
  <si>
    <t>07/06/2026, 14:03</t>
  </si>
  <si>
    <t>23.426795, 56.622247</t>
  </si>
  <si>
    <t>1200</t>
  </si>
  <si>
    <t>07/06/2026, 13:53</t>
  </si>
  <si>
    <t>23.425335, 56.622018</t>
  </si>
  <si>
    <t>1873</t>
  </si>
  <si>
    <t>07/06/2026, 13:49</t>
  </si>
  <si>
    <t>23.423651, 56.612781</t>
  </si>
  <si>
    <t>1521</t>
  </si>
  <si>
    <t>07/06/2026, 13:43</t>
  </si>
  <si>
    <t>23.420835, 56.629472</t>
  </si>
  <si>
    <t>1581</t>
  </si>
  <si>
    <t>07/06/2026, 13:39</t>
  </si>
  <si>
    <t>1201</t>
  </si>
  <si>
    <t>07/06/2026, 13:33</t>
  </si>
  <si>
    <t>23.420816, 56.629889</t>
  </si>
  <si>
    <t>1203</t>
  </si>
  <si>
    <t>07/06/2026, 13:18</t>
  </si>
  <si>
    <t>23.420909, 56.629212</t>
  </si>
  <si>
    <t>2369</t>
  </si>
  <si>
    <t>07/06/2026, 13:15</t>
  </si>
  <si>
    <t>23.42077, 56.632243</t>
  </si>
  <si>
    <t>1208</t>
  </si>
  <si>
    <t>07/06/2026, 13:08</t>
  </si>
  <si>
    <t>1207</t>
  </si>
  <si>
    <t>07/06/2026, 13:01</t>
  </si>
  <si>
    <t>1206</t>
  </si>
  <si>
    <t>07/06/2026, 12:57</t>
  </si>
  <si>
    <t>23.416033, 56.638007</t>
  </si>
  <si>
    <t>1205</t>
  </si>
  <si>
    <t>07/06/2026, 12:48</t>
  </si>
  <si>
    <t>23.413572, 56.636271</t>
  </si>
  <si>
    <t>1686</t>
  </si>
  <si>
    <t>07/06/2026, 12:39</t>
  </si>
  <si>
    <t>23.422519, 56.627132</t>
  </si>
  <si>
    <t>1803</t>
  </si>
  <si>
    <t>01/06/2026, 15:24</t>
  </si>
  <si>
    <t>23.439634, 56.611862</t>
  </si>
  <si>
    <t>1510</t>
  </si>
  <si>
    <t>01/06/2026, 15:16</t>
  </si>
  <si>
    <t>23.439572, 56.611737</t>
  </si>
  <si>
    <t>1196</t>
  </si>
  <si>
    <t>01/06/2026, 15:11</t>
  </si>
  <si>
    <t>1195</t>
  </si>
  <si>
    <t>01/06/2026, 15:09</t>
  </si>
  <si>
    <t>23.439597, 56.611761</t>
  </si>
  <si>
    <t>1194</t>
  </si>
  <si>
    <t>23.439583, 56.611752</t>
  </si>
  <si>
    <t>1193</t>
  </si>
  <si>
    <t>01/06/2026, 15:07</t>
  </si>
  <si>
    <t>23.439595, 56.611769</t>
  </si>
  <si>
    <t>1192</t>
  </si>
  <si>
    <t>01/06/2026, 15:05</t>
  </si>
  <si>
    <t>23.439576, 56.611847</t>
  </si>
  <si>
    <t>4324</t>
  </si>
  <si>
    <t>23.441268, 56.614022</t>
  </si>
  <si>
    <t>1191</t>
  </si>
  <si>
    <t>01/06/2026, 14:40</t>
  </si>
  <si>
    <t>23.438542, 56.61748</t>
  </si>
  <si>
    <t>1190</t>
  </si>
  <si>
    <t>01/06/2026, 14:35</t>
  </si>
  <si>
    <t>23.440905, 56.621694</t>
  </si>
  <si>
    <t>2349</t>
  </si>
  <si>
    <t>01/06/2026, 14:31</t>
  </si>
  <si>
    <t>23.440093, 56.624749</t>
  </si>
  <si>
    <t>1189</t>
  </si>
  <si>
    <t>01/06/2026, 14:28</t>
  </si>
  <si>
    <t>23.356269, 56.566319</t>
  </si>
  <si>
    <t>2107</t>
  </si>
  <si>
    <t>01/06/2026, 14:19</t>
  </si>
  <si>
    <t>23.252571, 56.538031</t>
  </si>
  <si>
    <t>1197</t>
  </si>
  <si>
    <t>01/06/2026, 14:12</t>
  </si>
  <si>
    <t>23.5, 57.5</t>
  </si>
  <si>
    <t>1198</t>
  </si>
  <si>
    <t>1209</t>
  </si>
  <si>
    <t>1187</t>
  </si>
  <si>
    <t>01/06/2026, 13:51</t>
  </si>
  <si>
    <t>1202</t>
  </si>
  <si>
    <t>01/06/2026, 13:42</t>
  </si>
  <si>
    <t>23.495297, 57.470531</t>
  </si>
  <si>
    <t>1210</t>
  </si>
  <si>
    <t>01/06/2026, 13:36</t>
  </si>
  <si>
    <t>1183</t>
  </si>
  <si>
    <t>01/06/2026, 13:29</t>
  </si>
  <si>
    <t>1184</t>
  </si>
  <si>
    <t>01/06/2026, 13:25</t>
  </si>
  <si>
    <t>1182</t>
  </si>
  <si>
    <t>01/06/2026, 13:22</t>
  </si>
  <si>
    <t>23.44823, 56.637189</t>
  </si>
  <si>
    <t>2047</t>
  </si>
  <si>
    <t>21/05/2026, 14:59</t>
  </si>
  <si>
    <t>23.448169, 56.639704</t>
  </si>
  <si>
    <t>1413</t>
  </si>
  <si>
    <t>21/05/2026, 14:53</t>
  </si>
  <si>
    <t>23.44752, 56.642406</t>
  </si>
  <si>
    <t>1226</t>
  </si>
  <si>
    <t>21/05/2026, 14:49</t>
  </si>
  <si>
    <t>23.473803, 56.648219</t>
  </si>
  <si>
    <t>2152</t>
  </si>
  <si>
    <t>21/05/2026, 14:41</t>
  </si>
  <si>
    <t>23.477783, 56.646593</t>
  </si>
  <si>
    <t>2322</t>
  </si>
  <si>
    <t>21/05/2026, 14:36</t>
  </si>
  <si>
    <t>23.480013, 56.641074</t>
  </si>
  <si>
    <t>1241</t>
  </si>
  <si>
    <t>21/05/2026, 14:33</t>
  </si>
  <si>
    <t>23.48404, 56.637406</t>
  </si>
  <si>
    <t>1242</t>
  </si>
  <si>
    <t>21/05/2026, 14:29</t>
  </si>
  <si>
    <t>23.468895, 56.654902</t>
  </si>
  <si>
    <t>2166</t>
  </si>
  <si>
    <t>21/05/2026, 14:21</t>
  </si>
  <si>
    <t>23.466899, 56.655862</t>
  </si>
  <si>
    <t>1239</t>
  </si>
  <si>
    <t>21/05/2026, 14:13</t>
  </si>
  <si>
    <t>23.460382, 56.658466</t>
  </si>
  <si>
    <t>01147</t>
  </si>
  <si>
    <t>21/05/2026, 13:59</t>
  </si>
  <si>
    <t>23.457702, 56.660464</t>
  </si>
  <si>
    <t>2151</t>
  </si>
  <si>
    <t>21/05/2026, 13:53</t>
  </si>
  <si>
    <t>23.453286, 56.66199</t>
  </si>
  <si>
    <t>1229</t>
  </si>
  <si>
    <t>21/05/2026, 13:46</t>
  </si>
  <si>
    <t>23.447336, 56.627494</t>
  </si>
  <si>
    <t>1249</t>
  </si>
  <si>
    <t>21/05/2026, 09:41</t>
  </si>
  <si>
    <t>23.490414, 56.646474</t>
  </si>
  <si>
    <t>1660</t>
  </si>
  <si>
    <t>20/05/2026, 15:10</t>
  </si>
  <si>
    <t>23.486618, 56.649182</t>
  </si>
  <si>
    <t>2169</t>
  </si>
  <si>
    <t>20/05/2026, 14:50</t>
  </si>
  <si>
    <t>23.485716, 56.657836</t>
  </si>
  <si>
    <t>1246</t>
  </si>
  <si>
    <t>20/05/2026, 15:00</t>
  </si>
  <si>
    <t>23.483472, 56.654029</t>
  </si>
  <si>
    <t>1248</t>
  </si>
  <si>
    <t>23.473744, 56.652179</t>
  </si>
  <si>
    <t>1240</t>
  </si>
  <si>
    <t>20/05/2026, 14:59</t>
  </si>
  <si>
    <t>23.474546, 56.655063</t>
  </si>
  <si>
    <t>1243</t>
  </si>
  <si>
    <t>23.474752, 56.6574</t>
  </si>
  <si>
    <t>1244</t>
  </si>
  <si>
    <t>20/05/2026, 14:52</t>
  </si>
  <si>
    <t>23.475582, 56.658475</t>
  </si>
  <si>
    <t>2221</t>
  </si>
  <si>
    <t>20/05/2026, 14:58</t>
  </si>
  <si>
    <t>23.47189, 56.662023</t>
  </si>
  <si>
    <t>1245</t>
  </si>
  <si>
    <t>23.489851, 56.672164</t>
  </si>
  <si>
    <t>1895</t>
  </si>
  <si>
    <t>23.486333, 56.672459</t>
  </si>
  <si>
    <t>1496</t>
  </si>
  <si>
    <t>23.484955, 56.670698</t>
  </si>
  <si>
    <t>4133</t>
  </si>
  <si>
    <t>20/05/2026, 14:55</t>
  </si>
  <si>
    <t>23.480261, 56.670035</t>
  </si>
  <si>
    <t>4770</t>
  </si>
  <si>
    <t>23.475811, 56.668733</t>
  </si>
  <si>
    <t>1236</t>
  </si>
  <si>
    <t>23.467808, 56.667969</t>
  </si>
  <si>
    <t>4134</t>
  </si>
  <si>
    <t>20/05/2026, 14:54</t>
  </si>
  <si>
    <t>23.467844, 56.667945</t>
  </si>
  <si>
    <t>4642</t>
  </si>
  <si>
    <t>23.469693, 56.672765</t>
  </si>
  <si>
    <t>1235</t>
  </si>
  <si>
    <t>23.469637, 56.672912</t>
  </si>
  <si>
    <t>1820</t>
  </si>
  <si>
    <t>20/05/2026, 14:53</t>
  </si>
  <si>
    <t>23.467275, 56.67794</t>
  </si>
  <si>
    <t>1234</t>
  </si>
  <si>
    <t>23.469175, 56.679085</t>
  </si>
  <si>
    <t>1238</t>
  </si>
  <si>
    <t>23.466114, 56.678509</t>
  </si>
  <si>
    <t>1237</t>
  </si>
  <si>
    <t>23.39346, 56.717661</t>
  </si>
  <si>
    <t>1186</t>
  </si>
  <si>
    <t>21/05/2026, 08:51</t>
  </si>
  <si>
    <t>1185</t>
  </si>
  <si>
    <t>20/05/2026, 11:58</t>
  </si>
  <si>
    <t>MAQNYAT</t>
  </si>
  <si>
    <t>23.379604, 56.89729</t>
  </si>
  <si>
    <t>1458</t>
  </si>
  <si>
    <t>04/06/2026, 15:24</t>
  </si>
  <si>
    <t>23.376925, 56.893607</t>
  </si>
  <si>
    <t>2222</t>
  </si>
  <si>
    <t>04/06/2026, 15:15</t>
  </si>
  <si>
    <t>23.375108, 56.893042</t>
  </si>
  <si>
    <t>1114</t>
  </si>
  <si>
    <t>04/06/2026, 15:09</t>
  </si>
  <si>
    <t>23.371068, 56.891592</t>
  </si>
  <si>
    <t>4746</t>
  </si>
  <si>
    <t>23.372763, 56.888374</t>
  </si>
  <si>
    <t>1109</t>
  </si>
  <si>
    <t>23.3718, 56.887132</t>
  </si>
  <si>
    <t>1110</t>
  </si>
  <si>
    <t>04/06/2026, 14:46</t>
  </si>
  <si>
    <t>23.369281, 56.886355</t>
  </si>
  <si>
    <t>2023</t>
  </si>
  <si>
    <t>04/06/2026, 14:37</t>
  </si>
  <si>
    <t>23.367247, 56.885747</t>
  </si>
  <si>
    <t>1112</t>
  </si>
  <si>
    <t>04/06/2026, 14:31</t>
  </si>
  <si>
    <t>23.370437, 56.886023</t>
  </si>
  <si>
    <t>1111</t>
  </si>
  <si>
    <t>23.375625, 56.882098</t>
  </si>
  <si>
    <t>1108</t>
  </si>
  <si>
    <t>04/06/2026, 14:20</t>
  </si>
  <si>
    <t>23.375607, 56.882137</t>
  </si>
  <si>
    <t>1106</t>
  </si>
  <si>
    <t>04/06/2026, 14:13</t>
  </si>
  <si>
    <t>23.37409, 56.883407</t>
  </si>
  <si>
    <t>4527</t>
  </si>
  <si>
    <t>04/06/2026, 14:09</t>
  </si>
  <si>
    <t>23.377573, 56.877542</t>
  </si>
  <si>
    <t>1104</t>
  </si>
  <si>
    <t>04/06/2026, 14:04</t>
  </si>
  <si>
    <t>23.375323, 56.871193</t>
  </si>
  <si>
    <t>1103</t>
  </si>
  <si>
    <t>04/06/2026, 13:59</t>
  </si>
  <si>
    <t>23.377859, 56.87042</t>
  </si>
  <si>
    <t>600</t>
  </si>
  <si>
    <t>04/06/2026, 13:55</t>
  </si>
  <si>
    <t>23.37868, 56.870687</t>
  </si>
  <si>
    <t>1668</t>
  </si>
  <si>
    <t>04/06/2026, 13:53</t>
  </si>
  <si>
    <t>23.378679, 56.87069</t>
  </si>
  <si>
    <t>1102</t>
  </si>
  <si>
    <t>04/06/2026, 13:47</t>
  </si>
  <si>
    <t>23.37809, 56.877575</t>
  </si>
  <si>
    <t>4599</t>
  </si>
  <si>
    <t>04/06/2026, 13:39</t>
  </si>
  <si>
    <t>23.378911, 56.876335</t>
  </si>
  <si>
    <t>1105</t>
  </si>
  <si>
    <t>04/06/2026, 13:34</t>
  </si>
  <si>
    <t>23.380573, 56.875832</t>
  </si>
  <si>
    <t>4716</t>
  </si>
  <si>
    <t>04/06/2026, 13:30</t>
  </si>
  <si>
    <t>23.381462, 56.867359</t>
  </si>
  <si>
    <t>1101</t>
  </si>
  <si>
    <t>04/06/2026, 13:24</t>
  </si>
  <si>
    <t>23.378091, 57.017622</t>
  </si>
  <si>
    <t>1259</t>
  </si>
  <si>
    <t>03/06/2026, 16:16</t>
  </si>
  <si>
    <t>23.403645, 57.05087</t>
  </si>
  <si>
    <t>2279</t>
  </si>
  <si>
    <t>03/06/2026, 15:58</t>
  </si>
  <si>
    <t>23.401534, 57.049022</t>
  </si>
  <si>
    <t>2203</t>
  </si>
  <si>
    <t>03/06/2026, 15:54</t>
  </si>
  <si>
    <t>23.397223, 57.050161</t>
  </si>
  <si>
    <t>2202</t>
  </si>
  <si>
    <t>03/06/2026, 15:46</t>
  </si>
  <si>
    <t>23.393919, 57.044018</t>
  </si>
  <si>
    <t>4270</t>
  </si>
  <si>
    <t>03/06/2026, 15:43</t>
  </si>
  <si>
    <t>23.390012, 57.034183</t>
  </si>
  <si>
    <t>03/06/2026, 15:38</t>
  </si>
  <si>
    <t>23.388912, 57.02829</t>
  </si>
  <si>
    <t>1654</t>
  </si>
  <si>
    <t>03/06/2026, 15:31</t>
  </si>
  <si>
    <t>23.387455, 57.028295</t>
  </si>
  <si>
    <t>1261</t>
  </si>
  <si>
    <t>23.387335, 57.023552</t>
  </si>
  <si>
    <t>2328</t>
  </si>
  <si>
    <t>03/06/2026, 15:20</t>
  </si>
  <si>
    <t>23.381032, 57.024815</t>
  </si>
  <si>
    <t>1260</t>
  </si>
  <si>
    <t>03/06/2026, 15:14</t>
  </si>
  <si>
    <t>23.37741, 57.028497</t>
  </si>
  <si>
    <t>1387</t>
  </si>
  <si>
    <t>03/06/2026, 15:06</t>
  </si>
  <si>
    <t>23.378066, 57.022083</t>
  </si>
  <si>
    <t>1735</t>
  </si>
  <si>
    <t>03/06/2026, 15:00</t>
  </si>
  <si>
    <t>23.382275, 57.016295</t>
  </si>
  <si>
    <t>2211</t>
  </si>
  <si>
    <t>03/06/2026, 14:55</t>
  </si>
  <si>
    <t>23.377192, 57.016344</t>
  </si>
  <si>
    <t>2212</t>
  </si>
  <si>
    <t>03/06/2026, 14:49</t>
  </si>
  <si>
    <t>23.35056, 57.029545</t>
  </si>
  <si>
    <t>1263</t>
  </si>
  <si>
    <t>03/06/2026, 14:42</t>
  </si>
  <si>
    <t>1262</t>
  </si>
  <si>
    <t>03/06/2026, 14:31</t>
  </si>
  <si>
    <t>23.368662, 57.017942</t>
  </si>
  <si>
    <t>4699</t>
  </si>
  <si>
    <t>03/06/2026, 14:17</t>
  </si>
  <si>
    <t>23.381112, 57.011952</t>
  </si>
  <si>
    <t>1258</t>
  </si>
  <si>
    <t>03/06/2026, 13:46</t>
  </si>
  <si>
    <t>23.380147, 57.006448</t>
  </si>
  <si>
    <t>4376</t>
  </si>
  <si>
    <t>01/06/2026, 16:00</t>
  </si>
  <si>
    <t>23.382642, 57.005563</t>
  </si>
  <si>
    <t>1991</t>
  </si>
  <si>
    <t>01/06/2026, 15:55</t>
  </si>
  <si>
    <t>23.385694, 57.006969</t>
  </si>
  <si>
    <t>1591</t>
  </si>
  <si>
    <t>23.387884, 57.005366</t>
  </si>
  <si>
    <t>1257</t>
  </si>
  <si>
    <t>01/06/2026, 15:45</t>
  </si>
  <si>
    <t>23.388181, 57.006518</t>
  </si>
  <si>
    <t>1256</t>
  </si>
  <si>
    <t>01/06/2026, 15:41</t>
  </si>
  <si>
    <t>23.390154, 57.001091</t>
  </si>
  <si>
    <t>1255</t>
  </si>
  <si>
    <t>01/06/2026, 15:36</t>
  </si>
  <si>
    <t>23.391328, 57.005297</t>
  </si>
  <si>
    <t>4559</t>
  </si>
  <si>
    <t>01/06/2026, 15:31</t>
  </si>
  <si>
    <t>23.391713, 56.998014</t>
  </si>
  <si>
    <t>1590</t>
  </si>
  <si>
    <t>01/06/2026, 15:26</t>
  </si>
  <si>
    <t>23.392422, 57.001406</t>
  </si>
  <si>
    <t>1254</t>
  </si>
  <si>
    <t>01/06/2026, 15:20</t>
  </si>
  <si>
    <t>23.395649, 56.994347</t>
  </si>
  <si>
    <t>1252</t>
  </si>
  <si>
    <t>23.394579, 56.993864</t>
  </si>
  <si>
    <t>1253</t>
  </si>
  <si>
    <t>01/06/2026, 14:58</t>
  </si>
  <si>
    <t>23.395737, 56.993033</t>
  </si>
  <si>
    <t>1149</t>
  </si>
  <si>
    <t>01/06/2026, 14:55</t>
  </si>
  <si>
    <t>23.403499, 56.993862</t>
  </si>
  <si>
    <t>1146</t>
  </si>
  <si>
    <t>01/06/2026, 14:48</t>
  </si>
  <si>
    <t>23.403572, 57.005535</t>
  </si>
  <si>
    <t>4640</t>
  </si>
  <si>
    <t>01/06/2026, 14:41</t>
  </si>
  <si>
    <t>23.402314, 57.001936</t>
  </si>
  <si>
    <t>1147</t>
  </si>
  <si>
    <t>01/06/2026, 14:38</t>
  </si>
  <si>
    <t>23.401773, 56.997044</t>
  </si>
  <si>
    <t>4119</t>
  </si>
  <si>
    <t>23.400227, 56.998994</t>
  </si>
  <si>
    <t>2218</t>
  </si>
  <si>
    <t>23.399878, 56.991134</t>
  </si>
  <si>
    <t>1145</t>
  </si>
  <si>
    <t>01/06/2026, 14:20</t>
  </si>
  <si>
    <t>23.396622, 56.989225</t>
  </si>
  <si>
    <t>1144</t>
  </si>
  <si>
    <t>01/06/2026, 14:15</t>
  </si>
  <si>
    <t>23.394995, 56.990833</t>
  </si>
  <si>
    <t>1251</t>
  </si>
  <si>
    <t>01/06/2026, 14:09</t>
  </si>
  <si>
    <t>23.394891, 56.987678</t>
  </si>
  <si>
    <t>4140</t>
  </si>
  <si>
    <t>23.395536, 56.9858</t>
  </si>
  <si>
    <t>01/06/2026, 13:54</t>
  </si>
  <si>
    <t>23.396921, 56.984477</t>
  </si>
  <si>
    <t>4523</t>
  </si>
  <si>
    <t>01/06/2026, 13:48</t>
  </si>
  <si>
    <t>23.396946, 56.984506</t>
  </si>
  <si>
    <t>1142</t>
  </si>
  <si>
    <t>01/06/2026, 13:44</t>
  </si>
  <si>
    <t>23.395406, 56.981246</t>
  </si>
  <si>
    <t>4493</t>
  </si>
  <si>
    <t>01/06/2026, 13:39</t>
  </si>
  <si>
    <t>23.383263, 56.876063</t>
  </si>
  <si>
    <t>1092</t>
  </si>
  <si>
    <t>28/05/2026, 16:07</t>
  </si>
  <si>
    <t>23.413485, 56.890806</t>
  </si>
  <si>
    <t>1329</t>
  </si>
  <si>
    <t>28/05/2026, 15:49</t>
  </si>
  <si>
    <t>23.419148, 56.891538</t>
  </si>
  <si>
    <t>4769</t>
  </si>
  <si>
    <t>28/05/2026, 15:44</t>
  </si>
  <si>
    <t>23.412395, 56.889229</t>
  </si>
  <si>
    <t>1919</t>
  </si>
  <si>
    <t>28/05/2026, 15:37</t>
  </si>
  <si>
    <t>23.409071, 56.889539</t>
  </si>
  <si>
    <t>1098</t>
  </si>
  <si>
    <t>28/05/2026, 15:34</t>
  </si>
  <si>
    <t>23.4044, 56.888872</t>
  </si>
  <si>
    <t>1100</t>
  </si>
  <si>
    <t>28/05/2026, 15:28</t>
  </si>
  <si>
    <t>23.393777, 56.980507</t>
  </si>
  <si>
    <t>1141</t>
  </si>
  <si>
    <t>28/05/2026, 15:26</t>
  </si>
  <si>
    <t>23.402199, 56.88743</t>
  </si>
  <si>
    <t>1099</t>
  </si>
  <si>
    <t>28/05/2026, 15:21</t>
  </si>
  <si>
    <t>23.392796, 56.980202</t>
  </si>
  <si>
    <t>2300</t>
  </si>
  <si>
    <t>23.398078, 56.887383</t>
  </si>
  <si>
    <t>1097</t>
  </si>
  <si>
    <t>28/05/2026, 15:16</t>
  </si>
  <si>
    <t>23.393501, 56.974592</t>
  </si>
  <si>
    <t>1140</t>
  </si>
  <si>
    <t>23.395883, 56.889131</t>
  </si>
  <si>
    <t>1096</t>
  </si>
  <si>
    <t>28/05/2026, 15:10</t>
  </si>
  <si>
    <t>23.370364, 56.923903</t>
  </si>
  <si>
    <t>4721</t>
  </si>
  <si>
    <t>28/05/2026, 15:06</t>
  </si>
  <si>
    <t>23.353282, 56.909336</t>
  </si>
  <si>
    <t>1125</t>
  </si>
  <si>
    <t>28/05/2026, 15:01</t>
  </si>
  <si>
    <t>23.401953, 56.892245</t>
  </si>
  <si>
    <t>2312</t>
  </si>
  <si>
    <t>23.413236, 56.972744</t>
  </si>
  <si>
    <t>1139</t>
  </si>
  <si>
    <t>28/05/2026, 14:58</t>
  </si>
  <si>
    <t>23.408379, 56.971662</t>
  </si>
  <si>
    <t>4392</t>
  </si>
  <si>
    <t>23.392379, 56.885686</t>
  </si>
  <si>
    <t>4359</t>
  </si>
  <si>
    <t>28/05/2026, 15:05</t>
  </si>
  <si>
    <t>23.40095, 56.968362</t>
  </si>
  <si>
    <t>4605</t>
  </si>
  <si>
    <t>28/05/2026, 14:53</t>
  </si>
  <si>
    <t>23.390083, 56.884282</t>
  </si>
  <si>
    <t>4142</t>
  </si>
  <si>
    <t>28/05/2026, 14:46</t>
  </si>
  <si>
    <t>23.397374, 56.97105</t>
  </si>
  <si>
    <t>1138</t>
  </si>
  <si>
    <t>28/05/2026, 14:45</t>
  </si>
  <si>
    <t>23.395039, 56.965196</t>
  </si>
  <si>
    <t>1137</t>
  </si>
  <si>
    <t>23.3848, 56.881396</t>
  </si>
  <si>
    <t>1095</t>
  </si>
  <si>
    <t>28/05/2026, 14:41</t>
  </si>
  <si>
    <t>23.39025, 56.96482</t>
  </si>
  <si>
    <t>1136</t>
  </si>
  <si>
    <t>28/05/2026, 14:36</t>
  </si>
  <si>
    <t>23.384935, 56.878662</t>
  </si>
  <si>
    <t>1091</t>
  </si>
  <si>
    <t>28/05/2026, 14:34</t>
  </si>
  <si>
    <t>23.385303, 56.960748</t>
  </si>
  <si>
    <t>2361</t>
  </si>
  <si>
    <t>28/05/2026, 14:31</t>
  </si>
  <si>
    <t>23.38693, 56.878828</t>
  </si>
  <si>
    <t>1089</t>
  </si>
  <si>
    <t>28/05/2026, 14:27</t>
  </si>
  <si>
    <t>23.386647, 56.961419</t>
  </si>
  <si>
    <t>1135</t>
  </si>
  <si>
    <t>28/05/2026, 14:25</t>
  </si>
  <si>
    <t>23.387428, 56.958719</t>
  </si>
  <si>
    <t>1924</t>
  </si>
  <si>
    <t>28/05/2026, 14:20</t>
  </si>
  <si>
    <t>23.376581, 56.965205</t>
  </si>
  <si>
    <t>1134</t>
  </si>
  <si>
    <t>28/05/2026, 14:15</t>
  </si>
  <si>
    <t>23.377465, 56.96096</t>
  </si>
  <si>
    <t>475</t>
  </si>
  <si>
    <t>28/05/2026, 14:10</t>
  </si>
  <si>
    <t>23.386566, 56.874768</t>
  </si>
  <si>
    <t>1087</t>
  </si>
  <si>
    <t>23.380055, 56.95979</t>
  </si>
  <si>
    <t>1133</t>
  </si>
  <si>
    <t>28/05/2026, 14:05</t>
  </si>
  <si>
    <t>23.384461, 56.874191</t>
  </si>
  <si>
    <t>1090</t>
  </si>
  <si>
    <t>28/05/2026, 14:03</t>
  </si>
  <si>
    <t>23.382152, 56.959538</t>
  </si>
  <si>
    <t>1132</t>
  </si>
  <si>
    <t>28/05/2026, 13:58</t>
  </si>
  <si>
    <t>23.384648, 56.956893</t>
  </si>
  <si>
    <t>1131</t>
  </si>
  <si>
    <t>28/05/2026, 13:54</t>
  </si>
  <si>
    <t>23.386252, 56.956143</t>
  </si>
  <si>
    <t>2075</t>
  </si>
  <si>
    <t>23.382047, 56.94618</t>
  </si>
  <si>
    <t>1671</t>
  </si>
  <si>
    <t>28/05/2026, 13:41</t>
  </si>
  <si>
    <t>23.342247, 56.982935</t>
  </si>
  <si>
    <t>1130</t>
  </si>
  <si>
    <t>28/05/2026, 13:27</t>
  </si>
  <si>
    <t>23.337487, 56.981002</t>
  </si>
  <si>
    <t>1129</t>
  </si>
  <si>
    <t>28/05/2026, 13:23</t>
  </si>
  <si>
    <t>23.338262, 56.977068</t>
  </si>
  <si>
    <t>1693</t>
  </si>
  <si>
    <t>28/05/2026, 13:18</t>
  </si>
  <si>
    <t>23.383056, 56.871634</t>
  </si>
  <si>
    <t>1094</t>
  </si>
  <si>
    <t>28/05/2026, 13:09</t>
  </si>
  <si>
    <t>23.363613, 56.95607</t>
  </si>
  <si>
    <t>1128</t>
  </si>
  <si>
    <t>23.387349, 56.873424</t>
  </si>
  <si>
    <t>1088</t>
  </si>
  <si>
    <t>28/05/2026, 12:54</t>
  </si>
  <si>
    <t>23.372968, 56.953842</t>
  </si>
  <si>
    <t>1127</t>
  </si>
  <si>
    <t>28/05/2026, 12:52</t>
  </si>
  <si>
    <t>23.386684, 56.86412</t>
  </si>
  <si>
    <t>1086</t>
  </si>
  <si>
    <t>28/05/2026, 12:47</t>
  </si>
  <si>
    <t>1126</t>
  </si>
  <si>
    <t>28/05/2026, 12:46</t>
  </si>
  <si>
    <t>23.387958, 56.86285</t>
  </si>
  <si>
    <t>2271</t>
  </si>
  <si>
    <t>28/05/2026, 12:39</t>
  </si>
  <si>
    <t>23.373144, 56.909418</t>
  </si>
  <si>
    <t>1124</t>
  </si>
  <si>
    <t>28/05/2026, 12:28</t>
  </si>
  <si>
    <t>23.387667, 56.838284</t>
  </si>
  <si>
    <t>2272</t>
  </si>
  <si>
    <t>28/05/2026, 12:14</t>
  </si>
  <si>
    <t>23.386882, 56.842673</t>
  </si>
  <si>
    <t>1288</t>
  </si>
  <si>
    <t>26/05/2026, 15:08</t>
  </si>
  <si>
    <t>23.386827, 56.849151</t>
  </si>
  <si>
    <t>1287</t>
  </si>
  <si>
    <t>26/05/2026, 14:52</t>
  </si>
  <si>
    <t>23.387491, 56.848962</t>
  </si>
  <si>
    <t>1917</t>
  </si>
  <si>
    <t>26/05/2026, 14:43</t>
  </si>
  <si>
    <t>23.386565, 56.851428</t>
  </si>
  <si>
    <t>1281</t>
  </si>
  <si>
    <t>26/05/2026, 14:34</t>
  </si>
  <si>
    <t>23.389867, 56.851509</t>
  </si>
  <si>
    <t>1452</t>
  </si>
  <si>
    <t>26/05/2026, 14:22</t>
  </si>
  <si>
    <t>23.393636, 56.856169</t>
  </si>
  <si>
    <t>1286</t>
  </si>
  <si>
    <t>26/05/2026, 14:16</t>
  </si>
  <si>
    <t>1285</t>
  </si>
  <si>
    <t>26/05/2026, 14:14</t>
  </si>
  <si>
    <t>1284</t>
  </si>
  <si>
    <t>26/05/2026, 14:13</t>
  </si>
  <si>
    <t>23.399086, 56.852089</t>
  </si>
  <si>
    <t>1283</t>
  </si>
  <si>
    <t>26/05/2026, 13:54</t>
  </si>
  <si>
    <t>23.389423, 56.85479</t>
  </si>
  <si>
    <t>26/05/2026, 13:50</t>
  </si>
  <si>
    <t>23.385159, 56.854351</t>
  </si>
  <si>
    <t>1463</t>
  </si>
  <si>
    <t>26/05/2026, 13:43</t>
  </si>
  <si>
    <t>2295</t>
  </si>
  <si>
    <t>26/05/2026, 13:38</t>
  </si>
  <si>
    <t>23.385147, 56.854391</t>
  </si>
  <si>
    <t>1280</t>
  </si>
  <si>
    <t>26/05/2026, 13:34</t>
  </si>
  <si>
    <t>23.384682, 56.851435</t>
  </si>
  <si>
    <t>1278</t>
  </si>
  <si>
    <t>26/05/2026, 13:30</t>
  </si>
  <si>
    <t>23.382156, 56.847319</t>
  </si>
  <si>
    <t>1274</t>
  </si>
  <si>
    <t>26/05/2026, 13:26</t>
  </si>
  <si>
    <t>23.383357, 56.843152</t>
  </si>
  <si>
    <t>1276</t>
  </si>
  <si>
    <t>26/05/2026, 13:19</t>
  </si>
  <si>
    <t>23.383155, 56.843905</t>
  </si>
  <si>
    <t>1275</t>
  </si>
  <si>
    <t>26/05/2026, 13:14</t>
  </si>
  <si>
    <t>23.388522, 56.834249</t>
  </si>
  <si>
    <t>1364</t>
  </si>
  <si>
    <t>26/05/2026, 12:45</t>
  </si>
  <si>
    <t>23.384343, 56.8389</t>
  </si>
  <si>
    <t>1409</t>
  </si>
  <si>
    <t>26/05/2026, 12:38</t>
  </si>
  <si>
    <t>23.3807, 56.838122</t>
  </si>
  <si>
    <t>4606</t>
  </si>
  <si>
    <t>26/05/2026, 12:30</t>
  </si>
  <si>
    <t>23.393279, 56.717482</t>
  </si>
  <si>
    <t>4512</t>
  </si>
  <si>
    <t>26/05/2026, 12:24</t>
  </si>
  <si>
    <t>4391</t>
  </si>
  <si>
    <t>26/05/2026, 12:21</t>
  </si>
  <si>
    <t>4350</t>
  </si>
  <si>
    <t>26/05/2026, 12:15</t>
  </si>
  <si>
    <t>23.39375, 56.813382</t>
  </si>
  <si>
    <t>2275</t>
  </si>
  <si>
    <t>21/05/2026, 15:46</t>
  </si>
  <si>
    <t>23.396848, 56.836497</t>
  </si>
  <si>
    <t>1772</t>
  </si>
  <si>
    <t>21/05/2026, 15:31</t>
  </si>
  <si>
    <t>23.399308, 56.835504</t>
  </si>
  <si>
    <t>1952</t>
  </si>
  <si>
    <t>21/05/2026, 15:18</t>
  </si>
  <si>
    <t>23.39299, 56.828558</t>
  </si>
  <si>
    <t>2008</t>
  </si>
  <si>
    <t>21/05/2026, 15:06</t>
  </si>
  <si>
    <t>2137</t>
  </si>
  <si>
    <t>21/05/2026, 14:57</t>
  </si>
  <si>
    <t>2226</t>
  </si>
  <si>
    <t>21/05/2026, 14:47</t>
  </si>
  <si>
    <t>2182</t>
  </si>
  <si>
    <t>23.399304, 56.819298</t>
  </si>
  <si>
    <t>2109</t>
  </si>
  <si>
    <t>2012</t>
  </si>
  <si>
    <t>21/05/2026, 14:24</t>
  </si>
  <si>
    <t>23.399315, 56.819307</t>
  </si>
  <si>
    <t>2181</t>
  </si>
  <si>
    <t>21/05/2026, 14:15</t>
  </si>
  <si>
    <t>23.414432, 56.821717</t>
  </si>
  <si>
    <t>4347</t>
  </si>
  <si>
    <t>21/05/2026, 14:04</t>
  </si>
  <si>
    <t>23.415584, 56.812301</t>
  </si>
  <si>
    <t>1298</t>
  </si>
  <si>
    <t>21/05/2026, 13:58</t>
  </si>
  <si>
    <t>23.426131, 56.828301</t>
  </si>
  <si>
    <t>1299</t>
  </si>
  <si>
    <t>21/05/2026, 13:51</t>
  </si>
  <si>
    <t>1300</t>
  </si>
  <si>
    <t>21/05/2026, 13:42</t>
  </si>
  <si>
    <t>4383</t>
  </si>
  <si>
    <t>21/05/2026, 13:31</t>
  </si>
  <si>
    <t>23.426216, 56.82685</t>
  </si>
  <si>
    <t>1383</t>
  </si>
  <si>
    <t>21/05/2026, 13:16</t>
  </si>
  <si>
    <t>23.393331, 56.717019</t>
  </si>
  <si>
    <t>1093</t>
  </si>
  <si>
    <t>23.393452, 56.717699</t>
  </si>
  <si>
    <t>1150</t>
  </si>
  <si>
    <t>21/05/2026, 08:55</t>
  </si>
  <si>
    <t>23.394923, 56.994066</t>
  </si>
  <si>
    <t>1148</t>
  </si>
  <si>
    <t>21/05/2026, 08:52</t>
  </si>
  <si>
    <t>23.412368, 56.928075</t>
  </si>
  <si>
    <t>2200</t>
  </si>
  <si>
    <t>23.396078, 56.917475</t>
  </si>
  <si>
    <t>1466</t>
  </si>
  <si>
    <t>20/05/2026, 15:41</t>
  </si>
  <si>
    <t>23.390728, 56.916822</t>
  </si>
  <si>
    <t>1123</t>
  </si>
  <si>
    <t>20/05/2026, 15:31</t>
  </si>
  <si>
    <t>23.390293, 56.920128</t>
  </si>
  <si>
    <t>1793</t>
  </si>
  <si>
    <t>20/05/2026, 15:21</t>
  </si>
  <si>
    <t>23.390164, 56.922854</t>
  </si>
  <si>
    <t>1122</t>
  </si>
  <si>
    <t>20/05/2026, 15:08</t>
  </si>
  <si>
    <t>23.38888, 56.921707</t>
  </si>
  <si>
    <t>1121</t>
  </si>
  <si>
    <t>20/05/2026, 15:03</t>
  </si>
  <si>
    <t>23.387839, 56.920245</t>
  </si>
  <si>
    <t>1451</t>
  </si>
  <si>
    <t>20/05/2026, 14:56</t>
  </si>
  <si>
    <t>23.385724, 56.919936</t>
  </si>
  <si>
    <t>1120</t>
  </si>
  <si>
    <t>23.384489, 56.918189</t>
  </si>
  <si>
    <t>1118</t>
  </si>
  <si>
    <t>23.382202, 56.916395</t>
  </si>
  <si>
    <t>1117</t>
  </si>
  <si>
    <t>20/05/2026, 14:31</t>
  </si>
  <si>
    <t>23.381066, 56.916265</t>
  </si>
  <si>
    <t>2150</t>
  </si>
  <si>
    <t>20/05/2026, 14:27</t>
  </si>
  <si>
    <t>23.380159, 56.913137</t>
  </si>
  <si>
    <t>1116</t>
  </si>
  <si>
    <t>20/05/2026, 14:17</t>
  </si>
  <si>
    <t>23.380102, 56.910506</t>
  </si>
  <si>
    <t>1711</t>
  </si>
  <si>
    <t>20/05/2026, 14:07</t>
  </si>
  <si>
    <t>23.375508, 56.913971</t>
  </si>
  <si>
    <t>4439</t>
  </si>
  <si>
    <t>20/05/2026, 14:01</t>
  </si>
  <si>
    <t>23.378567, 56.909735</t>
  </si>
  <si>
    <t>1115</t>
  </si>
  <si>
    <t>20/05/2026, 13:53</t>
  </si>
  <si>
    <t>23.377227, 56.90644</t>
  </si>
  <si>
    <t>2149</t>
  </si>
  <si>
    <t>20/05/2026, 13:48</t>
  </si>
  <si>
    <t>23.377328, 56.903591</t>
  </si>
  <si>
    <t>2372</t>
  </si>
  <si>
    <t>20/05/2026, 13:42</t>
  </si>
  <si>
    <t>33KV feeder</t>
  </si>
  <si>
    <t>22.447265, 56.70418</t>
  </si>
  <si>
    <t>22.609313, 56.716692</t>
  </si>
  <si>
    <t>22.704347, 56.641546</t>
  </si>
  <si>
    <t>Zubra</t>
  </si>
  <si>
    <t>22.593669, 56.691762</t>
  </si>
  <si>
    <t>22.605914, 56.69632</t>
  </si>
  <si>
    <t>20/05/2026, 14:25</t>
  </si>
  <si>
    <t>22.63607, 56.698305</t>
  </si>
  <si>
    <t>20/05/2026, 14:11</t>
  </si>
  <si>
    <t>22.672946, 56.700294</t>
  </si>
  <si>
    <t>AL-NUJAYD</t>
  </si>
  <si>
    <t>K_LN03</t>
  </si>
  <si>
    <t>23.434442, 56.774577</t>
  </si>
  <si>
    <t>1062</t>
  </si>
  <si>
    <t>11/06/2026, 17:22</t>
  </si>
  <si>
    <t>23.45579, 56.791217</t>
  </si>
  <si>
    <t>4348</t>
  </si>
  <si>
    <t>11/06/2026, 16:33</t>
  </si>
  <si>
    <t>23.455737, 56.791033</t>
  </si>
  <si>
    <t>1058</t>
  </si>
  <si>
    <t>11/06/2026, 16:32</t>
  </si>
  <si>
    <t>23.458273, 56.793872</t>
  </si>
  <si>
    <t>2105</t>
  </si>
  <si>
    <t>11/06/2026, 16:26</t>
  </si>
  <si>
    <t>23.460231, 56.794767</t>
  </si>
  <si>
    <t>1302</t>
  </si>
  <si>
    <t>11/06/2026, 16:23</t>
  </si>
  <si>
    <t>23.471026, 56.799511</t>
  </si>
  <si>
    <t>1520</t>
  </si>
  <si>
    <t>11/06/2026, 16:17</t>
  </si>
  <si>
    <t>23.467222, 56.800218</t>
  </si>
  <si>
    <t>1057</t>
  </si>
  <si>
    <t>11/06/2026, 16:12</t>
  </si>
  <si>
    <t>23.463954, 56.798487</t>
  </si>
  <si>
    <t>1407</t>
  </si>
  <si>
    <t>11/06/2026, 16:03</t>
  </si>
  <si>
    <t>23.463429, 56.7976</t>
  </si>
  <si>
    <t>1055</t>
  </si>
  <si>
    <t>11/06/2026, 15:54</t>
  </si>
  <si>
    <t>23.46034, 56.799971</t>
  </si>
  <si>
    <t>000</t>
  </si>
  <si>
    <t>11/06/2026, 15:47</t>
  </si>
  <si>
    <t>23.45356, 56.795907</t>
  </si>
  <si>
    <t>1962</t>
  </si>
  <si>
    <t>11/06/2026, 15:36</t>
  </si>
  <si>
    <t>23.451087, 56.793902</t>
  </si>
  <si>
    <t>4678</t>
  </si>
  <si>
    <t>11/06/2026, 15:30</t>
  </si>
  <si>
    <t>23.447616, 56.788687</t>
  </si>
  <si>
    <t>1059</t>
  </si>
  <si>
    <t>11/06/2026, 15:25</t>
  </si>
  <si>
    <t>23.447603, 56.7892</t>
  </si>
  <si>
    <t>2249</t>
  </si>
  <si>
    <t>11/06/2026, 15:22</t>
  </si>
  <si>
    <t>23.441458, 56.782622</t>
  </si>
  <si>
    <t>1060</t>
  </si>
  <si>
    <t>11/06/2026, 15:17</t>
  </si>
  <si>
    <t>23.436907, 56.787386</t>
  </si>
  <si>
    <t>1701</t>
  </si>
  <si>
    <t>11/06/2026, 17:38</t>
  </si>
  <si>
    <t>23.436878, 56.787509</t>
  </si>
  <si>
    <t>4438</t>
  </si>
  <si>
    <t>11/06/2026, 17:31</t>
  </si>
  <si>
    <t>1067</t>
  </si>
  <si>
    <t>11/06/2026, 17:28</t>
  </si>
  <si>
    <t>23.436892, 56.787546</t>
  </si>
  <si>
    <t>2108</t>
  </si>
  <si>
    <t>11/06/2026, 17:41</t>
  </si>
  <si>
    <t>23.436914, 56.77822</t>
  </si>
  <si>
    <t>1061</t>
  </si>
  <si>
    <t>11/06/2026, 14:52</t>
  </si>
  <si>
    <t>23.437391, 56.789997</t>
  </si>
  <si>
    <t>2170</t>
  </si>
  <si>
    <t>11/06/2026, 14:45</t>
  </si>
  <si>
    <t>23.439777, 56.792524</t>
  </si>
  <si>
    <t>1514</t>
  </si>
  <si>
    <t>11/06/2026, 14:40</t>
  </si>
  <si>
    <t>23.436693, 56.786544</t>
  </si>
  <si>
    <t>1065</t>
  </si>
  <si>
    <t>11/06/2026, 14:31</t>
  </si>
  <si>
    <t>23.433144, 56.792465</t>
  </si>
  <si>
    <t>4531</t>
  </si>
  <si>
    <t>11/06/2026, 14:24</t>
  </si>
  <si>
    <t>23.435797, 56.793331</t>
  </si>
  <si>
    <t>1066</t>
  </si>
  <si>
    <t>11/06/2026, 14:11</t>
  </si>
  <si>
    <t>23.424877, 56.788634</t>
  </si>
  <si>
    <t>1457</t>
  </si>
  <si>
    <t>11/06/2026, 14:05</t>
  </si>
  <si>
    <t>23.43126, 56.78635</t>
  </si>
  <si>
    <t>1064</t>
  </si>
  <si>
    <t>11/06/2026, 14:02</t>
  </si>
  <si>
    <t>23.4342, 56.787514</t>
  </si>
  <si>
    <t>4743</t>
  </si>
  <si>
    <t>11/06/2026, 13:58</t>
  </si>
  <si>
    <t>23.432869, 56.779729</t>
  </si>
  <si>
    <t>1063</t>
  </si>
  <si>
    <t>11/06/2026, 13:55</t>
  </si>
  <si>
    <t>23.434138, 56.774072</t>
  </si>
  <si>
    <t>1077</t>
  </si>
  <si>
    <t>11/06/2026, 13:49</t>
  </si>
  <si>
    <t>K_LN04</t>
  </si>
  <si>
    <t>23.458763, 56.931283</t>
  </si>
  <si>
    <t>2025</t>
  </si>
  <si>
    <t>08/06/2026, 13:35</t>
  </si>
  <si>
    <t>23.462149, 56.912658</t>
  </si>
  <si>
    <t>999</t>
  </si>
  <si>
    <t>08/06/2026, 13:33</t>
  </si>
  <si>
    <t>23.469628, 56.908047</t>
  </si>
  <si>
    <t>998</t>
  </si>
  <si>
    <t>08/06/2026, 13:30</t>
  </si>
  <si>
    <t>23.471443, 56.903356</t>
  </si>
  <si>
    <t>997</t>
  </si>
  <si>
    <t>08/06/2026, 13:28</t>
  </si>
  <si>
    <t>23.473963, 56.895067</t>
  </si>
  <si>
    <t>4516</t>
  </si>
  <si>
    <t>23.474593, 56.891316</t>
  </si>
  <si>
    <t>996</t>
  </si>
  <si>
    <t>23.476508, 56.882332</t>
  </si>
  <si>
    <t>4724</t>
  </si>
  <si>
    <t>08/06/2026, 13:19</t>
  </si>
  <si>
    <t>23.484875, 57.042927</t>
  </si>
  <si>
    <t>1030</t>
  </si>
  <si>
    <t>03/06/2026, 15:05</t>
  </si>
  <si>
    <t>23.484013, 57.041873</t>
  </si>
  <si>
    <t>1034</t>
  </si>
  <si>
    <t>03/06/2026, 15:03</t>
  </si>
  <si>
    <t>23.484343, 57.043337</t>
  </si>
  <si>
    <t>1035</t>
  </si>
  <si>
    <t>03/06/2026, 15:01</t>
  </si>
  <si>
    <t>23.482395, 57.04335</t>
  </si>
  <si>
    <t>1036</t>
  </si>
  <si>
    <t>23.48253, 57.041734</t>
  </si>
  <si>
    <t>4641</t>
  </si>
  <si>
    <t>03/06/2026, 14:57</t>
  </si>
  <si>
    <t>23.480654, 57.042324</t>
  </si>
  <si>
    <t>4271</t>
  </si>
  <si>
    <t>23.482526, 57.039725</t>
  </si>
  <si>
    <t>1033</t>
  </si>
  <si>
    <t>03/06/2026, 14:53</t>
  </si>
  <si>
    <t>23.48166, 57.038807</t>
  </si>
  <si>
    <t>03/06/2026, 14:51</t>
  </si>
  <si>
    <t>23.481074, 57.035562</t>
  </si>
  <si>
    <t>1749</t>
  </si>
  <si>
    <t>23.48564, 56.999164</t>
  </si>
  <si>
    <t>1028</t>
  </si>
  <si>
    <t>03/06/2026, 14:47</t>
  </si>
  <si>
    <t>23.490661, 56.990035</t>
  </si>
  <si>
    <t>1032</t>
  </si>
  <si>
    <t>03/06/2026, 14:45</t>
  </si>
  <si>
    <t>23.487775, 57.001865</t>
  </si>
  <si>
    <t>1029</t>
  </si>
  <si>
    <t>03/06/2026, 14:43</t>
  </si>
  <si>
    <t>23.489077, 57.011126</t>
  </si>
  <si>
    <t>1487</t>
  </si>
  <si>
    <t>03/06/2026, 14:41</t>
  </si>
  <si>
    <t>23.491553, 56.999804</t>
  </si>
  <si>
    <t>1504</t>
  </si>
  <si>
    <t>03/06/2026, 14:40</t>
  </si>
  <si>
    <t>23.489366, 57.001863</t>
  </si>
  <si>
    <t>1894</t>
  </si>
  <si>
    <t>23.48725, 56.969671</t>
  </si>
  <si>
    <t>1026</t>
  </si>
  <si>
    <t>03/06/2026, 14:36</t>
  </si>
  <si>
    <t>23.488719, 56.984001</t>
  </si>
  <si>
    <t>1027</t>
  </si>
  <si>
    <t>03/06/2026, 14:34</t>
  </si>
  <si>
    <t>23.487145, 57.00422</t>
  </si>
  <si>
    <t>1682</t>
  </si>
  <si>
    <t>03/06/2026, 14:32</t>
  </si>
  <si>
    <t>23.493066, 56.981119</t>
  </si>
  <si>
    <t>1025</t>
  </si>
  <si>
    <t>23.489454, 56.967107</t>
  </si>
  <si>
    <t>1023</t>
  </si>
  <si>
    <t>03/06/2026, 14:29</t>
  </si>
  <si>
    <t>23.48641, 56.951484</t>
  </si>
  <si>
    <t>4354</t>
  </si>
  <si>
    <t>03/06/2026, 14:27</t>
  </si>
  <si>
    <t>23.493663, 56.939774</t>
  </si>
  <si>
    <t>1655</t>
  </si>
  <si>
    <t>03/06/2026, 14:25</t>
  </si>
  <si>
    <t>23.494778, 56.938967</t>
  </si>
  <si>
    <t>1021</t>
  </si>
  <si>
    <t>03/06/2026, 14:23</t>
  </si>
  <si>
    <t>23.498077, 56.938969</t>
  </si>
  <si>
    <t>1629</t>
  </si>
  <si>
    <t>03/06/2026, 14:22</t>
  </si>
  <si>
    <t>23.501104, 56.929581</t>
  </si>
  <si>
    <t>2061</t>
  </si>
  <si>
    <t>03/06/2026, 14:20</t>
  </si>
  <si>
    <t>23.502888, 56.925976</t>
  </si>
  <si>
    <t>1020</t>
  </si>
  <si>
    <t>03/06/2026, 14:18</t>
  </si>
  <si>
    <t>23.513701, 56.943786</t>
  </si>
  <si>
    <t>1963</t>
  </si>
  <si>
    <t>02/06/2026, 14:26</t>
  </si>
  <si>
    <t>23.514646, 56.911191</t>
  </si>
  <si>
    <t>1579</t>
  </si>
  <si>
    <t>02/06/2026, 14:21</t>
  </si>
  <si>
    <t>23.525828, 56.922198</t>
  </si>
  <si>
    <t>4745</t>
  </si>
  <si>
    <t>02/06/2026, 14:19</t>
  </si>
  <si>
    <t>23.514243, 56.940842</t>
  </si>
  <si>
    <t>1805</t>
  </si>
  <si>
    <t>02/06/2026, 14:17</t>
  </si>
  <si>
    <t>23.525516, 56.933511</t>
  </si>
  <si>
    <t>1580</t>
  </si>
  <si>
    <t>02/06/2026, 14:15</t>
  </si>
  <si>
    <t>23.524693, 56.925464</t>
  </si>
  <si>
    <t>1047</t>
  </si>
  <si>
    <t>02/06/2026, 14:13</t>
  </si>
  <si>
    <t>23.491488, 56.862854</t>
  </si>
  <si>
    <t>2273</t>
  </si>
  <si>
    <t>25/05/2026, 16:00</t>
  </si>
  <si>
    <t>23.51865, 56.927835</t>
  </si>
  <si>
    <t>4403</t>
  </si>
  <si>
    <t>25/05/2026, 15:51</t>
  </si>
  <si>
    <t>23.535024, 56.831859</t>
  </si>
  <si>
    <t>2314</t>
  </si>
  <si>
    <t>25/05/2026, 14:09</t>
  </si>
  <si>
    <t>23.493213, 56.852053</t>
  </si>
  <si>
    <t>2135</t>
  </si>
  <si>
    <t>25/05/2026, 13:54</t>
  </si>
  <si>
    <t>23.498176, 56.857518</t>
  </si>
  <si>
    <t>2120</t>
  </si>
  <si>
    <t>25/05/2026, 13:49</t>
  </si>
  <si>
    <t>23.499112, 56.859313</t>
  </si>
  <si>
    <t>1575</t>
  </si>
  <si>
    <t>23.498987, 56.850785</t>
  </si>
  <si>
    <t>2136</t>
  </si>
  <si>
    <t>23.538523, 56.908966</t>
  </si>
  <si>
    <t>1050</t>
  </si>
  <si>
    <t>24/05/2026, 17:39</t>
  </si>
  <si>
    <t>23.402344, 56.727973</t>
  </si>
  <si>
    <t>1046</t>
  </si>
  <si>
    <t>24/05/2026, 17:37</t>
  </si>
  <si>
    <t>1037</t>
  </si>
  <si>
    <t>24/05/2026, 17:33</t>
  </si>
  <si>
    <t>1049</t>
  </si>
  <si>
    <t>24/05/2026, 17:28</t>
  </si>
  <si>
    <t>1505</t>
  </si>
  <si>
    <t>24/05/2026, 17:23</t>
  </si>
  <si>
    <t>1044</t>
  </si>
  <si>
    <t>24/05/2026, 17:22</t>
  </si>
  <si>
    <t>23.402494, 56.728025</t>
  </si>
  <si>
    <t>1042</t>
  </si>
  <si>
    <t>24/05/2026, 17:20</t>
  </si>
  <si>
    <t>23.519301, 56.88839</t>
  </si>
  <si>
    <t>1043</t>
  </si>
  <si>
    <t>24/05/2026, 17:12</t>
  </si>
  <si>
    <t>4511</t>
  </si>
  <si>
    <t>24/05/2026, 16:50</t>
  </si>
  <si>
    <t>23.583784, 56.882196</t>
  </si>
  <si>
    <t>04668</t>
  </si>
  <si>
    <t>24/05/2026, 16:32</t>
  </si>
  <si>
    <t>1054</t>
  </si>
  <si>
    <t>24/05/2026, 16:24</t>
  </si>
  <si>
    <t>1669</t>
  </si>
  <si>
    <t>24/05/2026, 16:23</t>
  </si>
  <si>
    <t>1053</t>
  </si>
  <si>
    <t>24/05/2026, 16:22</t>
  </si>
  <si>
    <t>4311</t>
  </si>
  <si>
    <t>24/05/2026, 16:20</t>
  </si>
  <si>
    <t>1052</t>
  </si>
  <si>
    <t>24/05/2026, 16:18</t>
  </si>
  <si>
    <t>23.57841, 56.885274</t>
  </si>
  <si>
    <t>1670</t>
  </si>
  <si>
    <t>24/05/2026, 16:03</t>
  </si>
  <si>
    <t>23.565649, 56.897591</t>
  </si>
  <si>
    <t>1051</t>
  </si>
  <si>
    <t>24/05/2026, 15:50</t>
  </si>
  <si>
    <t>2143</t>
  </si>
  <si>
    <t>24/05/2026, 15:43</t>
  </si>
  <si>
    <t>4252</t>
  </si>
  <si>
    <t>24/05/2026, 15:40</t>
  </si>
  <si>
    <t>23.512111, 56.864931</t>
  </si>
  <si>
    <t>1041</t>
  </si>
  <si>
    <t>24/05/2026, 15:00</t>
  </si>
  <si>
    <t>2014</t>
  </si>
  <si>
    <t>24/05/2026, 14:54</t>
  </si>
  <si>
    <t>1874</t>
  </si>
  <si>
    <t>24/05/2026, 14:50</t>
  </si>
  <si>
    <t>1040</t>
  </si>
  <si>
    <t>24/05/2026, 14:41</t>
  </si>
  <si>
    <t>23.501564, 56.86238</t>
  </si>
  <si>
    <t>2157</t>
  </si>
  <si>
    <t>24/05/2026, 14:34</t>
  </si>
  <si>
    <t>1039</t>
  </si>
  <si>
    <t>24/05/2026, 14:28</t>
  </si>
  <si>
    <t>1038</t>
  </si>
  <si>
    <t>24/05/2026, 14:21</t>
  </si>
  <si>
    <t>1995</t>
  </si>
  <si>
    <t>24/05/2026, 14:15</t>
  </si>
  <si>
    <t>1644</t>
  </si>
  <si>
    <t>24/05/2026, 14:07</t>
  </si>
  <si>
    <t>23.50044, 56.856872</t>
  </si>
  <si>
    <t>1889</t>
  </si>
  <si>
    <t>24/05/2026, 13:58</t>
  </si>
  <si>
    <t>23.393625, 56.717511</t>
  </si>
  <si>
    <t>1010</t>
  </si>
  <si>
    <t>23/05/2026, 16:33</t>
  </si>
  <si>
    <t>23.466512, 56.796931</t>
  </si>
  <si>
    <t>1009</t>
  </si>
  <si>
    <t>23/05/2026, 16:31</t>
  </si>
  <si>
    <t>23.494735, 56.831695</t>
  </si>
  <si>
    <t>1007</t>
  </si>
  <si>
    <t>23/05/2026, 16:01</t>
  </si>
  <si>
    <t>23.490272, 56.826893</t>
  </si>
  <si>
    <t>1003</t>
  </si>
  <si>
    <t>23/05/2026, 15:48</t>
  </si>
  <si>
    <t>1002</t>
  </si>
  <si>
    <t>23/05/2026, 15:38</t>
  </si>
  <si>
    <t>23.487993, 56.827991</t>
  </si>
  <si>
    <t>1005</t>
  </si>
  <si>
    <t>23/05/2026, 15:33</t>
  </si>
  <si>
    <t>1004</t>
  </si>
  <si>
    <t>23/05/2026, 15:27</t>
  </si>
  <si>
    <t>23.484966, 56.81935</t>
  </si>
  <si>
    <t>2334</t>
  </si>
  <si>
    <t>23/05/2026, 15:21</t>
  </si>
  <si>
    <t>1872</t>
  </si>
  <si>
    <t>23/05/2026, 15:13</t>
  </si>
  <si>
    <t>23.485603, 56.816834</t>
  </si>
  <si>
    <t>1327</t>
  </si>
  <si>
    <t>23/05/2026, 15:03</t>
  </si>
  <si>
    <t>23.477985, 56.798538</t>
  </si>
  <si>
    <t>995</t>
  </si>
  <si>
    <t>23/05/2026, 14:56</t>
  </si>
  <si>
    <t>994</t>
  </si>
  <si>
    <t>23/05/2026, 14:46</t>
  </si>
  <si>
    <t>0</t>
  </si>
  <si>
    <t>23/05/2026, 14:38</t>
  </si>
  <si>
    <t>23.467138, 56.79595</t>
  </si>
  <si>
    <t>993</t>
  </si>
  <si>
    <t>23/05/2026, 14:31</t>
  </si>
  <si>
    <t>00</t>
  </si>
  <si>
    <t>23/05/2026, 14:24</t>
  </si>
  <si>
    <t>04787</t>
  </si>
  <si>
    <t>23/05/2026, 14:18</t>
  </si>
  <si>
    <t>23.465054, 56.795512</t>
  </si>
  <si>
    <t>992</t>
  </si>
  <si>
    <t>23/05/2026, 14:08</t>
  </si>
  <si>
    <t>23.480926, 57.038498</t>
  </si>
  <si>
    <t>1031</t>
  </si>
  <si>
    <t>21/05/2026, 08:30</t>
  </si>
  <si>
    <t>KAHANAT</t>
  </si>
  <si>
    <t>23.704353, 56.795154</t>
  </si>
  <si>
    <t>26/05/2026, 15:37</t>
  </si>
  <si>
    <t>23.709008, 56.771666</t>
  </si>
  <si>
    <t>1167</t>
  </si>
  <si>
    <t>26/05/2026, 14:56</t>
  </si>
  <si>
    <t>23.715073, 56.762166</t>
  </si>
  <si>
    <t>1162</t>
  </si>
  <si>
    <t>26/05/2026, 14:42</t>
  </si>
  <si>
    <t>23.719028, 56.762924</t>
  </si>
  <si>
    <t>1164</t>
  </si>
  <si>
    <t>23.716707, 56.763466</t>
  </si>
  <si>
    <t>1163</t>
  </si>
  <si>
    <t>26/05/2026, 14:32</t>
  </si>
  <si>
    <t>23.716444, 56.763265</t>
  </si>
  <si>
    <t>867</t>
  </si>
  <si>
    <t>26/05/2026, 14:31</t>
  </si>
  <si>
    <t>23.70195, 56.751904</t>
  </si>
  <si>
    <t>1161</t>
  </si>
  <si>
    <t>26/05/2026, 14:20</t>
  </si>
  <si>
    <t>23.694289, 56.755262</t>
  </si>
  <si>
    <t>2227</t>
  </si>
  <si>
    <t>26/05/2026, 14:15</t>
  </si>
  <si>
    <t>23.688352, 56.755606</t>
  </si>
  <si>
    <t>1160</t>
  </si>
  <si>
    <t>26/05/2026, 14:10</t>
  </si>
  <si>
    <t>23.683931, 56.761754</t>
  </si>
  <si>
    <t>1159</t>
  </si>
  <si>
    <t>26/05/2026, 14:04</t>
  </si>
  <si>
    <t>23.680853, 56.763108</t>
  </si>
  <si>
    <t>1158</t>
  </si>
  <si>
    <t>26/05/2026, 13:59</t>
  </si>
  <si>
    <t>23.676777, 56.766725</t>
  </si>
  <si>
    <t>1157</t>
  </si>
  <si>
    <t>26/05/2026, 13:56</t>
  </si>
  <si>
    <t>23.67856, 56.774399</t>
  </si>
  <si>
    <t>1156</t>
  </si>
  <si>
    <t>26/05/2026, 13:49</t>
  </si>
  <si>
    <t>23.669618, 56.778035</t>
  </si>
  <si>
    <t>4645</t>
  </si>
  <si>
    <t>26/05/2026, 13:44</t>
  </si>
  <si>
    <t>23.669655, 56.778017</t>
  </si>
  <si>
    <t>1155</t>
  </si>
  <si>
    <t>26/05/2026, 13:40</t>
  </si>
  <si>
    <t>23.650701, 56.797719</t>
  </si>
  <si>
    <t>1154</t>
  </si>
  <si>
    <t>23.648862, 56.79917</t>
  </si>
  <si>
    <t>1513</t>
  </si>
  <si>
    <t>26/05/2026, 13:25</t>
  </si>
  <si>
    <t>23.642976, 56.803126</t>
  </si>
  <si>
    <t>1863</t>
  </si>
  <si>
    <t>26/05/2026, 13:21</t>
  </si>
  <si>
    <t>23.638793, 56.803854</t>
  </si>
  <si>
    <t>4426</t>
  </si>
  <si>
    <t>26/05/2026, 13:15</t>
  </si>
  <si>
    <t>23.64112, 56.803781</t>
  </si>
  <si>
    <t>1653</t>
  </si>
  <si>
    <t>26/05/2026, 13:01</t>
  </si>
  <si>
    <t>23.636239, 56.802786</t>
  </si>
  <si>
    <t>1153</t>
  </si>
  <si>
    <t>26/05/2026, 12:56</t>
  </si>
  <si>
    <t>23.636361, 56.804439</t>
  </si>
  <si>
    <t>2046</t>
  </si>
  <si>
    <t>26/05/2026, 12:53</t>
  </si>
  <si>
    <t>23.631391, 56.806943</t>
  </si>
  <si>
    <t>1545</t>
  </si>
  <si>
    <t>26/05/2026, 12:41</t>
  </si>
  <si>
    <t>23.632231, 56.810287</t>
  </si>
  <si>
    <t>949</t>
  </si>
  <si>
    <t>26/05/2026, 12:37</t>
  </si>
  <si>
    <t>23.628825, 56.801291</t>
  </si>
  <si>
    <t>1927</t>
  </si>
  <si>
    <t>25/05/2026, 15:23</t>
  </si>
  <si>
    <t>23.627779, 56.798788</t>
  </si>
  <si>
    <t>948</t>
  </si>
  <si>
    <t>25/05/2026, 15:18</t>
  </si>
  <si>
    <t>23.624611, 56.810204</t>
  </si>
  <si>
    <t>947</t>
  </si>
  <si>
    <t>25/05/2026, 15:10</t>
  </si>
  <si>
    <t>23.624834, 56.810489</t>
  </si>
  <si>
    <t>946</t>
  </si>
  <si>
    <t>25/05/2026, 15:05</t>
  </si>
  <si>
    <t>23.595666, 56.799388</t>
  </si>
  <si>
    <t>945</t>
  </si>
  <si>
    <t>25/05/2026, 14:58</t>
  </si>
  <si>
    <t>23.580841, 56.80362</t>
  </si>
  <si>
    <t>944</t>
  </si>
  <si>
    <t>25/05/2026, 14:52</t>
  </si>
  <si>
    <t>23.581216, 56.791283</t>
  </si>
  <si>
    <t>943</t>
  </si>
  <si>
    <t>25/05/2026, 14:44</t>
  </si>
  <si>
    <t>23.558004, 56.794865</t>
  </si>
  <si>
    <t>1485</t>
  </si>
  <si>
    <t>25/05/2026, 14:39</t>
  </si>
  <si>
    <t>23.554009, 56.798819</t>
  </si>
  <si>
    <t>1019</t>
  </si>
  <si>
    <t>25/05/2026, 14:36</t>
  </si>
  <si>
    <t>23.551932, 56.80363</t>
  </si>
  <si>
    <t>1018</t>
  </si>
  <si>
    <t>25/05/2026, 14:31</t>
  </si>
  <si>
    <t>23.54732, 56.817511</t>
  </si>
  <si>
    <t>4406</t>
  </si>
  <si>
    <t>25/05/2026, 14:25</t>
  </si>
  <si>
    <t>23.551217, 56.822527</t>
  </si>
  <si>
    <t>1017</t>
  </si>
  <si>
    <t>25/05/2026, 14:18</t>
  </si>
  <si>
    <t>23.541563, 56.824032</t>
  </si>
  <si>
    <t>4428</t>
  </si>
  <si>
    <t>25/05/2026, 14:13</t>
  </si>
  <si>
    <t>23.554217, 56.849939</t>
  </si>
  <si>
    <t>1015</t>
  </si>
  <si>
    <t>25/05/2026, 14:00</t>
  </si>
  <si>
    <t>23.555819, 56.84894</t>
  </si>
  <si>
    <t>1016</t>
  </si>
  <si>
    <t>25/05/2026, 13:55</t>
  </si>
  <si>
    <t>23.538696, 56.83843</t>
  </si>
  <si>
    <t>4582</t>
  </si>
  <si>
    <t>25/05/2026, 13:45</t>
  </si>
  <si>
    <t>23.534941, 56.834887</t>
  </si>
  <si>
    <t>1014</t>
  </si>
  <si>
    <t>25/05/2026, 13:39</t>
  </si>
  <si>
    <t>23.530983, 56.835035</t>
  </si>
  <si>
    <t>4355</t>
  </si>
  <si>
    <t>25/05/2026, 13:36</t>
  </si>
  <si>
    <t>23.523148, 56.842025</t>
  </si>
  <si>
    <t>1013</t>
  </si>
  <si>
    <t>25/05/2026, 13:32</t>
  </si>
  <si>
    <t>23.525381, 56.843145</t>
  </si>
  <si>
    <t>2332</t>
  </si>
  <si>
    <t>25/05/2026, 13:27</t>
  </si>
  <si>
    <t>23.514874, 56.842648</t>
  </si>
  <si>
    <t>1012</t>
  </si>
  <si>
    <t>25/05/2026, 13:20</t>
  </si>
  <si>
    <t>23.511803, 56.846373</t>
  </si>
  <si>
    <t>2086</t>
  </si>
  <si>
    <t>25/05/2026, 13:14</t>
  </si>
  <si>
    <t>23.507663, 56.841495</t>
  </si>
  <si>
    <t>1799</t>
  </si>
  <si>
    <t>25/05/2026, 13:08</t>
  </si>
  <si>
    <t>23.504801, 56.8472</t>
  </si>
  <si>
    <t>1011</t>
  </si>
  <si>
    <t>25/05/2026, 13:01</t>
  </si>
  <si>
    <t>23.558002, 56.780938</t>
  </si>
  <si>
    <t>23.561234, 56.785092</t>
  </si>
  <si>
    <t>942</t>
  </si>
  <si>
    <t>24/05/2026, 15:31</t>
  </si>
  <si>
    <t>23.561262, 56.783789</t>
  </si>
  <si>
    <t>4423</t>
  </si>
  <si>
    <t>24/05/2026, 15:28</t>
  </si>
  <si>
    <t>23.554779, 56.782366</t>
  </si>
  <si>
    <t>941</t>
  </si>
  <si>
    <t>24/05/2026, 15:22</t>
  </si>
  <si>
    <t>23.555402, 56.781685</t>
  </si>
  <si>
    <t>939</t>
  </si>
  <si>
    <t>24/05/2026, 15:19</t>
  </si>
  <si>
    <t>23.553636, 56.780435</t>
  </si>
  <si>
    <t>938</t>
  </si>
  <si>
    <t>24/05/2026, 15:15</t>
  </si>
  <si>
    <t>23.551333, 56.780924</t>
  </si>
  <si>
    <t>937</t>
  </si>
  <si>
    <t>24/05/2026, 15:10</t>
  </si>
  <si>
    <t>23.549353, 56.778659</t>
  </si>
  <si>
    <t>4687</t>
  </si>
  <si>
    <t>24/05/2026, 15:06</t>
  </si>
  <si>
    <t>23.547669, 56.775566</t>
  </si>
  <si>
    <t>935</t>
  </si>
  <si>
    <t>24/05/2026, 14:58</t>
  </si>
  <si>
    <t>23.547625, 56.775096</t>
  </si>
  <si>
    <t>934</t>
  </si>
  <si>
    <t>24/05/2026, 14:55</t>
  </si>
  <si>
    <t>23.546846, 56.772395</t>
  </si>
  <si>
    <t>933</t>
  </si>
  <si>
    <t>24/05/2026, 14:51</t>
  </si>
  <si>
    <t>23.550411, 56.772407</t>
  </si>
  <si>
    <t>4326</t>
  </si>
  <si>
    <t>24/05/2026, 14:46</t>
  </si>
  <si>
    <t>23.547379, 56.77145</t>
  </si>
  <si>
    <t>1733</t>
  </si>
  <si>
    <t>24/05/2026, 14:42</t>
  </si>
  <si>
    <t>23.535058, 56.753144</t>
  </si>
  <si>
    <t>2139</t>
  </si>
  <si>
    <t>24/05/2026, 14:36</t>
  </si>
  <si>
    <t>23.536252, 56.756291</t>
  </si>
  <si>
    <t>2024</t>
  </si>
  <si>
    <t>24/05/2026, 14:31</t>
  </si>
  <si>
    <t>23.537734, 56.757799</t>
  </si>
  <si>
    <t>4732</t>
  </si>
  <si>
    <t>24/05/2026, 14:26</t>
  </si>
  <si>
    <t>23.541659, 56.754939</t>
  </si>
  <si>
    <t>1172</t>
  </si>
  <si>
    <t>24/05/2026, 14:19</t>
  </si>
  <si>
    <t>23.541731, 56.761641</t>
  </si>
  <si>
    <t>1170</t>
  </si>
  <si>
    <t>24/05/2026, 14:13</t>
  </si>
  <si>
    <t>23.541208, 56.761558</t>
  </si>
  <si>
    <t>1171</t>
  </si>
  <si>
    <t>24/05/2026, 14:05</t>
  </si>
  <si>
    <t>23.542132, 56.767117</t>
  </si>
  <si>
    <t>1169</t>
  </si>
  <si>
    <t>24/05/2026, 13:59</t>
  </si>
  <si>
    <t>23.537768, 56.769729</t>
  </si>
  <si>
    <t>1070</t>
  </si>
  <si>
    <t>24/05/2026, 13:52</t>
  </si>
  <si>
    <t>23.534544, 56.762356</t>
  </si>
  <si>
    <t>1174</t>
  </si>
  <si>
    <t>24/05/2026, 13:43</t>
  </si>
  <si>
    <t>23.542801, 56.740032</t>
  </si>
  <si>
    <t>1176</t>
  </si>
  <si>
    <t>23/05/2026, 15:43</t>
  </si>
  <si>
    <t>23.541778, 56.741336</t>
  </si>
  <si>
    <t>2171</t>
  </si>
  <si>
    <t>23/05/2026, 15:35</t>
  </si>
  <si>
    <t>23.542366, 56.739375</t>
  </si>
  <si>
    <t>1173</t>
  </si>
  <si>
    <t>23/05/2026, 15:30</t>
  </si>
  <si>
    <t>23.524329, 56.760567</t>
  </si>
  <si>
    <t>1175</t>
  </si>
  <si>
    <t>23/05/2026, 15:24</t>
  </si>
  <si>
    <t>23.515238, 56.764417</t>
  </si>
  <si>
    <t>2216</t>
  </si>
  <si>
    <t>23/05/2026, 15:11</t>
  </si>
  <si>
    <t>23.507867, 56.76516</t>
  </si>
  <si>
    <t>1509</t>
  </si>
  <si>
    <t>23/05/2026, 15:07</t>
  </si>
  <si>
    <t>23.510851, 56.751188</t>
  </si>
  <si>
    <t>1724</t>
  </si>
  <si>
    <t>23/05/2026, 14:57</t>
  </si>
  <si>
    <t>23.499607, 56.746235</t>
  </si>
  <si>
    <t>4374</t>
  </si>
  <si>
    <t>23.492498, 56.746122</t>
  </si>
  <si>
    <t>1178</t>
  </si>
  <si>
    <t>23/05/2026, 14:42</t>
  </si>
  <si>
    <t>23.494055, 56.762167</t>
  </si>
  <si>
    <t>2251</t>
  </si>
  <si>
    <t>23/05/2026, 14:34</t>
  </si>
  <si>
    <t>23.493949, 56.762073</t>
  </si>
  <si>
    <t>2215</t>
  </si>
  <si>
    <t>23.486199, 56.712678</t>
  </si>
  <si>
    <t>1890</t>
  </si>
  <si>
    <t>4546</t>
  </si>
  <si>
    <t>23/05/2026, 14:23</t>
  </si>
  <si>
    <t>1180</t>
  </si>
  <si>
    <t>23/05/2026, 14:13</t>
  </si>
  <si>
    <t>23.483609, 56.719051</t>
  </si>
  <si>
    <t>1481</t>
  </si>
  <si>
    <t>23/05/2026, 13:57</t>
  </si>
  <si>
    <t>HUGERMAT</t>
  </si>
  <si>
    <t>23.402288, 56.724812</t>
  </si>
  <si>
    <t>972</t>
  </si>
  <si>
    <t>10/06/2026, 16:05</t>
  </si>
  <si>
    <t>23.403142, 56.727629</t>
  </si>
  <si>
    <t>1615</t>
  </si>
  <si>
    <t>10/06/2026, 16:00</t>
  </si>
  <si>
    <t>23.405429, 56.732253</t>
  </si>
  <si>
    <t>1832</t>
  </si>
  <si>
    <t>10/06/2026, 15:56</t>
  </si>
  <si>
    <t>23.410329, 56.730767</t>
  </si>
  <si>
    <t>0873</t>
  </si>
  <si>
    <t>10/06/2026, 15:48</t>
  </si>
  <si>
    <t>23.413126, 56.738671</t>
  </si>
  <si>
    <t>978</t>
  </si>
  <si>
    <t>10/06/2026, 15:35</t>
  </si>
  <si>
    <t>23.413425, 56.729188</t>
  </si>
  <si>
    <t>968</t>
  </si>
  <si>
    <t>10/06/2026, 15:25</t>
  </si>
  <si>
    <t>23.413298, 56.72919</t>
  </si>
  <si>
    <t>2062</t>
  </si>
  <si>
    <t>10/06/2026, 17:00</t>
  </si>
  <si>
    <t>23.422437, 56.727213</t>
  </si>
  <si>
    <t>967</t>
  </si>
  <si>
    <t>10/06/2026, 15:12</t>
  </si>
  <si>
    <t>23.424905, 56.726891</t>
  </si>
  <si>
    <t>1967</t>
  </si>
  <si>
    <t>10/06/2026, 15:06</t>
  </si>
  <si>
    <t>23.423351, 56.724885</t>
  </si>
  <si>
    <t>963</t>
  </si>
  <si>
    <t>10/06/2026, 15:02</t>
  </si>
  <si>
    <t>23.413551, 56.726163</t>
  </si>
  <si>
    <t>966</t>
  </si>
  <si>
    <t>10/06/2026, 14:54</t>
  </si>
  <si>
    <t>23.422946, 56.721703</t>
  </si>
  <si>
    <t>965</t>
  </si>
  <si>
    <t>10/06/2026, 14:49</t>
  </si>
  <si>
    <t>23.422943, 56.721698</t>
  </si>
  <si>
    <t>964</t>
  </si>
  <si>
    <t>10/06/2026, 14:46</t>
  </si>
  <si>
    <t>23.425847, 56.711055</t>
  </si>
  <si>
    <t>961</t>
  </si>
  <si>
    <t>10/06/2026, 14:40</t>
  </si>
  <si>
    <t>23.424261, 56.716002</t>
  </si>
  <si>
    <t>960</t>
  </si>
  <si>
    <t>10/06/2026, 14:36</t>
  </si>
  <si>
    <t>23.424028, 56.720763</t>
  </si>
  <si>
    <t>1389</t>
  </si>
  <si>
    <t>10/06/2026, 14:32</t>
  </si>
  <si>
    <t>23.423698, 56.723812</t>
  </si>
  <si>
    <t>962</t>
  </si>
  <si>
    <t>10/06/2026, 14:27</t>
  </si>
  <si>
    <t>23.426341, 56.725262</t>
  </si>
  <si>
    <t>4248</t>
  </si>
  <si>
    <t>10/06/2026, 14:17</t>
  </si>
  <si>
    <t>23.410714, 56.740274</t>
  </si>
  <si>
    <t>1085</t>
  </si>
  <si>
    <t>06/06/2026, 16:20</t>
  </si>
  <si>
    <t>23.417353, 56.748635</t>
  </si>
  <si>
    <t>1084</t>
  </si>
  <si>
    <t>06/06/2026, 16:16</t>
  </si>
  <si>
    <t>23.42429, 56.755063</t>
  </si>
  <si>
    <t>1080</t>
  </si>
  <si>
    <t>06/06/2026, 16:11</t>
  </si>
  <si>
    <t>23.423919, 56.757073</t>
  </si>
  <si>
    <t>1079</t>
  </si>
  <si>
    <t>06/06/2026, 16:06</t>
  </si>
  <si>
    <t>23.427688, 56.7604</t>
  </si>
  <si>
    <t>2278</t>
  </si>
  <si>
    <t>06/06/2026, 16:02</t>
  </si>
  <si>
    <t>23.43239, 56.770355</t>
  </si>
  <si>
    <t>1069</t>
  </si>
  <si>
    <t>06/06/2026, 15:56</t>
  </si>
  <si>
    <t>23.425409, 56.774155</t>
  </si>
  <si>
    <t>4388</t>
  </si>
  <si>
    <t>06/06/2026, 15:47</t>
  </si>
  <si>
    <t>23.426031, 56.771192</t>
  </si>
  <si>
    <t>1385</t>
  </si>
  <si>
    <t>06/06/2026, 15:44</t>
  </si>
  <si>
    <t>23.403031, 56.78022</t>
  </si>
  <si>
    <t>1675</t>
  </si>
  <si>
    <t>06/06/2026, 15:22</t>
  </si>
  <si>
    <t>23.404978, 56.778611</t>
  </si>
  <si>
    <t>1593</t>
  </si>
  <si>
    <t>06/06/2026, 15:16</t>
  </si>
  <si>
    <t>23.408875, 56.779751</t>
  </si>
  <si>
    <t>4628</t>
  </si>
  <si>
    <t>06/06/2026, 15:11</t>
  </si>
  <si>
    <t>23.410059, 56.775618</t>
  </si>
  <si>
    <t>1075</t>
  </si>
  <si>
    <t>06/06/2026, 15:07</t>
  </si>
  <si>
    <t>23.415399, 56.776525</t>
  </si>
  <si>
    <t>416</t>
  </si>
  <si>
    <t>06/06/2026, 14:53</t>
  </si>
  <si>
    <t>23.417051, 56.770212</t>
  </si>
  <si>
    <t>4373</t>
  </si>
  <si>
    <t>06/06/2026, 14:48</t>
  </si>
  <si>
    <t>23.416404, 56.767033</t>
  </si>
  <si>
    <t>1074</t>
  </si>
  <si>
    <t>06/06/2026, 14:39</t>
  </si>
  <si>
    <t>23.423824, 56.766228</t>
  </si>
  <si>
    <t>1073</t>
  </si>
  <si>
    <t>06/06/2026, 14:34</t>
  </si>
  <si>
    <t>23.430125, 56.764272</t>
  </si>
  <si>
    <t>1072</t>
  </si>
  <si>
    <t>06/06/2026, 14:28</t>
  </si>
  <si>
    <t>23.430792, 56.767596</t>
  </si>
  <si>
    <t>1071</t>
  </si>
  <si>
    <t>06/06/2026, 14:22</t>
  </si>
  <si>
    <t>23.433961, 56.766329</t>
  </si>
  <si>
    <t>1742</t>
  </si>
  <si>
    <t>06/06/2026, 17:38</t>
  </si>
  <si>
    <t>23.431412, 56.763782</t>
  </si>
  <si>
    <t>1390</t>
  </si>
  <si>
    <t>06/06/2026, 14:07</t>
  </si>
  <si>
    <t>23.433591, 56.761174</t>
  </si>
  <si>
    <t>1076</t>
  </si>
  <si>
    <t>06/06/2026, 13:59</t>
  </si>
  <si>
    <t>23.430164, 56.762053</t>
  </si>
  <si>
    <t>2225</t>
  </si>
  <si>
    <t>06/06/2026, 13:55</t>
  </si>
  <si>
    <t>23.431398, 56.758111</t>
  </si>
  <si>
    <t>1078</t>
  </si>
  <si>
    <t>23.427068, 56.750827</t>
  </si>
  <si>
    <t>4143</t>
  </si>
  <si>
    <t>06/06/2026, 13:40</t>
  </si>
  <si>
    <t>23.430697, 56.751855</t>
  </si>
  <si>
    <t>1081</t>
  </si>
  <si>
    <t>06/06/2026, 13:34</t>
  </si>
  <si>
    <t>23.438472, 56.757619</t>
  </si>
  <si>
    <t>06/06/2026, 13:27</t>
  </si>
  <si>
    <t>23.439429, 56.749283</t>
  </si>
  <si>
    <t>4201</t>
  </si>
  <si>
    <t>06/06/2026, 13:22</t>
  </si>
  <si>
    <t>23.425442, 56.734912</t>
  </si>
  <si>
    <t>983</t>
  </si>
  <si>
    <t>06/06/2026, 17:48</t>
  </si>
  <si>
    <t>23.423389, 56.733645</t>
  </si>
  <si>
    <t>308</t>
  </si>
  <si>
    <t>04/06/2026, 15:41</t>
  </si>
  <si>
    <t>23.426723, 56.73619</t>
  </si>
  <si>
    <t>984</t>
  </si>
  <si>
    <t>04/06/2026, 15:36</t>
  </si>
  <si>
    <t>23.432859, 56.742076</t>
  </si>
  <si>
    <t>985</t>
  </si>
  <si>
    <t>23.432211, 56.742815</t>
  </si>
  <si>
    <t>986</t>
  </si>
  <si>
    <t>04/06/2026, 15:26</t>
  </si>
  <si>
    <t>23.434923, 56.744698</t>
  </si>
  <si>
    <t>987</t>
  </si>
  <si>
    <t>23.436532, 56.745618</t>
  </si>
  <si>
    <t>989</t>
  </si>
  <si>
    <t>04/06/2026, 15:17</t>
  </si>
  <si>
    <t>23.437968, 56.743489</t>
  </si>
  <si>
    <t>990</t>
  </si>
  <si>
    <t>04/06/2026, 15:11</t>
  </si>
  <si>
    <t>991</t>
  </si>
  <si>
    <t>04/06/2026, 15:06</t>
  </si>
  <si>
    <t>23.428849, 56.733967</t>
  </si>
  <si>
    <t>2140</t>
  </si>
  <si>
    <t>23.43087, 56.726834</t>
  </si>
  <si>
    <t>1488</t>
  </si>
  <si>
    <t>K_LN01</t>
  </si>
  <si>
    <t>23.440034, 56.704097</t>
  </si>
  <si>
    <t>1785</t>
  </si>
  <si>
    <t>04/06/2026, 14:43</t>
  </si>
  <si>
    <t>23.443035, 56.702619</t>
  </si>
  <si>
    <t>1493</t>
  </si>
  <si>
    <t>23.438893, 56.7051</t>
  </si>
  <si>
    <t>959</t>
  </si>
  <si>
    <t>23.437675, 56.711781</t>
  </si>
  <si>
    <t>1372</t>
  </si>
  <si>
    <t>04/06/2026, 14:29</t>
  </si>
  <si>
    <t>23.440138, 56.713496</t>
  </si>
  <si>
    <t>1754</t>
  </si>
  <si>
    <t>04/06/2026, 14:23</t>
  </si>
  <si>
    <t>23.444518, 56.717975</t>
  </si>
  <si>
    <t>4363</t>
  </si>
  <si>
    <t>04/06/2026, 14:17</t>
  </si>
  <si>
    <t>23.444145, 56.717296</t>
  </si>
  <si>
    <t>2070</t>
  </si>
  <si>
    <t>04/06/2026, 14:15</t>
  </si>
  <si>
    <t>23.441236, 56.709882</t>
  </si>
  <si>
    <t>958</t>
  </si>
  <si>
    <t>04/06/2026, 14:08</t>
  </si>
  <si>
    <t>23.440825, 56.709762</t>
  </si>
  <si>
    <t>4336</t>
  </si>
  <si>
    <t>04/06/2026, 14:06</t>
  </si>
  <si>
    <t>23.437959, 56.708933</t>
  </si>
  <si>
    <t>0858</t>
  </si>
  <si>
    <t>04/06/2026, 14:03</t>
  </si>
  <si>
    <t>23.431697, 56.710769</t>
  </si>
  <si>
    <t>04/06/2026, 13:57</t>
  </si>
  <si>
    <t>23.435082, 56.706817</t>
  </si>
  <si>
    <t>956</t>
  </si>
  <si>
    <t>04/06/2026, 13:52</t>
  </si>
  <si>
    <t>23.434233, 56.710408</t>
  </si>
  <si>
    <t>1734</t>
  </si>
  <si>
    <t>04/06/2026, 13:49</t>
  </si>
  <si>
    <t>23.429686, 56.711633</t>
  </si>
  <si>
    <t>954</t>
  </si>
  <si>
    <t>04/06/2026, 13:45</t>
  </si>
  <si>
    <t>23.433834, 56.712691</t>
  </si>
  <si>
    <t>955</t>
  </si>
  <si>
    <t>04/06/2026, 13:40</t>
  </si>
  <si>
    <t>23.430754, 56.715042</t>
  </si>
  <si>
    <t>2296</t>
  </si>
  <si>
    <t>23.434275, 56.718539</t>
  </si>
  <si>
    <t>952</t>
  </si>
  <si>
    <t>04/06/2026, 13:26</t>
  </si>
  <si>
    <t>23.430747, 56.718345</t>
  </si>
  <si>
    <t>951</t>
  </si>
  <si>
    <t>04/06/2026, 13:19</t>
  </si>
  <si>
    <t>23.430676, 56.718361</t>
  </si>
  <si>
    <t>953</t>
  </si>
  <si>
    <t>04/06/2026, 13:15</t>
  </si>
  <si>
    <t>23.519703, 56.750827</t>
  </si>
  <si>
    <t>1177</t>
  </si>
  <si>
    <t>23/05/2026, 15:19</t>
  </si>
  <si>
    <t>Wadi Alain</t>
  </si>
  <si>
    <t>AMLAH</t>
  </si>
  <si>
    <t>23.222521, 56.990387</t>
  </si>
  <si>
    <t>2121</t>
  </si>
  <si>
    <t>12/06/2026, 15:54</t>
  </si>
  <si>
    <t>23.222562, 56.987955</t>
  </si>
  <si>
    <t>2095</t>
  </si>
  <si>
    <t>12/06/2026, 15:49</t>
  </si>
  <si>
    <t>23.21762, 56.990657</t>
  </si>
  <si>
    <t>1334</t>
  </si>
  <si>
    <t>12/06/2026, 15:42</t>
  </si>
  <si>
    <t>23.215544, 56.989445</t>
  </si>
  <si>
    <t>2065</t>
  </si>
  <si>
    <t>12/06/2026, 15:33</t>
  </si>
  <si>
    <t>23.219488, 56.987038</t>
  </si>
  <si>
    <t>2183</t>
  </si>
  <si>
    <t>23.216748, 56.984575</t>
  </si>
  <si>
    <t>1570</t>
  </si>
  <si>
    <t>23.226447, 56.982546</t>
  </si>
  <si>
    <t>719</t>
  </si>
  <si>
    <t>23.223188, 56.981574</t>
  </si>
  <si>
    <t>718</t>
  </si>
  <si>
    <t>12/06/2026, 15:09</t>
  </si>
  <si>
    <t>23.222308, 56.977228</t>
  </si>
  <si>
    <t>04360</t>
  </si>
  <si>
    <t>12/06/2026, 15:06</t>
  </si>
  <si>
    <t>23.220297, 56.972085</t>
  </si>
  <si>
    <t>2154</t>
  </si>
  <si>
    <t>12/06/2026, 15:03</t>
  </si>
  <si>
    <t>23.217651, 56.969428</t>
  </si>
  <si>
    <t>717</t>
  </si>
  <si>
    <t>12/06/2026, 15:00</t>
  </si>
  <si>
    <t>23.215317, 56.966462</t>
  </si>
  <si>
    <t>2041</t>
  </si>
  <si>
    <t>23.213219, 56.964461</t>
  </si>
  <si>
    <t>716</t>
  </si>
  <si>
    <t>23.193503, 56.919765</t>
  </si>
  <si>
    <t>704</t>
  </si>
  <si>
    <t>12/06/2026, 14:39</t>
  </si>
  <si>
    <t>23.183104, 56.920296</t>
  </si>
  <si>
    <t>703</t>
  </si>
  <si>
    <t>12/06/2026, 14:34</t>
  </si>
  <si>
    <t>23.181422, 56.921566</t>
  </si>
  <si>
    <t>2175</t>
  </si>
  <si>
    <t>12/06/2026, 14:30</t>
  </si>
  <si>
    <t>702</t>
  </si>
  <si>
    <t>12/06/2026, 14:25</t>
  </si>
  <si>
    <t>23.208249, 56.947645</t>
  </si>
  <si>
    <t>2042</t>
  </si>
  <si>
    <t>09/06/2026, 15:31</t>
  </si>
  <si>
    <t>23.210232, 56.950534</t>
  </si>
  <si>
    <t>715</t>
  </si>
  <si>
    <t>09/06/2026, 15:27</t>
  </si>
  <si>
    <t>23.212488, 56.947376</t>
  </si>
  <si>
    <t>714</t>
  </si>
  <si>
    <t>09/06/2026, 15:24</t>
  </si>
  <si>
    <t>23.212057, 56.94642</t>
  </si>
  <si>
    <t>1750</t>
  </si>
  <si>
    <t>09/06/2026, 15:21</t>
  </si>
  <si>
    <t>23.214423, 56.94636</t>
  </si>
  <si>
    <t>4569</t>
  </si>
  <si>
    <t>09/06/2026, 15:13</t>
  </si>
  <si>
    <t>23.20755, 56.955553</t>
  </si>
  <si>
    <t>4744</t>
  </si>
  <si>
    <t>09/06/2026, 15:03</t>
  </si>
  <si>
    <t>713</t>
  </si>
  <si>
    <t>09/06/2026, 14:59</t>
  </si>
  <si>
    <t>23.210538, 56.96312</t>
  </si>
  <si>
    <t>712</t>
  </si>
  <si>
    <t>09/06/2026, 14:53</t>
  </si>
  <si>
    <t>23.207629, 56.959494</t>
  </si>
  <si>
    <t>711</t>
  </si>
  <si>
    <t>09/06/2026, 14:47</t>
  </si>
  <si>
    <t>2350</t>
  </si>
  <si>
    <t>09/06/2026, 14:43</t>
  </si>
  <si>
    <t>23.202293, 56.943808</t>
  </si>
  <si>
    <t>710</t>
  </si>
  <si>
    <t>09/06/2026, 14:41</t>
  </si>
  <si>
    <t>709</t>
  </si>
  <si>
    <t>09/06/2026, 14:37</t>
  </si>
  <si>
    <t>2320</t>
  </si>
  <si>
    <t>09/06/2026, 14:34</t>
  </si>
  <si>
    <t>708</t>
  </si>
  <si>
    <t>09/06/2026, 14:30</t>
  </si>
  <si>
    <t>23.185382, 56.930585</t>
  </si>
  <si>
    <t>04314</t>
  </si>
  <si>
    <t>09/06/2026, 14:26</t>
  </si>
  <si>
    <t>707</t>
  </si>
  <si>
    <t>09/06/2026, 14:22</t>
  </si>
  <si>
    <t>23.180326, 56.94426</t>
  </si>
  <si>
    <t>705</t>
  </si>
  <si>
    <t>09/06/2026, 14:19</t>
  </si>
  <si>
    <t>23.18532, 56.930545</t>
  </si>
  <si>
    <t>09/06/2026, 14:04</t>
  </si>
  <si>
    <t>23.191221, 56.927685</t>
  </si>
  <si>
    <t>4774</t>
  </si>
  <si>
    <t>09/06/2026, 13:58</t>
  </si>
  <si>
    <t>23.17562, 56.918555</t>
  </si>
  <si>
    <t>706</t>
  </si>
  <si>
    <t>09/06/2026, 13:54</t>
  </si>
  <si>
    <t>04801</t>
  </si>
  <si>
    <t>09/06/2026, 13:49</t>
  </si>
  <si>
    <t>23.179355, 56.914401</t>
  </si>
  <si>
    <t>701</t>
  </si>
  <si>
    <t>09/06/2026, 13:42</t>
  </si>
  <si>
    <t>23.140594, 56.878859</t>
  </si>
  <si>
    <t>821</t>
  </si>
  <si>
    <t>04/06/2026, 15:39</t>
  </si>
  <si>
    <t>23.132371, 56.881862</t>
  </si>
  <si>
    <t>820</t>
  </si>
  <si>
    <t>04/06/2026, 15:34</t>
  </si>
  <si>
    <t>23.131071, 56.88013</t>
  </si>
  <si>
    <t>1845</t>
  </si>
  <si>
    <t>23.129754, 56.875266</t>
  </si>
  <si>
    <t>819</t>
  </si>
  <si>
    <t>23.132643, 56.890684</t>
  </si>
  <si>
    <t>2187</t>
  </si>
  <si>
    <t>04/06/2026, 15:20</t>
  </si>
  <si>
    <t>23.121858, 56.914494</t>
  </si>
  <si>
    <t>816</t>
  </si>
  <si>
    <t>04/06/2026, 15:13</t>
  </si>
  <si>
    <t>23.123088, 56.918728</t>
  </si>
  <si>
    <t>815</t>
  </si>
  <si>
    <t>23.128975, 56.915604</t>
  </si>
  <si>
    <t>1747</t>
  </si>
  <si>
    <t>23.134807, 56.917888</t>
  </si>
  <si>
    <t>1438</t>
  </si>
  <si>
    <t>04/06/2026, 14:55</t>
  </si>
  <si>
    <t>23.137999, 56.925044</t>
  </si>
  <si>
    <t>814</t>
  </si>
  <si>
    <t>04/06/2026, 14:51</t>
  </si>
  <si>
    <t>23.137199, 56.920016</t>
  </si>
  <si>
    <t>2102</t>
  </si>
  <si>
    <t>23.138582, 56.917733</t>
  </si>
  <si>
    <t>2040</t>
  </si>
  <si>
    <t>04/06/2026, 14:44</t>
  </si>
  <si>
    <t>23.135943, 56.915532</t>
  </si>
  <si>
    <t>813</t>
  </si>
  <si>
    <t>04/06/2026, 14:40</t>
  </si>
  <si>
    <t>23.134189, 56.912685</t>
  </si>
  <si>
    <t>4611</t>
  </si>
  <si>
    <t>23.13353, 56.910042</t>
  </si>
  <si>
    <t>1774</t>
  </si>
  <si>
    <t>23.131846, 56.903807</t>
  </si>
  <si>
    <t>812</t>
  </si>
  <si>
    <t>23.132593, 56.900242</t>
  </si>
  <si>
    <t>1958</t>
  </si>
  <si>
    <t>23.133856, 56.898407</t>
  </si>
  <si>
    <t>811</t>
  </si>
  <si>
    <t>23.132037, 56.895632</t>
  </si>
  <si>
    <t>4500</t>
  </si>
  <si>
    <t>23.132265, 56.892597</t>
  </si>
  <si>
    <t>810</t>
  </si>
  <si>
    <t>23.121003, 56.888785</t>
  </si>
  <si>
    <t>806</t>
  </si>
  <si>
    <t>23.117992, 56.894357</t>
  </si>
  <si>
    <t>1804</t>
  </si>
  <si>
    <t>23.117097, 56.889115</t>
  </si>
  <si>
    <t>1482</t>
  </si>
  <si>
    <t>04/06/2026, 13:56</t>
  </si>
  <si>
    <t>23.13794, 56.91178</t>
  </si>
  <si>
    <t>4789</t>
  </si>
  <si>
    <t>30/05/2026, 15:55</t>
  </si>
  <si>
    <t>23.167275, 56.916032</t>
  </si>
  <si>
    <t>624</t>
  </si>
  <si>
    <t>30/05/2026, 15:50</t>
  </si>
  <si>
    <t>23.176784, 56.916351</t>
  </si>
  <si>
    <t>623</t>
  </si>
  <si>
    <t>30/05/2026, 15:46</t>
  </si>
  <si>
    <t>23.186288, 56.894756</t>
  </si>
  <si>
    <t>2311</t>
  </si>
  <si>
    <t>30/05/2026, 15:36</t>
  </si>
  <si>
    <t>23.1723, 56.904623</t>
  </si>
  <si>
    <t>620</t>
  </si>
  <si>
    <t>30/05/2026, 15:28</t>
  </si>
  <si>
    <t>23.17081, 56.90859</t>
  </si>
  <si>
    <t>621</t>
  </si>
  <si>
    <t>30/05/2026, 15:23</t>
  </si>
  <si>
    <t>23.174089, 56.907603</t>
  </si>
  <si>
    <t>619</t>
  </si>
  <si>
    <t>30/05/2026, 15:17</t>
  </si>
  <si>
    <t>23.164933, 56.905243</t>
  </si>
  <si>
    <t>622</t>
  </si>
  <si>
    <t>24/05/2026, 15:23</t>
  </si>
  <si>
    <t>23.161258, 56.912533</t>
  </si>
  <si>
    <t>1641</t>
  </si>
  <si>
    <t>24/05/2026, 15:17</t>
  </si>
  <si>
    <t>625</t>
  </si>
  <si>
    <t>24/05/2026, 15:11</t>
  </si>
  <si>
    <t>23.157836, 56.911507</t>
  </si>
  <si>
    <t>2078</t>
  </si>
  <si>
    <t>24/05/2026, 15:08</t>
  </si>
  <si>
    <t>23.155808, 56.913509</t>
  </si>
  <si>
    <t>2039</t>
  </si>
  <si>
    <t>24/05/2026, 15:04</t>
  </si>
  <si>
    <t>23.155344, 56.910266</t>
  </si>
  <si>
    <t>2009</t>
  </si>
  <si>
    <t>23.150354, 56.908828</t>
  </si>
  <si>
    <t>4566</t>
  </si>
  <si>
    <t>24/05/2026, 14:56</t>
  </si>
  <si>
    <t>1760</t>
  </si>
  <si>
    <t>24/05/2026, 14:52</t>
  </si>
  <si>
    <t>23.145257, 56.897194</t>
  </si>
  <si>
    <t>629</t>
  </si>
  <si>
    <t>24/05/2026, 14:45</t>
  </si>
  <si>
    <t>628</t>
  </si>
  <si>
    <t>24/05/2026, 14:40</t>
  </si>
  <si>
    <t>23.136573, 56.891915</t>
  </si>
  <si>
    <t>2351</t>
  </si>
  <si>
    <t>630</t>
  </si>
  <si>
    <t>1834</t>
  </si>
  <si>
    <t>24/05/2026, 14:25</t>
  </si>
  <si>
    <t>23.08751, 56.819855</t>
  </si>
  <si>
    <t>1537</t>
  </si>
  <si>
    <t>24/05/2026, 14:16</t>
  </si>
  <si>
    <t>23.135801, 56.891811</t>
  </si>
  <si>
    <t>817</t>
  </si>
  <si>
    <t>24/05/2026, 10:57</t>
  </si>
  <si>
    <t>23.129, 56.889793</t>
  </si>
  <si>
    <t>809</t>
  </si>
  <si>
    <t>24/05/2026, 10:49</t>
  </si>
  <si>
    <t>23.128159, 56.889813</t>
  </si>
  <si>
    <t>2038</t>
  </si>
  <si>
    <t>24/05/2026, 10:42</t>
  </si>
  <si>
    <t>23.126085, 56.889607</t>
  </si>
  <si>
    <t>1712</t>
  </si>
  <si>
    <t>24/05/2026, 10:23</t>
  </si>
  <si>
    <t>AL-EYNIN</t>
  </si>
  <si>
    <t>K_LN05</t>
  </si>
  <si>
    <t>23.29693, 56.542573</t>
  </si>
  <si>
    <t>375</t>
  </si>
  <si>
    <t>23.282681, 56.540676</t>
  </si>
  <si>
    <t>386</t>
  </si>
  <si>
    <t>05/06/2026, 09:05</t>
  </si>
  <si>
    <t>23.281756, 56.539615</t>
  </si>
  <si>
    <t>387</t>
  </si>
  <si>
    <t>04/06/2026, 13:33</t>
  </si>
  <si>
    <t>23.281186, 56.539537</t>
  </si>
  <si>
    <t>23.281343, 56.537808</t>
  </si>
  <si>
    <t>388</t>
  </si>
  <si>
    <t>23.283744, 56.538803</t>
  </si>
  <si>
    <t>397</t>
  </si>
  <si>
    <t>04/06/2026, 13:17</t>
  </si>
  <si>
    <t>23.279186, 56.534055</t>
  </si>
  <si>
    <t>1549</t>
  </si>
  <si>
    <t>04/06/2026, 12:55</t>
  </si>
  <si>
    <t>23.278927, 56.529442</t>
  </si>
  <si>
    <t>04145</t>
  </si>
  <si>
    <t>04/06/2026, 12:51</t>
  </si>
  <si>
    <t>23.281283, 56.531936</t>
  </si>
  <si>
    <t>400</t>
  </si>
  <si>
    <t>04/06/2026, 12:41</t>
  </si>
  <si>
    <t>23.283228, 56.531869</t>
  </si>
  <si>
    <t>399</t>
  </si>
  <si>
    <t>04/06/2026, 12:34</t>
  </si>
  <si>
    <t>23.283773, 56.534666</t>
  </si>
  <si>
    <t>398</t>
  </si>
  <si>
    <t>04/06/2026, 12:28</t>
  </si>
  <si>
    <t>23.286335, 56.538258</t>
  </si>
  <si>
    <t>396</t>
  </si>
  <si>
    <t>04/06/2026, 12:18</t>
  </si>
  <si>
    <t>23.307391, 56.585589</t>
  </si>
  <si>
    <t>395</t>
  </si>
  <si>
    <t>04/06/2026, 12:14</t>
  </si>
  <si>
    <t>23.280552, 56.552214</t>
  </si>
  <si>
    <t>415</t>
  </si>
  <si>
    <t>03/06/2026, 13:34</t>
  </si>
  <si>
    <t>23.280939, 56.559783</t>
  </si>
  <si>
    <t>1277</t>
  </si>
  <si>
    <t>03/06/2026, 13:26</t>
  </si>
  <si>
    <t>23.279666, 56.562528</t>
  </si>
  <si>
    <t>1449</t>
  </si>
  <si>
    <t>03/06/2026, 13:19</t>
  </si>
  <si>
    <t>23.281884, 56.562589</t>
  </si>
  <si>
    <t>1491</t>
  </si>
  <si>
    <t>03/06/2026, 13:14</t>
  </si>
  <si>
    <t>23.280446, 56.567352</t>
  </si>
  <si>
    <t>1563</t>
  </si>
  <si>
    <t>03/06/2026, 13:07</t>
  </si>
  <si>
    <t>K_LN06</t>
  </si>
  <si>
    <t>23.308061, 56.586232</t>
  </si>
  <si>
    <t>356</t>
  </si>
  <si>
    <t>02/06/2026, 21:50</t>
  </si>
  <si>
    <t>23.308061, 56.58623</t>
  </si>
  <si>
    <t>1746</t>
  </si>
  <si>
    <t>02/06/2026, 21:49</t>
  </si>
  <si>
    <t>358</t>
  </si>
  <si>
    <t>02/06/2026, 21:47</t>
  </si>
  <si>
    <t>23.308062, 56.586227</t>
  </si>
  <si>
    <t>406</t>
  </si>
  <si>
    <t>02/06/2026, 21:46</t>
  </si>
  <si>
    <t>364</t>
  </si>
  <si>
    <t>02/06/2026, 21:45</t>
  </si>
  <si>
    <t>367</t>
  </si>
  <si>
    <t>02/06/2026, 21:43</t>
  </si>
  <si>
    <t>366</t>
  </si>
  <si>
    <t>02/06/2026, 21:41</t>
  </si>
  <si>
    <t>23.281598, 56.556285</t>
  </si>
  <si>
    <t>414</t>
  </si>
  <si>
    <t>02/06/2026, 13:37</t>
  </si>
  <si>
    <t>413</t>
  </si>
  <si>
    <t>02/06/2026, 13:29</t>
  </si>
  <si>
    <t>23.286448, 56.555877</t>
  </si>
  <si>
    <t>2100</t>
  </si>
  <si>
    <t>02/06/2026, 13:24</t>
  </si>
  <si>
    <t>23.28469, 56.554315</t>
  </si>
  <si>
    <t>412</t>
  </si>
  <si>
    <t>02/06/2026, 13:19</t>
  </si>
  <si>
    <t>23.291214, 56.556574</t>
  </si>
  <si>
    <t>365</t>
  </si>
  <si>
    <t>02/06/2026, 13:12</t>
  </si>
  <si>
    <t>23.27942, 56.545498</t>
  </si>
  <si>
    <t>1424</t>
  </si>
  <si>
    <t>30/05/2026, 12:49</t>
  </si>
  <si>
    <t>23.281278, 56.547522</t>
  </si>
  <si>
    <t>354</t>
  </si>
  <si>
    <t>30/05/2026, 12:31</t>
  </si>
  <si>
    <t>23.288994, 56.551511</t>
  </si>
  <si>
    <t>1921</t>
  </si>
  <si>
    <t>30/05/2026, 12:22</t>
  </si>
  <si>
    <t>23.280661, 56.546386</t>
  </si>
  <si>
    <t>355</t>
  </si>
  <si>
    <t>29/05/2026, 12:44</t>
  </si>
  <si>
    <t>23.278053, 56.545716</t>
  </si>
  <si>
    <t>357</t>
  </si>
  <si>
    <t>29/05/2026, 12:35</t>
  </si>
  <si>
    <t>23.279146, 56.545448</t>
  </si>
  <si>
    <t>29/05/2026, 12:26</t>
  </si>
  <si>
    <t>23.285267, 56.553863</t>
  </si>
  <si>
    <t>2303</t>
  </si>
  <si>
    <t>28/05/2026, 14:37</t>
  </si>
  <si>
    <t>23.296927, 56.54955</t>
  </si>
  <si>
    <t>2115</t>
  </si>
  <si>
    <t>23.294385, 56.546889</t>
  </si>
  <si>
    <t>4265</t>
  </si>
  <si>
    <t>23.283246, 56.552649</t>
  </si>
  <si>
    <t>417</t>
  </si>
  <si>
    <t>23.282776, 56.551069</t>
  </si>
  <si>
    <t>360</t>
  </si>
  <si>
    <t>23.291768, 56.548078</t>
  </si>
  <si>
    <t>1231</t>
  </si>
  <si>
    <t>28/05/2026, 14:23</t>
  </si>
  <si>
    <t>23.279123, 56.550393</t>
  </si>
  <si>
    <t>427</t>
  </si>
  <si>
    <t>28/05/2026, 14:18</t>
  </si>
  <si>
    <t>23.28979, 56.542203</t>
  </si>
  <si>
    <t>1230</t>
  </si>
  <si>
    <t>28/05/2026, 14:17</t>
  </si>
  <si>
    <t>23.277978, 56.548747</t>
  </si>
  <si>
    <t>1719</t>
  </si>
  <si>
    <t>28/05/2026, 14:12</t>
  </si>
  <si>
    <t>23.276411, 56.547026</t>
  </si>
  <si>
    <t>362</t>
  </si>
  <si>
    <t>28/05/2026, 14:06</t>
  </si>
  <si>
    <t>23.288545, 56.547084</t>
  </si>
  <si>
    <t>382</t>
  </si>
  <si>
    <t>23.273864, 56.543552</t>
  </si>
  <si>
    <t>1866</t>
  </si>
  <si>
    <t>23.286145, 56.545453</t>
  </si>
  <si>
    <t>385</t>
  </si>
  <si>
    <t>28/05/2026, 13:56</t>
  </si>
  <si>
    <t>23.275627, 56.545418</t>
  </si>
  <si>
    <t>363</t>
  </si>
  <si>
    <t>28/05/2026, 13:55</t>
  </si>
  <si>
    <t>23.288338, 56.545706</t>
  </si>
  <si>
    <t>1395</t>
  </si>
  <si>
    <t>28/05/2026, 13:52</t>
  </si>
  <si>
    <t>23.279039, 56.548359</t>
  </si>
  <si>
    <t>361</t>
  </si>
  <si>
    <t>28/05/2026, 13:48</t>
  </si>
  <si>
    <t>23.286182, 56.545343</t>
  </si>
  <si>
    <t>28/05/2026, 18:47</t>
  </si>
  <si>
    <t>23.281497, 56.550187</t>
  </si>
  <si>
    <t>4342</t>
  </si>
  <si>
    <t>23.28606, 56.545543</t>
  </si>
  <si>
    <t>380</t>
  </si>
  <si>
    <t>23.286918, 56.548494</t>
  </si>
  <si>
    <t>353</t>
  </si>
  <si>
    <t>28/05/2026, 13:33</t>
  </si>
  <si>
    <t>23.289831, 56.550157</t>
  </si>
  <si>
    <t>351</t>
  </si>
  <si>
    <t>28/05/2026, 13:25</t>
  </si>
  <si>
    <t>23.309125, 56.586657</t>
  </si>
  <si>
    <t>530</t>
  </si>
  <si>
    <t>25/05/2026, 11:22</t>
  </si>
  <si>
    <t>KUBARAH</t>
  </si>
  <si>
    <t>23.025778, 56.851929</t>
  </si>
  <si>
    <t>769</t>
  </si>
  <si>
    <t>11/06/2026, 16:15</t>
  </si>
  <si>
    <t>23.025772, 56.851926</t>
  </si>
  <si>
    <t>00768</t>
  </si>
  <si>
    <t>11/06/2026, 16:13</t>
  </si>
  <si>
    <t>23.019, 56.849245</t>
  </si>
  <si>
    <t>768</t>
  </si>
  <si>
    <t>11/06/2026, 16:08</t>
  </si>
  <si>
    <t>23.010292, 56.846782</t>
  </si>
  <si>
    <t>771</t>
  </si>
  <si>
    <t>11/06/2026, 16:07</t>
  </si>
  <si>
    <t>23.003944, 56.844669</t>
  </si>
  <si>
    <t>770</t>
  </si>
  <si>
    <t>11/06/2026, 16:06</t>
  </si>
  <si>
    <t>22.966634, 56.856961</t>
  </si>
  <si>
    <t>767</t>
  </si>
  <si>
    <t>11/06/2026, 15:44</t>
  </si>
  <si>
    <t>23.022466, 56.828566</t>
  </si>
  <si>
    <t>1745</t>
  </si>
  <si>
    <t>11/06/2026, 15:12</t>
  </si>
  <si>
    <t>23.015568, 56.836535</t>
  </si>
  <si>
    <t>766</t>
  </si>
  <si>
    <t>11/06/2026, 15:06</t>
  </si>
  <si>
    <t>23.04609, 56.850768</t>
  </si>
  <si>
    <t>763</t>
  </si>
  <si>
    <t>11/06/2026, 14:57</t>
  </si>
  <si>
    <t>23.046045, 56.85078</t>
  </si>
  <si>
    <t>23.049699, 56.851092</t>
  </si>
  <si>
    <t>4544</t>
  </si>
  <si>
    <t>11/06/2026, 14:50</t>
  </si>
  <si>
    <t>23.054845, 56.845145</t>
  </si>
  <si>
    <t>762</t>
  </si>
  <si>
    <t>11/06/2026, 14:46</t>
  </si>
  <si>
    <t>23.054154, 56.835935</t>
  </si>
  <si>
    <t>4752</t>
  </si>
  <si>
    <t>11/06/2026, 14:39</t>
  </si>
  <si>
    <t>23.058718, 56.840077</t>
  </si>
  <si>
    <t>4776</t>
  </si>
  <si>
    <t>11/06/2026, 14:34</t>
  </si>
  <si>
    <t>23.061707, 56.837618</t>
  </si>
  <si>
    <t>759</t>
  </si>
  <si>
    <t>11/06/2026, 14:30</t>
  </si>
  <si>
    <t>23.073174, 56.827774</t>
  </si>
  <si>
    <t>1835</t>
  </si>
  <si>
    <t>11/06/2026, 14:23</t>
  </si>
  <si>
    <t>23.05598, 56.818854</t>
  </si>
  <si>
    <t>760</t>
  </si>
  <si>
    <t>11/06/2026, 14:16</t>
  </si>
  <si>
    <t>23.072752, 56.812397</t>
  </si>
  <si>
    <t>4766</t>
  </si>
  <si>
    <t>11/06/2026, 14:06</t>
  </si>
  <si>
    <t>23.062768, 56.814439</t>
  </si>
  <si>
    <t>761</t>
  </si>
  <si>
    <t>23.076894, 56.821367</t>
  </si>
  <si>
    <t>758</t>
  </si>
  <si>
    <t>23.089016, 56.812584</t>
  </si>
  <si>
    <t>1780</t>
  </si>
  <si>
    <t>10/06/2026, 18:45</t>
  </si>
  <si>
    <t>23.088995, 56.812562</t>
  </si>
  <si>
    <t>834</t>
  </si>
  <si>
    <t>10/06/2026, 18:44</t>
  </si>
  <si>
    <t>23.088991, 56.812559</t>
  </si>
  <si>
    <t>833</t>
  </si>
  <si>
    <t>10/06/2026, 18:42</t>
  </si>
  <si>
    <t>23.088994, 56.812563</t>
  </si>
  <si>
    <t>832</t>
  </si>
  <si>
    <t>10/06/2026, 18:41</t>
  </si>
  <si>
    <t>23.089015, 56.812581</t>
  </si>
  <si>
    <t>831</t>
  </si>
  <si>
    <t>10/06/2026, 18:40</t>
  </si>
  <si>
    <t>23.089002, 56.81257</t>
  </si>
  <si>
    <t>4491</t>
  </si>
  <si>
    <t>10/06/2026, 18:39</t>
  </si>
  <si>
    <t>23.089023, 56.812588</t>
  </si>
  <si>
    <t>830</t>
  </si>
  <si>
    <t>10/06/2026, 18:38</t>
  </si>
  <si>
    <t>23.088989, 56.812555</t>
  </si>
  <si>
    <t>842</t>
  </si>
  <si>
    <t>10/06/2026, 18:37</t>
  </si>
  <si>
    <t>23.088996, 56.812565</t>
  </si>
  <si>
    <t>4673</t>
  </si>
  <si>
    <t>10/06/2026, 18:36</t>
  </si>
  <si>
    <t>23.08901, 56.812578</t>
  </si>
  <si>
    <t>841</t>
  </si>
  <si>
    <t>10/06/2026, 18:35</t>
  </si>
  <si>
    <t>23.088989, 56.812556</t>
  </si>
  <si>
    <t>0840</t>
  </si>
  <si>
    <t>10/06/2026, 18:33</t>
  </si>
  <si>
    <t>23.089022, 56.812587</t>
  </si>
  <si>
    <t>840</t>
  </si>
  <si>
    <t>10/06/2026, 18:31</t>
  </si>
  <si>
    <t>23.089024, 56.812588</t>
  </si>
  <si>
    <t>839</t>
  </si>
  <si>
    <t>10/06/2026, 18:30</t>
  </si>
  <si>
    <t>23.08899, 56.812558</t>
  </si>
  <si>
    <t>838</t>
  </si>
  <si>
    <t>10/06/2026, 18:29</t>
  </si>
  <si>
    <t>23.089022, 56.812586</t>
  </si>
  <si>
    <t>836</t>
  </si>
  <si>
    <t>10/06/2026, 18:28</t>
  </si>
  <si>
    <t>23.089007, 56.812575</t>
  </si>
  <si>
    <t>835</t>
  </si>
  <si>
    <t>10/06/2026, 18:27</t>
  </si>
  <si>
    <t>829</t>
  </si>
  <si>
    <t>10/06/2026, 18:26</t>
  </si>
  <si>
    <t>23.089, 56.812569</t>
  </si>
  <si>
    <t>828</t>
  </si>
  <si>
    <t>10/06/2026, 18:24</t>
  </si>
  <si>
    <t>775</t>
  </si>
  <si>
    <t>10/06/2026, 18:23</t>
  </si>
  <si>
    <t>23.089014, 56.81258</t>
  </si>
  <si>
    <t>774</t>
  </si>
  <si>
    <t>10/06/2026, 18:22</t>
  </si>
  <si>
    <t>23.089027, 56.812591</t>
  </si>
  <si>
    <t>773</t>
  </si>
  <si>
    <t>10/06/2026, 18:19</t>
  </si>
  <si>
    <t>23.090311, 56.812713</t>
  </si>
  <si>
    <t>4520</t>
  </si>
  <si>
    <t>10/06/2026, 18:14</t>
  </si>
  <si>
    <t>23.097051, 56.803499</t>
  </si>
  <si>
    <t>772</t>
  </si>
  <si>
    <t>10/06/2026, 18:13</t>
  </si>
  <si>
    <t>23.087175, 56.923765</t>
  </si>
  <si>
    <t>802</t>
  </si>
  <si>
    <t>08/06/2026, 15:55</t>
  </si>
  <si>
    <t>23.086166, 56.918683</t>
  </si>
  <si>
    <t>08/06/2026, 15:52</t>
  </si>
  <si>
    <t>23.087806, 56.911636</t>
  </si>
  <si>
    <t>1825</t>
  </si>
  <si>
    <t>08/06/2026, 15:47</t>
  </si>
  <si>
    <t>23.084868, 56.910586</t>
  </si>
  <si>
    <t>1642</t>
  </si>
  <si>
    <t>08/06/2026, 15:43</t>
  </si>
  <si>
    <t>23.079794, 56.914415</t>
  </si>
  <si>
    <t>2270</t>
  </si>
  <si>
    <t>08/06/2026, 15:39</t>
  </si>
  <si>
    <t>23.079703, 56.910783</t>
  </si>
  <si>
    <t>800</t>
  </si>
  <si>
    <t>08/06/2026, 15:35</t>
  </si>
  <si>
    <t>23.07803, 56.90937</t>
  </si>
  <si>
    <t>1893</t>
  </si>
  <si>
    <t>08/06/2026, 15:32</t>
  </si>
  <si>
    <t>23.081436, 56.905258</t>
  </si>
  <si>
    <t>799</t>
  </si>
  <si>
    <t>08/06/2026, 15:27</t>
  </si>
  <si>
    <t>23.080532, 56.901341</t>
  </si>
  <si>
    <t>798</t>
  </si>
  <si>
    <t>08/06/2026, 15:23</t>
  </si>
  <si>
    <t>23.082063, 56.899095</t>
  </si>
  <si>
    <t>797</t>
  </si>
  <si>
    <t>08/06/2026, 15:20</t>
  </si>
  <si>
    <t>23.086128, 56.903438</t>
  </si>
  <si>
    <t>1643</t>
  </si>
  <si>
    <t>08/06/2026, 15:15</t>
  </si>
  <si>
    <t>23.089444, 56.898334</t>
  </si>
  <si>
    <t>2307</t>
  </si>
  <si>
    <t>08/06/2026, 15:10</t>
  </si>
  <si>
    <t>23.089965, 56.893503</t>
  </si>
  <si>
    <t>796</t>
  </si>
  <si>
    <t>08/06/2026, 15:06</t>
  </si>
  <si>
    <t>23.095484, 56.896547</t>
  </si>
  <si>
    <t>2016</t>
  </si>
  <si>
    <t>08/06/2026, 15:02</t>
  </si>
  <si>
    <t>23.095319, 56.898195</t>
  </si>
  <si>
    <t>1450</t>
  </si>
  <si>
    <t>23.093038, 56.904708</t>
  </si>
  <si>
    <t>794</t>
  </si>
  <si>
    <t>08/06/2026, 14:55</t>
  </si>
  <si>
    <t>23.093658, 56.907694</t>
  </si>
  <si>
    <t>795</t>
  </si>
  <si>
    <t>23.09611, 56.907255</t>
  </si>
  <si>
    <t>2274</t>
  </si>
  <si>
    <t>08/06/2026, 14:46</t>
  </si>
  <si>
    <t>2142</t>
  </si>
  <si>
    <t>08/06/2026, 14:42</t>
  </si>
  <si>
    <t>23.101644, 56.899298</t>
  </si>
  <si>
    <t>4648</t>
  </si>
  <si>
    <t>07/06/2026, 15:44</t>
  </si>
  <si>
    <t>23.101786, 56.893923</t>
  </si>
  <si>
    <t>792</t>
  </si>
  <si>
    <t>07/06/2026, 15:40</t>
  </si>
  <si>
    <t>23.105511, 56.892504</t>
  </si>
  <si>
    <t>790</t>
  </si>
  <si>
    <t>07/06/2026, 15:35</t>
  </si>
  <si>
    <t>23.119672, 56.889981</t>
  </si>
  <si>
    <t>1933</t>
  </si>
  <si>
    <t>07/06/2026, 15:31</t>
  </si>
  <si>
    <t>23.121965, 56.887168</t>
  </si>
  <si>
    <t>789</t>
  </si>
  <si>
    <t>07/06/2026, 15:26</t>
  </si>
  <si>
    <t>23.112332, 56.878841</t>
  </si>
  <si>
    <t>2250</t>
  </si>
  <si>
    <t>07/06/2026, 15:22</t>
  </si>
  <si>
    <t>23.118025, 56.887168</t>
  </si>
  <si>
    <t>2071</t>
  </si>
  <si>
    <t>07/06/2026, 15:18</t>
  </si>
  <si>
    <t>23.076702, 56.842093</t>
  </si>
  <si>
    <t>784</t>
  </si>
  <si>
    <t>07/06/2026, 15:08</t>
  </si>
  <si>
    <t>23.087429, 56.862724</t>
  </si>
  <si>
    <t>787</t>
  </si>
  <si>
    <t>07/06/2026, 15:02</t>
  </si>
  <si>
    <t>23.089173, 56.855547</t>
  </si>
  <si>
    <t>2247</t>
  </si>
  <si>
    <t>07/06/2026, 14:57</t>
  </si>
  <si>
    <t>23.088357, 56.852577</t>
  </si>
  <si>
    <t>783</t>
  </si>
  <si>
    <t>07/06/2026, 14:55</t>
  </si>
  <si>
    <t>23.090568, 56.827774</t>
  </si>
  <si>
    <t>781</t>
  </si>
  <si>
    <t>07/06/2026, 14:49</t>
  </si>
  <si>
    <t>780</t>
  </si>
  <si>
    <t>07/06/2026, 14:43</t>
  </si>
  <si>
    <t>23.089591, 56.82732</t>
  </si>
  <si>
    <t>2054</t>
  </si>
  <si>
    <t>07/06/2026, 14:38</t>
  </si>
  <si>
    <t>23.088003, 56.818288</t>
  </si>
  <si>
    <t>778</t>
  </si>
  <si>
    <t>07/06/2026, 14:33</t>
  </si>
  <si>
    <t>777</t>
  </si>
  <si>
    <t>07/06/2026, 14:29</t>
  </si>
  <si>
    <t>756</t>
  </si>
  <si>
    <t>23.082565, 56.81579</t>
  </si>
  <si>
    <t>754</t>
  </si>
  <si>
    <t>07/06/2026, 14:20</t>
  </si>
  <si>
    <t>23.087502, 56.814775</t>
  </si>
  <si>
    <t>4782</t>
  </si>
  <si>
    <t>23.085163, 56.815111</t>
  </si>
  <si>
    <t>2316</t>
  </si>
  <si>
    <t>07/06/2026, 14:12</t>
  </si>
  <si>
    <t>755</t>
  </si>
  <si>
    <t>07/06/2026, 14:07</t>
  </si>
  <si>
    <t>751</t>
  </si>
  <si>
    <t>07/06/2026, 14:00</t>
  </si>
  <si>
    <t>23.113755, 56.87817</t>
  </si>
  <si>
    <t>788</t>
  </si>
  <si>
    <t>06/06/2026, 15:31</t>
  </si>
  <si>
    <t>23.117548, 56.878789</t>
  </si>
  <si>
    <t>2051</t>
  </si>
  <si>
    <t>06/06/2026, 15:27</t>
  </si>
  <si>
    <t>23.119848, 56.875391</t>
  </si>
  <si>
    <t>1465</t>
  </si>
  <si>
    <t>06/06/2026, 15:23</t>
  </si>
  <si>
    <t>1957</t>
  </si>
  <si>
    <t>06/06/2026, 15:19</t>
  </si>
  <si>
    <t>23.11697, 56.884284</t>
  </si>
  <si>
    <t>805</t>
  </si>
  <si>
    <t>23.122018, 56.88533</t>
  </si>
  <si>
    <t>1542</t>
  </si>
  <si>
    <t>06/06/2026, 15:12</t>
  </si>
  <si>
    <t>23.121512, 56.859878</t>
  </si>
  <si>
    <t>04574</t>
  </si>
  <si>
    <t>06/06/2026, 15:02</t>
  </si>
  <si>
    <t>23.11605, 56.861743</t>
  </si>
  <si>
    <t>1694</t>
  </si>
  <si>
    <t>06/06/2026, 14:55</t>
  </si>
  <si>
    <t>23.096636, 56.832971</t>
  </si>
  <si>
    <t>782</t>
  </si>
  <si>
    <t>06/06/2026, 13:37</t>
  </si>
  <si>
    <t>23.091163, 56.822699</t>
  </si>
  <si>
    <t>06/06/2026, 13:31</t>
  </si>
  <si>
    <t>23.088272, 56.821819</t>
  </si>
  <si>
    <t>1650</t>
  </si>
  <si>
    <t>06/06/2026, 13:24</t>
  </si>
  <si>
    <t>23.091117, 56.81463</t>
  </si>
  <si>
    <t>2081</t>
  </si>
  <si>
    <t>06/06/2026, 13:18</t>
  </si>
  <si>
    <t>23.097673, 56.802416</t>
  </si>
  <si>
    <t>2082</t>
  </si>
  <si>
    <t>03/06/2026, 16:03</t>
  </si>
  <si>
    <t>23.108376, 56.771744</t>
  </si>
  <si>
    <t>1869</t>
  </si>
  <si>
    <t>23.114949, 56.772912</t>
  </si>
  <si>
    <t>4739</t>
  </si>
  <si>
    <t>03/06/2026, 15:40</t>
  </si>
  <si>
    <t>23.120662, 56.77431</t>
  </si>
  <si>
    <t>2083</t>
  </si>
  <si>
    <t>03/06/2026, 15:33</t>
  </si>
  <si>
    <t>23.126902, 56.768677</t>
  </si>
  <si>
    <t>675</t>
  </si>
  <si>
    <t>03/06/2026, 15:27</t>
  </si>
  <si>
    <t>23.132044, 56.764228</t>
  </si>
  <si>
    <t>693</t>
  </si>
  <si>
    <t>03/06/2026, 15:21</t>
  </si>
  <si>
    <t>23.134675, 56.76034</t>
  </si>
  <si>
    <t>4436</t>
  </si>
  <si>
    <t>23.121935, 56.754024</t>
  </si>
  <si>
    <t>697</t>
  </si>
  <si>
    <t>03/06/2026, 15:08</t>
  </si>
  <si>
    <t>23.134075, 56.752143</t>
  </si>
  <si>
    <t>696</t>
  </si>
  <si>
    <t>23.149259, 56.743558</t>
  </si>
  <si>
    <t>4561</t>
  </si>
  <si>
    <t>23.141676, 56.747371</t>
  </si>
  <si>
    <t>695</t>
  </si>
  <si>
    <t>23.13815, 56.751157</t>
  </si>
  <si>
    <t>1439</t>
  </si>
  <si>
    <t>03/06/2026, 14:35</t>
  </si>
  <si>
    <t>694</t>
  </si>
  <si>
    <t>23.13321, 56.763851</t>
  </si>
  <si>
    <t>2035</t>
  </si>
  <si>
    <t>23.148345, 56.756841</t>
  </si>
  <si>
    <t>1622</t>
  </si>
  <si>
    <t>23.148556, 56.756677</t>
  </si>
  <si>
    <t>698</t>
  </si>
  <si>
    <t>03/06/2026, 14:16</t>
  </si>
  <si>
    <t>23.1567, 56.750219</t>
  </si>
  <si>
    <t>699</t>
  </si>
  <si>
    <t>03/06/2026, 14:09</t>
  </si>
  <si>
    <t>23.158513, 56.752092</t>
  </si>
  <si>
    <t>2252</t>
  </si>
  <si>
    <t>03/06/2026, 14:04</t>
  </si>
  <si>
    <t>23.108806, 56.785502</t>
  </si>
  <si>
    <t>4717</t>
  </si>
  <si>
    <t>23.10512, 56.788209</t>
  </si>
  <si>
    <t>632</t>
  </si>
  <si>
    <t>02/06/2026, 13:43</t>
  </si>
  <si>
    <t>23.095816, 56.797913</t>
  </si>
  <si>
    <t>1850</t>
  </si>
  <si>
    <t>02/06/2026, 13:35</t>
  </si>
  <si>
    <t>23.093792, 56.803433</t>
  </si>
  <si>
    <t>2357</t>
  </si>
  <si>
    <t>02/06/2026, 13:30</t>
  </si>
  <si>
    <t>23.152959, 56.756868</t>
  </si>
  <si>
    <t>2036</t>
  </si>
  <si>
    <t>25/05/2026, 15:14</t>
  </si>
  <si>
    <t>23.121204, 56.820909</t>
  </si>
  <si>
    <t>4318</t>
  </si>
  <si>
    <t>25/05/2026, 14:53</t>
  </si>
  <si>
    <t>23.133021, 56.836213</t>
  </si>
  <si>
    <t>674</t>
  </si>
  <si>
    <t>25/05/2026, 14:46</t>
  </si>
  <si>
    <t>23.13871, 56.824225</t>
  </si>
  <si>
    <t>1541</t>
  </si>
  <si>
    <t>23.126821, 56.816566</t>
  </si>
  <si>
    <t>1471</t>
  </si>
  <si>
    <t>25/05/2026, 14:21</t>
  </si>
  <si>
    <t>23.129722, 56.809573</t>
  </si>
  <si>
    <t>673</t>
  </si>
  <si>
    <t>25/05/2026, 14:11</t>
  </si>
  <si>
    <t>23.12686, 56.803771</t>
  </si>
  <si>
    <t>635</t>
  </si>
  <si>
    <t>25/05/2026, 14:05</t>
  </si>
  <si>
    <t>23.126317, 56.797423</t>
  </si>
  <si>
    <t>634</t>
  </si>
  <si>
    <t>25/05/2026, 13:59</t>
  </si>
  <si>
    <t>23.121661, 56.78977</t>
  </si>
  <si>
    <t>633</t>
  </si>
  <si>
    <t>23.117895, 56.783536</t>
  </si>
  <si>
    <t>4364</t>
  </si>
  <si>
    <t>23.107682, 56.806882</t>
  </si>
  <si>
    <t>2333</t>
  </si>
  <si>
    <t>25/05/2026, 13:42</t>
  </si>
  <si>
    <t>23.111024, 56.803992</t>
  </si>
  <si>
    <t>661</t>
  </si>
  <si>
    <t>25/05/2026, 13:38</t>
  </si>
  <si>
    <t>23.108882, 56.801018</t>
  </si>
  <si>
    <t>1723</t>
  </si>
  <si>
    <t>23.102432, 56.800165</t>
  </si>
  <si>
    <t>4576</t>
  </si>
  <si>
    <t>AL-AKHDAR</t>
  </si>
  <si>
    <t>23.24558, 56.421344</t>
  </si>
  <si>
    <t>10/06/2026, 15:05</t>
  </si>
  <si>
    <t>23.249982, 56.413378</t>
  </si>
  <si>
    <t>493</t>
  </si>
  <si>
    <t>10/06/2026, 14:58</t>
  </si>
  <si>
    <t>23.243489, 56.420375</t>
  </si>
  <si>
    <t>492</t>
  </si>
  <si>
    <t>10/06/2026, 14:50</t>
  </si>
  <si>
    <t>23.245115, 56.418975</t>
  </si>
  <si>
    <t>4624</t>
  </si>
  <si>
    <t>10/06/2026, 14:47</t>
  </si>
  <si>
    <t>23.242247, 56.433259</t>
  </si>
  <si>
    <t>1425</t>
  </si>
  <si>
    <t>10/06/2026, 14:37</t>
  </si>
  <si>
    <t>23.241107, 56.430942</t>
  </si>
  <si>
    <t>1778</t>
  </si>
  <si>
    <t>10/06/2026, 14:29</t>
  </si>
  <si>
    <t>23.238779, 56.431446</t>
  </si>
  <si>
    <t>491</t>
  </si>
  <si>
    <t>10/06/2026, 14:24</t>
  </si>
  <si>
    <t>23.236319, 56.43032</t>
  </si>
  <si>
    <t>490</t>
  </si>
  <si>
    <t>23.245231, 56.420937</t>
  </si>
  <si>
    <t>1858</t>
  </si>
  <si>
    <t>09/06/2026, 10:55</t>
  </si>
  <si>
    <t>23.245159, 56.42079</t>
  </si>
  <si>
    <t>1859</t>
  </si>
  <si>
    <t>09/06/2026, 10:52</t>
  </si>
  <si>
    <t>23.176912, 56.417313</t>
  </si>
  <si>
    <t>1313</t>
  </si>
  <si>
    <t>09/06/2026, 10:25</t>
  </si>
  <si>
    <t>23.197626, 56.417903</t>
  </si>
  <si>
    <t>1325</t>
  </si>
  <si>
    <t>09/06/2026, 10:19</t>
  </si>
  <si>
    <t>23.219313, 56.44751</t>
  </si>
  <si>
    <t>293</t>
  </si>
  <si>
    <t>09/06/2026, 10:21</t>
  </si>
  <si>
    <t>23.221337, 56.447309</t>
  </si>
  <si>
    <t>09/06/2026, 10:15</t>
  </si>
  <si>
    <t>23.188727, 56.375465</t>
  </si>
  <si>
    <t>1404</t>
  </si>
  <si>
    <t>09/06/2026, 10:06</t>
  </si>
  <si>
    <t>1324</t>
  </si>
  <si>
    <t>09/06/2026, 09:59</t>
  </si>
  <si>
    <t>23.22186, 56.455611</t>
  </si>
  <si>
    <t>09/06/2026, 10:01</t>
  </si>
  <si>
    <t>23.187725, 56.381981</t>
  </si>
  <si>
    <t>1323</t>
  </si>
  <si>
    <t>09/06/2026, 09:55</t>
  </si>
  <si>
    <t>23.221438, 56.453842</t>
  </si>
  <si>
    <t>09/06/2026, 09:53</t>
  </si>
  <si>
    <t>23.189956, 56.392636</t>
  </si>
  <si>
    <t>4509</t>
  </si>
  <si>
    <t>09/06/2026, 09:49</t>
  </si>
  <si>
    <t>23.196535, 56.418734</t>
  </si>
  <si>
    <t>1322</t>
  </si>
  <si>
    <t>09/06/2026, 09:43</t>
  </si>
  <si>
    <t>23.19728, 56.419346</t>
  </si>
  <si>
    <t>1321</t>
  </si>
  <si>
    <t>09/06/2026, 09:38</t>
  </si>
  <si>
    <t>23.220943, 56.454812</t>
  </si>
  <si>
    <t>09/06/2026, 09:40</t>
  </si>
  <si>
    <t>23.219832, 56.454491</t>
  </si>
  <si>
    <t>09/06/2026, 09:31</t>
  </si>
  <si>
    <t>23.219052, 56.456708</t>
  </si>
  <si>
    <t>09/06/2026, 09:22</t>
  </si>
  <si>
    <t>23.218253, 56.462367</t>
  </si>
  <si>
    <t>2144</t>
  </si>
  <si>
    <t>09/06/2026, 09:14</t>
  </si>
  <si>
    <t>23.218753, 56.458322</t>
  </si>
  <si>
    <t>1490</t>
  </si>
  <si>
    <t>09/06/2026, 09:05</t>
  </si>
  <si>
    <t>1417</t>
  </si>
  <si>
    <t>09/06/2026, 08:56</t>
  </si>
  <si>
    <t>23.218833, 56.448537</t>
  </si>
  <si>
    <t>08/06/2026, 15:16</t>
  </si>
  <si>
    <t>23.222541, 56.444373</t>
  </si>
  <si>
    <t>08/06/2026, 15:05</t>
  </si>
  <si>
    <t>23.21866, 56.439201</t>
  </si>
  <si>
    <t>1797</t>
  </si>
  <si>
    <t>23.223519, 56.443213</t>
  </si>
  <si>
    <t>23.225838, 56.439944</t>
  </si>
  <si>
    <t>1427</t>
  </si>
  <si>
    <t>23.223025, 56.43288</t>
  </si>
  <si>
    <t>1706</t>
  </si>
  <si>
    <t>23.227693, 56.43288</t>
  </si>
  <si>
    <t>195</t>
  </si>
  <si>
    <t>23.227649, 56.429218</t>
  </si>
  <si>
    <t>516</t>
  </si>
  <si>
    <t>08/06/2026, 14:27</t>
  </si>
  <si>
    <t>23.227865, 56.429107</t>
  </si>
  <si>
    <t>517</t>
  </si>
  <si>
    <t>08/06/2026, 14:22</t>
  </si>
  <si>
    <t>23.233505, 56.42627</t>
  </si>
  <si>
    <t>503</t>
  </si>
  <si>
    <t>08/06/2026, 14:14</t>
  </si>
  <si>
    <t>23.223866, 56.446482</t>
  </si>
  <si>
    <t>1824</t>
  </si>
  <si>
    <t>08/06/2026, 13:46</t>
  </si>
  <si>
    <t>23.222882, 56.448434</t>
  </si>
  <si>
    <t>1557</t>
  </si>
  <si>
    <t>08/06/2026, 13:41</t>
  </si>
  <si>
    <t>23.228274, 56.450231</t>
  </si>
  <si>
    <t>4681</t>
  </si>
  <si>
    <t>23.229721, 56.442664</t>
  </si>
  <si>
    <t>1634</t>
  </si>
  <si>
    <t>07/06/2026, 15:28</t>
  </si>
  <si>
    <t>23.231547, 56.431921</t>
  </si>
  <si>
    <t>488</t>
  </si>
  <si>
    <t>07/06/2026, 15:33</t>
  </si>
  <si>
    <t>23.229394, 56.441123</t>
  </si>
  <si>
    <t>519</t>
  </si>
  <si>
    <t>07/06/2026, 15:21</t>
  </si>
  <si>
    <t>23.22984, 56.425694</t>
  </si>
  <si>
    <t>487</t>
  </si>
  <si>
    <t>23.230936, 56.426374</t>
  </si>
  <si>
    <t>486</t>
  </si>
  <si>
    <t>07/06/2026, 15:07</t>
  </si>
  <si>
    <t>23.230935, 56.426371</t>
  </si>
  <si>
    <t>485</t>
  </si>
  <si>
    <t>07/06/2026, 15:05</t>
  </si>
  <si>
    <t>23.230687, 56.435039</t>
  </si>
  <si>
    <t>1862</t>
  </si>
  <si>
    <t>484</t>
  </si>
  <si>
    <t>23.231865, 56.430521</t>
  </si>
  <si>
    <t>483</t>
  </si>
  <si>
    <t>07/06/2026, 15:00</t>
  </si>
  <si>
    <t>23.238158, 56.436524</t>
  </si>
  <si>
    <t>4379</t>
  </si>
  <si>
    <t>07/06/2026, 14:59</t>
  </si>
  <si>
    <t>482</t>
  </si>
  <si>
    <t>23.232098, 56.428772</t>
  </si>
  <si>
    <t>481</t>
  </si>
  <si>
    <t>23.236866, 56.433964</t>
  </si>
  <si>
    <t>1326</t>
  </si>
  <si>
    <t>07/06/2026, 14:54</t>
  </si>
  <si>
    <t>23.233469, 56.432928</t>
  </si>
  <si>
    <t>1635</t>
  </si>
  <si>
    <t>07/06/2026, 14:42</t>
  </si>
  <si>
    <t>23.232152, 56.431537</t>
  </si>
  <si>
    <t>514</t>
  </si>
  <si>
    <t>07/06/2026, 14:31</t>
  </si>
  <si>
    <t>23.230766, 56.426285</t>
  </si>
  <si>
    <t>480</t>
  </si>
  <si>
    <t>07/06/2026, 14:52</t>
  </si>
  <si>
    <t>23.23293, 56.430214</t>
  </si>
  <si>
    <t>513</t>
  </si>
  <si>
    <t>07/06/2026, 14:27</t>
  </si>
  <si>
    <t>23.233723, 56.42891</t>
  </si>
  <si>
    <t>07/06/2026, 14:23</t>
  </si>
  <si>
    <t>23.238804, 56.421778</t>
  </si>
  <si>
    <t>504</t>
  </si>
  <si>
    <t>07/06/2026, 14:16</t>
  </si>
  <si>
    <t>23.218129, 56.457598</t>
  </si>
  <si>
    <t>1460</t>
  </si>
  <si>
    <t>06/06/2026, 14:52</t>
  </si>
  <si>
    <t>23.230384, 56.431947</t>
  </si>
  <si>
    <t>515</t>
  </si>
  <si>
    <t>23.223651, 56.444775</t>
  </si>
  <si>
    <t>1476</t>
  </si>
  <si>
    <t>08/06/2026, 13:57</t>
  </si>
  <si>
    <t>23.22121, 56.453579</t>
  </si>
  <si>
    <t>1421</t>
  </si>
  <si>
    <t>28/05/2026, 21:24</t>
  </si>
  <si>
    <t>08/06/2026, 14:39</t>
  </si>
  <si>
    <t>23.219328, 56.460424</t>
  </si>
  <si>
    <t>1456</t>
  </si>
  <si>
    <t>28/05/2026, 21:12</t>
  </si>
  <si>
    <t>08/06/2026, 14:21</t>
  </si>
  <si>
    <t>23.219888, 56.44952</t>
  </si>
  <si>
    <t>1539</t>
  </si>
  <si>
    <t>28/05/2026, 20:33</t>
  </si>
  <si>
    <t>08/06/2026, 15:29</t>
  </si>
  <si>
    <t>23.216374, 56.458335</t>
  </si>
  <si>
    <t>2173</t>
  </si>
  <si>
    <t>28/05/2026, 20:18</t>
  </si>
  <si>
    <t>06/06/2026, 15:04</t>
  </si>
  <si>
    <t>AL-DREEZ</t>
  </si>
  <si>
    <t>23.313887, 56.600545</t>
  </si>
  <si>
    <t>389</t>
  </si>
  <si>
    <t>13/06/2026, 13:37</t>
  </si>
  <si>
    <t>23.318176, 56.604767</t>
  </si>
  <si>
    <t>531</t>
  </si>
  <si>
    <t>23.320912, 56.609532</t>
  </si>
  <si>
    <t>534</t>
  </si>
  <si>
    <t>13/06/2026, 13:28</t>
  </si>
  <si>
    <t>23.319723, 56.604351</t>
  </si>
  <si>
    <t>532</t>
  </si>
  <si>
    <t>13/06/2026, 13:23</t>
  </si>
  <si>
    <t>23.317757, 56.604309</t>
  </si>
  <si>
    <t>1647</t>
  </si>
  <si>
    <t>13/06/2026, 13:20</t>
  </si>
  <si>
    <t>550</t>
  </si>
  <si>
    <t>13/06/2026, 13:15</t>
  </si>
  <si>
    <t>23.311866, 56.592556</t>
  </si>
  <si>
    <t>2019</t>
  </si>
  <si>
    <t>13/06/2026, 13:08</t>
  </si>
  <si>
    <t>23.311841, 56.589047</t>
  </si>
  <si>
    <t>2214</t>
  </si>
  <si>
    <t>13/06/2026, 13:03</t>
  </si>
  <si>
    <t>23.301276, 56.625523</t>
  </si>
  <si>
    <t>1436</t>
  </si>
  <si>
    <t>10/06/2026, 14:53</t>
  </si>
  <si>
    <t>23.30066, 56.628206</t>
  </si>
  <si>
    <t>579</t>
  </si>
  <si>
    <t>23.300208, 56.637541</t>
  </si>
  <si>
    <t>2366</t>
  </si>
  <si>
    <t>23.30221, 56.635782</t>
  </si>
  <si>
    <t>581</t>
  </si>
  <si>
    <t>23.303354, 56.628179</t>
  </si>
  <si>
    <t>580</t>
  </si>
  <si>
    <t>23.31093, 56.629866</t>
  </si>
  <si>
    <t>1839</t>
  </si>
  <si>
    <t>06/06/2026, 00:38</t>
  </si>
  <si>
    <t>04/06/2026, 14:11</t>
  </si>
  <si>
    <t>05/06/2026, 13:11</t>
  </si>
  <si>
    <t>23.311777, 56.634903</t>
  </si>
  <si>
    <t>4795</t>
  </si>
  <si>
    <t>23.309955, 56.638415</t>
  </si>
  <si>
    <t>443</t>
  </si>
  <si>
    <t>23.308478, 56.63379</t>
  </si>
  <si>
    <t>1446</t>
  </si>
  <si>
    <t>23.307968, 56.628478</t>
  </si>
  <si>
    <t>441</t>
  </si>
  <si>
    <t>23.30766, 56.623553</t>
  </si>
  <si>
    <t>444</t>
  </si>
  <si>
    <t>06/06/2026, 00:33</t>
  </si>
  <si>
    <t>05/06/2026, 13:02</t>
  </si>
  <si>
    <t>434</t>
  </si>
  <si>
    <t>02/06/2026, 21:57</t>
  </si>
  <si>
    <t>433</t>
  </si>
  <si>
    <t>02/06/2026, 21:54</t>
  </si>
  <si>
    <t>533</t>
  </si>
  <si>
    <t>02/06/2026, 21:53</t>
  </si>
  <si>
    <t>432</t>
  </si>
  <si>
    <t>02/06/2026, 21:52</t>
  </si>
  <si>
    <t>23.312064, 56.617949</t>
  </si>
  <si>
    <t>446</t>
  </si>
  <si>
    <t>02/06/2026, 15:09</t>
  </si>
  <si>
    <t>23.309541, 56.616952</t>
  </si>
  <si>
    <t>1319</t>
  </si>
  <si>
    <t>02/06/2026, 15:03</t>
  </si>
  <si>
    <t>23.30969, 56.618654</t>
  </si>
  <si>
    <t>445</t>
  </si>
  <si>
    <t>02/06/2026, 14:55</t>
  </si>
  <si>
    <t>23.312059, 56.620984</t>
  </si>
  <si>
    <t>440</t>
  </si>
  <si>
    <t>02/06/2026, 14:44</t>
  </si>
  <si>
    <t>439</t>
  </si>
  <si>
    <t>2223</t>
  </si>
  <si>
    <t>23.320597, 56.613253</t>
  </si>
  <si>
    <t>1841</t>
  </si>
  <si>
    <t>29/05/2026, 13:26</t>
  </si>
  <si>
    <t>23.318032, 56.614303</t>
  </si>
  <si>
    <t>448</t>
  </si>
  <si>
    <t>29/05/2026, 13:21</t>
  </si>
  <si>
    <t>23.319347, 56.611632</t>
  </si>
  <si>
    <t>449</t>
  </si>
  <si>
    <t>29/05/2026, 13:13</t>
  </si>
  <si>
    <t>23.315716, 56.609813</t>
  </si>
  <si>
    <t>2072</t>
  </si>
  <si>
    <t>429</t>
  </si>
  <si>
    <t>29/05/2026, 13:01</t>
  </si>
  <si>
    <t>23.315953, 56.615532</t>
  </si>
  <si>
    <t>428</t>
  </si>
  <si>
    <t>29/05/2026, 12:52</t>
  </si>
  <si>
    <t>23.317262, 56.616382</t>
  </si>
  <si>
    <t>1665</t>
  </si>
  <si>
    <t>06/06/2026, 00:26</t>
  </si>
  <si>
    <t>05/06/2026, 13:32</t>
  </si>
  <si>
    <t>23.317231, 56.616319</t>
  </si>
  <si>
    <t>430</t>
  </si>
  <si>
    <t>29/05/2026, 12:43</t>
  </si>
  <si>
    <t>06/06/2026, 00:22</t>
  </si>
  <si>
    <t>2294</t>
  </si>
  <si>
    <t>29/05/2026, 12:36</t>
  </si>
  <si>
    <t>23.318468, 56.616834</t>
  </si>
  <si>
    <t>431</t>
  </si>
  <si>
    <t>29/05/2026, 12:28</t>
  </si>
  <si>
    <t>BAAT</t>
  </si>
  <si>
    <t>686</t>
  </si>
  <si>
    <t>02/06/2026, 22:02</t>
  </si>
  <si>
    <t>556</t>
  </si>
  <si>
    <t>02/06/2026, 22:00</t>
  </si>
  <si>
    <t>23.288408, 56.762008</t>
  </si>
  <si>
    <t>1732</t>
  </si>
  <si>
    <t>23.298268, 56.758482</t>
  </si>
  <si>
    <t>01/06/2026, 13:14</t>
  </si>
  <si>
    <t>23.289927, 56.756212</t>
  </si>
  <si>
    <t>639</t>
  </si>
  <si>
    <t>01/06/2026, 13:09</t>
  </si>
  <si>
    <t>23.286648, 56.751918</t>
  </si>
  <si>
    <t>1838</t>
  </si>
  <si>
    <t>01/06/2026, 13:04</t>
  </si>
  <si>
    <t>K_LN40</t>
  </si>
  <si>
    <t>23.285235, 56.747613</t>
  </si>
  <si>
    <t>637</t>
  </si>
  <si>
    <t>01/06/2026, 12:59</t>
  </si>
  <si>
    <t>23.281738, 56.745783</t>
  </si>
  <si>
    <t>1725</t>
  </si>
  <si>
    <t>01/06/2026, 12:52</t>
  </si>
  <si>
    <t>23.277835, 56.740697</t>
  </si>
  <si>
    <t>4588</t>
  </si>
  <si>
    <t>01/06/2026, 12:46</t>
  </si>
  <si>
    <t>23.280487, 56.751232</t>
  </si>
  <si>
    <t>4644</t>
  </si>
  <si>
    <t>31/05/2026, 13:30</t>
  </si>
  <si>
    <t>23.28303, 56.756741</t>
  </si>
  <si>
    <t>4205</t>
  </si>
  <si>
    <t>31/05/2026, 13:26</t>
  </si>
  <si>
    <t>23.286017, 56.764945</t>
  </si>
  <si>
    <t>4202</t>
  </si>
  <si>
    <t>31/05/2026, 13:20</t>
  </si>
  <si>
    <t>23.287152, 56.76873</t>
  </si>
  <si>
    <t>2125</t>
  </si>
  <si>
    <t>31/05/2026, 13:16</t>
  </si>
  <si>
    <t>23.288858, 56.773667</t>
  </si>
  <si>
    <t>2104</t>
  </si>
  <si>
    <t>31/05/2026, 13:07</t>
  </si>
  <si>
    <t>23.290082, 56.785532</t>
  </si>
  <si>
    <t>640</t>
  </si>
  <si>
    <t>31/05/2026, 13:00</t>
  </si>
  <si>
    <t>23.29844, 56.78507</t>
  </si>
  <si>
    <t>04551</t>
  </si>
  <si>
    <t>31/05/2026, 12:55</t>
  </si>
  <si>
    <t>23.300903, 56.793767</t>
  </si>
  <si>
    <t>2180</t>
  </si>
  <si>
    <t>31/05/2026, 12:49</t>
  </si>
  <si>
    <t>AL TAYYEB INDUSTRIAL</t>
  </si>
  <si>
    <t>23.24115, 56.551532</t>
  </si>
  <si>
    <t>1469</t>
  </si>
  <si>
    <t>12/06/2026, 13:04</t>
  </si>
  <si>
    <t>23.245182, 56.549351</t>
  </si>
  <si>
    <t>1699</t>
  </si>
  <si>
    <t>12/06/2026, 12:55</t>
  </si>
  <si>
    <t>23.24845, 56.550522</t>
  </si>
  <si>
    <t>1561</t>
  </si>
  <si>
    <t>12/06/2026, 12:47</t>
  </si>
  <si>
    <t>23.2588, 56.537056</t>
  </si>
  <si>
    <t>257</t>
  </si>
  <si>
    <t>11/06/2026, 13:18</t>
  </si>
  <si>
    <t>23.255623, 56.537807</t>
  </si>
  <si>
    <t>258</t>
  </si>
  <si>
    <t>11/06/2026, 13:11</t>
  </si>
  <si>
    <t>23.253288, 56.544424</t>
  </si>
  <si>
    <t>1560</t>
  </si>
  <si>
    <t>11/06/2026, 13:02</t>
  </si>
  <si>
    <t>23.255393, 56.544613</t>
  </si>
  <si>
    <t>260</t>
  </si>
  <si>
    <t>11/06/2026, 12:53</t>
  </si>
  <si>
    <t>23.256965, 56.544108</t>
  </si>
  <si>
    <t>256</t>
  </si>
  <si>
    <t>11/06/2026, 12:46</t>
  </si>
  <si>
    <t>23.255211, 56.577495</t>
  </si>
  <si>
    <t>1398</t>
  </si>
  <si>
    <t>09/06/2026, 15:11</t>
  </si>
  <si>
    <t>23.257398, 56.57336</t>
  </si>
  <si>
    <t>423</t>
  </si>
  <si>
    <t>09/06/2026, 14:58</t>
  </si>
  <si>
    <t>23.233734, 56.602644</t>
  </si>
  <si>
    <t>1987</t>
  </si>
  <si>
    <t>09/06/2026, 14:55</t>
  </si>
  <si>
    <t>23.237758, 56.612392</t>
  </si>
  <si>
    <t>1855</t>
  </si>
  <si>
    <t>09/06/2026, 14:48</t>
  </si>
  <si>
    <t>23.23478, 56.613278</t>
  </si>
  <si>
    <t>2138</t>
  </si>
  <si>
    <t>09/06/2026, 14:44</t>
  </si>
  <si>
    <t>23.256529, 56.570061</t>
  </si>
  <si>
    <t>2172</t>
  </si>
  <si>
    <t>23.232507, 56.620595</t>
  </si>
  <si>
    <t>1931</t>
  </si>
  <si>
    <t>23.255478, 56.567615</t>
  </si>
  <si>
    <t>1630</t>
  </si>
  <si>
    <t>09/06/2026, 14:39</t>
  </si>
  <si>
    <t>23.227928, 56.621712</t>
  </si>
  <si>
    <t>1861</t>
  </si>
  <si>
    <t>09/06/2026, 14:36</t>
  </si>
  <si>
    <t>23.261862, 56.568766</t>
  </si>
  <si>
    <t>1432</t>
  </si>
  <si>
    <t>09/06/2026, 14:32</t>
  </si>
  <si>
    <t>23.265477, 56.564552</t>
  </si>
  <si>
    <t>422</t>
  </si>
  <si>
    <t>09/06/2026, 14:27</t>
  </si>
  <si>
    <t>23.230435, 56.616012</t>
  </si>
  <si>
    <t>1907</t>
  </si>
  <si>
    <t>23.270569, 56.564821</t>
  </si>
  <si>
    <t>16890</t>
  </si>
  <si>
    <t>23.227142, 56.617622</t>
  </si>
  <si>
    <t>2162</t>
  </si>
  <si>
    <t>23.22688, 56.613742</t>
  </si>
  <si>
    <t>1854</t>
  </si>
  <si>
    <t>09/06/2026, 14:17</t>
  </si>
  <si>
    <t>23.27061, 56.564839</t>
  </si>
  <si>
    <t>1569</t>
  </si>
  <si>
    <t>09/06/2026, 14:15</t>
  </si>
  <si>
    <t>23.225217, 56.612217</t>
  </si>
  <si>
    <t>2163</t>
  </si>
  <si>
    <t>09/06/2026, 14:12</t>
  </si>
  <si>
    <t>23.22438, 56.608147</t>
  </si>
  <si>
    <t>2026</t>
  </si>
  <si>
    <t>09/06/2026, 14:09</t>
  </si>
  <si>
    <t>23.239884, 56.599633</t>
  </si>
  <si>
    <t>2127</t>
  </si>
  <si>
    <t>23.252218, 56.595282</t>
  </si>
  <si>
    <t>4602</t>
  </si>
  <si>
    <t>09/06/2026, 13:59</t>
  </si>
  <si>
    <t>23.270107, 56.554209</t>
  </si>
  <si>
    <t>426</t>
  </si>
  <si>
    <t>08/06/2026, 14:49</t>
  </si>
  <si>
    <t>23.269521, 56.555652</t>
  </si>
  <si>
    <t>421</t>
  </si>
  <si>
    <t>08/06/2026, 14:43</t>
  </si>
  <si>
    <t>23.267257, 56.559354</t>
  </si>
  <si>
    <t>1445</t>
  </si>
  <si>
    <t>08/06/2026, 14:37</t>
  </si>
  <si>
    <t>23.228491, 56.563044</t>
  </si>
  <si>
    <t>4425</t>
  </si>
  <si>
    <t>23.228246, 56.562956</t>
  </si>
  <si>
    <t>4521</t>
  </si>
  <si>
    <t>23.232172, 56.566969</t>
  </si>
  <si>
    <t>908</t>
  </si>
  <si>
    <t>23.226462, 56.571316</t>
  </si>
  <si>
    <t>1992</t>
  </si>
  <si>
    <t>08/06/2026, 14:01</t>
  </si>
  <si>
    <t>23.273434, 56.558393</t>
  </si>
  <si>
    <t>1689</t>
  </si>
  <si>
    <t>08/06/2026, 13:59</t>
  </si>
  <si>
    <t>23.231995, 56.574502</t>
  </si>
  <si>
    <t>2323</t>
  </si>
  <si>
    <t>23.229166, 56.576774</t>
  </si>
  <si>
    <t>907</t>
  </si>
  <si>
    <t>23.274066, 56.55269</t>
  </si>
  <si>
    <t>418</t>
  </si>
  <si>
    <t>08/06/2026, 13:49</t>
  </si>
  <si>
    <t>23.229099, 56.576507</t>
  </si>
  <si>
    <t>2092</t>
  </si>
  <si>
    <t>08/06/2026, 13:44</t>
  </si>
  <si>
    <t>23.229073, 56.576567</t>
  </si>
  <si>
    <t>2091</t>
  </si>
  <si>
    <t>23.273522, 56.548925</t>
  </si>
  <si>
    <t>425</t>
  </si>
  <si>
    <t>23.227649, 56.584257</t>
  </si>
  <si>
    <t>4361</t>
  </si>
  <si>
    <t>08/06/2026, 13:36</t>
  </si>
  <si>
    <t>23.271761, 56.551978</t>
  </si>
  <si>
    <t>419</t>
  </si>
  <si>
    <t>08/06/2026, 13:32</t>
  </si>
  <si>
    <t>23.233747, 56.587091</t>
  </si>
  <si>
    <t>906</t>
  </si>
  <si>
    <t>09/06/2026, 15:07</t>
  </si>
  <si>
    <t>23.231028, 56.595478</t>
  </si>
  <si>
    <t>905</t>
  </si>
  <si>
    <t>09/06/2026, 15:04</t>
  </si>
  <si>
    <t>23.268915, 56.549986</t>
  </si>
  <si>
    <t>420</t>
  </si>
  <si>
    <t>08/06/2026, 13:27</t>
  </si>
  <si>
    <t>2161</t>
  </si>
  <si>
    <t>23.228135, 56.597035</t>
  </si>
  <si>
    <t>2301</t>
  </si>
  <si>
    <t>08/06/2026, 13:22</t>
  </si>
  <si>
    <t>23.225832, 56.600717</t>
  </si>
  <si>
    <t>1767</t>
  </si>
  <si>
    <t>23.222932, 56.597011</t>
  </si>
  <si>
    <t>904</t>
  </si>
  <si>
    <t>08/06/2026, 13:11</t>
  </si>
  <si>
    <t>23.232023, 56.597079</t>
  </si>
  <si>
    <t>903</t>
  </si>
  <si>
    <t>08/06/2026, 13:06</t>
  </si>
  <si>
    <t>23.235702, 56.598578</t>
  </si>
  <si>
    <t>2029</t>
  </si>
  <si>
    <t>08/06/2026, 13:02</t>
  </si>
  <si>
    <t>23.237867, 56.597585</t>
  </si>
  <si>
    <t>902</t>
  </si>
  <si>
    <t>08/06/2026, 12:59</t>
  </si>
  <si>
    <t>23.252933, 56.554429</t>
  </si>
  <si>
    <t>1418</t>
  </si>
  <si>
    <t>23.247757, 56.555289</t>
  </si>
  <si>
    <t>1532</t>
  </si>
  <si>
    <t>05/06/2026, 13:00</t>
  </si>
  <si>
    <t>23.241754, 56.565237</t>
  </si>
  <si>
    <t>1846</t>
  </si>
  <si>
    <t>05/06/2026, 12:51</t>
  </si>
  <si>
    <t>23.246315, 56.562587</t>
  </si>
  <si>
    <t>265</t>
  </si>
  <si>
    <t>05/06/2026, 12:45</t>
  </si>
  <si>
    <t>23.245269, 56.559067</t>
  </si>
  <si>
    <t>266</t>
  </si>
  <si>
    <t>05/06/2026, 12:40</t>
  </si>
  <si>
    <t>23.246541, 56.559388</t>
  </si>
  <si>
    <t>1477</t>
  </si>
  <si>
    <t>05/06/2026, 12:35</t>
  </si>
  <si>
    <t>23.249898, 56.557093</t>
  </si>
  <si>
    <t>2020</t>
  </si>
  <si>
    <t>05/06/2026, 12:25</t>
  </si>
  <si>
    <t>1533</t>
  </si>
  <si>
    <t>04/06/2026, 12:22</t>
  </si>
  <si>
    <t>23.261301, 56.555112</t>
  </si>
  <si>
    <t>1370</t>
  </si>
  <si>
    <t>04/06/2026, 12:15</t>
  </si>
  <si>
    <t>23.261296, 56.555117</t>
  </si>
  <si>
    <t>263</t>
  </si>
  <si>
    <t>04/06/2026, 12:16</t>
  </si>
  <si>
    <t>23.255158, 56.55263</t>
  </si>
  <si>
    <t>261</t>
  </si>
  <si>
    <t>04/06/2026, 12:01</t>
  </si>
  <si>
    <t>23.258778, 56.553372</t>
  </si>
  <si>
    <t>264</t>
  </si>
  <si>
    <t>04/06/2026, 11:55</t>
  </si>
  <si>
    <t>23.261262, 56.554218</t>
  </si>
  <si>
    <t>2285</t>
  </si>
  <si>
    <t>04/06/2026, 11:48</t>
  </si>
  <si>
    <t>23.2586, 56.55988</t>
  </si>
  <si>
    <t>4736</t>
  </si>
  <si>
    <t>04/06/2026, 11:43</t>
  </si>
  <si>
    <t>23.255843, 56.552175</t>
  </si>
  <si>
    <t>2348</t>
  </si>
  <si>
    <t>04/06/2026, 11:41</t>
  </si>
  <si>
    <t>23.255637, 56.561195</t>
  </si>
  <si>
    <t>2385</t>
  </si>
  <si>
    <t>04/06/2026, 11:37</t>
  </si>
  <si>
    <t>23.25607, 56.557604</t>
  </si>
  <si>
    <t>262</t>
  </si>
  <si>
    <t>04/06/2026, 11:33</t>
  </si>
  <si>
    <t>4689</t>
  </si>
  <si>
    <t>02/06/2026, 21:59</t>
  </si>
  <si>
    <t>07/06/2026, 08:57</t>
  </si>
  <si>
    <t>23.238908, 56.606715</t>
  </si>
  <si>
    <t>874</t>
  </si>
  <si>
    <t>23.241583, 56.606095</t>
  </si>
  <si>
    <t>2114</t>
  </si>
  <si>
    <t>01/06/2026, 14:27</t>
  </si>
  <si>
    <t>23.241812, 56.610512</t>
  </si>
  <si>
    <t>2028</t>
  </si>
  <si>
    <t>01/06/2026, 14:24</t>
  </si>
  <si>
    <t>23.242138, 56.623042</t>
  </si>
  <si>
    <t>4382</t>
  </si>
  <si>
    <t>01/06/2026, 14:21</t>
  </si>
  <si>
    <t>23.242734, 56.636093</t>
  </si>
  <si>
    <t>04490</t>
  </si>
  <si>
    <t>01/06/2026, 14:18</t>
  </si>
  <si>
    <t>23.243012, 56.629505</t>
  </si>
  <si>
    <t>2261</t>
  </si>
  <si>
    <t>01/06/2026, 14:14</t>
  </si>
  <si>
    <t>23.240065, 56.627353</t>
  </si>
  <si>
    <t>2260</t>
  </si>
  <si>
    <t>23.238313, 56.625593</t>
  </si>
  <si>
    <t>03703</t>
  </si>
  <si>
    <t>01/06/2026, 14:07</t>
  </si>
  <si>
    <t>23.237045, 56.6227</t>
  </si>
  <si>
    <t>1758</t>
  </si>
  <si>
    <t>01/06/2026, 14:04</t>
  </si>
  <si>
    <t>23.244752, 56.61361</t>
  </si>
  <si>
    <t>875</t>
  </si>
  <si>
    <t>01/06/2026, 14:00</t>
  </si>
  <si>
    <t>23.247957, 56.616398</t>
  </si>
  <si>
    <t>4495</t>
  </si>
  <si>
    <t>01/06/2026, 13:56</t>
  </si>
  <si>
    <t>23.250042, 56.619795</t>
  </si>
  <si>
    <t>901</t>
  </si>
  <si>
    <t>01/06/2026, 13:53</t>
  </si>
  <si>
    <t>23.245717, 56.607107</t>
  </si>
  <si>
    <t>873</t>
  </si>
  <si>
    <t>01/06/2026, 13:49</t>
  </si>
  <si>
    <t>23.252338, 56.608297</t>
  </si>
  <si>
    <t>2128</t>
  </si>
  <si>
    <t>01/06/2026, 13:46</t>
  </si>
  <si>
    <t>23.24736, 56.602865</t>
  </si>
  <si>
    <t>2048</t>
  </si>
  <si>
    <t>01/06/2026, 13:43</t>
  </si>
  <si>
    <t>23.246575, 56.599925</t>
  </si>
  <si>
    <t>872</t>
  </si>
  <si>
    <t>01/06/2026, 13:41</t>
  </si>
  <si>
    <t>23.243841, 56.595035</t>
  </si>
  <si>
    <t>2192</t>
  </si>
  <si>
    <t>01/06/2026, 13:38</t>
  </si>
  <si>
    <t>23.242493, 56.59283</t>
  </si>
  <si>
    <t>871</t>
  </si>
  <si>
    <t>01/06/2026, 13:35</t>
  </si>
  <si>
    <t>23.245258, 56.589365</t>
  </si>
  <si>
    <t>2179</t>
  </si>
  <si>
    <t>23.247745, 56.590335</t>
  </si>
  <si>
    <t>870</t>
  </si>
  <si>
    <t>23.2499, 56.579493</t>
  </si>
  <si>
    <t>1929</t>
  </si>
  <si>
    <t>01/06/2026, 13:27</t>
  </si>
  <si>
    <t>23.249742, 56.57583</t>
  </si>
  <si>
    <t>869</t>
  </si>
  <si>
    <t>23.252418, 56.570365</t>
  </si>
  <si>
    <t>1662</t>
  </si>
  <si>
    <t>23.247045, 56.570727</t>
  </si>
  <si>
    <t>2099</t>
  </si>
  <si>
    <t>01/06/2026, 13:18</t>
  </si>
  <si>
    <t>23.249442, 56.56817</t>
  </si>
  <si>
    <t>1843</t>
  </si>
  <si>
    <t>01/06/2026, 13:15</t>
  </si>
  <si>
    <t>23.249553, 56.564793</t>
  </si>
  <si>
    <t>1527</t>
  </si>
  <si>
    <t>01/06/2026, 13:12</t>
  </si>
  <si>
    <t>23.251998, 56.55637</t>
  </si>
  <si>
    <t>2315</t>
  </si>
  <si>
    <t>23.28049, 56.552073</t>
  </si>
  <si>
    <t>01/06/2026, 09:17</t>
  </si>
  <si>
    <t>AL BANAH</t>
  </si>
  <si>
    <t>23.318543, 57.028923</t>
  </si>
  <si>
    <t>1470</t>
  </si>
  <si>
    <t>13/06/2026, 13:59</t>
  </si>
  <si>
    <t>23.3146, 56.598179</t>
  </si>
  <si>
    <t>1467</t>
  </si>
  <si>
    <t>13/06/2026, 13:50</t>
  </si>
  <si>
    <t>23.328332, 57.026825</t>
  </si>
  <si>
    <t>2262</t>
  </si>
  <si>
    <t>13/06/2026, 13:42</t>
  </si>
  <si>
    <t>23.331083, 57.026075</t>
  </si>
  <si>
    <t>4684</t>
  </si>
  <si>
    <t>13/06/2026, 13:31</t>
  </si>
  <si>
    <t>23.333427, 57.025223</t>
  </si>
  <si>
    <t>4662</t>
  </si>
  <si>
    <t>13/06/2026, 13:19</t>
  </si>
  <si>
    <t>23.336407, 57.025112</t>
  </si>
  <si>
    <t>1266</t>
  </si>
  <si>
    <t>13/06/2026, 13:10</t>
  </si>
  <si>
    <t>23.338354, 57.026037</t>
  </si>
  <si>
    <t>2064</t>
  </si>
  <si>
    <t>13/06/2026, 12:58</t>
  </si>
  <si>
    <t>23.339375, 57.028256</t>
  </si>
  <si>
    <t>1265</t>
  </si>
  <si>
    <t>13/06/2026, 12:53</t>
  </si>
  <si>
    <t>23.345079, 57.02799</t>
  </si>
  <si>
    <t>1264</t>
  </si>
  <si>
    <t>13/06/2026, 12:45</t>
  </si>
  <si>
    <t>23.276162, 56.965206</t>
  </si>
  <si>
    <t>2124</t>
  </si>
  <si>
    <t>13/06/2026, 12:22</t>
  </si>
  <si>
    <t>23.281428, 56.975116</t>
  </si>
  <si>
    <t>672</t>
  </si>
  <si>
    <t>13/06/2026, 12:12</t>
  </si>
  <si>
    <t>23.279521, 56.970611</t>
  </si>
  <si>
    <t>2076</t>
  </si>
  <si>
    <t>13/06/2026, 12:00</t>
  </si>
  <si>
    <t>666</t>
  </si>
  <si>
    <t>02/06/2026, 22:05</t>
  </si>
  <si>
    <t>667</t>
  </si>
  <si>
    <t>02/06/2026, 22:04</t>
  </si>
  <si>
    <t>652</t>
  </si>
  <si>
    <t>02/06/2026, 22:03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</si>
</sst>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color rgb="FF1F2937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color rgb="FF1F2937"/>
      <name val="Calibri"/>
    </font>
    <font>
      <b/>
      <sz val="10"/>
      <color rgb="FF1F2937"/>
      <name val="Calibri"/>
    </font>
    <font>
      <b/>
      <sz val="10"/>
      <color rgb="FF1F2937"/>
      <name val="Calibri"/>
    </font>
    <font>
      <b/>
      <sz val="10"/>
      <color rgb="FF1F2937"/>
      <name val="Calibri"/>
    </font>
    <font>
      <b/>
      <sz val="10"/>
      <color rgb="FF1F2937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28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8F5E9"/>
      </patternFill>
    </fill>
    <fill>
      <patternFill patternType="solid">
        <fgColor rgb="FFEDE9FE"/>
      </patternFill>
    </fill>
    <fill>
      <patternFill patternType="solid">
        <fgColor rgb="FFD4EDDA"/>
      </patternFill>
    </fill>
    <fill>
      <patternFill patternType="solid">
        <fgColor rgb="FFE8EEF7"/>
      </patternFill>
    </fill>
    <fill>
      <patternFill patternType="solid">
        <fgColor rgb="FFF4D27A"/>
      </patternFill>
    </fill>
    <fill>
      <patternFill patternType="solid">
        <fgColor rgb="FFE2EFDA"/>
      </patternFill>
    </fill>
    <fill>
      <patternFill patternType="solid">
        <fgColor rgb="FFFFFF00"/>
      </patternFill>
    </fill>
    <fill>
      <patternFill patternType="solid">
        <fgColor rgb="FFFFF2CC"/>
      </patternFill>
    </fill>
    <fill>
      <patternFill patternType="solid">
        <fgColor rgb="FFD1FAE5"/>
      </patternFill>
    </fill>
    <fill>
      <patternFill patternType="solid">
        <fgColor rgb="FFFCE4E4"/>
      </patternFill>
    </fill>
    <fill>
      <patternFill patternType="solid">
        <fgColor rgb="FFFFF2CC"/>
      </patternFill>
    </fill>
    <fill>
      <patternFill patternType="solid">
        <fgColor rgb="FFDDEBFF"/>
      </patternFill>
    </fill>
    <fill>
      <patternFill patternType="solid">
        <fgColor rgb="FFF3F4F6"/>
      </patternFill>
    </fill>
    <fill>
      <patternFill patternType="solid">
        <fgColor rgb="FFFFE5E5"/>
      </patternFill>
    </fill>
    <fill>
      <patternFill patternType="solid">
        <fgColor rgb="FFFFF4CC"/>
      </patternFill>
    </fill>
    <fill>
      <patternFill patternType="solid">
        <fgColor rgb="FFE6F0FF"/>
      </patternFill>
    </fill>
    <fill>
      <patternFill patternType="solid">
        <fgColor rgb="FFFFEAEA"/>
      </patternFill>
    </fill>
    <fill>
      <patternFill patternType="solid">
        <fgColor rgb="FFEAF0FF"/>
      </patternFill>
    </fill>
    <fill>
      <patternFill patternType="solid">
        <fgColor rgb="FFF2F9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F8FAFC"/>
      </patternFill>
    </fill>
    <fill>
      <patternFill patternType="solid">
        <fgColor rgb="FFF8FAFC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37415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medium">
        <color rgb="FF374151"/>
      </right>
      <top style="thin">
        <color rgb="FFCBD5E1"/>
      </top>
      <bottom style="thin">
        <color rgb="FFCBD5E1"/>
      </bottom>
      <diagonal/>
    </border>
    <border>
      <left style="medium">
        <color rgb="FF37415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medium">
        <color rgb="FF374151"/>
      </right>
      <top style="thin">
        <color rgb="FFCBD5E1"/>
      </top>
      <bottom style="thin">
        <color rgb="FFCBD5E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37415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medium">
        <color rgb="FF374151"/>
      </right>
      <top/>
      <bottom style="thin">
        <color rgb="FFCBD5E1"/>
      </bottom>
      <diagonal/>
    </border>
  </borders>
  <cellStyleXfs count="1">
    <xf numFmtId="0" fontId="0" fillId="0" borderId="1"/>
  </cellStyleXfs>
  <cellXfs count="42">
    <xf numFmtId="0" fontId="0" fillId="0" borderId="0" xfId="0" applyBorder="1"/>
    <xf numFmtId="0" fontId="2" fillId="3" borderId="2" xfId="0" applyFont="1" applyFill="1" applyBorder="1" applyAlignment="1">
      <alignment horizontal="center" vertical="center" wrapText="1"/>
    </xf>
    <xf numFmtId="0" fontId="15" fillId="16" borderId="3" xfId="0" applyFont="1" applyFill="1" applyBorder="1" applyAlignment="1">
      <alignment horizontal="center" vertical="center" wrapText="1"/>
    </xf>
    <xf numFmtId="0" fontId="16" fillId="17" borderId="4" xfId="0" applyFont="1" applyFill="1" applyBorder="1" applyAlignment="1">
      <alignment horizontal="center" vertical="center" wrapText="1"/>
    </xf>
    <xf numFmtId="0" fontId="17" fillId="18" borderId="5" xfId="0" applyFont="1" applyFill="1" applyBorder="1" applyAlignment="1">
      <alignment horizontal="center" vertical="center" wrapText="1"/>
    </xf>
    <xf numFmtId="0" fontId="18" fillId="19" borderId="6" xfId="0" applyFont="1" applyFill="1" applyBorder="1" applyAlignment="1">
      <alignment horizontal="center" vertical="center" wrapText="1"/>
    </xf>
    <xf numFmtId="0" fontId="19" fillId="20" borderId="7" xfId="0" applyFont="1" applyFill="1" applyBorder="1" applyAlignment="1">
      <alignment horizontal="center" vertical="center" wrapText="1"/>
    </xf>
    <xf numFmtId="0" fontId="20" fillId="21" borderId="8" xfId="0" applyFont="1" applyFill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/>
    </xf>
    <xf numFmtId="0" fontId="22" fillId="22" borderId="10" xfId="0" applyFont="1" applyFill="1" applyBorder="1" applyAlignment="1">
      <alignment horizontal="center" vertical="center"/>
    </xf>
    <xf numFmtId="0" fontId="23" fillId="23" borderId="11" xfId="0" applyFont="1" applyFill="1" applyBorder="1" applyAlignment="1">
      <alignment horizontal="center" vertical="center"/>
    </xf>
    <xf numFmtId="0" fontId="24" fillId="24" borderId="12" xfId="0" applyFont="1" applyFill="1" applyBorder="1" applyAlignment="1">
      <alignment horizontal="center" vertical="center"/>
    </xf>
    <xf numFmtId="0" fontId="25" fillId="25" borderId="13" xfId="0" applyFont="1" applyFill="1" applyBorder="1" applyAlignment="1">
      <alignment horizontal="center" vertical="center"/>
    </xf>
    <xf numFmtId="0" fontId="26" fillId="26" borderId="14" xfId="0" applyFont="1" applyFill="1" applyBorder="1" applyAlignment="1">
      <alignment horizontal="center" vertical="center"/>
    </xf>
    <xf numFmtId="0" fontId="27" fillId="27" borderId="15" xfId="0" applyFont="1" applyFill="1" applyBorder="1" applyAlignment="1">
      <alignment horizontal="center" vertical="center"/>
    </xf>
    <xf numFmtId="2" fontId="28" fillId="0" borderId="16" xfId="0" applyNumberFormat="1" applyFont="1" applyBorder="1" applyAlignment="1">
      <alignment horizontal="center" vertical="center"/>
    </xf>
    <xf numFmtId="0" fontId="28" fillId="24" borderId="13" xfId="0" applyFont="1" applyFill="1" applyBorder="1" applyAlignment="1">
      <alignment horizontal="center" vertical="center"/>
    </xf>
    <xf numFmtId="0" fontId="28" fillId="27" borderId="13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 wrapText="1"/>
    </xf>
    <xf numFmtId="0" fontId="0" fillId="0" borderId="19" xfId="0" applyBorder="1"/>
    <xf numFmtId="0" fontId="0" fillId="0" borderId="20" xfId="0" applyBorder="1"/>
    <xf numFmtId="0" fontId="1" fillId="2" borderId="16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0" fontId="13" fillId="14" borderId="14" xfId="0" applyFont="1" applyFill="1" applyBorder="1" applyAlignment="1">
      <alignment horizontal="center" vertical="center" wrapText="1"/>
    </xf>
    <xf numFmtId="0" fontId="0" fillId="0" borderId="24" xfId="0" applyBorder="1"/>
    <xf numFmtId="0" fontId="9" fillId="10" borderId="16" xfId="0" applyFont="1" applyFill="1" applyBorder="1" applyAlignment="1">
      <alignment horizontal="center" vertical="center" wrapText="1"/>
    </xf>
    <xf numFmtId="0" fontId="10" fillId="11" borderId="13" xfId="0" applyFont="1" applyFill="1" applyBorder="1" applyAlignment="1">
      <alignment horizontal="center" vertical="center" wrapText="1"/>
    </xf>
    <xf numFmtId="0" fontId="0" fillId="0" borderId="23" xfId="0" applyBorder="1"/>
    <xf numFmtId="0" fontId="6" fillId="7" borderId="13" xfId="0" applyFont="1" applyFill="1" applyBorder="1" applyAlignment="1">
      <alignment horizontal="center" vertical="center" wrapText="1"/>
    </xf>
    <xf numFmtId="0" fontId="0" fillId="0" borderId="21" xfId="0" applyBorder="1"/>
    <xf numFmtId="0" fontId="0" fillId="0" borderId="22" xfId="0" applyBorder="1"/>
    <xf numFmtId="0" fontId="14" fillId="15" borderId="15" xfId="0" applyFont="1" applyFill="1" applyBorder="1" applyAlignment="1">
      <alignment horizontal="center" vertical="center" wrapText="1"/>
    </xf>
    <xf numFmtId="0" fontId="0" fillId="0" borderId="25" xfId="0" applyBorder="1"/>
    <xf numFmtId="0" fontId="14" fillId="12" borderId="14" xfId="0" applyFont="1" applyFill="1" applyBorder="1" applyAlignment="1">
      <alignment horizontal="center" vertical="center" wrapText="1"/>
    </xf>
    <xf numFmtId="0" fontId="12" fillId="13" borderId="14" xfId="0" applyFont="1" applyFill="1" applyBorder="1" applyAlignment="1">
      <alignment horizontal="center" vertical="center" wrapText="1"/>
    </xf>
    <xf numFmtId="0" fontId="11" fillId="12" borderId="14" xfId="0" applyFont="1" applyFill="1" applyBorder="1" applyAlignment="1">
      <alignment horizontal="center" vertical="center" wrapText="1"/>
    </xf>
    <xf numFmtId="0" fontId="7" fillId="8" borderId="16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8" fillId="9" borderId="16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63"/>
  <sheetViews>
    <sheetView tabSelected="1" workbookViewId="0">
      <selection activeCell="S9" sqref="S9"/>
    </sheetView>
  </sheetViews>
  <sheetFormatPr defaultRowHeight="15" x14ac:dyDescent="0.25"/>
  <cols>
    <col min="1" max="1" width="12.85546875" customWidth="1"/>
    <col min="2" max="2" width="14.85546875" customWidth="1"/>
    <col min="3" max="3" width="9.85546875" customWidth="1"/>
    <col min="4" max="4" width="20.85546875" customWidth="1"/>
    <col min="5" max="5" width="8.85546875" customWidth="1"/>
    <col min="6" max="6" width="10.85546875" customWidth="1"/>
    <col min="7" max="7" width="5.85546875" customWidth="1"/>
    <col min="8" max="8" width="9.85546875" customWidth="1"/>
    <col min="9" max="9" width="10.85546875" customWidth="1"/>
    <col min="10" max="10" width="5.85546875" customWidth="1"/>
    <col min="11" max="11" width="7.85546875" customWidth="1"/>
    <col min="12" max="16" width="6.85546875" customWidth="1"/>
    <col min="17" max="17" width="8.85546875" customWidth="1"/>
    <col min="18" max="21" width="6.85546875" customWidth="1"/>
    <col min="22" max="22" width="8.85546875" customWidth="1"/>
    <col min="23" max="23" width="10.5703125" customWidth="1"/>
    <col min="24" max="26" width="6.85546875" customWidth="1"/>
    <col min="27" max="27" width="8.85546875" customWidth="1"/>
    <col min="28" max="31" width="6.85546875" customWidth="1"/>
    <col min="32" max="32" width="8.85546875" customWidth="1"/>
    <col min="33" max="36" width="6.85546875" customWidth="1"/>
    <col min="37" max="37" width="8.85546875" customWidth="1"/>
    <col min="38" max="41" width="6.85546875" customWidth="1"/>
    <col min="42" max="42" width="8.85546875" customWidth="1"/>
    <col min="43" max="46" width="6.85546875" customWidth="1"/>
    <col min="47" max="47" width="8.85546875" customWidth="1"/>
    <col min="48" max="51" width="6.85546875" customWidth="1"/>
    <col min="52" max="52" width="8.85546875" customWidth="1"/>
    <col min="53" max="60" width="6.85546875" customWidth="1"/>
    <col min="61" max="62" width="7.85546875" customWidth="1"/>
    <col min="63" max="63" width="9.85546875" customWidth="1"/>
    <col min="64" max="65" width="24.85546875" customWidth="1"/>
  </cols>
  <sheetData>
    <row r="1" spans="1:73" ht="19.5" customHeight="1" x14ac:dyDescent="0.25">
      <c r="A1" s="21" t="s">
        <v>0</v>
      </c>
      <c r="B1" s="21" t="s">
        <v>1</v>
      </c>
      <c r="C1" s="21" t="s">
        <v>2</v>
      </c>
      <c r="D1" s="38" t="s">
        <v>3</v>
      </c>
      <c r="E1" s="21" t="s">
        <v>4</v>
      </c>
      <c r="F1" s="40" t="s">
        <v>5</v>
      </c>
      <c r="G1" s="21" t="s">
        <v>6</v>
      </c>
      <c r="H1" s="21" t="s">
        <v>7</v>
      </c>
      <c r="I1" s="21" t="s">
        <v>8</v>
      </c>
      <c r="J1" s="41" t="s">
        <v>9</v>
      </c>
      <c r="K1" s="18" t="s">
        <v>10</v>
      </c>
      <c r="L1" s="19"/>
      <c r="M1" s="19"/>
      <c r="N1" s="19"/>
      <c r="O1" s="19"/>
      <c r="P1" s="20"/>
      <c r="Q1" s="29" t="s">
        <v>11</v>
      </c>
      <c r="R1" s="30"/>
      <c r="S1" s="30"/>
      <c r="T1" s="30"/>
      <c r="U1" s="30"/>
      <c r="V1" s="31"/>
      <c r="W1" s="29" t="s">
        <v>12</v>
      </c>
      <c r="X1" s="30"/>
      <c r="Y1" s="30"/>
      <c r="Z1" s="30"/>
      <c r="AA1" s="30"/>
      <c r="AB1" s="31"/>
      <c r="AC1" s="29" t="s">
        <v>13</v>
      </c>
      <c r="AD1" s="30"/>
      <c r="AE1" s="30"/>
      <c r="AF1" s="30"/>
      <c r="AG1" s="30"/>
      <c r="AH1" s="31"/>
      <c r="AI1" s="29" t="s">
        <v>14</v>
      </c>
      <c r="AJ1" s="30"/>
      <c r="AK1" s="30"/>
      <c r="AL1" s="30"/>
      <c r="AM1" s="30"/>
      <c r="AN1" s="31"/>
      <c r="AO1" s="29" t="s">
        <v>15</v>
      </c>
      <c r="AP1" s="30"/>
      <c r="AQ1" s="30"/>
      <c r="AR1" s="30"/>
      <c r="AS1" s="30"/>
      <c r="AT1" s="31"/>
      <c r="AU1" s="29" t="s">
        <v>16</v>
      </c>
      <c r="AV1" s="30"/>
      <c r="AW1" s="30"/>
      <c r="AX1" s="30"/>
      <c r="AY1" s="30"/>
      <c r="AZ1" s="31"/>
      <c r="BA1" s="29" t="s">
        <v>17</v>
      </c>
      <c r="BB1" s="30"/>
      <c r="BC1" s="30"/>
      <c r="BD1" s="30"/>
      <c r="BE1" s="30"/>
      <c r="BF1" s="31"/>
      <c r="BG1" s="29" t="s">
        <v>18</v>
      </c>
      <c r="BH1" s="30"/>
      <c r="BI1" s="30"/>
      <c r="BJ1" s="30"/>
      <c r="BK1" s="30"/>
      <c r="BL1" s="31"/>
      <c r="BM1" s="37" t="s">
        <v>19</v>
      </c>
      <c r="BN1" s="19"/>
      <c r="BO1" s="19"/>
      <c r="BP1" s="20"/>
      <c r="BQ1" s="18" t="s">
        <v>20</v>
      </c>
      <c r="BR1" s="18" t="s">
        <v>21</v>
      </c>
      <c r="BS1" s="39" t="s">
        <v>22</v>
      </c>
      <c r="BT1" s="26" t="s">
        <v>23</v>
      </c>
      <c r="BU1" s="26" t="s">
        <v>24</v>
      </c>
    </row>
    <row r="2" spans="1:73" ht="19.5" customHeight="1" x14ac:dyDescent="0.25">
      <c r="A2" s="22"/>
      <c r="B2" s="22"/>
      <c r="C2" s="22"/>
      <c r="D2" s="23"/>
      <c r="E2" s="22"/>
      <c r="F2" s="22"/>
      <c r="G2" s="22"/>
      <c r="H2" s="22"/>
      <c r="I2" s="22"/>
      <c r="J2" s="22"/>
      <c r="K2" s="18" t="s">
        <v>25</v>
      </c>
      <c r="L2" s="19"/>
      <c r="M2" s="20"/>
      <c r="N2" s="18" t="s">
        <v>26</v>
      </c>
      <c r="O2" s="19"/>
      <c r="P2" s="20"/>
      <c r="Q2" s="27" t="s">
        <v>27</v>
      </c>
      <c r="R2" s="34" t="s">
        <v>5</v>
      </c>
      <c r="S2" s="36" t="s">
        <v>28</v>
      </c>
      <c r="T2" s="35" t="s">
        <v>29</v>
      </c>
      <c r="U2" s="24" t="s">
        <v>30</v>
      </c>
      <c r="V2" s="32" t="s">
        <v>31</v>
      </c>
      <c r="W2" s="27" t="s">
        <v>27</v>
      </c>
      <c r="X2" s="34" t="s">
        <v>5</v>
      </c>
      <c r="Y2" s="36" t="s">
        <v>28</v>
      </c>
      <c r="Z2" s="35" t="s">
        <v>29</v>
      </c>
      <c r="AA2" s="24" t="s">
        <v>30</v>
      </c>
      <c r="AB2" s="32" t="s">
        <v>31</v>
      </c>
      <c r="AC2" s="27" t="s">
        <v>27</v>
      </c>
      <c r="AD2" s="34" t="s">
        <v>5</v>
      </c>
      <c r="AE2" s="36" t="s">
        <v>28</v>
      </c>
      <c r="AF2" s="35" t="s">
        <v>29</v>
      </c>
      <c r="AG2" s="24" t="s">
        <v>30</v>
      </c>
      <c r="AH2" s="32" t="s">
        <v>31</v>
      </c>
      <c r="AI2" s="27" t="s">
        <v>27</v>
      </c>
      <c r="AJ2" s="34" t="s">
        <v>5</v>
      </c>
      <c r="AK2" s="36" t="s">
        <v>28</v>
      </c>
      <c r="AL2" s="35" t="s">
        <v>29</v>
      </c>
      <c r="AM2" s="24" t="s">
        <v>30</v>
      </c>
      <c r="AN2" s="32" t="s">
        <v>31</v>
      </c>
      <c r="AO2" s="27" t="s">
        <v>27</v>
      </c>
      <c r="AP2" s="34" t="s">
        <v>5</v>
      </c>
      <c r="AQ2" s="36" t="s">
        <v>28</v>
      </c>
      <c r="AR2" s="35" t="s">
        <v>29</v>
      </c>
      <c r="AS2" s="24" t="s">
        <v>30</v>
      </c>
      <c r="AT2" s="32" t="s">
        <v>31</v>
      </c>
      <c r="AU2" s="27" t="s">
        <v>27</v>
      </c>
      <c r="AV2" s="34" t="s">
        <v>5</v>
      </c>
      <c r="AW2" s="36" t="s">
        <v>28</v>
      </c>
      <c r="AX2" s="35" t="s">
        <v>29</v>
      </c>
      <c r="AY2" s="24" t="s">
        <v>30</v>
      </c>
      <c r="AZ2" s="32" t="s">
        <v>31</v>
      </c>
      <c r="BA2" s="27" t="s">
        <v>27</v>
      </c>
      <c r="BB2" s="34" t="s">
        <v>5</v>
      </c>
      <c r="BC2" s="36" t="s">
        <v>28</v>
      </c>
      <c r="BD2" s="35" t="s">
        <v>29</v>
      </c>
      <c r="BE2" s="24" t="s">
        <v>30</v>
      </c>
      <c r="BF2" s="32" t="s">
        <v>31</v>
      </c>
      <c r="BG2" s="27" t="s">
        <v>27</v>
      </c>
      <c r="BH2" s="34" t="s">
        <v>5</v>
      </c>
      <c r="BI2" s="36" t="s">
        <v>28</v>
      </c>
      <c r="BJ2" s="35" t="s">
        <v>29</v>
      </c>
      <c r="BK2" s="24" t="s">
        <v>30</v>
      </c>
      <c r="BL2" s="32" t="s">
        <v>31</v>
      </c>
      <c r="BM2" s="37" t="s">
        <v>28</v>
      </c>
      <c r="BN2" s="37" t="s">
        <v>29</v>
      </c>
      <c r="BO2" s="37" t="s">
        <v>30</v>
      </c>
      <c r="BP2" s="37" t="s">
        <v>31</v>
      </c>
      <c r="BQ2" s="22"/>
      <c r="BR2" s="22"/>
      <c r="BS2" s="22"/>
      <c r="BT2" s="22"/>
      <c r="BU2" s="22"/>
    </row>
    <row r="3" spans="1:73" ht="19.5" customHeight="1" x14ac:dyDescent="0.25">
      <c r="A3" s="23"/>
      <c r="B3" s="23"/>
      <c r="C3" s="23"/>
      <c r="D3" s="1"/>
      <c r="E3" s="23"/>
      <c r="F3" s="23"/>
      <c r="G3" s="23"/>
      <c r="H3" s="23"/>
      <c r="I3" s="23"/>
      <c r="J3" s="23"/>
      <c r="K3" s="2" t="s">
        <v>32</v>
      </c>
      <c r="L3" s="3" t="s">
        <v>33</v>
      </c>
      <c r="M3" s="4" t="s">
        <v>34</v>
      </c>
      <c r="N3" s="5" t="s">
        <v>35</v>
      </c>
      <c r="O3" s="6" t="s">
        <v>36</v>
      </c>
      <c r="P3" s="7" t="s">
        <v>37</v>
      </c>
      <c r="Q3" s="28"/>
      <c r="R3" s="25"/>
      <c r="S3" s="25"/>
      <c r="T3" s="25"/>
      <c r="U3" s="25"/>
      <c r="V3" s="33"/>
      <c r="W3" s="28"/>
      <c r="X3" s="25"/>
      <c r="Y3" s="25"/>
      <c r="Z3" s="25"/>
      <c r="AA3" s="25"/>
      <c r="AB3" s="33"/>
      <c r="AC3" s="28"/>
      <c r="AD3" s="25"/>
      <c r="AE3" s="25"/>
      <c r="AF3" s="25"/>
      <c r="AG3" s="25"/>
      <c r="AH3" s="33"/>
      <c r="AI3" s="28"/>
      <c r="AJ3" s="25"/>
      <c r="AK3" s="25"/>
      <c r="AL3" s="25"/>
      <c r="AM3" s="25"/>
      <c r="AN3" s="33"/>
      <c r="AO3" s="28"/>
      <c r="AP3" s="25"/>
      <c r="AQ3" s="25"/>
      <c r="AR3" s="25"/>
      <c r="AS3" s="25"/>
      <c r="AT3" s="33"/>
      <c r="AU3" s="28"/>
      <c r="AV3" s="25"/>
      <c r="AW3" s="25"/>
      <c r="AX3" s="25"/>
      <c r="AY3" s="25"/>
      <c r="AZ3" s="33"/>
      <c r="BA3" s="28"/>
      <c r="BB3" s="25"/>
      <c r="BC3" s="25"/>
      <c r="BD3" s="25"/>
      <c r="BE3" s="25"/>
      <c r="BF3" s="33"/>
      <c r="BG3" s="28"/>
      <c r="BH3" s="25"/>
      <c r="BI3" s="25"/>
      <c r="BJ3" s="25"/>
      <c r="BK3" s="25"/>
      <c r="BL3" s="33"/>
      <c r="BM3" s="23"/>
      <c r="BN3" s="23"/>
      <c r="BO3" s="23"/>
      <c r="BP3" s="23"/>
      <c r="BQ3" s="23"/>
      <c r="BR3" s="23"/>
      <c r="BS3" s="23"/>
      <c r="BT3" s="23"/>
      <c r="BU3" s="23"/>
    </row>
    <row r="4" spans="1:73" ht="15.75" customHeight="1" x14ac:dyDescent="0.25">
      <c r="A4" s="8" t="s">
        <v>38</v>
      </c>
      <c r="B4" s="8" t="s">
        <v>39</v>
      </c>
      <c r="C4" s="8" t="s">
        <v>40</v>
      </c>
      <c r="D4" s="8" t="s">
        <v>41</v>
      </c>
      <c r="E4" s="8" t="s">
        <v>42</v>
      </c>
      <c r="F4" s="8" t="s">
        <v>43</v>
      </c>
      <c r="G4" s="8" t="s">
        <v>44</v>
      </c>
      <c r="H4" s="8">
        <v>315</v>
      </c>
      <c r="I4" s="8" t="s">
        <v>45</v>
      </c>
      <c r="J4" s="8">
        <v>1</v>
      </c>
      <c r="K4" s="8">
        <v>234</v>
      </c>
      <c r="L4" s="8">
        <v>235</v>
      </c>
      <c r="M4" s="8">
        <v>236</v>
      </c>
      <c r="N4" s="8">
        <v>403</v>
      </c>
      <c r="O4" s="8">
        <v>408</v>
      </c>
      <c r="P4" s="8">
        <v>408</v>
      </c>
      <c r="Q4" s="9" t="s">
        <v>46</v>
      </c>
      <c r="R4" s="16"/>
      <c r="S4" s="10">
        <v>83</v>
      </c>
      <c r="T4" s="10">
        <v>52</v>
      </c>
      <c r="U4" s="10">
        <v>78</v>
      </c>
      <c r="V4" s="11">
        <v>26</v>
      </c>
      <c r="W4" s="12" t="s">
        <v>47</v>
      </c>
      <c r="X4" s="17"/>
      <c r="Y4" s="13">
        <v>61</v>
      </c>
      <c r="Z4" s="13">
        <v>57</v>
      </c>
      <c r="AA4" s="13">
        <v>66</v>
      </c>
      <c r="AB4" s="14">
        <v>6</v>
      </c>
      <c r="AC4" s="9"/>
      <c r="AD4" s="16"/>
      <c r="AE4" s="10"/>
      <c r="AF4" s="10"/>
      <c r="AG4" s="10"/>
      <c r="AH4" s="11"/>
      <c r="AI4" s="12"/>
      <c r="AJ4" s="17"/>
      <c r="AK4" s="13"/>
      <c r="AL4" s="13"/>
      <c r="AM4" s="13"/>
      <c r="AN4" s="14"/>
      <c r="AO4" s="9"/>
      <c r="AP4" s="16"/>
      <c r="AQ4" s="10"/>
      <c r="AR4" s="10"/>
      <c r="AS4" s="10"/>
      <c r="AT4" s="11"/>
      <c r="AU4" s="12"/>
      <c r="AV4" s="17"/>
      <c r="AW4" s="13"/>
      <c r="AX4" s="13"/>
      <c r="AY4" s="13"/>
      <c r="AZ4" s="14"/>
      <c r="BA4" s="9"/>
      <c r="BB4" s="16"/>
      <c r="BC4" s="10"/>
      <c r="BD4" s="10"/>
      <c r="BE4" s="10"/>
      <c r="BF4" s="11"/>
      <c r="BG4" s="12"/>
      <c r="BH4" s="17"/>
      <c r="BI4" s="13"/>
      <c r="BJ4" s="13"/>
      <c r="BK4" s="13"/>
      <c r="BL4" s="14"/>
      <c r="BM4" s="8">
        <f t="shared" ref="BM4:BM35" si="0">SUM(S4,Y4,AE4,AK4,AQ4,AW4,BC4,BI4)</f>
        <v>144</v>
      </c>
      <c r="BN4" s="8">
        <f t="shared" ref="BN4:BN35" si="1">SUM(T4,Z4,AF4,AL4,AR4,AX4,BD4,BJ4)</f>
        <v>109</v>
      </c>
      <c r="BO4" s="8">
        <f t="shared" ref="BO4:BO35" si="2">SUM(U4,AA4,AG4,AM4,AS4,AY4,BE4,BK4)</f>
        <v>144</v>
      </c>
      <c r="BP4" s="8">
        <f t="shared" ref="BP4:BP35" si="3">SUM(V4,AB4,AH4,AN4,AT4,AZ4,BF4,BL4)</f>
        <v>32</v>
      </c>
      <c r="BQ4" s="8">
        <f t="shared" ref="BQ4:BQ35" si="4">MAX(BM4:BO4)</f>
        <v>144</v>
      </c>
      <c r="BR4" s="8">
        <f t="shared" ref="BR4:BR35" si="5">MIN(BM4:BO4)</f>
        <v>109</v>
      </c>
      <c r="BS4" s="15">
        <f t="shared" ref="BS4:BS35" si="6">IF(H4&gt;0,(BQ4*SQRT(3)*IF(N4&gt;0,N4,IF(O4&gt;0,O4,IF(P4&gt;0,P4,415)))/(H4*1000))*100,0)</f>
        <v>31.909324592011775</v>
      </c>
      <c r="BT4" s="15" t="str">
        <f t="shared" ref="BT4:BT35" si="7">IF(BS4&gt;70,"Upgrade","OK - No Upgrade")</f>
        <v>OK - No Upgrade</v>
      </c>
      <c r="BU4" s="15" t="str">
        <f t="shared" ref="BU4:BU35" si="8">IF(IF(AVERAGE(BM4:BO4)&gt;0,((BQ4-AVERAGE(BM4:BO4))/AVERAGE(BM4:BO4))*100,0)&gt;10,"Need to Balance","OK - Balanced")</f>
        <v>OK - Balanced</v>
      </c>
    </row>
    <row r="5" spans="1:73" ht="15.75" customHeight="1" x14ac:dyDescent="0.25">
      <c r="A5" s="8" t="s">
        <v>38</v>
      </c>
      <c r="B5" s="8" t="s">
        <v>39</v>
      </c>
      <c r="C5" s="8" t="s">
        <v>40</v>
      </c>
      <c r="D5" s="8" t="s">
        <v>48</v>
      </c>
      <c r="E5" s="8" t="s">
        <v>49</v>
      </c>
      <c r="F5" s="8" t="s">
        <v>43</v>
      </c>
      <c r="G5" s="8" t="s">
        <v>44</v>
      </c>
      <c r="H5" s="8">
        <v>315</v>
      </c>
      <c r="I5" s="8" t="s">
        <v>50</v>
      </c>
      <c r="J5" s="8">
        <v>1</v>
      </c>
      <c r="K5" s="8">
        <v>235</v>
      </c>
      <c r="L5" s="8">
        <v>236</v>
      </c>
      <c r="M5" s="8">
        <v>221</v>
      </c>
      <c r="N5" s="8">
        <v>406</v>
      </c>
      <c r="O5" s="8">
        <v>402</v>
      </c>
      <c r="P5" s="8">
        <v>409</v>
      </c>
      <c r="Q5" s="9" t="s">
        <v>47</v>
      </c>
      <c r="R5" s="16"/>
      <c r="S5" s="10">
        <v>52</v>
      </c>
      <c r="T5" s="10">
        <v>30</v>
      </c>
      <c r="U5" s="10">
        <v>18</v>
      </c>
      <c r="V5" s="11">
        <v>25</v>
      </c>
      <c r="W5" s="12" t="s">
        <v>46</v>
      </c>
      <c r="X5" s="17"/>
      <c r="Y5" s="13">
        <v>11</v>
      </c>
      <c r="Z5" s="13">
        <v>12</v>
      </c>
      <c r="AA5" s="13">
        <v>4</v>
      </c>
      <c r="AB5" s="14">
        <v>8</v>
      </c>
      <c r="AC5" s="9"/>
      <c r="AD5" s="16"/>
      <c r="AE5" s="10"/>
      <c r="AF5" s="10"/>
      <c r="AG5" s="10"/>
      <c r="AH5" s="11"/>
      <c r="AI5" s="12"/>
      <c r="AJ5" s="17"/>
      <c r="AK5" s="13"/>
      <c r="AL5" s="13"/>
      <c r="AM5" s="13"/>
      <c r="AN5" s="14"/>
      <c r="AO5" s="9"/>
      <c r="AP5" s="16"/>
      <c r="AQ5" s="10"/>
      <c r="AR5" s="10"/>
      <c r="AS5" s="10"/>
      <c r="AT5" s="11"/>
      <c r="AU5" s="12"/>
      <c r="AV5" s="17"/>
      <c r="AW5" s="13"/>
      <c r="AX5" s="13"/>
      <c r="AY5" s="13"/>
      <c r="AZ5" s="14"/>
      <c r="BA5" s="9"/>
      <c r="BB5" s="16"/>
      <c r="BC5" s="10"/>
      <c r="BD5" s="10"/>
      <c r="BE5" s="10"/>
      <c r="BF5" s="11"/>
      <c r="BG5" s="12"/>
      <c r="BH5" s="17"/>
      <c r="BI5" s="13"/>
      <c r="BJ5" s="13"/>
      <c r="BK5" s="13"/>
      <c r="BL5" s="14"/>
      <c r="BM5" s="8">
        <f t="shared" si="0"/>
        <v>63</v>
      </c>
      <c r="BN5" s="8">
        <f t="shared" si="1"/>
        <v>42</v>
      </c>
      <c r="BO5" s="8">
        <f t="shared" si="2"/>
        <v>22</v>
      </c>
      <c r="BP5" s="8">
        <f t="shared" si="3"/>
        <v>33</v>
      </c>
      <c r="BQ5" s="8">
        <f t="shared" si="4"/>
        <v>63</v>
      </c>
      <c r="BR5" s="8">
        <f t="shared" si="5"/>
        <v>22</v>
      </c>
      <c r="BS5" s="15">
        <f t="shared" si="6"/>
        <v>14.06425255745928</v>
      </c>
      <c r="BT5" s="15" t="str">
        <f t="shared" si="7"/>
        <v>OK - No Upgrade</v>
      </c>
      <c r="BU5" s="15" t="str">
        <f t="shared" si="8"/>
        <v>Need to Balance</v>
      </c>
    </row>
    <row r="6" spans="1:73" ht="15.75" customHeight="1" x14ac:dyDescent="0.25">
      <c r="A6" s="8" t="s">
        <v>38</v>
      </c>
      <c r="B6" s="8" t="s">
        <v>39</v>
      </c>
      <c r="C6" s="8" t="s">
        <v>40</v>
      </c>
      <c r="D6" s="8" t="s">
        <v>51</v>
      </c>
      <c r="E6" s="8" t="s">
        <v>52</v>
      </c>
      <c r="F6" s="8" t="s">
        <v>43</v>
      </c>
      <c r="G6" s="8" t="s">
        <v>44</v>
      </c>
      <c r="H6" s="8">
        <v>315</v>
      </c>
      <c r="I6" s="8" t="s">
        <v>53</v>
      </c>
      <c r="J6" s="8">
        <v>1</v>
      </c>
      <c r="K6" s="8">
        <v>235</v>
      </c>
      <c r="L6" s="8">
        <v>235</v>
      </c>
      <c r="M6" s="8">
        <v>237</v>
      </c>
      <c r="N6" s="8">
        <v>405</v>
      </c>
      <c r="O6" s="8">
        <v>410</v>
      </c>
      <c r="P6" s="8">
        <v>410</v>
      </c>
      <c r="Q6" s="9" t="s">
        <v>47</v>
      </c>
      <c r="R6" s="16"/>
      <c r="S6" s="10">
        <v>31</v>
      </c>
      <c r="T6" s="10">
        <v>1</v>
      </c>
      <c r="U6" s="10">
        <v>23</v>
      </c>
      <c r="V6" s="11">
        <v>26</v>
      </c>
      <c r="W6" s="12" t="s">
        <v>47</v>
      </c>
      <c r="X6" s="17"/>
      <c r="Y6" s="13">
        <v>13</v>
      </c>
      <c r="Z6" s="13">
        <v>1</v>
      </c>
      <c r="AA6" s="13">
        <v>1</v>
      </c>
      <c r="AB6" s="14">
        <v>11</v>
      </c>
      <c r="AC6" s="9" t="s">
        <v>47</v>
      </c>
      <c r="AD6" s="16"/>
      <c r="AE6" s="10">
        <v>0</v>
      </c>
      <c r="AF6" s="10">
        <v>0</v>
      </c>
      <c r="AG6" s="10">
        <v>0</v>
      </c>
      <c r="AH6" s="11">
        <v>0</v>
      </c>
      <c r="AI6" s="12"/>
      <c r="AJ6" s="17"/>
      <c r="AK6" s="13"/>
      <c r="AL6" s="13"/>
      <c r="AM6" s="13"/>
      <c r="AN6" s="14"/>
      <c r="AO6" s="9"/>
      <c r="AP6" s="16"/>
      <c r="AQ6" s="10"/>
      <c r="AR6" s="10"/>
      <c r="AS6" s="10"/>
      <c r="AT6" s="11"/>
      <c r="AU6" s="12"/>
      <c r="AV6" s="17"/>
      <c r="AW6" s="13"/>
      <c r="AX6" s="13"/>
      <c r="AY6" s="13"/>
      <c r="AZ6" s="14"/>
      <c r="BA6" s="9"/>
      <c r="BB6" s="16"/>
      <c r="BC6" s="10"/>
      <c r="BD6" s="10"/>
      <c r="BE6" s="10"/>
      <c r="BF6" s="11"/>
      <c r="BG6" s="12"/>
      <c r="BH6" s="17"/>
      <c r="BI6" s="13"/>
      <c r="BJ6" s="13"/>
      <c r="BK6" s="13"/>
      <c r="BL6" s="14"/>
      <c r="BM6" s="8">
        <f t="shared" si="0"/>
        <v>44</v>
      </c>
      <c r="BN6" s="8">
        <f t="shared" si="1"/>
        <v>2</v>
      </c>
      <c r="BO6" s="8">
        <f t="shared" si="2"/>
        <v>24</v>
      </c>
      <c r="BP6" s="8">
        <f t="shared" si="3"/>
        <v>37</v>
      </c>
      <c r="BQ6" s="8">
        <f t="shared" si="4"/>
        <v>44</v>
      </c>
      <c r="BR6" s="8">
        <f t="shared" si="5"/>
        <v>2</v>
      </c>
      <c r="BS6" s="15">
        <f t="shared" si="6"/>
        <v>9.7984588542467908</v>
      </c>
      <c r="BT6" s="15" t="str">
        <f t="shared" si="7"/>
        <v>OK - No Upgrade</v>
      </c>
      <c r="BU6" s="15" t="str">
        <f t="shared" si="8"/>
        <v>Need to Balance</v>
      </c>
    </row>
    <row r="7" spans="1:73" ht="15.75" customHeight="1" x14ac:dyDescent="0.25">
      <c r="A7" s="8" t="s">
        <v>38</v>
      </c>
      <c r="B7" s="8" t="s">
        <v>39</v>
      </c>
      <c r="C7" s="8" t="s">
        <v>40</v>
      </c>
      <c r="D7" s="8" t="s">
        <v>54</v>
      </c>
      <c r="E7" s="8" t="s">
        <v>55</v>
      </c>
      <c r="F7" s="8" t="s">
        <v>56</v>
      </c>
      <c r="G7" s="8" t="s">
        <v>44</v>
      </c>
      <c r="H7" s="8">
        <v>1000</v>
      </c>
      <c r="I7" s="8" t="s">
        <v>57</v>
      </c>
      <c r="J7" s="8">
        <v>1</v>
      </c>
      <c r="K7" s="8">
        <v>235</v>
      </c>
      <c r="L7" s="8">
        <v>236</v>
      </c>
      <c r="M7" s="8">
        <v>238</v>
      </c>
      <c r="N7" s="8">
        <v>406</v>
      </c>
      <c r="O7" s="8">
        <v>410</v>
      </c>
      <c r="P7" s="8">
        <v>412</v>
      </c>
      <c r="Q7" s="9" t="s">
        <v>47</v>
      </c>
      <c r="R7" s="16"/>
      <c r="S7" s="10">
        <v>35</v>
      </c>
      <c r="T7" s="10">
        <v>25</v>
      </c>
      <c r="U7" s="10">
        <v>38</v>
      </c>
      <c r="V7" s="11">
        <v>23</v>
      </c>
      <c r="W7" s="12" t="s">
        <v>47</v>
      </c>
      <c r="X7" s="17"/>
      <c r="Y7" s="13">
        <v>32</v>
      </c>
      <c r="Z7" s="13">
        <v>0</v>
      </c>
      <c r="AA7" s="13">
        <v>0</v>
      </c>
      <c r="AB7" s="14">
        <v>27</v>
      </c>
      <c r="AC7" s="9" t="s">
        <v>46</v>
      </c>
      <c r="AD7" s="16"/>
      <c r="AE7" s="10">
        <v>0</v>
      </c>
      <c r="AF7" s="10">
        <v>1</v>
      </c>
      <c r="AG7" s="10">
        <v>0</v>
      </c>
      <c r="AH7" s="11">
        <v>0</v>
      </c>
      <c r="AI7" s="12" t="s">
        <v>46</v>
      </c>
      <c r="AJ7" s="17"/>
      <c r="AK7" s="13">
        <v>0</v>
      </c>
      <c r="AL7" s="13">
        <v>18</v>
      </c>
      <c r="AM7" s="13">
        <v>18</v>
      </c>
      <c r="AN7" s="14">
        <v>13</v>
      </c>
      <c r="AO7" s="9" t="s">
        <v>47</v>
      </c>
      <c r="AP7" s="16"/>
      <c r="AQ7" s="10">
        <v>0</v>
      </c>
      <c r="AR7" s="10">
        <v>0</v>
      </c>
      <c r="AS7" s="10">
        <v>0</v>
      </c>
      <c r="AT7" s="11">
        <v>0</v>
      </c>
      <c r="AU7" s="12"/>
      <c r="AV7" s="17"/>
      <c r="AW7" s="13"/>
      <c r="AX7" s="13"/>
      <c r="AY7" s="13"/>
      <c r="AZ7" s="14"/>
      <c r="BA7" s="9"/>
      <c r="BB7" s="16"/>
      <c r="BC7" s="10"/>
      <c r="BD7" s="10"/>
      <c r="BE7" s="10"/>
      <c r="BF7" s="11"/>
      <c r="BG7" s="12"/>
      <c r="BH7" s="17"/>
      <c r="BI7" s="13"/>
      <c r="BJ7" s="13"/>
      <c r="BK7" s="13"/>
      <c r="BL7" s="14"/>
      <c r="BM7" s="8">
        <f t="shared" si="0"/>
        <v>67</v>
      </c>
      <c r="BN7" s="8">
        <f t="shared" si="1"/>
        <v>44</v>
      </c>
      <c r="BO7" s="8">
        <f t="shared" si="2"/>
        <v>56</v>
      </c>
      <c r="BP7" s="8">
        <f t="shared" si="3"/>
        <v>63</v>
      </c>
      <c r="BQ7" s="8">
        <f t="shared" si="4"/>
        <v>67</v>
      </c>
      <c r="BR7" s="8">
        <f t="shared" si="5"/>
        <v>44</v>
      </c>
      <c r="BS7" s="15">
        <f t="shared" si="6"/>
        <v>4.7115246067488599</v>
      </c>
      <c r="BT7" s="15" t="str">
        <f t="shared" si="7"/>
        <v>OK - No Upgrade</v>
      </c>
      <c r="BU7" s="15" t="str">
        <f t="shared" si="8"/>
        <v>Need to Balance</v>
      </c>
    </row>
    <row r="8" spans="1:73" ht="15.75" customHeight="1" x14ac:dyDescent="0.25">
      <c r="A8" s="8" t="s">
        <v>38</v>
      </c>
      <c r="B8" s="8" t="s">
        <v>39</v>
      </c>
      <c r="C8" s="8" t="s">
        <v>40</v>
      </c>
      <c r="D8" s="8" t="s">
        <v>58</v>
      </c>
      <c r="E8" s="8" t="s">
        <v>59</v>
      </c>
      <c r="F8" s="8" t="s">
        <v>56</v>
      </c>
      <c r="G8" s="8" t="s">
        <v>44</v>
      </c>
      <c r="H8" s="8">
        <v>500</v>
      </c>
      <c r="I8" s="8" t="s">
        <v>60</v>
      </c>
      <c r="J8" s="8">
        <v>1</v>
      </c>
      <c r="K8" s="8">
        <v>235</v>
      </c>
      <c r="L8" s="8">
        <v>236</v>
      </c>
      <c r="M8" s="8">
        <v>238</v>
      </c>
      <c r="N8" s="8">
        <v>407</v>
      </c>
      <c r="O8" s="8">
        <v>411</v>
      </c>
      <c r="P8" s="8">
        <v>411</v>
      </c>
      <c r="Q8" s="9" t="s">
        <v>46</v>
      </c>
      <c r="R8" s="16"/>
      <c r="S8" s="10">
        <v>9</v>
      </c>
      <c r="T8" s="10">
        <v>0</v>
      </c>
      <c r="U8" s="10">
        <v>8</v>
      </c>
      <c r="V8" s="11">
        <v>0</v>
      </c>
      <c r="W8" s="12" t="s">
        <v>47</v>
      </c>
      <c r="X8" s="17"/>
      <c r="Y8" s="13">
        <v>0</v>
      </c>
      <c r="Z8" s="13">
        <v>0</v>
      </c>
      <c r="AA8" s="13">
        <v>0</v>
      </c>
      <c r="AB8" s="14">
        <v>2</v>
      </c>
      <c r="AC8" s="9" t="s">
        <v>46</v>
      </c>
      <c r="AD8" s="16"/>
      <c r="AE8" s="10">
        <v>0</v>
      </c>
      <c r="AF8" s="10">
        <v>0</v>
      </c>
      <c r="AG8" s="10">
        <v>0</v>
      </c>
      <c r="AH8" s="11">
        <v>0</v>
      </c>
      <c r="AI8" s="12"/>
      <c r="AJ8" s="17"/>
      <c r="AK8" s="13"/>
      <c r="AL8" s="13"/>
      <c r="AM8" s="13"/>
      <c r="AN8" s="14"/>
      <c r="AO8" s="9"/>
      <c r="AP8" s="16"/>
      <c r="AQ8" s="10"/>
      <c r="AR8" s="10"/>
      <c r="AS8" s="10"/>
      <c r="AT8" s="11"/>
      <c r="AU8" s="12"/>
      <c r="AV8" s="17"/>
      <c r="AW8" s="13"/>
      <c r="AX8" s="13"/>
      <c r="AY8" s="13"/>
      <c r="AZ8" s="14"/>
      <c r="BA8" s="9"/>
      <c r="BB8" s="16"/>
      <c r="BC8" s="10"/>
      <c r="BD8" s="10"/>
      <c r="BE8" s="10"/>
      <c r="BF8" s="11"/>
      <c r="BG8" s="12"/>
      <c r="BH8" s="17"/>
      <c r="BI8" s="13"/>
      <c r="BJ8" s="13"/>
      <c r="BK8" s="13"/>
      <c r="BL8" s="14"/>
      <c r="BM8" s="8">
        <f t="shared" si="0"/>
        <v>9</v>
      </c>
      <c r="BN8" s="8">
        <f t="shared" si="1"/>
        <v>0</v>
      </c>
      <c r="BO8" s="8">
        <f t="shared" si="2"/>
        <v>8</v>
      </c>
      <c r="BP8" s="8">
        <f t="shared" si="3"/>
        <v>2</v>
      </c>
      <c r="BQ8" s="8">
        <f t="shared" si="4"/>
        <v>9</v>
      </c>
      <c r="BR8" s="8">
        <f t="shared" si="5"/>
        <v>0</v>
      </c>
      <c r="BS8" s="15">
        <f t="shared" si="6"/>
        <v>1.2689004216249593</v>
      </c>
      <c r="BT8" s="15" t="str">
        <f t="shared" si="7"/>
        <v>OK - No Upgrade</v>
      </c>
      <c r="BU8" s="15" t="str">
        <f t="shared" si="8"/>
        <v>Need to Balance</v>
      </c>
    </row>
    <row r="9" spans="1:73" ht="15.75" customHeight="1" x14ac:dyDescent="0.25">
      <c r="A9" s="8" t="s">
        <v>38</v>
      </c>
      <c r="B9" s="8" t="s">
        <v>39</v>
      </c>
      <c r="C9" s="8" t="s">
        <v>40</v>
      </c>
      <c r="D9" s="8" t="s">
        <v>61</v>
      </c>
      <c r="E9" s="8" t="s">
        <v>62</v>
      </c>
      <c r="F9" s="8" t="s">
        <v>56</v>
      </c>
      <c r="G9" s="8" t="s">
        <v>44</v>
      </c>
      <c r="H9" s="8">
        <v>1000</v>
      </c>
      <c r="I9" s="8" t="s">
        <v>63</v>
      </c>
      <c r="J9" s="8">
        <v>1</v>
      </c>
      <c r="K9" s="8">
        <v>235</v>
      </c>
      <c r="L9" s="8">
        <v>235</v>
      </c>
      <c r="M9" s="8">
        <v>238</v>
      </c>
      <c r="N9" s="8">
        <v>406</v>
      </c>
      <c r="O9" s="8">
        <v>412</v>
      </c>
      <c r="P9" s="8">
        <v>411</v>
      </c>
      <c r="Q9" s="9"/>
      <c r="R9" s="16"/>
      <c r="S9" s="10"/>
      <c r="T9" s="10"/>
      <c r="U9" s="10"/>
      <c r="V9" s="11"/>
      <c r="W9" s="12"/>
      <c r="X9" s="17"/>
      <c r="Y9" s="13"/>
      <c r="Z9" s="13"/>
      <c r="AA9" s="13"/>
      <c r="AB9" s="14"/>
      <c r="AC9" s="9"/>
      <c r="AD9" s="16"/>
      <c r="AE9" s="10"/>
      <c r="AF9" s="10"/>
      <c r="AG9" s="10"/>
      <c r="AH9" s="11"/>
      <c r="AI9" s="12"/>
      <c r="AJ9" s="17"/>
      <c r="AK9" s="13"/>
      <c r="AL9" s="13"/>
      <c r="AM9" s="13"/>
      <c r="AN9" s="14"/>
      <c r="AO9" s="9"/>
      <c r="AP9" s="16"/>
      <c r="AQ9" s="10"/>
      <c r="AR9" s="10"/>
      <c r="AS9" s="10"/>
      <c r="AT9" s="11"/>
      <c r="AU9" s="12" t="s">
        <v>47</v>
      </c>
      <c r="AV9" s="17"/>
      <c r="AW9" s="13">
        <v>46</v>
      </c>
      <c r="AX9" s="13">
        <v>0</v>
      </c>
      <c r="AY9" s="13">
        <v>9</v>
      </c>
      <c r="AZ9" s="14">
        <v>8</v>
      </c>
      <c r="BA9" s="9" t="s">
        <v>47</v>
      </c>
      <c r="BB9" s="16"/>
      <c r="BC9" s="10">
        <v>3</v>
      </c>
      <c r="BD9" s="10">
        <v>40</v>
      </c>
      <c r="BE9" s="10">
        <v>5</v>
      </c>
      <c r="BF9" s="11">
        <v>15</v>
      </c>
      <c r="BG9" s="12" t="s">
        <v>47</v>
      </c>
      <c r="BH9" s="17"/>
      <c r="BI9" s="13">
        <v>13</v>
      </c>
      <c r="BJ9" s="13">
        <v>0</v>
      </c>
      <c r="BK9" s="13">
        <v>0</v>
      </c>
      <c r="BL9" s="14">
        <v>11</v>
      </c>
      <c r="BM9" s="8">
        <f t="shared" si="0"/>
        <v>62</v>
      </c>
      <c r="BN9" s="8">
        <f t="shared" si="1"/>
        <v>40</v>
      </c>
      <c r="BO9" s="8">
        <f t="shared" si="2"/>
        <v>14</v>
      </c>
      <c r="BP9" s="8">
        <f t="shared" si="3"/>
        <v>34</v>
      </c>
      <c r="BQ9" s="8">
        <f t="shared" si="4"/>
        <v>62</v>
      </c>
      <c r="BR9" s="8">
        <f t="shared" si="5"/>
        <v>14</v>
      </c>
      <c r="BS9" s="15">
        <f t="shared" si="6"/>
        <v>4.3599182928123783</v>
      </c>
      <c r="BT9" s="15" t="str">
        <f t="shared" si="7"/>
        <v>OK - No Upgrade</v>
      </c>
      <c r="BU9" s="15" t="str">
        <f t="shared" si="8"/>
        <v>Need to Balance</v>
      </c>
    </row>
    <row r="10" spans="1:73" ht="15.75" customHeight="1" x14ac:dyDescent="0.25">
      <c r="A10" s="8" t="s">
        <v>38</v>
      </c>
      <c r="B10" s="8" t="s">
        <v>39</v>
      </c>
      <c r="C10" s="8" t="s">
        <v>40</v>
      </c>
      <c r="D10" s="8" t="s">
        <v>64</v>
      </c>
      <c r="E10" s="8" t="s">
        <v>65</v>
      </c>
      <c r="F10" s="8" t="s">
        <v>43</v>
      </c>
      <c r="G10" s="8" t="s">
        <v>44</v>
      </c>
      <c r="H10" s="8">
        <v>315</v>
      </c>
      <c r="I10" s="8" t="s">
        <v>66</v>
      </c>
      <c r="J10" s="8">
        <v>1</v>
      </c>
      <c r="K10" s="8">
        <v>233</v>
      </c>
      <c r="L10" s="8">
        <v>234</v>
      </c>
      <c r="M10" s="8">
        <v>237</v>
      </c>
      <c r="N10" s="8">
        <v>402</v>
      </c>
      <c r="O10" s="8">
        <v>411</v>
      </c>
      <c r="P10" s="8">
        <v>407</v>
      </c>
      <c r="Q10" s="9" t="s">
        <v>47</v>
      </c>
      <c r="R10" s="16"/>
      <c r="S10" s="10">
        <v>88</v>
      </c>
      <c r="T10" s="10">
        <v>46</v>
      </c>
      <c r="U10" s="10">
        <v>67</v>
      </c>
      <c r="V10" s="11">
        <v>32</v>
      </c>
      <c r="W10" s="12" t="s">
        <v>47</v>
      </c>
      <c r="X10" s="17"/>
      <c r="Y10" s="13">
        <v>97</v>
      </c>
      <c r="Z10" s="13">
        <v>68</v>
      </c>
      <c r="AA10" s="13">
        <v>25</v>
      </c>
      <c r="AB10" s="14">
        <v>63</v>
      </c>
      <c r="AC10" s="9"/>
      <c r="AD10" s="16"/>
      <c r="AE10" s="10"/>
      <c r="AF10" s="10"/>
      <c r="AG10" s="10"/>
      <c r="AH10" s="11"/>
      <c r="AI10" s="12"/>
      <c r="AJ10" s="17"/>
      <c r="AK10" s="13"/>
      <c r="AL10" s="13"/>
      <c r="AM10" s="13"/>
      <c r="AN10" s="14"/>
      <c r="AO10" s="9"/>
      <c r="AP10" s="16"/>
      <c r="AQ10" s="10"/>
      <c r="AR10" s="10"/>
      <c r="AS10" s="10"/>
      <c r="AT10" s="11"/>
      <c r="AU10" s="12"/>
      <c r="AV10" s="17"/>
      <c r="AW10" s="13"/>
      <c r="AX10" s="13"/>
      <c r="AY10" s="13"/>
      <c r="AZ10" s="14"/>
      <c r="BA10" s="9"/>
      <c r="BB10" s="16"/>
      <c r="BC10" s="10"/>
      <c r="BD10" s="10"/>
      <c r="BE10" s="10"/>
      <c r="BF10" s="11"/>
      <c r="BG10" s="12"/>
      <c r="BH10" s="17"/>
      <c r="BI10" s="13"/>
      <c r="BJ10" s="13"/>
      <c r="BK10" s="13"/>
      <c r="BL10" s="14"/>
      <c r="BM10" s="8">
        <f t="shared" si="0"/>
        <v>185</v>
      </c>
      <c r="BN10" s="8">
        <f t="shared" si="1"/>
        <v>114</v>
      </c>
      <c r="BO10" s="8">
        <f t="shared" si="2"/>
        <v>92</v>
      </c>
      <c r="BP10" s="8">
        <f t="shared" si="3"/>
        <v>95</v>
      </c>
      <c r="BQ10" s="8">
        <f t="shared" si="4"/>
        <v>185</v>
      </c>
      <c r="BR10" s="8">
        <f t="shared" si="5"/>
        <v>92</v>
      </c>
      <c r="BS10" s="15">
        <f t="shared" si="6"/>
        <v>40.892894780602354</v>
      </c>
      <c r="BT10" s="15" t="str">
        <f t="shared" si="7"/>
        <v>OK - No Upgrade</v>
      </c>
      <c r="BU10" s="15" t="str">
        <f t="shared" si="8"/>
        <v>Need to Balance</v>
      </c>
    </row>
    <row r="11" spans="1:73" ht="15.75" customHeight="1" x14ac:dyDescent="0.25">
      <c r="A11" s="8" t="s">
        <v>38</v>
      </c>
      <c r="B11" s="8" t="s">
        <v>39</v>
      </c>
      <c r="C11" s="8" t="s">
        <v>40</v>
      </c>
      <c r="D11" s="8" t="s">
        <v>67</v>
      </c>
      <c r="E11" s="8" t="s">
        <v>68</v>
      </c>
      <c r="F11" s="8" t="s">
        <v>56</v>
      </c>
      <c r="G11" s="8" t="s">
        <v>44</v>
      </c>
      <c r="H11" s="8">
        <v>1000</v>
      </c>
      <c r="I11" s="8" t="s">
        <v>69</v>
      </c>
      <c r="J11" s="8">
        <v>1</v>
      </c>
      <c r="K11" s="8">
        <v>236</v>
      </c>
      <c r="L11" s="8">
        <v>236</v>
      </c>
      <c r="M11" s="8">
        <v>239</v>
      </c>
      <c r="N11" s="8">
        <v>406</v>
      </c>
      <c r="O11" s="8">
        <v>412</v>
      </c>
      <c r="P11" s="8">
        <v>412</v>
      </c>
      <c r="Q11" s="9" t="s">
        <v>47</v>
      </c>
      <c r="R11" s="16"/>
      <c r="S11" s="10">
        <v>50</v>
      </c>
      <c r="T11" s="10">
        <v>19</v>
      </c>
      <c r="U11" s="10">
        <v>16</v>
      </c>
      <c r="V11" s="11">
        <v>30</v>
      </c>
      <c r="W11" s="12" t="s">
        <v>47</v>
      </c>
      <c r="X11" s="17"/>
      <c r="Y11" s="13">
        <v>59</v>
      </c>
      <c r="Z11" s="13">
        <v>52</v>
      </c>
      <c r="AA11" s="13">
        <v>46</v>
      </c>
      <c r="AB11" s="14">
        <v>37</v>
      </c>
      <c r="AC11" s="9" t="s">
        <v>70</v>
      </c>
      <c r="AD11" s="16"/>
      <c r="AE11" s="10">
        <v>0</v>
      </c>
      <c r="AF11" s="10">
        <v>1</v>
      </c>
      <c r="AG11" s="10">
        <v>20</v>
      </c>
      <c r="AH11" s="11">
        <v>16</v>
      </c>
      <c r="AI11" s="12" t="s">
        <v>47</v>
      </c>
      <c r="AJ11" s="17"/>
      <c r="AK11" s="13">
        <v>41</v>
      </c>
      <c r="AL11" s="13">
        <v>52</v>
      </c>
      <c r="AM11" s="13">
        <v>67</v>
      </c>
      <c r="AN11" s="14">
        <v>21</v>
      </c>
      <c r="AO11" s="9" t="s">
        <v>47</v>
      </c>
      <c r="AP11" s="16"/>
      <c r="AQ11" s="10">
        <v>30</v>
      </c>
      <c r="AR11" s="10">
        <v>28</v>
      </c>
      <c r="AS11" s="10">
        <v>37</v>
      </c>
      <c r="AT11" s="11">
        <v>11</v>
      </c>
      <c r="AU11" s="12"/>
      <c r="AV11" s="17"/>
      <c r="AW11" s="13"/>
      <c r="AX11" s="13"/>
      <c r="AY11" s="13"/>
      <c r="AZ11" s="14"/>
      <c r="BA11" s="9"/>
      <c r="BB11" s="16"/>
      <c r="BC11" s="10"/>
      <c r="BD11" s="10"/>
      <c r="BE11" s="10"/>
      <c r="BF11" s="11"/>
      <c r="BG11" s="12"/>
      <c r="BH11" s="17"/>
      <c r="BI11" s="13"/>
      <c r="BJ11" s="13"/>
      <c r="BK11" s="13"/>
      <c r="BL11" s="14"/>
      <c r="BM11" s="8">
        <f t="shared" si="0"/>
        <v>180</v>
      </c>
      <c r="BN11" s="8">
        <f t="shared" si="1"/>
        <v>152</v>
      </c>
      <c r="BO11" s="8">
        <f t="shared" si="2"/>
        <v>186</v>
      </c>
      <c r="BP11" s="8">
        <f t="shared" si="3"/>
        <v>115</v>
      </c>
      <c r="BQ11" s="8">
        <f t="shared" si="4"/>
        <v>186</v>
      </c>
      <c r="BR11" s="8">
        <f t="shared" si="5"/>
        <v>152</v>
      </c>
      <c r="BS11" s="15">
        <f t="shared" si="6"/>
        <v>13.079754878437132</v>
      </c>
      <c r="BT11" s="15" t="str">
        <f t="shared" si="7"/>
        <v>OK - No Upgrade</v>
      </c>
      <c r="BU11" s="15" t="str">
        <f t="shared" si="8"/>
        <v>OK - Balanced</v>
      </c>
    </row>
    <row r="12" spans="1:73" ht="15.75" customHeight="1" x14ac:dyDescent="0.25">
      <c r="A12" s="8" t="s">
        <v>38</v>
      </c>
      <c r="B12" s="8" t="s">
        <v>39</v>
      </c>
      <c r="C12" s="8" t="s">
        <v>40</v>
      </c>
      <c r="D12" s="8" t="s">
        <v>71</v>
      </c>
      <c r="E12" s="8" t="s">
        <v>72</v>
      </c>
      <c r="F12" s="8" t="s">
        <v>56</v>
      </c>
      <c r="G12" s="8" t="s">
        <v>44</v>
      </c>
      <c r="H12" s="8">
        <v>1000</v>
      </c>
      <c r="I12" s="8" t="s">
        <v>73</v>
      </c>
      <c r="J12" s="8">
        <v>1</v>
      </c>
      <c r="K12" s="8">
        <v>236</v>
      </c>
      <c r="L12" s="8">
        <v>236</v>
      </c>
      <c r="M12" s="8">
        <v>239</v>
      </c>
      <c r="N12" s="8">
        <v>408</v>
      </c>
      <c r="O12" s="8">
        <v>412</v>
      </c>
      <c r="P12" s="8">
        <v>413</v>
      </c>
      <c r="Q12" s="9"/>
      <c r="R12" s="16"/>
      <c r="S12" s="10"/>
      <c r="T12" s="10"/>
      <c r="U12" s="10"/>
      <c r="V12" s="11"/>
      <c r="W12" s="12"/>
      <c r="X12" s="17"/>
      <c r="Y12" s="13"/>
      <c r="Z12" s="13"/>
      <c r="AA12" s="13"/>
      <c r="AB12" s="14"/>
      <c r="AC12" s="9"/>
      <c r="AD12" s="16"/>
      <c r="AE12" s="10"/>
      <c r="AF12" s="10"/>
      <c r="AG12" s="10"/>
      <c r="AH12" s="11"/>
      <c r="AI12" s="12"/>
      <c r="AJ12" s="17"/>
      <c r="AK12" s="13"/>
      <c r="AL12" s="13"/>
      <c r="AM12" s="13"/>
      <c r="AN12" s="14"/>
      <c r="AO12" s="9"/>
      <c r="AP12" s="16"/>
      <c r="AQ12" s="10"/>
      <c r="AR12" s="10"/>
      <c r="AS12" s="10"/>
      <c r="AT12" s="11"/>
      <c r="AU12" s="12"/>
      <c r="AV12" s="17"/>
      <c r="AW12" s="13"/>
      <c r="AX12" s="13"/>
      <c r="AY12" s="13"/>
      <c r="AZ12" s="14"/>
      <c r="BA12" s="9" t="s">
        <v>47</v>
      </c>
      <c r="BB12" s="16"/>
      <c r="BC12" s="10">
        <v>43</v>
      </c>
      <c r="BD12" s="10">
        <v>39</v>
      </c>
      <c r="BE12" s="10">
        <v>34</v>
      </c>
      <c r="BF12" s="11">
        <v>10</v>
      </c>
      <c r="BG12" s="12" t="s">
        <v>47</v>
      </c>
      <c r="BH12" s="17"/>
      <c r="BI12" s="13">
        <v>17</v>
      </c>
      <c r="BJ12" s="13">
        <v>16</v>
      </c>
      <c r="BK12" s="13">
        <v>0</v>
      </c>
      <c r="BL12" s="14">
        <v>8</v>
      </c>
      <c r="BM12" s="8">
        <f t="shared" si="0"/>
        <v>60</v>
      </c>
      <c r="BN12" s="8">
        <f t="shared" si="1"/>
        <v>55</v>
      </c>
      <c r="BO12" s="8">
        <f t="shared" si="2"/>
        <v>34</v>
      </c>
      <c r="BP12" s="8">
        <f t="shared" si="3"/>
        <v>18</v>
      </c>
      <c r="BQ12" s="8">
        <f t="shared" si="4"/>
        <v>60</v>
      </c>
      <c r="BR12" s="8">
        <f t="shared" si="5"/>
        <v>34</v>
      </c>
      <c r="BS12" s="15">
        <f t="shared" si="6"/>
        <v>4.2400603769286116</v>
      </c>
      <c r="BT12" s="15" t="str">
        <f t="shared" si="7"/>
        <v>OK - No Upgrade</v>
      </c>
      <c r="BU12" s="15" t="str">
        <f t="shared" si="8"/>
        <v>Need to Balance</v>
      </c>
    </row>
    <row r="13" spans="1:73" ht="15.75" customHeight="1" x14ac:dyDescent="0.25">
      <c r="A13" s="8" t="s">
        <v>38</v>
      </c>
      <c r="B13" s="8" t="s">
        <v>39</v>
      </c>
      <c r="C13" s="8" t="s">
        <v>40</v>
      </c>
      <c r="D13" s="8" t="s">
        <v>74</v>
      </c>
      <c r="E13" s="8" t="s">
        <v>75</v>
      </c>
      <c r="F13" s="8" t="s">
        <v>43</v>
      </c>
      <c r="G13" s="8" t="s">
        <v>44</v>
      </c>
      <c r="H13" s="8">
        <v>315</v>
      </c>
      <c r="I13" s="8" t="s">
        <v>76</v>
      </c>
      <c r="J13" s="8">
        <v>1</v>
      </c>
      <c r="K13" s="8">
        <v>237</v>
      </c>
      <c r="L13" s="8">
        <v>236</v>
      </c>
      <c r="M13" s="8">
        <v>239</v>
      </c>
      <c r="N13" s="8">
        <v>408</v>
      </c>
      <c r="O13" s="8">
        <v>413</v>
      </c>
      <c r="P13" s="8">
        <v>412</v>
      </c>
      <c r="Q13" s="9" t="s">
        <v>47</v>
      </c>
      <c r="R13" s="16"/>
      <c r="S13" s="10">
        <v>14</v>
      </c>
      <c r="T13" s="10">
        <v>34</v>
      </c>
      <c r="U13" s="10">
        <v>60</v>
      </c>
      <c r="V13" s="11">
        <v>32</v>
      </c>
      <c r="W13" s="12" t="s">
        <v>47</v>
      </c>
      <c r="X13" s="17"/>
      <c r="Y13" s="13">
        <v>27</v>
      </c>
      <c r="Z13" s="13">
        <v>22</v>
      </c>
      <c r="AA13" s="13">
        <v>6</v>
      </c>
      <c r="AB13" s="14">
        <v>20</v>
      </c>
      <c r="AC13" s="9"/>
      <c r="AD13" s="16"/>
      <c r="AE13" s="10"/>
      <c r="AF13" s="10"/>
      <c r="AG13" s="10"/>
      <c r="AH13" s="11"/>
      <c r="AI13" s="12"/>
      <c r="AJ13" s="17"/>
      <c r="AK13" s="13"/>
      <c r="AL13" s="13"/>
      <c r="AM13" s="13"/>
      <c r="AN13" s="14"/>
      <c r="AO13" s="9"/>
      <c r="AP13" s="16"/>
      <c r="AQ13" s="10"/>
      <c r="AR13" s="10"/>
      <c r="AS13" s="10"/>
      <c r="AT13" s="11"/>
      <c r="AU13" s="12"/>
      <c r="AV13" s="17"/>
      <c r="AW13" s="13"/>
      <c r="AX13" s="13"/>
      <c r="AY13" s="13"/>
      <c r="AZ13" s="14"/>
      <c r="BA13" s="9"/>
      <c r="BB13" s="16"/>
      <c r="BC13" s="10"/>
      <c r="BD13" s="10"/>
      <c r="BE13" s="10"/>
      <c r="BF13" s="11"/>
      <c r="BG13" s="12"/>
      <c r="BH13" s="17"/>
      <c r="BI13" s="13"/>
      <c r="BJ13" s="13"/>
      <c r="BK13" s="13"/>
      <c r="BL13" s="14"/>
      <c r="BM13" s="8">
        <f t="shared" si="0"/>
        <v>41</v>
      </c>
      <c r="BN13" s="8">
        <f t="shared" si="1"/>
        <v>56</v>
      </c>
      <c r="BO13" s="8">
        <f t="shared" si="2"/>
        <v>66</v>
      </c>
      <c r="BP13" s="8">
        <f t="shared" si="3"/>
        <v>52</v>
      </c>
      <c r="BQ13" s="8">
        <f t="shared" si="4"/>
        <v>66</v>
      </c>
      <c r="BR13" s="8">
        <f t="shared" si="5"/>
        <v>41</v>
      </c>
      <c r="BS13" s="15">
        <f t="shared" si="6"/>
        <v>14.806560046417372</v>
      </c>
      <c r="BT13" s="15" t="str">
        <f t="shared" si="7"/>
        <v>OK - No Upgrade</v>
      </c>
      <c r="BU13" s="15" t="str">
        <f t="shared" si="8"/>
        <v>Need to Balance</v>
      </c>
    </row>
    <row r="14" spans="1:73" ht="15.75" customHeight="1" x14ac:dyDescent="0.25">
      <c r="A14" s="8" t="s">
        <v>38</v>
      </c>
      <c r="B14" s="8" t="s">
        <v>39</v>
      </c>
      <c r="C14" s="8" t="s">
        <v>40</v>
      </c>
      <c r="D14" s="8" t="s">
        <v>77</v>
      </c>
      <c r="E14" s="8" t="s">
        <v>78</v>
      </c>
      <c r="F14" s="8" t="s">
        <v>56</v>
      </c>
      <c r="G14" s="8" t="s">
        <v>44</v>
      </c>
      <c r="H14" s="8">
        <v>1000</v>
      </c>
      <c r="I14" s="8" t="s">
        <v>79</v>
      </c>
      <c r="J14" s="8">
        <v>1</v>
      </c>
      <c r="K14" s="8">
        <v>233</v>
      </c>
      <c r="L14" s="8">
        <v>233</v>
      </c>
      <c r="M14" s="8">
        <v>235</v>
      </c>
      <c r="N14" s="8">
        <v>402</v>
      </c>
      <c r="O14" s="8">
        <v>408</v>
      </c>
      <c r="P14" s="8">
        <v>407</v>
      </c>
      <c r="Q14" s="9"/>
      <c r="R14" s="16"/>
      <c r="S14" s="10"/>
      <c r="T14" s="10"/>
      <c r="U14" s="10"/>
      <c r="V14" s="11"/>
      <c r="W14" s="12"/>
      <c r="X14" s="17"/>
      <c r="Y14" s="13"/>
      <c r="Z14" s="13"/>
      <c r="AA14" s="13"/>
      <c r="AB14" s="14"/>
      <c r="AC14" s="9"/>
      <c r="AD14" s="16"/>
      <c r="AE14" s="10"/>
      <c r="AF14" s="10"/>
      <c r="AG14" s="10"/>
      <c r="AH14" s="11"/>
      <c r="AI14" s="12"/>
      <c r="AJ14" s="17"/>
      <c r="AK14" s="13"/>
      <c r="AL14" s="13"/>
      <c r="AM14" s="13"/>
      <c r="AN14" s="14"/>
      <c r="AO14" s="9" t="s">
        <v>47</v>
      </c>
      <c r="AP14" s="16"/>
      <c r="AQ14" s="10">
        <v>36</v>
      </c>
      <c r="AR14" s="10">
        <v>60</v>
      </c>
      <c r="AS14" s="10">
        <v>55</v>
      </c>
      <c r="AT14" s="11">
        <v>15</v>
      </c>
      <c r="AU14" s="12" t="s">
        <v>47</v>
      </c>
      <c r="AV14" s="17"/>
      <c r="AW14" s="13">
        <v>120</v>
      </c>
      <c r="AX14" s="13">
        <v>86</v>
      </c>
      <c r="AY14" s="13">
        <v>90</v>
      </c>
      <c r="AZ14" s="14">
        <v>44</v>
      </c>
      <c r="BA14" s="9" t="s">
        <v>47</v>
      </c>
      <c r="BB14" s="16"/>
      <c r="BC14" s="10">
        <v>20</v>
      </c>
      <c r="BD14" s="10">
        <v>0</v>
      </c>
      <c r="BE14" s="10">
        <v>0</v>
      </c>
      <c r="BF14" s="11">
        <v>21</v>
      </c>
      <c r="BG14" s="12"/>
      <c r="BH14" s="17"/>
      <c r="BI14" s="13"/>
      <c r="BJ14" s="13"/>
      <c r="BK14" s="13"/>
      <c r="BL14" s="14"/>
      <c r="BM14" s="8">
        <f t="shared" si="0"/>
        <v>176</v>
      </c>
      <c r="BN14" s="8">
        <f t="shared" si="1"/>
        <v>146</v>
      </c>
      <c r="BO14" s="8">
        <f t="shared" si="2"/>
        <v>145</v>
      </c>
      <c r="BP14" s="8">
        <f t="shared" si="3"/>
        <v>80</v>
      </c>
      <c r="BQ14" s="8">
        <f t="shared" si="4"/>
        <v>176</v>
      </c>
      <c r="BR14" s="8">
        <f t="shared" si="5"/>
        <v>145</v>
      </c>
      <c r="BS14" s="15">
        <f t="shared" si="6"/>
        <v>12.25460587371132</v>
      </c>
      <c r="BT14" s="15" t="str">
        <f t="shared" si="7"/>
        <v>OK - No Upgrade</v>
      </c>
      <c r="BU14" s="15" t="str">
        <f t="shared" si="8"/>
        <v>Need to Balance</v>
      </c>
    </row>
    <row r="15" spans="1:73" ht="15.75" customHeight="1" x14ac:dyDescent="0.25">
      <c r="A15" s="8" t="s">
        <v>38</v>
      </c>
      <c r="B15" s="8" t="s">
        <v>39</v>
      </c>
      <c r="C15" s="8" t="s">
        <v>40</v>
      </c>
      <c r="D15" s="8" t="s">
        <v>80</v>
      </c>
      <c r="E15" s="8" t="s">
        <v>81</v>
      </c>
      <c r="F15" s="8" t="s">
        <v>56</v>
      </c>
      <c r="G15" s="8" t="s">
        <v>44</v>
      </c>
      <c r="H15" s="8">
        <v>1000</v>
      </c>
      <c r="I15" s="8" t="s">
        <v>82</v>
      </c>
      <c r="J15" s="8">
        <v>1</v>
      </c>
      <c r="K15" s="8">
        <v>232</v>
      </c>
      <c r="L15" s="8">
        <v>232</v>
      </c>
      <c r="M15" s="8">
        <v>235</v>
      </c>
      <c r="N15" s="8">
        <v>402</v>
      </c>
      <c r="O15" s="8">
        <v>406</v>
      </c>
      <c r="P15" s="8">
        <v>404</v>
      </c>
      <c r="Q15" s="9"/>
      <c r="R15" s="16"/>
      <c r="S15" s="10">
        <v>154</v>
      </c>
      <c r="T15" s="10">
        <v>113</v>
      </c>
      <c r="U15" s="10">
        <v>134</v>
      </c>
      <c r="V15" s="11"/>
      <c r="W15" s="12"/>
      <c r="X15" s="17"/>
      <c r="Y15" s="13"/>
      <c r="Z15" s="13"/>
      <c r="AA15" s="13"/>
      <c r="AB15" s="14"/>
      <c r="AC15" s="9" t="s">
        <v>47</v>
      </c>
      <c r="AD15" s="16"/>
      <c r="AE15" s="10">
        <v>141</v>
      </c>
      <c r="AF15" s="10">
        <v>114</v>
      </c>
      <c r="AG15" s="10">
        <v>155</v>
      </c>
      <c r="AH15" s="11">
        <v>0</v>
      </c>
      <c r="AI15" s="12" t="s">
        <v>47</v>
      </c>
      <c r="AJ15" s="17"/>
      <c r="AK15" s="13">
        <v>155</v>
      </c>
      <c r="AL15" s="13">
        <v>105</v>
      </c>
      <c r="AM15" s="13">
        <v>151</v>
      </c>
      <c r="AN15" s="14">
        <v>28</v>
      </c>
      <c r="AO15" s="9" t="s">
        <v>70</v>
      </c>
      <c r="AP15" s="16"/>
      <c r="AQ15" s="10">
        <v>36</v>
      </c>
      <c r="AR15" s="10">
        <v>41</v>
      </c>
      <c r="AS15" s="10">
        <v>12</v>
      </c>
      <c r="AT15" s="11">
        <v>16</v>
      </c>
      <c r="AU15" s="12"/>
      <c r="AV15" s="17"/>
      <c r="AW15" s="13"/>
      <c r="AX15" s="13"/>
      <c r="AY15" s="13"/>
      <c r="AZ15" s="14"/>
      <c r="BA15" s="9"/>
      <c r="BB15" s="16"/>
      <c r="BC15" s="10"/>
      <c r="BD15" s="10"/>
      <c r="BE15" s="10"/>
      <c r="BF15" s="11"/>
      <c r="BG15" s="12"/>
      <c r="BH15" s="17"/>
      <c r="BI15" s="13"/>
      <c r="BJ15" s="13"/>
      <c r="BK15" s="13"/>
      <c r="BL15" s="14"/>
      <c r="BM15" s="8">
        <f t="shared" si="0"/>
        <v>486</v>
      </c>
      <c r="BN15" s="8">
        <f t="shared" si="1"/>
        <v>373</v>
      </c>
      <c r="BO15" s="8">
        <f t="shared" si="2"/>
        <v>452</v>
      </c>
      <c r="BP15" s="8">
        <f t="shared" si="3"/>
        <v>44</v>
      </c>
      <c r="BQ15" s="8">
        <f t="shared" si="4"/>
        <v>486</v>
      </c>
      <c r="BR15" s="8">
        <f t="shared" si="5"/>
        <v>373</v>
      </c>
      <c r="BS15" s="15">
        <f t="shared" si="6"/>
        <v>33.839423037634667</v>
      </c>
      <c r="BT15" s="15" t="str">
        <f t="shared" si="7"/>
        <v>OK - No Upgrade</v>
      </c>
      <c r="BU15" s="15" t="str">
        <f t="shared" si="8"/>
        <v>Need to Balance</v>
      </c>
    </row>
    <row r="16" spans="1:73" ht="15.75" customHeight="1" x14ac:dyDescent="0.25">
      <c r="A16" s="8" t="s">
        <v>38</v>
      </c>
      <c r="B16" s="8" t="s">
        <v>39</v>
      </c>
      <c r="C16" s="8" t="s">
        <v>40</v>
      </c>
      <c r="D16" s="8" t="s">
        <v>83</v>
      </c>
      <c r="E16" s="8" t="s">
        <v>84</v>
      </c>
      <c r="F16" s="8" t="s">
        <v>43</v>
      </c>
      <c r="G16" s="8" t="s">
        <v>44</v>
      </c>
      <c r="H16" s="8">
        <v>315</v>
      </c>
      <c r="I16" s="8" t="s">
        <v>85</v>
      </c>
      <c r="J16" s="8">
        <v>1</v>
      </c>
      <c r="K16" s="8">
        <v>233</v>
      </c>
      <c r="L16" s="8">
        <v>233</v>
      </c>
      <c r="M16" s="8">
        <v>235</v>
      </c>
      <c r="N16" s="8">
        <v>402</v>
      </c>
      <c r="O16" s="8">
        <v>406</v>
      </c>
      <c r="P16" s="8">
        <v>406</v>
      </c>
      <c r="Q16" s="9" t="s">
        <v>47</v>
      </c>
      <c r="R16" s="16"/>
      <c r="S16" s="10">
        <v>33</v>
      </c>
      <c r="T16" s="10">
        <v>64</v>
      </c>
      <c r="U16" s="10">
        <v>41</v>
      </c>
      <c r="V16" s="11">
        <v>17</v>
      </c>
      <c r="W16" s="12" t="s">
        <v>47</v>
      </c>
      <c r="X16" s="17"/>
      <c r="Y16" s="13">
        <v>70</v>
      </c>
      <c r="Z16" s="13">
        <v>73</v>
      </c>
      <c r="AA16" s="13">
        <v>82</v>
      </c>
      <c r="AB16" s="14">
        <v>13</v>
      </c>
      <c r="AC16" s="9"/>
      <c r="AD16" s="16"/>
      <c r="AE16" s="10"/>
      <c r="AF16" s="10"/>
      <c r="AG16" s="10"/>
      <c r="AH16" s="11"/>
      <c r="AI16" s="12"/>
      <c r="AJ16" s="17"/>
      <c r="AK16" s="13"/>
      <c r="AL16" s="13"/>
      <c r="AM16" s="13"/>
      <c r="AN16" s="14"/>
      <c r="AO16" s="9"/>
      <c r="AP16" s="16"/>
      <c r="AQ16" s="10"/>
      <c r="AR16" s="10"/>
      <c r="AS16" s="10"/>
      <c r="AT16" s="11"/>
      <c r="AU16" s="12"/>
      <c r="AV16" s="17"/>
      <c r="AW16" s="13"/>
      <c r="AX16" s="13"/>
      <c r="AY16" s="13"/>
      <c r="AZ16" s="14"/>
      <c r="BA16" s="9"/>
      <c r="BB16" s="16"/>
      <c r="BC16" s="10"/>
      <c r="BD16" s="10"/>
      <c r="BE16" s="10"/>
      <c r="BF16" s="11"/>
      <c r="BG16" s="12"/>
      <c r="BH16" s="17"/>
      <c r="BI16" s="13"/>
      <c r="BJ16" s="13"/>
      <c r="BK16" s="13"/>
      <c r="BL16" s="14"/>
      <c r="BM16" s="8">
        <f t="shared" si="0"/>
        <v>103</v>
      </c>
      <c r="BN16" s="8">
        <f t="shared" si="1"/>
        <v>137</v>
      </c>
      <c r="BO16" s="8">
        <f t="shared" si="2"/>
        <v>123</v>
      </c>
      <c r="BP16" s="8">
        <f t="shared" si="3"/>
        <v>30</v>
      </c>
      <c r="BQ16" s="8">
        <f t="shared" si="4"/>
        <v>137</v>
      </c>
      <c r="BR16" s="8">
        <f t="shared" si="5"/>
        <v>103</v>
      </c>
      <c r="BS16" s="15">
        <f t="shared" si="6"/>
        <v>30.282846405094709</v>
      </c>
      <c r="BT16" s="15" t="str">
        <f t="shared" si="7"/>
        <v>OK - No Upgrade</v>
      </c>
      <c r="BU16" s="15" t="str">
        <f t="shared" si="8"/>
        <v>Need to Balance</v>
      </c>
    </row>
    <row r="17" spans="1:73" ht="15.75" customHeight="1" x14ac:dyDescent="0.25">
      <c r="A17" s="8" t="s">
        <v>38</v>
      </c>
      <c r="B17" s="8" t="s">
        <v>39</v>
      </c>
      <c r="C17" s="8" t="s">
        <v>40</v>
      </c>
      <c r="D17" s="8" t="s">
        <v>86</v>
      </c>
      <c r="E17" s="8" t="s">
        <v>87</v>
      </c>
      <c r="F17" s="8" t="s">
        <v>56</v>
      </c>
      <c r="G17" s="8" t="s">
        <v>44</v>
      </c>
      <c r="H17" s="8">
        <v>1000</v>
      </c>
      <c r="I17" s="8" t="s">
        <v>88</v>
      </c>
      <c r="J17" s="8">
        <v>1</v>
      </c>
      <c r="K17" s="8">
        <v>233</v>
      </c>
      <c r="L17" s="8">
        <v>234</v>
      </c>
      <c r="M17" s="8">
        <v>236</v>
      </c>
      <c r="N17" s="8">
        <v>404</v>
      </c>
      <c r="O17" s="8">
        <v>408</v>
      </c>
      <c r="P17" s="8">
        <v>407</v>
      </c>
      <c r="Q17" s="9" t="s">
        <v>47</v>
      </c>
      <c r="R17" s="16"/>
      <c r="S17" s="10">
        <v>51</v>
      </c>
      <c r="T17" s="10">
        <v>38</v>
      </c>
      <c r="U17" s="10">
        <v>25</v>
      </c>
      <c r="V17" s="11">
        <v>22</v>
      </c>
      <c r="W17" s="12" t="s">
        <v>47</v>
      </c>
      <c r="X17" s="17"/>
      <c r="Y17" s="13">
        <v>48</v>
      </c>
      <c r="Z17" s="13">
        <v>36</v>
      </c>
      <c r="AA17" s="13">
        <v>9</v>
      </c>
      <c r="AB17" s="14">
        <v>19</v>
      </c>
      <c r="AC17" s="9" t="s">
        <v>47</v>
      </c>
      <c r="AD17" s="16"/>
      <c r="AE17" s="10">
        <v>41</v>
      </c>
      <c r="AF17" s="10">
        <v>27</v>
      </c>
      <c r="AG17" s="10">
        <v>32</v>
      </c>
      <c r="AH17" s="11">
        <v>8</v>
      </c>
      <c r="AI17" s="12" t="s">
        <v>47</v>
      </c>
      <c r="AJ17" s="17"/>
      <c r="AK17" s="13">
        <v>40</v>
      </c>
      <c r="AL17" s="13">
        <v>49</v>
      </c>
      <c r="AM17" s="13">
        <v>34</v>
      </c>
      <c r="AN17" s="14">
        <v>10</v>
      </c>
      <c r="AO17" s="9"/>
      <c r="AP17" s="16"/>
      <c r="AQ17" s="10"/>
      <c r="AR17" s="10"/>
      <c r="AS17" s="10"/>
      <c r="AT17" s="11"/>
      <c r="AU17" s="12"/>
      <c r="AV17" s="17"/>
      <c r="AW17" s="13"/>
      <c r="AX17" s="13"/>
      <c r="AY17" s="13"/>
      <c r="AZ17" s="14"/>
      <c r="BA17" s="9"/>
      <c r="BB17" s="16"/>
      <c r="BC17" s="10"/>
      <c r="BD17" s="10"/>
      <c r="BE17" s="10"/>
      <c r="BF17" s="11"/>
      <c r="BG17" s="12"/>
      <c r="BH17" s="17"/>
      <c r="BI17" s="13"/>
      <c r="BJ17" s="13"/>
      <c r="BK17" s="13"/>
      <c r="BL17" s="14"/>
      <c r="BM17" s="8">
        <f t="shared" si="0"/>
        <v>180</v>
      </c>
      <c r="BN17" s="8">
        <f t="shared" si="1"/>
        <v>150</v>
      </c>
      <c r="BO17" s="8">
        <f t="shared" si="2"/>
        <v>100</v>
      </c>
      <c r="BP17" s="8">
        <f t="shared" si="3"/>
        <v>59</v>
      </c>
      <c r="BQ17" s="8">
        <f t="shared" si="4"/>
        <v>180</v>
      </c>
      <c r="BR17" s="8">
        <f t="shared" si="5"/>
        <v>100</v>
      </c>
      <c r="BS17" s="15">
        <f t="shared" si="6"/>
        <v>12.595473472640876</v>
      </c>
      <c r="BT17" s="15" t="str">
        <f t="shared" si="7"/>
        <v>OK - No Upgrade</v>
      </c>
      <c r="BU17" s="15" t="str">
        <f t="shared" si="8"/>
        <v>Need to Balance</v>
      </c>
    </row>
    <row r="18" spans="1:73" ht="15.75" customHeight="1" x14ac:dyDescent="0.25">
      <c r="A18" s="8" t="s">
        <v>38</v>
      </c>
      <c r="B18" s="8" t="s">
        <v>39</v>
      </c>
      <c r="C18" s="8" t="s">
        <v>40</v>
      </c>
      <c r="D18" s="8" t="s">
        <v>89</v>
      </c>
      <c r="E18" s="8" t="s">
        <v>90</v>
      </c>
      <c r="F18" s="8" t="s">
        <v>56</v>
      </c>
      <c r="G18" s="8" t="s">
        <v>44</v>
      </c>
      <c r="H18" s="8">
        <v>1000</v>
      </c>
      <c r="I18" s="8" t="s">
        <v>91</v>
      </c>
      <c r="J18" s="8">
        <v>1</v>
      </c>
      <c r="K18" s="8">
        <v>234</v>
      </c>
      <c r="L18" s="8">
        <v>235</v>
      </c>
      <c r="M18" s="8">
        <v>237</v>
      </c>
      <c r="N18" s="8">
        <v>404</v>
      </c>
      <c r="O18" s="8">
        <v>408</v>
      </c>
      <c r="P18" s="8">
        <v>408</v>
      </c>
      <c r="Q18" s="9" t="s">
        <v>92</v>
      </c>
      <c r="R18" s="16"/>
      <c r="S18" s="10">
        <v>61</v>
      </c>
      <c r="T18" s="10">
        <v>26</v>
      </c>
      <c r="U18" s="10">
        <v>40</v>
      </c>
      <c r="V18" s="11">
        <v>81</v>
      </c>
      <c r="W18" s="12"/>
      <c r="X18" s="17"/>
      <c r="Y18" s="13">
        <v>77</v>
      </c>
      <c r="Z18" s="13">
        <v>25</v>
      </c>
      <c r="AA18" s="13">
        <v>49</v>
      </c>
      <c r="AB18" s="14">
        <v>78</v>
      </c>
      <c r="AC18" s="9"/>
      <c r="AD18" s="16"/>
      <c r="AE18" s="10"/>
      <c r="AF18" s="10"/>
      <c r="AG18" s="10"/>
      <c r="AH18" s="11"/>
      <c r="AI18" s="12"/>
      <c r="AJ18" s="17"/>
      <c r="AK18" s="13"/>
      <c r="AL18" s="13"/>
      <c r="AM18" s="13"/>
      <c r="AN18" s="14"/>
      <c r="AO18" s="9"/>
      <c r="AP18" s="16"/>
      <c r="AQ18" s="10"/>
      <c r="AR18" s="10"/>
      <c r="AS18" s="10"/>
      <c r="AT18" s="11"/>
      <c r="AU18" s="12"/>
      <c r="AV18" s="17"/>
      <c r="AW18" s="13"/>
      <c r="AX18" s="13"/>
      <c r="AY18" s="13"/>
      <c r="AZ18" s="14"/>
      <c r="BA18" s="9"/>
      <c r="BB18" s="16"/>
      <c r="BC18" s="10"/>
      <c r="BD18" s="10"/>
      <c r="BE18" s="10"/>
      <c r="BF18" s="11"/>
      <c r="BG18" s="12"/>
      <c r="BH18" s="17"/>
      <c r="BI18" s="13"/>
      <c r="BJ18" s="13"/>
      <c r="BK18" s="13"/>
      <c r="BL18" s="14"/>
      <c r="BM18" s="8">
        <f t="shared" si="0"/>
        <v>138</v>
      </c>
      <c r="BN18" s="8">
        <f t="shared" si="1"/>
        <v>51</v>
      </c>
      <c r="BO18" s="8">
        <f t="shared" si="2"/>
        <v>89</v>
      </c>
      <c r="BP18" s="8">
        <f t="shared" si="3"/>
        <v>159</v>
      </c>
      <c r="BQ18" s="8">
        <f t="shared" si="4"/>
        <v>138</v>
      </c>
      <c r="BR18" s="8">
        <f t="shared" si="5"/>
        <v>51</v>
      </c>
      <c r="BS18" s="15">
        <f t="shared" si="6"/>
        <v>9.6565296623580039</v>
      </c>
      <c r="BT18" s="15" t="str">
        <f t="shared" si="7"/>
        <v>OK - No Upgrade</v>
      </c>
      <c r="BU18" s="15" t="str">
        <f t="shared" si="8"/>
        <v>Need to Balance</v>
      </c>
    </row>
    <row r="19" spans="1:73" ht="15.75" customHeight="1" x14ac:dyDescent="0.25">
      <c r="A19" s="8" t="s">
        <v>38</v>
      </c>
      <c r="B19" s="8" t="s">
        <v>39</v>
      </c>
      <c r="C19" s="8" t="s">
        <v>93</v>
      </c>
      <c r="D19" s="8" t="s">
        <v>94</v>
      </c>
      <c r="E19" s="8" t="s">
        <v>95</v>
      </c>
      <c r="F19" s="8" t="s">
        <v>43</v>
      </c>
      <c r="G19" s="8"/>
      <c r="H19" s="8">
        <v>315</v>
      </c>
      <c r="I19" s="8" t="s">
        <v>96</v>
      </c>
      <c r="J19" s="8">
        <v>1</v>
      </c>
      <c r="K19" s="8">
        <v>244</v>
      </c>
      <c r="L19" s="8">
        <v>242</v>
      </c>
      <c r="M19" s="8">
        <v>245</v>
      </c>
      <c r="N19" s="8">
        <v>421</v>
      </c>
      <c r="O19" s="8">
        <v>424</v>
      </c>
      <c r="P19" s="8">
        <v>422</v>
      </c>
      <c r="Q19" s="9" t="s">
        <v>46</v>
      </c>
      <c r="R19" s="16"/>
      <c r="S19" s="10">
        <v>30</v>
      </c>
      <c r="T19" s="10">
        <v>40</v>
      </c>
      <c r="U19" s="10">
        <v>26</v>
      </c>
      <c r="V19" s="11">
        <v>13</v>
      </c>
      <c r="W19" s="12" t="s">
        <v>46</v>
      </c>
      <c r="X19" s="17"/>
      <c r="Y19" s="13">
        <v>18</v>
      </c>
      <c r="Z19" s="13">
        <v>33</v>
      </c>
      <c r="AA19" s="13">
        <v>25</v>
      </c>
      <c r="AB19" s="14">
        <v>18</v>
      </c>
      <c r="AC19" s="9"/>
      <c r="AD19" s="16"/>
      <c r="AE19" s="10"/>
      <c r="AF19" s="10"/>
      <c r="AG19" s="10"/>
      <c r="AH19" s="11"/>
      <c r="AI19" s="12"/>
      <c r="AJ19" s="17"/>
      <c r="AK19" s="13"/>
      <c r="AL19" s="13"/>
      <c r="AM19" s="13"/>
      <c r="AN19" s="14"/>
      <c r="AO19" s="9"/>
      <c r="AP19" s="16"/>
      <c r="AQ19" s="10"/>
      <c r="AR19" s="10"/>
      <c r="AS19" s="10"/>
      <c r="AT19" s="11"/>
      <c r="AU19" s="12"/>
      <c r="AV19" s="17"/>
      <c r="AW19" s="13"/>
      <c r="AX19" s="13"/>
      <c r="AY19" s="13"/>
      <c r="AZ19" s="14"/>
      <c r="BA19" s="9"/>
      <c r="BB19" s="16"/>
      <c r="BC19" s="10"/>
      <c r="BD19" s="10"/>
      <c r="BE19" s="10"/>
      <c r="BF19" s="11"/>
      <c r="BG19" s="12"/>
      <c r="BH19" s="17"/>
      <c r="BI19" s="13"/>
      <c r="BJ19" s="13"/>
      <c r="BK19" s="13"/>
      <c r="BL19" s="14"/>
      <c r="BM19" s="8">
        <f t="shared" si="0"/>
        <v>48</v>
      </c>
      <c r="BN19" s="8">
        <f t="shared" si="1"/>
        <v>73</v>
      </c>
      <c r="BO19" s="8">
        <f t="shared" si="2"/>
        <v>51</v>
      </c>
      <c r="BP19" s="8">
        <f t="shared" si="3"/>
        <v>31</v>
      </c>
      <c r="BQ19" s="8">
        <f t="shared" si="4"/>
        <v>73</v>
      </c>
      <c r="BR19" s="8">
        <f t="shared" si="5"/>
        <v>48</v>
      </c>
      <c r="BS19" s="15">
        <f t="shared" si="6"/>
        <v>16.898767450480729</v>
      </c>
      <c r="BT19" s="15" t="str">
        <f t="shared" si="7"/>
        <v>OK - No Upgrade</v>
      </c>
      <c r="BU19" s="15" t="str">
        <f t="shared" si="8"/>
        <v>Need to Balance</v>
      </c>
    </row>
    <row r="20" spans="1:73" ht="15.75" customHeight="1" x14ac:dyDescent="0.25">
      <c r="A20" s="8" t="s">
        <v>38</v>
      </c>
      <c r="B20" s="8" t="s">
        <v>39</v>
      </c>
      <c r="C20" s="8" t="s">
        <v>93</v>
      </c>
      <c r="D20" s="8" t="s">
        <v>97</v>
      </c>
      <c r="E20" s="8" t="s">
        <v>98</v>
      </c>
      <c r="F20" s="8" t="s">
        <v>56</v>
      </c>
      <c r="G20" s="8"/>
      <c r="H20" s="8">
        <v>1000</v>
      </c>
      <c r="I20" s="8" t="s">
        <v>99</v>
      </c>
      <c r="J20" s="8">
        <v>1</v>
      </c>
      <c r="K20" s="8">
        <v>231</v>
      </c>
      <c r="L20" s="8">
        <v>230</v>
      </c>
      <c r="M20" s="8">
        <v>232</v>
      </c>
      <c r="N20" s="8">
        <v>396</v>
      </c>
      <c r="O20" s="8">
        <v>402</v>
      </c>
      <c r="P20" s="8">
        <v>401</v>
      </c>
      <c r="Q20" s="9" t="s">
        <v>47</v>
      </c>
      <c r="R20" s="16"/>
      <c r="S20" s="10">
        <v>12</v>
      </c>
      <c r="T20" s="10">
        <v>55</v>
      </c>
      <c r="U20" s="10">
        <v>36</v>
      </c>
      <c r="V20" s="11">
        <v>37</v>
      </c>
      <c r="W20" s="12" t="s">
        <v>47</v>
      </c>
      <c r="X20" s="17"/>
      <c r="Y20" s="13">
        <v>24</v>
      </c>
      <c r="Z20" s="13">
        <v>40</v>
      </c>
      <c r="AA20" s="13">
        <v>30</v>
      </c>
      <c r="AB20" s="14">
        <v>9</v>
      </c>
      <c r="AC20" s="9" t="s">
        <v>47</v>
      </c>
      <c r="AD20" s="16"/>
      <c r="AE20" s="10">
        <v>41</v>
      </c>
      <c r="AF20" s="10">
        <v>47</v>
      </c>
      <c r="AG20" s="10">
        <v>23</v>
      </c>
      <c r="AH20" s="11">
        <v>24</v>
      </c>
      <c r="AI20" s="12" t="s">
        <v>47</v>
      </c>
      <c r="AJ20" s="17"/>
      <c r="AK20" s="13">
        <v>95</v>
      </c>
      <c r="AL20" s="13">
        <v>75</v>
      </c>
      <c r="AM20" s="13">
        <v>22</v>
      </c>
      <c r="AN20" s="14">
        <v>29</v>
      </c>
      <c r="AO20" s="9"/>
      <c r="AP20" s="16"/>
      <c r="AQ20" s="10"/>
      <c r="AR20" s="10"/>
      <c r="AS20" s="10"/>
      <c r="AT20" s="11"/>
      <c r="AU20" s="12"/>
      <c r="AV20" s="17"/>
      <c r="AW20" s="13"/>
      <c r="AX20" s="13"/>
      <c r="AY20" s="13"/>
      <c r="AZ20" s="14"/>
      <c r="BA20" s="9"/>
      <c r="BB20" s="16"/>
      <c r="BC20" s="10"/>
      <c r="BD20" s="10"/>
      <c r="BE20" s="10"/>
      <c r="BF20" s="11"/>
      <c r="BG20" s="12"/>
      <c r="BH20" s="17"/>
      <c r="BI20" s="13"/>
      <c r="BJ20" s="13"/>
      <c r="BK20" s="13"/>
      <c r="BL20" s="14"/>
      <c r="BM20" s="8">
        <f t="shared" si="0"/>
        <v>172</v>
      </c>
      <c r="BN20" s="8">
        <f t="shared" si="1"/>
        <v>217</v>
      </c>
      <c r="BO20" s="8">
        <f t="shared" si="2"/>
        <v>111</v>
      </c>
      <c r="BP20" s="8">
        <f t="shared" si="3"/>
        <v>99</v>
      </c>
      <c r="BQ20" s="8">
        <f t="shared" si="4"/>
        <v>217</v>
      </c>
      <c r="BR20" s="8">
        <f t="shared" si="5"/>
        <v>111</v>
      </c>
      <c r="BS20" s="15">
        <f t="shared" si="6"/>
        <v>14.883858999600877</v>
      </c>
      <c r="BT20" s="15" t="str">
        <f t="shared" si="7"/>
        <v>OK - No Upgrade</v>
      </c>
      <c r="BU20" s="15" t="str">
        <f t="shared" si="8"/>
        <v>Need to Balance</v>
      </c>
    </row>
    <row r="21" spans="1:73" ht="15.75" customHeight="1" x14ac:dyDescent="0.25">
      <c r="A21" s="8" t="s">
        <v>38</v>
      </c>
      <c r="B21" s="8" t="s">
        <v>39</v>
      </c>
      <c r="C21" s="8" t="s">
        <v>93</v>
      </c>
      <c r="D21" s="8" t="s">
        <v>100</v>
      </c>
      <c r="E21" s="8" t="s">
        <v>101</v>
      </c>
      <c r="F21" s="8" t="s">
        <v>43</v>
      </c>
      <c r="G21" s="8"/>
      <c r="H21" s="8">
        <v>315</v>
      </c>
      <c r="I21" s="8" t="s">
        <v>102</v>
      </c>
      <c r="J21" s="8">
        <v>1</v>
      </c>
      <c r="K21" s="8">
        <v>240</v>
      </c>
      <c r="L21" s="8">
        <v>237</v>
      </c>
      <c r="M21" s="8">
        <v>233</v>
      </c>
      <c r="N21" s="8">
        <v>413</v>
      </c>
      <c r="O21" s="8">
        <v>417</v>
      </c>
      <c r="P21" s="8">
        <v>412</v>
      </c>
      <c r="Q21" s="9" t="s">
        <v>47</v>
      </c>
      <c r="R21" s="16"/>
      <c r="S21" s="10">
        <v>90</v>
      </c>
      <c r="T21" s="10">
        <v>189</v>
      </c>
      <c r="U21" s="10">
        <v>126</v>
      </c>
      <c r="V21" s="11">
        <v>59</v>
      </c>
      <c r="W21" s="12" t="s">
        <v>47</v>
      </c>
      <c r="X21" s="17"/>
      <c r="Y21" s="13">
        <v>171</v>
      </c>
      <c r="Z21" s="13">
        <v>132</v>
      </c>
      <c r="AA21" s="13">
        <v>140</v>
      </c>
      <c r="AB21" s="14">
        <v>34</v>
      </c>
      <c r="AC21" s="9"/>
      <c r="AD21" s="16"/>
      <c r="AE21" s="10"/>
      <c r="AF21" s="10"/>
      <c r="AG21" s="10"/>
      <c r="AH21" s="11"/>
      <c r="AI21" s="12"/>
      <c r="AJ21" s="17"/>
      <c r="AK21" s="13"/>
      <c r="AL21" s="13"/>
      <c r="AM21" s="13"/>
      <c r="AN21" s="14"/>
      <c r="AO21" s="9"/>
      <c r="AP21" s="16"/>
      <c r="AQ21" s="10"/>
      <c r="AR21" s="10"/>
      <c r="AS21" s="10"/>
      <c r="AT21" s="11"/>
      <c r="AU21" s="12"/>
      <c r="AV21" s="17"/>
      <c r="AW21" s="13"/>
      <c r="AX21" s="13"/>
      <c r="AY21" s="13"/>
      <c r="AZ21" s="14"/>
      <c r="BA21" s="9"/>
      <c r="BB21" s="16"/>
      <c r="BC21" s="10"/>
      <c r="BD21" s="10"/>
      <c r="BE21" s="10"/>
      <c r="BF21" s="11"/>
      <c r="BG21" s="12"/>
      <c r="BH21" s="17"/>
      <c r="BI21" s="13"/>
      <c r="BJ21" s="13"/>
      <c r="BK21" s="13"/>
      <c r="BL21" s="14"/>
      <c r="BM21" s="8">
        <f t="shared" si="0"/>
        <v>261</v>
      </c>
      <c r="BN21" s="8">
        <f t="shared" si="1"/>
        <v>321</v>
      </c>
      <c r="BO21" s="8">
        <f t="shared" si="2"/>
        <v>266</v>
      </c>
      <c r="BP21" s="8">
        <f t="shared" si="3"/>
        <v>93</v>
      </c>
      <c r="BQ21" s="8">
        <f t="shared" si="4"/>
        <v>321</v>
      </c>
      <c r="BR21" s="8">
        <f t="shared" si="5"/>
        <v>261</v>
      </c>
      <c r="BS21" s="15">
        <f t="shared" si="6"/>
        <v>72.896244987882142</v>
      </c>
      <c r="BT21" s="15" t="str">
        <f t="shared" si="7"/>
        <v>Upgrade</v>
      </c>
      <c r="BU21" s="15" t="str">
        <f t="shared" si="8"/>
        <v>Need to Balance</v>
      </c>
    </row>
    <row r="22" spans="1:73" ht="15.75" customHeight="1" x14ac:dyDescent="0.25">
      <c r="A22" s="8" t="s">
        <v>38</v>
      </c>
      <c r="B22" s="8" t="s">
        <v>39</v>
      </c>
      <c r="C22" s="8" t="s">
        <v>93</v>
      </c>
      <c r="D22" s="8" t="s">
        <v>103</v>
      </c>
      <c r="E22" s="8" t="s">
        <v>104</v>
      </c>
      <c r="F22" s="8" t="s">
        <v>43</v>
      </c>
      <c r="G22" s="8"/>
      <c r="H22" s="8">
        <v>315</v>
      </c>
      <c r="I22" s="8" t="s">
        <v>105</v>
      </c>
      <c r="J22" s="8">
        <v>1</v>
      </c>
      <c r="K22" s="8">
        <v>239</v>
      </c>
      <c r="L22" s="8">
        <v>240</v>
      </c>
      <c r="M22" s="8">
        <v>242</v>
      </c>
      <c r="N22" s="8">
        <v>413</v>
      </c>
      <c r="O22" s="8">
        <v>419</v>
      </c>
      <c r="P22" s="8">
        <v>418</v>
      </c>
      <c r="Q22" s="9" t="s">
        <v>47</v>
      </c>
      <c r="R22" s="16"/>
      <c r="S22" s="10">
        <v>151</v>
      </c>
      <c r="T22" s="10">
        <v>49</v>
      </c>
      <c r="U22" s="10">
        <v>112</v>
      </c>
      <c r="V22" s="11">
        <v>29</v>
      </c>
      <c r="W22" s="12" t="s">
        <v>47</v>
      </c>
      <c r="X22" s="17"/>
      <c r="Y22" s="13">
        <v>84</v>
      </c>
      <c r="Z22" s="13">
        <v>42</v>
      </c>
      <c r="AA22" s="13">
        <v>9</v>
      </c>
      <c r="AB22" s="14">
        <v>50</v>
      </c>
      <c r="AC22" s="9" t="s">
        <v>47</v>
      </c>
      <c r="AD22" s="16"/>
      <c r="AE22" s="10">
        <v>0</v>
      </c>
      <c r="AF22" s="10">
        <v>0</v>
      </c>
      <c r="AG22" s="10">
        <v>0</v>
      </c>
      <c r="AH22" s="11">
        <v>0</v>
      </c>
      <c r="AI22" s="12"/>
      <c r="AJ22" s="17"/>
      <c r="AK22" s="13"/>
      <c r="AL22" s="13"/>
      <c r="AM22" s="13"/>
      <c r="AN22" s="14"/>
      <c r="AO22" s="9"/>
      <c r="AP22" s="16"/>
      <c r="AQ22" s="10"/>
      <c r="AR22" s="10"/>
      <c r="AS22" s="10"/>
      <c r="AT22" s="11"/>
      <c r="AU22" s="12"/>
      <c r="AV22" s="17"/>
      <c r="AW22" s="13"/>
      <c r="AX22" s="13"/>
      <c r="AY22" s="13"/>
      <c r="AZ22" s="14"/>
      <c r="BA22" s="9"/>
      <c r="BB22" s="16"/>
      <c r="BC22" s="10"/>
      <c r="BD22" s="10"/>
      <c r="BE22" s="10"/>
      <c r="BF22" s="11"/>
      <c r="BG22" s="12"/>
      <c r="BH22" s="17"/>
      <c r="BI22" s="13"/>
      <c r="BJ22" s="13"/>
      <c r="BK22" s="13"/>
      <c r="BL22" s="14"/>
      <c r="BM22" s="8">
        <f t="shared" si="0"/>
        <v>235</v>
      </c>
      <c r="BN22" s="8">
        <f t="shared" si="1"/>
        <v>91</v>
      </c>
      <c r="BO22" s="8">
        <f t="shared" si="2"/>
        <v>121</v>
      </c>
      <c r="BP22" s="8">
        <f t="shared" si="3"/>
        <v>79</v>
      </c>
      <c r="BQ22" s="8">
        <f t="shared" si="4"/>
        <v>235</v>
      </c>
      <c r="BR22" s="8">
        <f t="shared" si="5"/>
        <v>91</v>
      </c>
      <c r="BS22" s="15">
        <f t="shared" si="6"/>
        <v>53.366409882094402</v>
      </c>
      <c r="BT22" s="15" t="str">
        <f t="shared" si="7"/>
        <v>OK - No Upgrade</v>
      </c>
      <c r="BU22" s="15" t="str">
        <f t="shared" si="8"/>
        <v>Need to Balance</v>
      </c>
    </row>
    <row r="23" spans="1:73" ht="15.75" customHeight="1" x14ac:dyDescent="0.25">
      <c r="A23" s="8" t="s">
        <v>38</v>
      </c>
      <c r="B23" s="8" t="s">
        <v>39</v>
      </c>
      <c r="C23" s="8" t="s">
        <v>93</v>
      </c>
      <c r="D23" s="8" t="s">
        <v>106</v>
      </c>
      <c r="E23" s="8" t="s">
        <v>107</v>
      </c>
      <c r="F23" s="8" t="s">
        <v>43</v>
      </c>
      <c r="G23" s="8"/>
      <c r="H23" s="8">
        <v>315</v>
      </c>
      <c r="I23" s="8" t="s">
        <v>108</v>
      </c>
      <c r="J23" s="8">
        <v>1</v>
      </c>
      <c r="K23" s="8">
        <v>241</v>
      </c>
      <c r="L23" s="8">
        <v>241</v>
      </c>
      <c r="M23" s="8">
        <v>242</v>
      </c>
      <c r="N23" s="8">
        <v>416</v>
      </c>
      <c r="O23" s="8">
        <v>418</v>
      </c>
      <c r="P23" s="8">
        <v>420</v>
      </c>
      <c r="Q23" s="9" t="s">
        <v>47</v>
      </c>
      <c r="R23" s="16"/>
      <c r="S23" s="10">
        <v>52</v>
      </c>
      <c r="T23" s="10">
        <v>40</v>
      </c>
      <c r="U23" s="10">
        <v>97</v>
      </c>
      <c r="V23" s="11">
        <v>47</v>
      </c>
      <c r="W23" s="12" t="s">
        <v>47</v>
      </c>
      <c r="X23" s="17"/>
      <c r="Y23" s="13">
        <v>70</v>
      </c>
      <c r="Z23" s="13">
        <v>49</v>
      </c>
      <c r="AA23" s="13">
        <v>70</v>
      </c>
      <c r="AB23" s="14">
        <v>16</v>
      </c>
      <c r="AC23" s="9"/>
      <c r="AD23" s="16"/>
      <c r="AE23" s="10"/>
      <c r="AF23" s="10"/>
      <c r="AG23" s="10"/>
      <c r="AH23" s="11"/>
      <c r="AI23" s="12"/>
      <c r="AJ23" s="17"/>
      <c r="AK23" s="13"/>
      <c r="AL23" s="13"/>
      <c r="AM23" s="13"/>
      <c r="AN23" s="14"/>
      <c r="AO23" s="9"/>
      <c r="AP23" s="16"/>
      <c r="AQ23" s="10"/>
      <c r="AR23" s="10"/>
      <c r="AS23" s="10"/>
      <c r="AT23" s="11"/>
      <c r="AU23" s="12"/>
      <c r="AV23" s="17"/>
      <c r="AW23" s="13"/>
      <c r="AX23" s="13"/>
      <c r="AY23" s="13"/>
      <c r="AZ23" s="14"/>
      <c r="BA23" s="9"/>
      <c r="BB23" s="16"/>
      <c r="BC23" s="10"/>
      <c r="BD23" s="10"/>
      <c r="BE23" s="10"/>
      <c r="BF23" s="11"/>
      <c r="BG23" s="12"/>
      <c r="BH23" s="17"/>
      <c r="BI23" s="13"/>
      <c r="BJ23" s="13"/>
      <c r="BK23" s="13"/>
      <c r="BL23" s="14"/>
      <c r="BM23" s="8">
        <f t="shared" si="0"/>
        <v>122</v>
      </c>
      <c r="BN23" s="8">
        <f t="shared" si="1"/>
        <v>89</v>
      </c>
      <c r="BO23" s="8">
        <f t="shared" si="2"/>
        <v>167</v>
      </c>
      <c r="BP23" s="8">
        <f t="shared" si="3"/>
        <v>63</v>
      </c>
      <c r="BQ23" s="8">
        <f t="shared" si="4"/>
        <v>167</v>
      </c>
      <c r="BR23" s="8">
        <f t="shared" si="5"/>
        <v>89</v>
      </c>
      <c r="BS23" s="15">
        <f t="shared" si="6"/>
        <v>38.199693239182551</v>
      </c>
      <c r="BT23" s="15" t="str">
        <f t="shared" si="7"/>
        <v>OK - No Upgrade</v>
      </c>
      <c r="BU23" s="15" t="str">
        <f t="shared" si="8"/>
        <v>Need to Balance</v>
      </c>
    </row>
    <row r="24" spans="1:73" ht="15.75" customHeight="1" x14ac:dyDescent="0.25">
      <c r="A24" s="8" t="s">
        <v>38</v>
      </c>
      <c r="B24" s="8" t="s">
        <v>39</v>
      </c>
      <c r="C24" s="8" t="s">
        <v>93</v>
      </c>
      <c r="D24" s="8" t="s">
        <v>109</v>
      </c>
      <c r="E24" s="8" t="s">
        <v>110</v>
      </c>
      <c r="F24" s="8" t="s">
        <v>56</v>
      </c>
      <c r="G24" s="8"/>
      <c r="H24" s="8">
        <v>1000</v>
      </c>
      <c r="I24" s="8" t="s">
        <v>111</v>
      </c>
      <c r="J24" s="8">
        <v>1</v>
      </c>
      <c r="K24" s="8">
        <v>241</v>
      </c>
      <c r="L24" s="8">
        <v>240</v>
      </c>
      <c r="M24" s="8">
        <v>244</v>
      </c>
      <c r="N24" s="8">
        <v>416</v>
      </c>
      <c r="O24" s="8">
        <v>422</v>
      </c>
      <c r="P24" s="8">
        <v>421</v>
      </c>
      <c r="Q24" s="9"/>
      <c r="R24" s="16"/>
      <c r="S24" s="10"/>
      <c r="T24" s="10"/>
      <c r="U24" s="10"/>
      <c r="V24" s="11"/>
      <c r="W24" s="12"/>
      <c r="X24" s="17"/>
      <c r="Y24" s="13"/>
      <c r="Z24" s="13"/>
      <c r="AA24" s="13"/>
      <c r="AB24" s="14"/>
      <c r="AC24" s="9"/>
      <c r="AD24" s="16"/>
      <c r="AE24" s="10"/>
      <c r="AF24" s="10"/>
      <c r="AG24" s="10"/>
      <c r="AH24" s="11"/>
      <c r="AI24" s="12"/>
      <c r="AJ24" s="17"/>
      <c r="AK24" s="13"/>
      <c r="AL24" s="13"/>
      <c r="AM24" s="13"/>
      <c r="AN24" s="14"/>
      <c r="AO24" s="9" t="s">
        <v>47</v>
      </c>
      <c r="AP24" s="16"/>
      <c r="AQ24" s="10">
        <v>88</v>
      </c>
      <c r="AR24" s="10">
        <v>45</v>
      </c>
      <c r="AS24" s="10">
        <v>34</v>
      </c>
      <c r="AT24" s="11">
        <v>37</v>
      </c>
      <c r="AU24" s="12" t="s">
        <v>47</v>
      </c>
      <c r="AV24" s="17"/>
      <c r="AW24" s="13">
        <v>70</v>
      </c>
      <c r="AX24" s="13">
        <v>148</v>
      </c>
      <c r="AY24" s="13">
        <v>108</v>
      </c>
      <c r="AZ24" s="14">
        <v>70</v>
      </c>
      <c r="BA24" s="9"/>
      <c r="BB24" s="16"/>
      <c r="BC24" s="10"/>
      <c r="BD24" s="10"/>
      <c r="BE24" s="10"/>
      <c r="BF24" s="11"/>
      <c r="BG24" s="12"/>
      <c r="BH24" s="17"/>
      <c r="BI24" s="13"/>
      <c r="BJ24" s="13"/>
      <c r="BK24" s="13"/>
      <c r="BL24" s="14"/>
      <c r="BM24" s="8">
        <f t="shared" si="0"/>
        <v>158</v>
      </c>
      <c r="BN24" s="8">
        <f t="shared" si="1"/>
        <v>193</v>
      </c>
      <c r="BO24" s="8">
        <f t="shared" si="2"/>
        <v>142</v>
      </c>
      <c r="BP24" s="8">
        <f t="shared" si="3"/>
        <v>107</v>
      </c>
      <c r="BQ24" s="8">
        <f t="shared" si="4"/>
        <v>193</v>
      </c>
      <c r="BR24" s="8">
        <f t="shared" si="5"/>
        <v>142</v>
      </c>
      <c r="BS24" s="15">
        <f t="shared" si="6"/>
        <v>13.906289523809001</v>
      </c>
      <c r="BT24" s="15" t="str">
        <f t="shared" si="7"/>
        <v>OK - No Upgrade</v>
      </c>
      <c r="BU24" s="15" t="str">
        <f t="shared" si="8"/>
        <v>Need to Balance</v>
      </c>
    </row>
    <row r="25" spans="1:73" ht="15.75" customHeight="1" x14ac:dyDescent="0.25">
      <c r="A25" s="8" t="s">
        <v>38</v>
      </c>
      <c r="B25" s="8" t="s">
        <v>39</v>
      </c>
      <c r="C25" s="8" t="s">
        <v>93</v>
      </c>
      <c r="D25" s="8" t="s">
        <v>112</v>
      </c>
      <c r="E25" s="8" t="s">
        <v>113</v>
      </c>
      <c r="F25" s="8" t="s">
        <v>43</v>
      </c>
      <c r="G25" s="8"/>
      <c r="H25" s="8">
        <v>100</v>
      </c>
      <c r="I25" s="8" t="s">
        <v>114</v>
      </c>
      <c r="J25" s="8">
        <v>1</v>
      </c>
      <c r="K25" s="8">
        <v>242</v>
      </c>
      <c r="L25" s="8">
        <v>240</v>
      </c>
      <c r="M25" s="8">
        <v>244</v>
      </c>
      <c r="N25" s="8">
        <v>419</v>
      </c>
      <c r="O25" s="8">
        <v>421</v>
      </c>
      <c r="P25" s="8">
        <v>420</v>
      </c>
      <c r="Q25" s="9" t="s">
        <v>47</v>
      </c>
      <c r="R25" s="16"/>
      <c r="S25" s="10">
        <v>0</v>
      </c>
      <c r="T25" s="10">
        <v>0</v>
      </c>
      <c r="U25" s="10">
        <v>0</v>
      </c>
      <c r="V25" s="11">
        <v>0</v>
      </c>
      <c r="W25" s="12"/>
      <c r="X25" s="17"/>
      <c r="Y25" s="13"/>
      <c r="Z25" s="13"/>
      <c r="AA25" s="13"/>
      <c r="AB25" s="14"/>
      <c r="AC25" s="9"/>
      <c r="AD25" s="16"/>
      <c r="AE25" s="10"/>
      <c r="AF25" s="10"/>
      <c r="AG25" s="10"/>
      <c r="AH25" s="11"/>
      <c r="AI25" s="12"/>
      <c r="AJ25" s="17"/>
      <c r="AK25" s="13"/>
      <c r="AL25" s="13"/>
      <c r="AM25" s="13"/>
      <c r="AN25" s="14"/>
      <c r="AO25" s="9"/>
      <c r="AP25" s="16"/>
      <c r="AQ25" s="10"/>
      <c r="AR25" s="10"/>
      <c r="AS25" s="10"/>
      <c r="AT25" s="11"/>
      <c r="AU25" s="12"/>
      <c r="AV25" s="17"/>
      <c r="AW25" s="13"/>
      <c r="AX25" s="13"/>
      <c r="AY25" s="13"/>
      <c r="AZ25" s="14"/>
      <c r="BA25" s="9"/>
      <c r="BB25" s="16"/>
      <c r="BC25" s="10"/>
      <c r="BD25" s="10"/>
      <c r="BE25" s="10"/>
      <c r="BF25" s="11"/>
      <c r="BG25" s="12"/>
      <c r="BH25" s="17"/>
      <c r="BI25" s="13"/>
      <c r="BJ25" s="13"/>
      <c r="BK25" s="13"/>
      <c r="BL25" s="14"/>
      <c r="BM25" s="8">
        <f t="shared" si="0"/>
        <v>0</v>
      </c>
      <c r="BN25" s="8">
        <f t="shared" si="1"/>
        <v>0</v>
      </c>
      <c r="BO25" s="8">
        <f t="shared" si="2"/>
        <v>0</v>
      </c>
      <c r="BP25" s="8">
        <f t="shared" si="3"/>
        <v>0</v>
      </c>
      <c r="BQ25" s="8">
        <f t="shared" si="4"/>
        <v>0</v>
      </c>
      <c r="BR25" s="8">
        <f t="shared" si="5"/>
        <v>0</v>
      </c>
      <c r="BS25" s="15">
        <f t="shared" si="6"/>
        <v>0</v>
      </c>
      <c r="BT25" s="15" t="str">
        <f t="shared" si="7"/>
        <v>OK - No Upgrade</v>
      </c>
      <c r="BU25" s="15" t="str">
        <f t="shared" si="8"/>
        <v>OK - Balanced</v>
      </c>
    </row>
    <row r="26" spans="1:73" ht="15.75" customHeight="1" x14ac:dyDescent="0.25">
      <c r="A26" s="8" t="s">
        <v>38</v>
      </c>
      <c r="B26" s="8" t="s">
        <v>39</v>
      </c>
      <c r="C26" s="8" t="s">
        <v>93</v>
      </c>
      <c r="D26" s="8" t="s">
        <v>115</v>
      </c>
      <c r="E26" s="8" t="s">
        <v>116</v>
      </c>
      <c r="F26" s="8" t="s">
        <v>43</v>
      </c>
      <c r="G26" s="8"/>
      <c r="H26" s="8">
        <v>315</v>
      </c>
      <c r="I26" s="8" t="s">
        <v>117</v>
      </c>
      <c r="J26" s="8">
        <v>1</v>
      </c>
      <c r="K26" s="8">
        <v>242</v>
      </c>
      <c r="L26" s="8">
        <v>241</v>
      </c>
      <c r="M26" s="8">
        <v>243</v>
      </c>
      <c r="N26" s="8">
        <v>418</v>
      </c>
      <c r="O26" s="8">
        <v>421</v>
      </c>
      <c r="P26" s="8">
        <v>420</v>
      </c>
      <c r="Q26" s="9" t="s">
        <v>47</v>
      </c>
      <c r="R26" s="16"/>
      <c r="S26" s="10">
        <v>0</v>
      </c>
      <c r="T26" s="10">
        <v>0</v>
      </c>
      <c r="U26" s="10">
        <v>0</v>
      </c>
      <c r="V26" s="11">
        <v>0</v>
      </c>
      <c r="W26" s="12" t="s">
        <v>47</v>
      </c>
      <c r="X26" s="17"/>
      <c r="Y26" s="13">
        <v>0</v>
      </c>
      <c r="Z26" s="13">
        <v>0</v>
      </c>
      <c r="AA26" s="13">
        <v>12</v>
      </c>
      <c r="AB26" s="14">
        <v>11</v>
      </c>
      <c r="AC26" s="9"/>
      <c r="AD26" s="16"/>
      <c r="AE26" s="10"/>
      <c r="AF26" s="10"/>
      <c r="AG26" s="10"/>
      <c r="AH26" s="11"/>
      <c r="AI26" s="12"/>
      <c r="AJ26" s="17"/>
      <c r="AK26" s="13"/>
      <c r="AL26" s="13"/>
      <c r="AM26" s="13"/>
      <c r="AN26" s="14"/>
      <c r="AO26" s="9"/>
      <c r="AP26" s="16"/>
      <c r="AQ26" s="10"/>
      <c r="AR26" s="10"/>
      <c r="AS26" s="10"/>
      <c r="AT26" s="11"/>
      <c r="AU26" s="12"/>
      <c r="AV26" s="17"/>
      <c r="AW26" s="13"/>
      <c r="AX26" s="13"/>
      <c r="AY26" s="13"/>
      <c r="AZ26" s="14"/>
      <c r="BA26" s="9"/>
      <c r="BB26" s="16"/>
      <c r="BC26" s="10"/>
      <c r="BD26" s="10"/>
      <c r="BE26" s="10"/>
      <c r="BF26" s="11"/>
      <c r="BG26" s="12"/>
      <c r="BH26" s="17"/>
      <c r="BI26" s="13"/>
      <c r="BJ26" s="13"/>
      <c r="BK26" s="13"/>
      <c r="BL26" s="14"/>
      <c r="BM26" s="8">
        <f t="shared" si="0"/>
        <v>0</v>
      </c>
      <c r="BN26" s="8">
        <f t="shared" si="1"/>
        <v>0</v>
      </c>
      <c r="BO26" s="8">
        <f t="shared" si="2"/>
        <v>12</v>
      </c>
      <c r="BP26" s="8">
        <f t="shared" si="3"/>
        <v>11</v>
      </c>
      <c r="BQ26" s="8">
        <f t="shared" si="4"/>
        <v>12</v>
      </c>
      <c r="BR26" s="8">
        <f t="shared" si="5"/>
        <v>0</v>
      </c>
      <c r="BS26" s="15">
        <f t="shared" si="6"/>
        <v>2.7580847145287271</v>
      </c>
      <c r="BT26" s="15" t="str">
        <f t="shared" si="7"/>
        <v>OK - No Upgrade</v>
      </c>
      <c r="BU26" s="15" t="str">
        <f t="shared" si="8"/>
        <v>Need to Balance</v>
      </c>
    </row>
    <row r="27" spans="1:73" ht="15.75" customHeight="1" x14ac:dyDescent="0.25">
      <c r="A27" s="8" t="s">
        <v>38</v>
      </c>
      <c r="B27" s="8" t="s">
        <v>39</v>
      </c>
      <c r="C27" s="8" t="s">
        <v>93</v>
      </c>
      <c r="D27" s="8" t="s">
        <v>118</v>
      </c>
      <c r="E27" s="8" t="s">
        <v>119</v>
      </c>
      <c r="F27" s="8" t="s">
        <v>43</v>
      </c>
      <c r="G27" s="8"/>
      <c r="H27" s="8">
        <v>315</v>
      </c>
      <c r="I27" s="8" t="s">
        <v>120</v>
      </c>
      <c r="J27" s="8">
        <v>1</v>
      </c>
      <c r="K27" s="8">
        <v>239</v>
      </c>
      <c r="L27" s="8">
        <v>236</v>
      </c>
      <c r="M27" s="8">
        <v>240</v>
      </c>
      <c r="N27" s="8">
        <v>410</v>
      </c>
      <c r="O27" s="8">
        <v>416</v>
      </c>
      <c r="P27" s="8">
        <v>412</v>
      </c>
      <c r="Q27" s="9" t="s">
        <v>46</v>
      </c>
      <c r="R27" s="16"/>
      <c r="S27" s="10">
        <v>91</v>
      </c>
      <c r="T27" s="10">
        <v>81</v>
      </c>
      <c r="U27" s="10">
        <v>97</v>
      </c>
      <c r="V27" s="11">
        <v>18</v>
      </c>
      <c r="W27" s="12" t="s">
        <v>46</v>
      </c>
      <c r="X27" s="17"/>
      <c r="Y27" s="13">
        <v>11</v>
      </c>
      <c r="Z27" s="13">
        <v>62</v>
      </c>
      <c r="AA27" s="13">
        <v>32</v>
      </c>
      <c r="AB27" s="14">
        <v>39</v>
      </c>
      <c r="AC27" s="9"/>
      <c r="AD27" s="16"/>
      <c r="AE27" s="10"/>
      <c r="AF27" s="10"/>
      <c r="AG27" s="10"/>
      <c r="AH27" s="11"/>
      <c r="AI27" s="12"/>
      <c r="AJ27" s="17"/>
      <c r="AK27" s="13"/>
      <c r="AL27" s="13"/>
      <c r="AM27" s="13"/>
      <c r="AN27" s="14"/>
      <c r="AO27" s="9"/>
      <c r="AP27" s="16"/>
      <c r="AQ27" s="10"/>
      <c r="AR27" s="10"/>
      <c r="AS27" s="10"/>
      <c r="AT27" s="11"/>
      <c r="AU27" s="12"/>
      <c r="AV27" s="17"/>
      <c r="AW27" s="13"/>
      <c r="AX27" s="13"/>
      <c r="AY27" s="13"/>
      <c r="AZ27" s="14"/>
      <c r="BA27" s="9"/>
      <c r="BB27" s="16"/>
      <c r="BC27" s="10"/>
      <c r="BD27" s="10"/>
      <c r="BE27" s="10"/>
      <c r="BF27" s="11"/>
      <c r="BG27" s="12"/>
      <c r="BH27" s="17"/>
      <c r="BI27" s="13"/>
      <c r="BJ27" s="13"/>
      <c r="BK27" s="13"/>
      <c r="BL27" s="14"/>
      <c r="BM27" s="8">
        <f t="shared" si="0"/>
        <v>102</v>
      </c>
      <c r="BN27" s="8">
        <f t="shared" si="1"/>
        <v>143</v>
      </c>
      <c r="BO27" s="8">
        <f t="shared" si="2"/>
        <v>129</v>
      </c>
      <c r="BP27" s="8">
        <f t="shared" si="3"/>
        <v>57</v>
      </c>
      <c r="BQ27" s="8">
        <f t="shared" si="4"/>
        <v>143</v>
      </c>
      <c r="BR27" s="8">
        <f t="shared" si="5"/>
        <v>102</v>
      </c>
      <c r="BS27" s="15">
        <f t="shared" si="6"/>
        <v>32.238139316750249</v>
      </c>
      <c r="BT27" s="15" t="str">
        <f t="shared" si="7"/>
        <v>OK - No Upgrade</v>
      </c>
      <c r="BU27" s="15" t="str">
        <f t="shared" si="8"/>
        <v>Need to Balance</v>
      </c>
    </row>
    <row r="28" spans="1:73" ht="15.75" customHeight="1" x14ac:dyDescent="0.25">
      <c r="A28" s="8" t="s">
        <v>38</v>
      </c>
      <c r="B28" s="8" t="s">
        <v>39</v>
      </c>
      <c r="C28" s="8" t="s">
        <v>93</v>
      </c>
      <c r="D28" s="8" t="s">
        <v>121</v>
      </c>
      <c r="E28" s="8" t="s">
        <v>122</v>
      </c>
      <c r="F28" s="8" t="s">
        <v>43</v>
      </c>
      <c r="G28" s="8"/>
      <c r="H28" s="8">
        <v>315</v>
      </c>
      <c r="I28" s="8" t="s">
        <v>123</v>
      </c>
      <c r="J28" s="8">
        <v>1</v>
      </c>
      <c r="K28" s="8">
        <v>242</v>
      </c>
      <c r="L28" s="8">
        <v>241</v>
      </c>
      <c r="M28" s="8">
        <v>245</v>
      </c>
      <c r="N28" s="8">
        <v>418</v>
      </c>
      <c r="O28" s="8">
        <v>424</v>
      </c>
      <c r="P28" s="8">
        <v>420</v>
      </c>
      <c r="Q28" s="9" t="s">
        <v>46</v>
      </c>
      <c r="R28" s="16"/>
      <c r="S28" s="10">
        <v>3</v>
      </c>
      <c r="T28" s="10">
        <v>20</v>
      </c>
      <c r="U28" s="10">
        <v>2</v>
      </c>
      <c r="V28" s="11">
        <v>17</v>
      </c>
      <c r="W28" s="12" t="s">
        <v>46</v>
      </c>
      <c r="X28" s="17"/>
      <c r="Y28" s="13">
        <v>16</v>
      </c>
      <c r="Z28" s="13">
        <v>15</v>
      </c>
      <c r="AA28" s="13">
        <v>11</v>
      </c>
      <c r="AB28" s="14">
        <v>15</v>
      </c>
      <c r="AC28" s="9"/>
      <c r="AD28" s="16"/>
      <c r="AE28" s="10"/>
      <c r="AF28" s="10"/>
      <c r="AG28" s="10"/>
      <c r="AH28" s="11"/>
      <c r="AI28" s="12"/>
      <c r="AJ28" s="17"/>
      <c r="AK28" s="13"/>
      <c r="AL28" s="13"/>
      <c r="AM28" s="13"/>
      <c r="AN28" s="14"/>
      <c r="AO28" s="9"/>
      <c r="AP28" s="16"/>
      <c r="AQ28" s="10"/>
      <c r="AR28" s="10"/>
      <c r="AS28" s="10"/>
      <c r="AT28" s="11"/>
      <c r="AU28" s="12"/>
      <c r="AV28" s="17"/>
      <c r="AW28" s="13"/>
      <c r="AX28" s="13"/>
      <c r="AY28" s="13"/>
      <c r="AZ28" s="14"/>
      <c r="BA28" s="9"/>
      <c r="BB28" s="16"/>
      <c r="BC28" s="10"/>
      <c r="BD28" s="10"/>
      <c r="BE28" s="10"/>
      <c r="BF28" s="11"/>
      <c r="BG28" s="12"/>
      <c r="BH28" s="17"/>
      <c r="BI28" s="13"/>
      <c r="BJ28" s="13"/>
      <c r="BK28" s="13"/>
      <c r="BL28" s="14"/>
      <c r="BM28" s="8">
        <f t="shared" si="0"/>
        <v>19</v>
      </c>
      <c r="BN28" s="8">
        <f t="shared" si="1"/>
        <v>35</v>
      </c>
      <c r="BO28" s="8">
        <f t="shared" si="2"/>
        <v>13</v>
      </c>
      <c r="BP28" s="8">
        <f t="shared" si="3"/>
        <v>32</v>
      </c>
      <c r="BQ28" s="8">
        <f t="shared" si="4"/>
        <v>35</v>
      </c>
      <c r="BR28" s="8">
        <f t="shared" si="5"/>
        <v>13</v>
      </c>
      <c r="BS28" s="15">
        <f t="shared" si="6"/>
        <v>8.0444137507087863</v>
      </c>
      <c r="BT28" s="15" t="str">
        <f t="shared" si="7"/>
        <v>OK - No Upgrade</v>
      </c>
      <c r="BU28" s="15" t="str">
        <f t="shared" si="8"/>
        <v>Need to Balance</v>
      </c>
    </row>
    <row r="29" spans="1:73" ht="15.75" customHeight="1" x14ac:dyDescent="0.25">
      <c r="A29" s="8" t="s">
        <v>38</v>
      </c>
      <c r="B29" s="8" t="s">
        <v>39</v>
      </c>
      <c r="C29" s="8" t="s">
        <v>124</v>
      </c>
      <c r="D29" s="8"/>
      <c r="E29" s="8" t="s">
        <v>125</v>
      </c>
      <c r="F29" s="8" t="s">
        <v>56</v>
      </c>
      <c r="G29" s="8"/>
      <c r="H29" s="8">
        <v>1000</v>
      </c>
      <c r="I29" s="8" t="s">
        <v>126</v>
      </c>
      <c r="J29" s="8">
        <v>1</v>
      </c>
      <c r="K29" s="8">
        <v>242</v>
      </c>
      <c r="L29" s="8">
        <v>243</v>
      </c>
      <c r="M29" s="8">
        <v>245</v>
      </c>
      <c r="N29" s="8">
        <v>422</v>
      </c>
      <c r="O29" s="8">
        <v>427</v>
      </c>
      <c r="P29" s="8">
        <v>430</v>
      </c>
      <c r="Q29" s="9"/>
      <c r="R29" s="16"/>
      <c r="S29" s="10"/>
      <c r="T29" s="10"/>
      <c r="U29" s="10"/>
      <c r="V29" s="11"/>
      <c r="W29" s="12"/>
      <c r="X29" s="17"/>
      <c r="Y29" s="13"/>
      <c r="Z29" s="13"/>
      <c r="AA29" s="13"/>
      <c r="AB29" s="14"/>
      <c r="AC29" s="9"/>
      <c r="AD29" s="16"/>
      <c r="AE29" s="10"/>
      <c r="AF29" s="10"/>
      <c r="AG29" s="10"/>
      <c r="AH29" s="11"/>
      <c r="AI29" s="12"/>
      <c r="AJ29" s="17"/>
      <c r="AK29" s="13"/>
      <c r="AL29" s="13"/>
      <c r="AM29" s="13"/>
      <c r="AN29" s="14"/>
      <c r="AO29" s="9" t="s">
        <v>70</v>
      </c>
      <c r="AP29" s="16"/>
      <c r="AQ29" s="10">
        <v>0</v>
      </c>
      <c r="AR29" s="10">
        <v>0</v>
      </c>
      <c r="AS29" s="10">
        <v>0</v>
      </c>
      <c r="AT29" s="11">
        <v>0</v>
      </c>
      <c r="AU29" s="12" t="s">
        <v>70</v>
      </c>
      <c r="AV29" s="17"/>
      <c r="AW29" s="13">
        <v>35</v>
      </c>
      <c r="AX29" s="13">
        <v>56</v>
      </c>
      <c r="AY29" s="13">
        <v>124</v>
      </c>
      <c r="AZ29" s="14">
        <v>77</v>
      </c>
      <c r="BA29" s="9" t="s">
        <v>70</v>
      </c>
      <c r="BB29" s="16"/>
      <c r="BC29" s="10">
        <v>48</v>
      </c>
      <c r="BD29" s="10">
        <v>78</v>
      </c>
      <c r="BE29" s="10">
        <v>74</v>
      </c>
      <c r="BF29" s="11">
        <v>26</v>
      </c>
      <c r="BG29" s="12" t="s">
        <v>70</v>
      </c>
      <c r="BH29" s="17"/>
      <c r="BI29" s="13">
        <v>43</v>
      </c>
      <c r="BJ29" s="13">
        <v>122</v>
      </c>
      <c r="BK29" s="13">
        <v>56</v>
      </c>
      <c r="BL29" s="14">
        <v>71</v>
      </c>
      <c r="BM29" s="8">
        <f t="shared" si="0"/>
        <v>126</v>
      </c>
      <c r="BN29" s="8">
        <f t="shared" si="1"/>
        <v>256</v>
      </c>
      <c r="BO29" s="8">
        <f t="shared" si="2"/>
        <v>254</v>
      </c>
      <c r="BP29" s="8">
        <f t="shared" si="3"/>
        <v>174</v>
      </c>
      <c r="BQ29" s="8">
        <f t="shared" si="4"/>
        <v>256</v>
      </c>
      <c r="BR29" s="8">
        <f t="shared" si="5"/>
        <v>126</v>
      </c>
      <c r="BS29" s="15">
        <f t="shared" si="6"/>
        <v>18.711691284328094</v>
      </c>
      <c r="BT29" s="15" t="str">
        <f t="shared" si="7"/>
        <v>OK - No Upgrade</v>
      </c>
      <c r="BU29" s="15" t="str">
        <f t="shared" si="8"/>
        <v>Need to Balance</v>
      </c>
    </row>
    <row r="30" spans="1:73" ht="15.75" customHeight="1" x14ac:dyDescent="0.25">
      <c r="A30" s="8" t="s">
        <v>38</v>
      </c>
      <c r="B30" s="8" t="s">
        <v>39</v>
      </c>
      <c r="C30" s="8" t="s">
        <v>93</v>
      </c>
      <c r="D30" s="8" t="s">
        <v>127</v>
      </c>
      <c r="E30" s="8" t="s">
        <v>128</v>
      </c>
      <c r="F30" s="8" t="s">
        <v>56</v>
      </c>
      <c r="G30" s="8"/>
      <c r="H30" s="8">
        <v>1000</v>
      </c>
      <c r="I30" s="8" t="s">
        <v>129</v>
      </c>
      <c r="J30" s="8">
        <v>1</v>
      </c>
      <c r="K30" s="8">
        <v>240</v>
      </c>
      <c r="L30" s="8">
        <v>239</v>
      </c>
      <c r="M30" s="8">
        <v>242</v>
      </c>
      <c r="N30" s="8">
        <v>414</v>
      </c>
      <c r="O30" s="8">
        <v>419</v>
      </c>
      <c r="P30" s="8">
        <v>416</v>
      </c>
      <c r="Q30" s="9" t="s">
        <v>47</v>
      </c>
      <c r="R30" s="16"/>
      <c r="S30" s="10">
        <v>12</v>
      </c>
      <c r="T30" s="10">
        <v>28</v>
      </c>
      <c r="U30" s="10">
        <v>16</v>
      </c>
      <c r="V30" s="11">
        <v>10</v>
      </c>
      <c r="W30" s="12" t="s">
        <v>47</v>
      </c>
      <c r="X30" s="17"/>
      <c r="Y30" s="13">
        <v>92</v>
      </c>
      <c r="Z30" s="13">
        <v>101</v>
      </c>
      <c r="AA30" s="13">
        <v>55</v>
      </c>
      <c r="AB30" s="14">
        <v>20</v>
      </c>
      <c r="AC30" s="9"/>
      <c r="AD30" s="16"/>
      <c r="AE30" s="10"/>
      <c r="AF30" s="10"/>
      <c r="AG30" s="10"/>
      <c r="AH30" s="11"/>
      <c r="AI30" s="12"/>
      <c r="AJ30" s="17"/>
      <c r="AK30" s="13"/>
      <c r="AL30" s="13"/>
      <c r="AM30" s="13"/>
      <c r="AN30" s="14"/>
      <c r="AO30" s="9"/>
      <c r="AP30" s="16"/>
      <c r="AQ30" s="10"/>
      <c r="AR30" s="10"/>
      <c r="AS30" s="10"/>
      <c r="AT30" s="11"/>
      <c r="AU30" s="12"/>
      <c r="AV30" s="17"/>
      <c r="AW30" s="13"/>
      <c r="AX30" s="13"/>
      <c r="AY30" s="13"/>
      <c r="AZ30" s="14"/>
      <c r="BA30" s="9"/>
      <c r="BB30" s="16"/>
      <c r="BC30" s="10"/>
      <c r="BD30" s="10"/>
      <c r="BE30" s="10"/>
      <c r="BF30" s="11"/>
      <c r="BG30" s="12"/>
      <c r="BH30" s="17"/>
      <c r="BI30" s="13"/>
      <c r="BJ30" s="13"/>
      <c r="BK30" s="13"/>
      <c r="BL30" s="14"/>
      <c r="BM30" s="8">
        <f t="shared" si="0"/>
        <v>104</v>
      </c>
      <c r="BN30" s="8">
        <f t="shared" si="1"/>
        <v>129</v>
      </c>
      <c r="BO30" s="8">
        <f t="shared" si="2"/>
        <v>71</v>
      </c>
      <c r="BP30" s="8">
        <f t="shared" si="3"/>
        <v>30</v>
      </c>
      <c r="BQ30" s="8">
        <f t="shared" si="4"/>
        <v>129</v>
      </c>
      <c r="BR30" s="8">
        <f t="shared" si="5"/>
        <v>71</v>
      </c>
      <c r="BS30" s="15">
        <f t="shared" si="6"/>
        <v>9.2501905429023452</v>
      </c>
      <c r="BT30" s="15" t="str">
        <f t="shared" si="7"/>
        <v>OK - No Upgrade</v>
      </c>
      <c r="BU30" s="15" t="str">
        <f t="shared" si="8"/>
        <v>Need to Balance</v>
      </c>
    </row>
    <row r="31" spans="1:73" ht="15.75" customHeight="1" x14ac:dyDescent="0.25">
      <c r="A31" s="8" t="s">
        <v>38</v>
      </c>
      <c r="B31" s="8" t="s">
        <v>39</v>
      </c>
      <c r="C31" s="8" t="s">
        <v>124</v>
      </c>
      <c r="D31" s="8"/>
      <c r="E31" s="8" t="s">
        <v>130</v>
      </c>
      <c r="F31" s="8" t="s">
        <v>56</v>
      </c>
      <c r="G31" s="8"/>
      <c r="H31" s="8">
        <v>500</v>
      </c>
      <c r="I31" s="8" t="s">
        <v>131</v>
      </c>
      <c r="J31" s="8">
        <v>1</v>
      </c>
      <c r="K31" s="8">
        <v>243</v>
      </c>
      <c r="L31" s="8">
        <v>243</v>
      </c>
      <c r="M31" s="8">
        <v>246</v>
      </c>
      <c r="N31" s="8">
        <v>420</v>
      </c>
      <c r="O31" s="8">
        <v>426</v>
      </c>
      <c r="P31" s="8">
        <v>425</v>
      </c>
      <c r="Q31" s="9" t="s">
        <v>132</v>
      </c>
      <c r="R31" s="16"/>
      <c r="S31" s="10">
        <v>0</v>
      </c>
      <c r="T31" s="10">
        <v>12</v>
      </c>
      <c r="U31" s="10">
        <v>0</v>
      </c>
      <c r="V31" s="11">
        <v>12</v>
      </c>
      <c r="W31" s="12" t="s">
        <v>132</v>
      </c>
      <c r="X31" s="17"/>
      <c r="Y31" s="13">
        <v>25</v>
      </c>
      <c r="Z31" s="13">
        <v>2</v>
      </c>
      <c r="AA31" s="13">
        <v>0</v>
      </c>
      <c r="AB31" s="14">
        <v>26</v>
      </c>
      <c r="AC31" s="9" t="s">
        <v>132</v>
      </c>
      <c r="AD31" s="16"/>
      <c r="AE31" s="10">
        <v>8</v>
      </c>
      <c r="AF31" s="10">
        <v>0</v>
      </c>
      <c r="AG31" s="10">
        <v>0</v>
      </c>
      <c r="AH31" s="11">
        <v>8</v>
      </c>
      <c r="AI31" s="12"/>
      <c r="AJ31" s="17"/>
      <c r="AK31" s="13"/>
      <c r="AL31" s="13"/>
      <c r="AM31" s="13"/>
      <c r="AN31" s="14"/>
      <c r="AO31" s="9"/>
      <c r="AP31" s="16"/>
      <c r="AQ31" s="10"/>
      <c r="AR31" s="10"/>
      <c r="AS31" s="10"/>
      <c r="AT31" s="11"/>
      <c r="AU31" s="12"/>
      <c r="AV31" s="17"/>
      <c r="AW31" s="13"/>
      <c r="AX31" s="13"/>
      <c r="AY31" s="13"/>
      <c r="AZ31" s="14"/>
      <c r="BA31" s="9"/>
      <c r="BB31" s="16"/>
      <c r="BC31" s="10"/>
      <c r="BD31" s="10"/>
      <c r="BE31" s="10"/>
      <c r="BF31" s="11"/>
      <c r="BG31" s="12"/>
      <c r="BH31" s="17"/>
      <c r="BI31" s="13"/>
      <c r="BJ31" s="13"/>
      <c r="BK31" s="13"/>
      <c r="BL31" s="14"/>
      <c r="BM31" s="8">
        <f t="shared" si="0"/>
        <v>33</v>
      </c>
      <c r="BN31" s="8">
        <f t="shared" si="1"/>
        <v>14</v>
      </c>
      <c r="BO31" s="8">
        <f t="shared" si="2"/>
        <v>0</v>
      </c>
      <c r="BP31" s="8">
        <f t="shared" si="3"/>
        <v>46</v>
      </c>
      <c r="BQ31" s="8">
        <f t="shared" si="4"/>
        <v>33</v>
      </c>
      <c r="BR31" s="8">
        <f t="shared" si="5"/>
        <v>0</v>
      </c>
      <c r="BS31" s="15">
        <f t="shared" si="6"/>
        <v>4.801244838580927</v>
      </c>
      <c r="BT31" s="15" t="str">
        <f t="shared" si="7"/>
        <v>OK - No Upgrade</v>
      </c>
      <c r="BU31" s="15" t="str">
        <f t="shared" si="8"/>
        <v>Need to Balance</v>
      </c>
    </row>
    <row r="32" spans="1:73" ht="15.75" customHeight="1" x14ac:dyDescent="0.25">
      <c r="A32" s="8" t="s">
        <v>38</v>
      </c>
      <c r="B32" s="8" t="s">
        <v>39</v>
      </c>
      <c r="C32" s="8" t="s">
        <v>93</v>
      </c>
      <c r="D32" s="8" t="s">
        <v>133</v>
      </c>
      <c r="E32" s="8" t="s">
        <v>134</v>
      </c>
      <c r="F32" s="8" t="s">
        <v>43</v>
      </c>
      <c r="G32" s="8"/>
      <c r="H32" s="8">
        <v>315</v>
      </c>
      <c r="I32" s="8" t="s">
        <v>135</v>
      </c>
      <c r="J32" s="8">
        <v>1</v>
      </c>
      <c r="K32" s="8">
        <v>237</v>
      </c>
      <c r="L32" s="8">
        <v>239</v>
      </c>
      <c r="M32" s="8">
        <v>240</v>
      </c>
      <c r="N32" s="8">
        <v>409</v>
      </c>
      <c r="O32" s="8">
        <v>414</v>
      </c>
      <c r="P32" s="8">
        <v>415</v>
      </c>
      <c r="Q32" s="9" t="s">
        <v>46</v>
      </c>
      <c r="R32" s="16"/>
      <c r="S32" s="10">
        <v>218</v>
      </c>
      <c r="T32" s="10">
        <v>103</v>
      </c>
      <c r="U32" s="10">
        <v>132</v>
      </c>
      <c r="V32" s="11">
        <v>88</v>
      </c>
      <c r="W32" s="12" t="s">
        <v>46</v>
      </c>
      <c r="X32" s="17"/>
      <c r="Y32" s="13">
        <v>97</v>
      </c>
      <c r="Z32" s="13">
        <v>98</v>
      </c>
      <c r="AA32" s="13">
        <v>147</v>
      </c>
      <c r="AB32" s="14">
        <v>30</v>
      </c>
      <c r="AC32" s="9"/>
      <c r="AD32" s="16"/>
      <c r="AE32" s="10"/>
      <c r="AF32" s="10"/>
      <c r="AG32" s="10"/>
      <c r="AH32" s="11"/>
      <c r="AI32" s="12"/>
      <c r="AJ32" s="17"/>
      <c r="AK32" s="13"/>
      <c r="AL32" s="13"/>
      <c r="AM32" s="13"/>
      <c r="AN32" s="14"/>
      <c r="AO32" s="9"/>
      <c r="AP32" s="16"/>
      <c r="AQ32" s="10"/>
      <c r="AR32" s="10"/>
      <c r="AS32" s="10"/>
      <c r="AT32" s="11"/>
      <c r="AU32" s="12"/>
      <c r="AV32" s="17"/>
      <c r="AW32" s="13"/>
      <c r="AX32" s="13"/>
      <c r="AY32" s="13"/>
      <c r="AZ32" s="14"/>
      <c r="BA32" s="9"/>
      <c r="BB32" s="16"/>
      <c r="BC32" s="10"/>
      <c r="BD32" s="10"/>
      <c r="BE32" s="10"/>
      <c r="BF32" s="11"/>
      <c r="BG32" s="12"/>
      <c r="BH32" s="17"/>
      <c r="BI32" s="13"/>
      <c r="BJ32" s="13"/>
      <c r="BK32" s="13"/>
      <c r="BL32" s="14"/>
      <c r="BM32" s="8">
        <f t="shared" si="0"/>
        <v>315</v>
      </c>
      <c r="BN32" s="8">
        <f t="shared" si="1"/>
        <v>201</v>
      </c>
      <c r="BO32" s="8">
        <f t="shared" si="2"/>
        <v>279</v>
      </c>
      <c r="BP32" s="8">
        <f t="shared" si="3"/>
        <v>118</v>
      </c>
      <c r="BQ32" s="8">
        <f t="shared" si="4"/>
        <v>315</v>
      </c>
      <c r="BR32" s="8">
        <f t="shared" si="5"/>
        <v>201</v>
      </c>
      <c r="BS32" s="15">
        <f t="shared" si="6"/>
        <v>70.840878029567094</v>
      </c>
      <c r="BT32" s="15" t="str">
        <f t="shared" si="7"/>
        <v>Upgrade</v>
      </c>
      <c r="BU32" s="15" t="str">
        <f t="shared" si="8"/>
        <v>Need to Balance</v>
      </c>
    </row>
    <row r="33" spans="1:73" ht="15.75" customHeight="1" x14ac:dyDescent="0.25">
      <c r="A33" s="8" t="s">
        <v>38</v>
      </c>
      <c r="B33" s="8" t="s">
        <v>39</v>
      </c>
      <c r="C33" s="8" t="s">
        <v>124</v>
      </c>
      <c r="D33" s="8"/>
      <c r="E33" s="8" t="s">
        <v>136</v>
      </c>
      <c r="F33" s="8" t="s">
        <v>56</v>
      </c>
      <c r="G33" s="8"/>
      <c r="H33" s="8">
        <v>1000</v>
      </c>
      <c r="I33" s="8" t="s">
        <v>137</v>
      </c>
      <c r="J33" s="8">
        <v>1</v>
      </c>
      <c r="K33" s="8">
        <v>243</v>
      </c>
      <c r="L33" s="8">
        <v>242</v>
      </c>
      <c r="M33" s="8">
        <v>245</v>
      </c>
      <c r="N33" s="8">
        <v>419</v>
      </c>
      <c r="O33" s="8">
        <v>426</v>
      </c>
      <c r="P33" s="8">
        <v>423</v>
      </c>
      <c r="Q33" s="9"/>
      <c r="R33" s="16"/>
      <c r="S33" s="10"/>
      <c r="T33" s="10"/>
      <c r="U33" s="10"/>
      <c r="V33" s="11"/>
      <c r="W33" s="12"/>
      <c r="X33" s="17"/>
      <c r="Y33" s="13"/>
      <c r="Z33" s="13"/>
      <c r="AA33" s="13"/>
      <c r="AB33" s="14"/>
      <c r="AC33" s="9" t="s">
        <v>47</v>
      </c>
      <c r="AD33" s="16"/>
      <c r="AE33" s="10">
        <v>135</v>
      </c>
      <c r="AF33" s="10">
        <v>123</v>
      </c>
      <c r="AG33" s="10">
        <v>90</v>
      </c>
      <c r="AH33" s="11">
        <v>51</v>
      </c>
      <c r="AI33" s="12"/>
      <c r="AJ33" s="17"/>
      <c r="AK33" s="13"/>
      <c r="AL33" s="13"/>
      <c r="AM33" s="13"/>
      <c r="AN33" s="14"/>
      <c r="AO33" s="9" t="s">
        <v>47</v>
      </c>
      <c r="AP33" s="16"/>
      <c r="AQ33" s="10">
        <v>62</v>
      </c>
      <c r="AR33" s="10">
        <v>88</v>
      </c>
      <c r="AS33" s="10">
        <v>83</v>
      </c>
      <c r="AT33" s="11">
        <v>19</v>
      </c>
      <c r="AU33" s="12" t="s">
        <v>47</v>
      </c>
      <c r="AV33" s="17"/>
      <c r="AW33" s="13">
        <v>120</v>
      </c>
      <c r="AX33" s="13">
        <v>134</v>
      </c>
      <c r="AY33" s="13">
        <v>146</v>
      </c>
      <c r="AZ33" s="14">
        <v>26</v>
      </c>
      <c r="BA33" s="9"/>
      <c r="BB33" s="16"/>
      <c r="BC33" s="10"/>
      <c r="BD33" s="10"/>
      <c r="BE33" s="10"/>
      <c r="BF33" s="11"/>
      <c r="BG33" s="12"/>
      <c r="BH33" s="17"/>
      <c r="BI33" s="13"/>
      <c r="BJ33" s="13"/>
      <c r="BK33" s="13"/>
      <c r="BL33" s="14"/>
      <c r="BM33" s="8">
        <f t="shared" si="0"/>
        <v>317</v>
      </c>
      <c r="BN33" s="8">
        <f t="shared" si="1"/>
        <v>345</v>
      </c>
      <c r="BO33" s="8">
        <f t="shared" si="2"/>
        <v>319</v>
      </c>
      <c r="BP33" s="8">
        <f t="shared" si="3"/>
        <v>96</v>
      </c>
      <c r="BQ33" s="8">
        <f t="shared" si="4"/>
        <v>345</v>
      </c>
      <c r="BR33" s="8">
        <f t="shared" si="5"/>
        <v>317</v>
      </c>
      <c r="BS33" s="15">
        <f t="shared" si="6"/>
        <v>25.037660448811906</v>
      </c>
      <c r="BT33" s="15" t="str">
        <f t="shared" si="7"/>
        <v>OK - No Upgrade</v>
      </c>
      <c r="BU33" s="15" t="str">
        <f t="shared" si="8"/>
        <v>OK - Balanced</v>
      </c>
    </row>
    <row r="34" spans="1:73" ht="15.75" customHeight="1" x14ac:dyDescent="0.25">
      <c r="A34" s="8" t="s">
        <v>38</v>
      </c>
      <c r="B34" s="8" t="s">
        <v>39</v>
      </c>
      <c r="C34" s="8" t="s">
        <v>93</v>
      </c>
      <c r="D34" s="8" t="s">
        <v>138</v>
      </c>
      <c r="E34" s="8" t="s">
        <v>139</v>
      </c>
      <c r="F34" s="8" t="s">
        <v>43</v>
      </c>
      <c r="G34" s="8"/>
      <c r="H34" s="8">
        <v>100</v>
      </c>
      <c r="I34" s="8" t="s">
        <v>140</v>
      </c>
      <c r="J34" s="8">
        <v>1</v>
      </c>
      <c r="K34" s="8">
        <v>237</v>
      </c>
      <c r="L34" s="8">
        <v>237</v>
      </c>
      <c r="M34" s="8">
        <v>240</v>
      </c>
      <c r="N34" s="8">
        <v>410</v>
      </c>
      <c r="O34" s="8">
        <v>413</v>
      </c>
      <c r="P34" s="8">
        <v>413</v>
      </c>
      <c r="Q34" s="9"/>
      <c r="R34" s="16"/>
      <c r="S34" s="10">
        <v>57</v>
      </c>
      <c r="T34" s="10">
        <v>58</v>
      </c>
      <c r="U34" s="10">
        <v>61</v>
      </c>
      <c r="V34" s="11">
        <v>5</v>
      </c>
      <c r="W34" s="12"/>
      <c r="X34" s="17"/>
      <c r="Y34" s="13"/>
      <c r="Z34" s="13"/>
      <c r="AA34" s="13"/>
      <c r="AB34" s="14"/>
      <c r="AC34" s="9"/>
      <c r="AD34" s="16"/>
      <c r="AE34" s="10"/>
      <c r="AF34" s="10"/>
      <c r="AG34" s="10"/>
      <c r="AH34" s="11"/>
      <c r="AI34" s="12"/>
      <c r="AJ34" s="17"/>
      <c r="AK34" s="13"/>
      <c r="AL34" s="13"/>
      <c r="AM34" s="13"/>
      <c r="AN34" s="14"/>
      <c r="AO34" s="9"/>
      <c r="AP34" s="16"/>
      <c r="AQ34" s="10"/>
      <c r="AR34" s="10"/>
      <c r="AS34" s="10"/>
      <c r="AT34" s="11"/>
      <c r="AU34" s="12"/>
      <c r="AV34" s="17"/>
      <c r="AW34" s="13"/>
      <c r="AX34" s="13"/>
      <c r="AY34" s="13"/>
      <c r="AZ34" s="14"/>
      <c r="BA34" s="9"/>
      <c r="BB34" s="16"/>
      <c r="BC34" s="10"/>
      <c r="BD34" s="10"/>
      <c r="BE34" s="10"/>
      <c r="BF34" s="11"/>
      <c r="BG34" s="12"/>
      <c r="BH34" s="17"/>
      <c r="BI34" s="13"/>
      <c r="BJ34" s="13"/>
      <c r="BK34" s="13"/>
      <c r="BL34" s="14"/>
      <c r="BM34" s="8">
        <f t="shared" si="0"/>
        <v>57</v>
      </c>
      <c r="BN34" s="8">
        <f t="shared" si="1"/>
        <v>58</v>
      </c>
      <c r="BO34" s="8">
        <f t="shared" si="2"/>
        <v>61</v>
      </c>
      <c r="BP34" s="8">
        <f t="shared" si="3"/>
        <v>5</v>
      </c>
      <c r="BQ34" s="8">
        <f t="shared" si="4"/>
        <v>61</v>
      </c>
      <c r="BR34" s="8">
        <f t="shared" si="5"/>
        <v>57</v>
      </c>
      <c r="BS34" s="15">
        <f t="shared" si="6"/>
        <v>43.318590697297616</v>
      </c>
      <c r="BT34" s="15" t="str">
        <f t="shared" si="7"/>
        <v>OK - No Upgrade</v>
      </c>
      <c r="BU34" s="15" t="str">
        <f t="shared" si="8"/>
        <v>OK - Balanced</v>
      </c>
    </row>
    <row r="35" spans="1:73" ht="15.75" customHeight="1" x14ac:dyDescent="0.25">
      <c r="A35" s="8" t="s">
        <v>38</v>
      </c>
      <c r="B35" s="8" t="s">
        <v>39</v>
      </c>
      <c r="C35" s="8" t="s">
        <v>124</v>
      </c>
      <c r="D35" s="8"/>
      <c r="E35" s="8" t="s">
        <v>141</v>
      </c>
      <c r="F35" s="8" t="s">
        <v>56</v>
      </c>
      <c r="G35" s="8"/>
      <c r="H35" s="8">
        <v>1000</v>
      </c>
      <c r="I35" s="8" t="s">
        <v>142</v>
      </c>
      <c r="J35" s="8">
        <v>1</v>
      </c>
      <c r="K35" s="8">
        <v>244</v>
      </c>
      <c r="L35" s="8">
        <v>243</v>
      </c>
      <c r="M35" s="8">
        <v>247</v>
      </c>
      <c r="N35" s="8">
        <v>420</v>
      </c>
      <c r="O35" s="8">
        <v>427</v>
      </c>
      <c r="P35" s="8">
        <v>426</v>
      </c>
      <c r="Q35" s="9" t="s">
        <v>47</v>
      </c>
      <c r="R35" s="16"/>
      <c r="S35" s="10">
        <v>68</v>
      </c>
      <c r="T35" s="10">
        <v>33</v>
      </c>
      <c r="U35" s="10">
        <v>28</v>
      </c>
      <c r="V35" s="11">
        <v>32</v>
      </c>
      <c r="W35" s="12" t="s">
        <v>47</v>
      </c>
      <c r="X35" s="17"/>
      <c r="Y35" s="13">
        <v>76</v>
      </c>
      <c r="Z35" s="13">
        <v>88</v>
      </c>
      <c r="AA35" s="13">
        <v>45</v>
      </c>
      <c r="AB35" s="14">
        <v>28</v>
      </c>
      <c r="AC35" s="9" t="s">
        <v>47</v>
      </c>
      <c r="AD35" s="16"/>
      <c r="AE35" s="10">
        <v>32</v>
      </c>
      <c r="AF35" s="10">
        <v>103</v>
      </c>
      <c r="AG35" s="10">
        <v>66</v>
      </c>
      <c r="AH35" s="11">
        <v>57</v>
      </c>
      <c r="AI35" s="12" t="s">
        <v>47</v>
      </c>
      <c r="AJ35" s="17"/>
      <c r="AK35" s="13">
        <v>52</v>
      </c>
      <c r="AL35" s="13">
        <v>11</v>
      </c>
      <c r="AM35" s="13">
        <v>3</v>
      </c>
      <c r="AN35" s="14">
        <v>38</v>
      </c>
      <c r="AO35" s="9"/>
      <c r="AP35" s="16"/>
      <c r="AQ35" s="10"/>
      <c r="AR35" s="10"/>
      <c r="AS35" s="10"/>
      <c r="AT35" s="11"/>
      <c r="AU35" s="12"/>
      <c r="AV35" s="17"/>
      <c r="AW35" s="13"/>
      <c r="AX35" s="13"/>
      <c r="AY35" s="13"/>
      <c r="AZ35" s="14"/>
      <c r="BA35" s="9"/>
      <c r="BB35" s="16"/>
      <c r="BC35" s="10"/>
      <c r="BD35" s="10"/>
      <c r="BE35" s="10"/>
      <c r="BF35" s="11"/>
      <c r="BG35" s="12"/>
      <c r="BH35" s="17"/>
      <c r="BI35" s="13"/>
      <c r="BJ35" s="13"/>
      <c r="BK35" s="13"/>
      <c r="BL35" s="14"/>
      <c r="BM35" s="8">
        <f t="shared" si="0"/>
        <v>228</v>
      </c>
      <c r="BN35" s="8">
        <f t="shared" si="1"/>
        <v>235</v>
      </c>
      <c r="BO35" s="8">
        <f t="shared" si="2"/>
        <v>142</v>
      </c>
      <c r="BP35" s="8">
        <f t="shared" si="3"/>
        <v>155</v>
      </c>
      <c r="BQ35" s="8">
        <f t="shared" si="4"/>
        <v>235</v>
      </c>
      <c r="BR35" s="8">
        <f t="shared" si="5"/>
        <v>142</v>
      </c>
      <c r="BS35" s="15">
        <f t="shared" si="6"/>
        <v>17.09534147070482</v>
      </c>
      <c r="BT35" s="15" t="str">
        <f t="shared" si="7"/>
        <v>OK - No Upgrade</v>
      </c>
      <c r="BU35" s="15" t="str">
        <f t="shared" si="8"/>
        <v>Need to Balance</v>
      </c>
    </row>
    <row r="36" spans="1:73" ht="15.75" customHeight="1" x14ac:dyDescent="0.25">
      <c r="A36" s="8" t="s">
        <v>38</v>
      </c>
      <c r="B36" s="8" t="s">
        <v>39</v>
      </c>
      <c r="C36" s="8" t="s">
        <v>93</v>
      </c>
      <c r="D36" s="8" t="s">
        <v>143</v>
      </c>
      <c r="E36" s="8" t="s">
        <v>144</v>
      </c>
      <c r="F36" s="8" t="s">
        <v>56</v>
      </c>
      <c r="G36" s="8"/>
      <c r="H36" s="8">
        <v>500</v>
      </c>
      <c r="I36" s="8" t="s">
        <v>145</v>
      </c>
      <c r="J36" s="8">
        <v>1</v>
      </c>
      <c r="K36" s="8">
        <v>240</v>
      </c>
      <c r="L36" s="8">
        <v>241</v>
      </c>
      <c r="M36" s="8">
        <v>244</v>
      </c>
      <c r="N36" s="8">
        <v>413</v>
      </c>
      <c r="O36" s="8">
        <v>422</v>
      </c>
      <c r="P36" s="8">
        <v>420</v>
      </c>
      <c r="Q36" s="9"/>
      <c r="R36" s="16"/>
      <c r="S36" s="10"/>
      <c r="T36" s="10"/>
      <c r="U36" s="10"/>
      <c r="V36" s="11"/>
      <c r="W36" s="12"/>
      <c r="X36" s="17"/>
      <c r="Y36" s="13"/>
      <c r="Z36" s="13"/>
      <c r="AA36" s="13"/>
      <c r="AB36" s="14"/>
      <c r="AC36" s="9" t="s">
        <v>70</v>
      </c>
      <c r="AD36" s="16"/>
      <c r="AE36" s="10">
        <v>95</v>
      </c>
      <c r="AF36" s="10">
        <v>60</v>
      </c>
      <c r="AG36" s="10">
        <v>106</v>
      </c>
      <c r="AH36" s="11">
        <v>50</v>
      </c>
      <c r="AI36" s="12" t="s">
        <v>47</v>
      </c>
      <c r="AJ36" s="17"/>
      <c r="AK36" s="13">
        <v>70</v>
      </c>
      <c r="AL36" s="13">
        <v>25</v>
      </c>
      <c r="AM36" s="13">
        <v>13</v>
      </c>
      <c r="AN36" s="14">
        <v>52</v>
      </c>
      <c r="AO36" s="9" t="s">
        <v>47</v>
      </c>
      <c r="AP36" s="16"/>
      <c r="AQ36" s="10">
        <v>157</v>
      </c>
      <c r="AR36" s="10">
        <v>70</v>
      </c>
      <c r="AS36" s="10">
        <v>65</v>
      </c>
      <c r="AT36" s="11">
        <v>78</v>
      </c>
      <c r="AU36" s="12"/>
      <c r="AV36" s="17"/>
      <c r="AW36" s="13"/>
      <c r="AX36" s="13"/>
      <c r="AY36" s="13"/>
      <c r="AZ36" s="14"/>
      <c r="BA36" s="9"/>
      <c r="BB36" s="16"/>
      <c r="BC36" s="10"/>
      <c r="BD36" s="10"/>
      <c r="BE36" s="10"/>
      <c r="BF36" s="11"/>
      <c r="BG36" s="12"/>
      <c r="BH36" s="17"/>
      <c r="BI36" s="13"/>
      <c r="BJ36" s="13"/>
      <c r="BK36" s="13"/>
      <c r="BL36" s="14"/>
      <c r="BM36" s="8">
        <f t="shared" ref="BM36:BM63" si="9">SUM(S36,Y36,AE36,AK36,AQ36,AW36,BC36,BI36)</f>
        <v>322</v>
      </c>
      <c r="BN36" s="8">
        <f t="shared" ref="BN36:BN63" si="10">SUM(T36,Z36,AF36,AL36,AR36,AX36,BD36,BJ36)</f>
        <v>155</v>
      </c>
      <c r="BO36" s="8">
        <f t="shared" ref="BO36:BO63" si="11">SUM(U36,AA36,AG36,AM36,AS36,AY36,BE36,BK36)</f>
        <v>184</v>
      </c>
      <c r="BP36" s="8">
        <f t="shared" ref="BP36:BP63" si="12">SUM(V36,AB36,AH36,AN36,AT36,AZ36,BF36,BL36)</f>
        <v>180</v>
      </c>
      <c r="BQ36" s="8">
        <f t="shared" ref="BQ36:BQ63" si="13">MAX(BM36:BO36)</f>
        <v>322</v>
      </c>
      <c r="BR36" s="8">
        <f t="shared" ref="BR36:BR63" si="14">MIN(BM36:BO36)</f>
        <v>155</v>
      </c>
      <c r="BS36" s="15">
        <f t="shared" ref="BS36:BS63" si="15">IF(H36&gt;0,(BQ36*SQRT(3)*IF(N36&gt;0,N36,IF(O36&gt;0,O36,IF(P36&gt;0,P36,415)))/(H36*1000))*100,0)</f>
        <v>46.067701739070941</v>
      </c>
      <c r="BT36" s="15" t="str">
        <f t="shared" ref="BT36:BT67" si="16">IF(BS36&gt;70,"Upgrade","OK - No Upgrade")</f>
        <v>OK - No Upgrade</v>
      </c>
      <c r="BU36" s="15" t="str">
        <f t="shared" ref="BU36:BU63" si="17">IF(IF(AVERAGE(BM36:BO36)&gt;0,((BQ36-AVERAGE(BM36:BO36))/AVERAGE(BM36:BO36))*100,0)&gt;10,"Need to Balance","OK - Balanced")</f>
        <v>Need to Balance</v>
      </c>
    </row>
    <row r="37" spans="1:73" ht="15.75" customHeight="1" x14ac:dyDescent="0.25">
      <c r="A37" s="8" t="s">
        <v>38</v>
      </c>
      <c r="B37" s="8" t="s">
        <v>39</v>
      </c>
      <c r="C37" s="8" t="s">
        <v>124</v>
      </c>
      <c r="D37" s="8"/>
      <c r="E37" s="8" t="s">
        <v>146</v>
      </c>
      <c r="F37" s="8" t="s">
        <v>56</v>
      </c>
      <c r="G37" s="8"/>
      <c r="H37" s="8">
        <v>1000</v>
      </c>
      <c r="I37" s="8" t="s">
        <v>147</v>
      </c>
      <c r="J37" s="8">
        <v>1</v>
      </c>
      <c r="K37" s="8">
        <v>243</v>
      </c>
      <c r="L37" s="8">
        <v>243</v>
      </c>
      <c r="M37" s="8">
        <v>246</v>
      </c>
      <c r="N37" s="8">
        <v>422</v>
      </c>
      <c r="O37" s="8">
        <v>425</v>
      </c>
      <c r="P37" s="8">
        <v>426</v>
      </c>
      <c r="Q37" s="9"/>
      <c r="R37" s="16"/>
      <c r="S37" s="10"/>
      <c r="T37" s="10"/>
      <c r="U37" s="10"/>
      <c r="V37" s="11"/>
      <c r="W37" s="12"/>
      <c r="X37" s="17"/>
      <c r="Y37" s="13"/>
      <c r="Z37" s="13"/>
      <c r="AA37" s="13"/>
      <c r="AB37" s="14"/>
      <c r="AC37" s="9" t="s">
        <v>47</v>
      </c>
      <c r="AD37" s="16"/>
      <c r="AE37" s="10">
        <v>144</v>
      </c>
      <c r="AF37" s="10">
        <v>98</v>
      </c>
      <c r="AG37" s="10">
        <v>99</v>
      </c>
      <c r="AH37" s="11">
        <v>46</v>
      </c>
      <c r="AI37" s="12" t="s">
        <v>47</v>
      </c>
      <c r="AJ37" s="17"/>
      <c r="AK37" s="13">
        <v>111</v>
      </c>
      <c r="AL37" s="13">
        <v>164</v>
      </c>
      <c r="AM37" s="13">
        <v>126</v>
      </c>
      <c r="AN37" s="14">
        <v>32</v>
      </c>
      <c r="AO37" s="9" t="s">
        <v>47</v>
      </c>
      <c r="AP37" s="16"/>
      <c r="AQ37" s="10">
        <v>60</v>
      </c>
      <c r="AR37" s="10">
        <v>84</v>
      </c>
      <c r="AS37" s="10">
        <v>90</v>
      </c>
      <c r="AT37" s="11">
        <v>37</v>
      </c>
      <c r="AU37" s="12" t="s">
        <v>47</v>
      </c>
      <c r="AV37" s="17"/>
      <c r="AW37" s="13">
        <v>54</v>
      </c>
      <c r="AX37" s="13">
        <v>69</v>
      </c>
      <c r="AY37" s="13">
        <v>53</v>
      </c>
      <c r="AZ37" s="14">
        <v>39</v>
      </c>
      <c r="BA37" s="9"/>
      <c r="BB37" s="16"/>
      <c r="BC37" s="10"/>
      <c r="BD37" s="10"/>
      <c r="BE37" s="10"/>
      <c r="BF37" s="11"/>
      <c r="BG37" s="12"/>
      <c r="BH37" s="17"/>
      <c r="BI37" s="13"/>
      <c r="BJ37" s="13"/>
      <c r="BK37" s="13"/>
      <c r="BL37" s="14"/>
      <c r="BM37" s="8">
        <f t="shared" si="9"/>
        <v>369</v>
      </c>
      <c r="BN37" s="8">
        <f t="shared" si="10"/>
        <v>415</v>
      </c>
      <c r="BO37" s="8">
        <f t="shared" si="11"/>
        <v>368</v>
      </c>
      <c r="BP37" s="8">
        <f t="shared" si="12"/>
        <v>154</v>
      </c>
      <c r="BQ37" s="8">
        <f t="shared" si="13"/>
        <v>415</v>
      </c>
      <c r="BR37" s="8">
        <f t="shared" si="14"/>
        <v>368</v>
      </c>
      <c r="BS37" s="15">
        <f t="shared" si="15"/>
        <v>30.333405792953748</v>
      </c>
      <c r="BT37" s="15" t="str">
        <f t="shared" si="16"/>
        <v>OK - No Upgrade</v>
      </c>
      <c r="BU37" s="15" t="str">
        <f t="shared" si="17"/>
        <v>OK - Balanced</v>
      </c>
    </row>
    <row r="38" spans="1:73" ht="15.75" customHeight="1" x14ac:dyDescent="0.25">
      <c r="A38" s="8" t="s">
        <v>38</v>
      </c>
      <c r="B38" s="8" t="s">
        <v>39</v>
      </c>
      <c r="C38" s="8" t="s">
        <v>93</v>
      </c>
      <c r="D38" s="8" t="s">
        <v>148</v>
      </c>
      <c r="E38" s="8" t="s">
        <v>149</v>
      </c>
      <c r="F38" s="8" t="s">
        <v>56</v>
      </c>
      <c r="G38" s="8"/>
      <c r="H38" s="8">
        <v>1000</v>
      </c>
      <c r="I38" s="8" t="s">
        <v>150</v>
      </c>
      <c r="J38" s="8">
        <v>1</v>
      </c>
      <c r="K38" s="8">
        <v>243</v>
      </c>
      <c r="L38" s="8">
        <v>242</v>
      </c>
      <c r="M38" s="8">
        <v>246</v>
      </c>
      <c r="N38" s="8">
        <v>419</v>
      </c>
      <c r="O38" s="8">
        <v>426</v>
      </c>
      <c r="P38" s="8">
        <v>424</v>
      </c>
      <c r="Q38" s="9"/>
      <c r="R38" s="16"/>
      <c r="S38" s="10"/>
      <c r="T38" s="10"/>
      <c r="U38" s="10"/>
      <c r="V38" s="11"/>
      <c r="W38" s="12"/>
      <c r="X38" s="17"/>
      <c r="Y38" s="13"/>
      <c r="Z38" s="13"/>
      <c r="AA38" s="13"/>
      <c r="AB38" s="14"/>
      <c r="AC38" s="9"/>
      <c r="AD38" s="16"/>
      <c r="AE38" s="10"/>
      <c r="AF38" s="10"/>
      <c r="AG38" s="10"/>
      <c r="AH38" s="11"/>
      <c r="AI38" s="12"/>
      <c r="AJ38" s="17"/>
      <c r="AK38" s="13"/>
      <c r="AL38" s="13"/>
      <c r="AM38" s="13"/>
      <c r="AN38" s="14"/>
      <c r="AO38" s="9"/>
      <c r="AP38" s="16"/>
      <c r="AQ38" s="10"/>
      <c r="AR38" s="10"/>
      <c r="AS38" s="10"/>
      <c r="AT38" s="11"/>
      <c r="AU38" s="12"/>
      <c r="AV38" s="17"/>
      <c r="AW38" s="13"/>
      <c r="AX38" s="13"/>
      <c r="AY38" s="13"/>
      <c r="AZ38" s="14"/>
      <c r="BA38" s="9" t="s">
        <v>47</v>
      </c>
      <c r="BB38" s="16"/>
      <c r="BC38" s="10">
        <v>0</v>
      </c>
      <c r="BD38" s="10">
        <v>18</v>
      </c>
      <c r="BE38" s="10">
        <v>17</v>
      </c>
      <c r="BF38" s="11">
        <v>15</v>
      </c>
      <c r="BG38" s="12" t="s">
        <v>47</v>
      </c>
      <c r="BH38" s="17"/>
      <c r="BI38" s="13">
        <v>120</v>
      </c>
      <c r="BJ38" s="13">
        <v>42</v>
      </c>
      <c r="BK38" s="13">
        <v>56</v>
      </c>
      <c r="BL38" s="14">
        <v>38</v>
      </c>
      <c r="BM38" s="8">
        <f t="shared" si="9"/>
        <v>120</v>
      </c>
      <c r="BN38" s="8">
        <f t="shared" si="10"/>
        <v>60</v>
      </c>
      <c r="BO38" s="8">
        <f t="shared" si="11"/>
        <v>73</v>
      </c>
      <c r="BP38" s="8">
        <f t="shared" si="12"/>
        <v>53</v>
      </c>
      <c r="BQ38" s="8">
        <f t="shared" si="13"/>
        <v>120</v>
      </c>
      <c r="BR38" s="8">
        <f t="shared" si="14"/>
        <v>60</v>
      </c>
      <c r="BS38" s="15">
        <f t="shared" si="15"/>
        <v>8.7087514604563143</v>
      </c>
      <c r="BT38" s="15" t="str">
        <f t="shared" si="16"/>
        <v>OK - No Upgrade</v>
      </c>
      <c r="BU38" s="15" t="str">
        <f t="shared" si="17"/>
        <v>Need to Balance</v>
      </c>
    </row>
    <row r="39" spans="1:73" ht="15.75" customHeight="1" x14ac:dyDescent="0.25">
      <c r="A39" s="8" t="s">
        <v>38</v>
      </c>
      <c r="B39" s="8" t="s">
        <v>39</v>
      </c>
      <c r="C39" s="8" t="s">
        <v>124</v>
      </c>
      <c r="D39" s="8"/>
      <c r="E39" s="8" t="s">
        <v>151</v>
      </c>
      <c r="F39" s="8" t="s">
        <v>56</v>
      </c>
      <c r="G39" s="8"/>
      <c r="H39" s="8">
        <v>1000</v>
      </c>
      <c r="I39" s="8" t="s">
        <v>152</v>
      </c>
      <c r="J39" s="8">
        <v>1</v>
      </c>
      <c r="K39" s="8">
        <v>240</v>
      </c>
      <c r="L39" s="8">
        <v>242</v>
      </c>
      <c r="M39" s="8">
        <v>246</v>
      </c>
      <c r="N39" s="8">
        <v>420</v>
      </c>
      <c r="O39" s="8">
        <v>425</v>
      </c>
      <c r="P39" s="8">
        <v>424</v>
      </c>
      <c r="Q39" s="9"/>
      <c r="R39" s="16"/>
      <c r="S39" s="10"/>
      <c r="T39" s="10"/>
      <c r="U39" s="10"/>
      <c r="V39" s="11"/>
      <c r="W39" s="12"/>
      <c r="X39" s="17"/>
      <c r="Y39" s="13"/>
      <c r="Z39" s="13"/>
      <c r="AA39" s="13"/>
      <c r="AB39" s="14"/>
      <c r="AC39" s="9" t="s">
        <v>47</v>
      </c>
      <c r="AD39" s="16"/>
      <c r="AE39" s="10">
        <v>51</v>
      </c>
      <c r="AF39" s="10">
        <v>40</v>
      </c>
      <c r="AG39" s="10">
        <v>81</v>
      </c>
      <c r="AH39" s="11">
        <v>33</v>
      </c>
      <c r="AI39" s="12" t="s">
        <v>46</v>
      </c>
      <c r="AJ39" s="17"/>
      <c r="AK39" s="13">
        <v>7</v>
      </c>
      <c r="AL39" s="13">
        <v>17</v>
      </c>
      <c r="AM39" s="13">
        <v>6</v>
      </c>
      <c r="AN39" s="14">
        <v>10</v>
      </c>
      <c r="AO39" s="9" t="s">
        <v>47</v>
      </c>
      <c r="AP39" s="16"/>
      <c r="AQ39" s="10">
        <v>68</v>
      </c>
      <c r="AR39" s="10">
        <v>119</v>
      </c>
      <c r="AS39" s="10">
        <v>67</v>
      </c>
      <c r="AT39" s="11">
        <v>52</v>
      </c>
      <c r="AU39" s="12"/>
      <c r="AV39" s="17"/>
      <c r="AW39" s="13"/>
      <c r="AX39" s="13"/>
      <c r="AY39" s="13"/>
      <c r="AZ39" s="14"/>
      <c r="BA39" s="9"/>
      <c r="BB39" s="16"/>
      <c r="BC39" s="10"/>
      <c r="BD39" s="10"/>
      <c r="BE39" s="10"/>
      <c r="BF39" s="11"/>
      <c r="BG39" s="12"/>
      <c r="BH39" s="17"/>
      <c r="BI39" s="13"/>
      <c r="BJ39" s="13"/>
      <c r="BK39" s="13"/>
      <c r="BL39" s="14"/>
      <c r="BM39" s="8">
        <f t="shared" si="9"/>
        <v>126</v>
      </c>
      <c r="BN39" s="8">
        <f t="shared" si="10"/>
        <v>176</v>
      </c>
      <c r="BO39" s="8">
        <f t="shared" si="11"/>
        <v>154</v>
      </c>
      <c r="BP39" s="8">
        <f t="shared" si="12"/>
        <v>95</v>
      </c>
      <c r="BQ39" s="8">
        <f t="shared" si="13"/>
        <v>176</v>
      </c>
      <c r="BR39" s="8">
        <f t="shared" si="14"/>
        <v>126</v>
      </c>
      <c r="BS39" s="15">
        <f t="shared" si="15"/>
        <v>12.80331956954914</v>
      </c>
      <c r="BT39" s="15" t="str">
        <f t="shared" si="16"/>
        <v>OK - No Upgrade</v>
      </c>
      <c r="BU39" s="15" t="str">
        <f t="shared" si="17"/>
        <v>Need to Balance</v>
      </c>
    </row>
    <row r="40" spans="1:73" ht="15.75" customHeight="1" x14ac:dyDescent="0.25">
      <c r="A40" s="8" t="s">
        <v>38</v>
      </c>
      <c r="B40" s="8" t="s">
        <v>39</v>
      </c>
      <c r="C40" s="8" t="s">
        <v>93</v>
      </c>
      <c r="D40" s="8" t="s">
        <v>153</v>
      </c>
      <c r="E40" s="8" t="s">
        <v>154</v>
      </c>
      <c r="F40" s="8" t="s">
        <v>56</v>
      </c>
      <c r="G40" s="8"/>
      <c r="H40" s="8">
        <v>1000</v>
      </c>
      <c r="I40" s="8" t="s">
        <v>155</v>
      </c>
      <c r="J40" s="8">
        <v>1</v>
      </c>
      <c r="K40" s="8">
        <v>237</v>
      </c>
      <c r="L40" s="8">
        <v>236</v>
      </c>
      <c r="M40" s="8">
        <v>239</v>
      </c>
      <c r="N40" s="8">
        <v>408</v>
      </c>
      <c r="O40" s="8">
        <v>413</v>
      </c>
      <c r="P40" s="8">
        <v>411</v>
      </c>
      <c r="Q40" s="9"/>
      <c r="R40" s="16"/>
      <c r="S40" s="10"/>
      <c r="T40" s="10"/>
      <c r="U40" s="10"/>
      <c r="V40" s="11"/>
      <c r="W40" s="12"/>
      <c r="X40" s="17"/>
      <c r="Y40" s="13"/>
      <c r="Z40" s="13"/>
      <c r="AA40" s="13"/>
      <c r="AB40" s="14"/>
      <c r="AC40" s="9"/>
      <c r="AD40" s="16"/>
      <c r="AE40" s="10"/>
      <c r="AF40" s="10"/>
      <c r="AG40" s="10"/>
      <c r="AH40" s="11"/>
      <c r="AI40" s="12"/>
      <c r="AJ40" s="17"/>
      <c r="AK40" s="13"/>
      <c r="AL40" s="13"/>
      <c r="AM40" s="13"/>
      <c r="AN40" s="14"/>
      <c r="AO40" s="9"/>
      <c r="AP40" s="16"/>
      <c r="AQ40" s="10"/>
      <c r="AR40" s="10"/>
      <c r="AS40" s="10"/>
      <c r="AT40" s="11"/>
      <c r="AU40" s="12"/>
      <c r="AV40" s="17"/>
      <c r="AW40" s="13"/>
      <c r="AX40" s="13"/>
      <c r="AY40" s="13"/>
      <c r="AZ40" s="14"/>
      <c r="BA40" s="9"/>
      <c r="BB40" s="16"/>
      <c r="BC40" s="10"/>
      <c r="BD40" s="10"/>
      <c r="BE40" s="10"/>
      <c r="BF40" s="11"/>
      <c r="BG40" s="12"/>
      <c r="BH40" s="17"/>
      <c r="BI40" s="13">
        <v>28</v>
      </c>
      <c r="BJ40" s="13">
        <v>25</v>
      </c>
      <c r="BK40" s="13">
        <v>20</v>
      </c>
      <c r="BL40" s="14">
        <v>8</v>
      </c>
      <c r="BM40" s="8">
        <f t="shared" si="9"/>
        <v>28</v>
      </c>
      <c r="BN40" s="8">
        <f t="shared" si="10"/>
        <v>25</v>
      </c>
      <c r="BO40" s="8">
        <f t="shared" si="11"/>
        <v>20</v>
      </c>
      <c r="BP40" s="8">
        <f t="shared" si="12"/>
        <v>8</v>
      </c>
      <c r="BQ40" s="8">
        <f t="shared" si="13"/>
        <v>28</v>
      </c>
      <c r="BR40" s="8">
        <f t="shared" si="14"/>
        <v>20</v>
      </c>
      <c r="BS40" s="15">
        <f t="shared" si="15"/>
        <v>1.9786948425666855</v>
      </c>
      <c r="BT40" s="15" t="str">
        <f t="shared" si="16"/>
        <v>OK - No Upgrade</v>
      </c>
      <c r="BU40" s="15" t="str">
        <f t="shared" si="17"/>
        <v>Need to Balance</v>
      </c>
    </row>
    <row r="41" spans="1:73" ht="15.75" customHeight="1" x14ac:dyDescent="0.25">
      <c r="A41" s="8" t="s">
        <v>38</v>
      </c>
      <c r="B41" s="8" t="s">
        <v>39</v>
      </c>
      <c r="C41" s="8" t="s">
        <v>124</v>
      </c>
      <c r="D41" s="8"/>
      <c r="E41" s="8" t="s">
        <v>156</v>
      </c>
      <c r="F41" s="8" t="s">
        <v>56</v>
      </c>
      <c r="G41" s="8"/>
      <c r="H41" s="8">
        <v>1000</v>
      </c>
      <c r="I41" s="8" t="s">
        <v>157</v>
      </c>
      <c r="J41" s="8">
        <v>1</v>
      </c>
      <c r="K41" s="8">
        <v>246</v>
      </c>
      <c r="L41" s="8">
        <v>243</v>
      </c>
      <c r="M41" s="8">
        <v>244</v>
      </c>
      <c r="N41" s="8">
        <v>426</v>
      </c>
      <c r="O41" s="8">
        <v>428</v>
      </c>
      <c r="P41" s="8">
        <v>421</v>
      </c>
      <c r="Q41" s="9" t="s">
        <v>47</v>
      </c>
      <c r="R41" s="16"/>
      <c r="S41" s="10">
        <v>112</v>
      </c>
      <c r="T41" s="10">
        <v>139</v>
      </c>
      <c r="U41" s="10">
        <v>120</v>
      </c>
      <c r="V41" s="11">
        <v>27</v>
      </c>
      <c r="W41" s="12" t="s">
        <v>47</v>
      </c>
      <c r="X41" s="17"/>
      <c r="Y41" s="13">
        <v>109</v>
      </c>
      <c r="Z41" s="13">
        <v>46</v>
      </c>
      <c r="AA41" s="13">
        <v>138</v>
      </c>
      <c r="AB41" s="14">
        <v>80</v>
      </c>
      <c r="AC41" s="9" t="s">
        <v>47</v>
      </c>
      <c r="AD41" s="16"/>
      <c r="AE41" s="10">
        <v>0</v>
      </c>
      <c r="AF41" s="10">
        <v>0</v>
      </c>
      <c r="AG41" s="10">
        <v>0</v>
      </c>
      <c r="AH41" s="11">
        <v>0</v>
      </c>
      <c r="AI41" s="12"/>
      <c r="AJ41" s="17"/>
      <c r="AK41" s="13"/>
      <c r="AL41" s="13"/>
      <c r="AM41" s="13"/>
      <c r="AN41" s="14"/>
      <c r="AO41" s="9" t="s">
        <v>47</v>
      </c>
      <c r="AP41" s="16"/>
      <c r="AQ41" s="10">
        <v>55</v>
      </c>
      <c r="AR41" s="10">
        <v>23</v>
      </c>
      <c r="AS41" s="10">
        <v>70</v>
      </c>
      <c r="AT41" s="11">
        <v>54</v>
      </c>
      <c r="AU41" s="12" t="s">
        <v>70</v>
      </c>
      <c r="AV41" s="17"/>
      <c r="AW41" s="13">
        <v>0</v>
      </c>
      <c r="AX41" s="13">
        <v>0</v>
      </c>
      <c r="AY41" s="13">
        <v>0</v>
      </c>
      <c r="AZ41" s="14">
        <v>0</v>
      </c>
      <c r="BA41" s="9"/>
      <c r="BB41" s="16"/>
      <c r="BC41" s="10"/>
      <c r="BD41" s="10"/>
      <c r="BE41" s="10"/>
      <c r="BF41" s="11"/>
      <c r="BG41" s="12"/>
      <c r="BH41" s="17"/>
      <c r="BI41" s="13"/>
      <c r="BJ41" s="13"/>
      <c r="BK41" s="13"/>
      <c r="BL41" s="14"/>
      <c r="BM41" s="8">
        <f t="shared" si="9"/>
        <v>276</v>
      </c>
      <c r="BN41" s="8">
        <f t="shared" si="10"/>
        <v>208</v>
      </c>
      <c r="BO41" s="8">
        <f t="shared" si="11"/>
        <v>328</v>
      </c>
      <c r="BP41" s="8">
        <f t="shared" si="12"/>
        <v>161</v>
      </c>
      <c r="BQ41" s="8">
        <f t="shared" si="13"/>
        <v>328</v>
      </c>
      <c r="BR41" s="8">
        <f t="shared" si="14"/>
        <v>208</v>
      </c>
      <c r="BS41" s="15">
        <f t="shared" si="15"/>
        <v>24.201599523998407</v>
      </c>
      <c r="BT41" s="15" t="str">
        <f t="shared" si="16"/>
        <v>OK - No Upgrade</v>
      </c>
      <c r="BU41" s="15" t="str">
        <f t="shared" si="17"/>
        <v>Need to Balance</v>
      </c>
    </row>
    <row r="42" spans="1:73" ht="15.75" customHeight="1" x14ac:dyDescent="0.25">
      <c r="A42" s="8" t="s">
        <v>38</v>
      </c>
      <c r="B42" s="8" t="s">
        <v>39</v>
      </c>
      <c r="C42" s="8" t="s">
        <v>158</v>
      </c>
      <c r="D42" s="8"/>
      <c r="E42" s="8" t="s">
        <v>159</v>
      </c>
      <c r="F42" s="8" t="s">
        <v>56</v>
      </c>
      <c r="G42" s="8"/>
      <c r="H42" s="8">
        <v>1000</v>
      </c>
      <c r="I42" s="8" t="s">
        <v>160</v>
      </c>
      <c r="J42" s="8">
        <v>1</v>
      </c>
      <c r="K42" s="8">
        <v>242</v>
      </c>
      <c r="L42" s="8">
        <v>241</v>
      </c>
      <c r="M42" s="8">
        <v>244</v>
      </c>
      <c r="N42" s="8">
        <v>418</v>
      </c>
      <c r="O42" s="8">
        <v>425</v>
      </c>
      <c r="P42" s="8">
        <v>420</v>
      </c>
      <c r="Q42" s="9" t="s">
        <v>47</v>
      </c>
      <c r="R42" s="16"/>
      <c r="S42" s="10">
        <v>66</v>
      </c>
      <c r="T42" s="10">
        <v>0</v>
      </c>
      <c r="U42" s="10">
        <v>40</v>
      </c>
      <c r="V42" s="11">
        <v>27</v>
      </c>
      <c r="W42" s="12" t="s">
        <v>47</v>
      </c>
      <c r="X42" s="17"/>
      <c r="Y42" s="13">
        <v>54</v>
      </c>
      <c r="Z42" s="13">
        <v>84</v>
      </c>
      <c r="AA42" s="13">
        <v>62</v>
      </c>
      <c r="AB42" s="14">
        <v>14</v>
      </c>
      <c r="AC42" s="9" t="s">
        <v>47</v>
      </c>
      <c r="AD42" s="16"/>
      <c r="AE42" s="10">
        <v>64</v>
      </c>
      <c r="AF42" s="10">
        <v>62</v>
      </c>
      <c r="AG42" s="10">
        <v>101</v>
      </c>
      <c r="AH42" s="11">
        <v>36</v>
      </c>
      <c r="AI42" s="12" t="s">
        <v>47</v>
      </c>
      <c r="AJ42" s="17"/>
      <c r="AK42" s="13">
        <v>78</v>
      </c>
      <c r="AL42" s="13">
        <v>58</v>
      </c>
      <c r="AM42" s="13">
        <v>42</v>
      </c>
      <c r="AN42" s="14">
        <v>32</v>
      </c>
      <c r="AO42" s="9" t="s">
        <v>47</v>
      </c>
      <c r="AP42" s="16"/>
      <c r="AQ42" s="10">
        <v>119</v>
      </c>
      <c r="AR42" s="10">
        <v>125</v>
      </c>
      <c r="AS42" s="10">
        <v>75</v>
      </c>
      <c r="AT42" s="11">
        <v>46</v>
      </c>
      <c r="AU42" s="12" t="s">
        <v>47</v>
      </c>
      <c r="AV42" s="17"/>
      <c r="AW42" s="13">
        <v>105</v>
      </c>
      <c r="AX42" s="13">
        <v>139</v>
      </c>
      <c r="AY42" s="13">
        <v>120</v>
      </c>
      <c r="AZ42" s="14">
        <v>27</v>
      </c>
      <c r="BA42" s="9"/>
      <c r="BB42" s="16"/>
      <c r="BC42" s="10"/>
      <c r="BD42" s="10"/>
      <c r="BE42" s="10"/>
      <c r="BF42" s="11"/>
      <c r="BG42" s="12"/>
      <c r="BH42" s="17"/>
      <c r="BI42" s="13"/>
      <c r="BJ42" s="13"/>
      <c r="BK42" s="13"/>
      <c r="BL42" s="14"/>
      <c r="BM42" s="8">
        <f t="shared" si="9"/>
        <v>486</v>
      </c>
      <c r="BN42" s="8">
        <f t="shared" si="10"/>
        <v>468</v>
      </c>
      <c r="BO42" s="8">
        <f t="shared" si="11"/>
        <v>440</v>
      </c>
      <c r="BP42" s="8">
        <f t="shared" si="12"/>
        <v>182</v>
      </c>
      <c r="BQ42" s="8">
        <f t="shared" si="13"/>
        <v>486</v>
      </c>
      <c r="BR42" s="8">
        <f t="shared" si="14"/>
        <v>440</v>
      </c>
      <c r="BS42" s="15">
        <f t="shared" si="15"/>
        <v>35.186265745600224</v>
      </c>
      <c r="BT42" s="15" t="str">
        <f t="shared" si="16"/>
        <v>OK - No Upgrade</v>
      </c>
      <c r="BU42" s="15" t="str">
        <f t="shared" si="17"/>
        <v>OK - Balanced</v>
      </c>
    </row>
    <row r="43" spans="1:73" ht="15.75" customHeight="1" x14ac:dyDescent="0.25">
      <c r="A43" s="8" t="s">
        <v>38</v>
      </c>
      <c r="B43" s="8" t="s">
        <v>39</v>
      </c>
      <c r="C43" s="8" t="s">
        <v>158</v>
      </c>
      <c r="D43" s="8"/>
      <c r="E43" s="8" t="s">
        <v>161</v>
      </c>
      <c r="F43" s="8" t="s">
        <v>56</v>
      </c>
      <c r="G43" s="8"/>
      <c r="H43" s="8">
        <v>500</v>
      </c>
      <c r="I43" s="8" t="s">
        <v>162</v>
      </c>
      <c r="J43" s="8">
        <v>1</v>
      </c>
      <c r="K43" s="8">
        <v>241</v>
      </c>
      <c r="L43" s="8">
        <v>241</v>
      </c>
      <c r="M43" s="8">
        <v>244</v>
      </c>
      <c r="N43" s="8">
        <v>414</v>
      </c>
      <c r="O43" s="8">
        <v>424</v>
      </c>
      <c r="P43" s="8">
        <v>420</v>
      </c>
      <c r="Q43" s="9" t="s">
        <v>47</v>
      </c>
      <c r="R43" s="16"/>
      <c r="S43" s="10">
        <v>119</v>
      </c>
      <c r="T43" s="10">
        <v>75</v>
      </c>
      <c r="U43" s="10">
        <v>57</v>
      </c>
      <c r="V43" s="11">
        <v>62</v>
      </c>
      <c r="W43" s="12" t="s">
        <v>47</v>
      </c>
      <c r="X43" s="17"/>
      <c r="Y43" s="13">
        <v>84</v>
      </c>
      <c r="Z43" s="13">
        <v>59</v>
      </c>
      <c r="AA43" s="13">
        <v>36</v>
      </c>
      <c r="AB43" s="14">
        <v>12</v>
      </c>
      <c r="AC43" s="9" t="s">
        <v>47</v>
      </c>
      <c r="AD43" s="16"/>
      <c r="AE43" s="10">
        <v>191</v>
      </c>
      <c r="AF43" s="10">
        <v>66</v>
      </c>
      <c r="AG43" s="10">
        <v>86</v>
      </c>
      <c r="AH43" s="11">
        <v>30</v>
      </c>
      <c r="AI43" s="12" t="s">
        <v>47</v>
      </c>
      <c r="AJ43" s="17"/>
      <c r="AK43" s="13">
        <v>22</v>
      </c>
      <c r="AL43" s="13">
        <v>18</v>
      </c>
      <c r="AM43" s="13">
        <v>22</v>
      </c>
      <c r="AN43" s="14">
        <v>11</v>
      </c>
      <c r="AO43" s="9"/>
      <c r="AP43" s="16"/>
      <c r="AQ43" s="10"/>
      <c r="AR43" s="10"/>
      <c r="AS43" s="10"/>
      <c r="AT43" s="11"/>
      <c r="AU43" s="12"/>
      <c r="AV43" s="17"/>
      <c r="AW43" s="13"/>
      <c r="AX43" s="13"/>
      <c r="AY43" s="13"/>
      <c r="AZ43" s="14"/>
      <c r="BA43" s="9"/>
      <c r="BB43" s="16"/>
      <c r="BC43" s="10"/>
      <c r="BD43" s="10"/>
      <c r="BE43" s="10"/>
      <c r="BF43" s="11"/>
      <c r="BG43" s="12"/>
      <c r="BH43" s="17"/>
      <c r="BI43" s="13"/>
      <c r="BJ43" s="13"/>
      <c r="BK43" s="13"/>
      <c r="BL43" s="14"/>
      <c r="BM43" s="8">
        <f t="shared" si="9"/>
        <v>416</v>
      </c>
      <c r="BN43" s="8">
        <f t="shared" si="10"/>
        <v>218</v>
      </c>
      <c r="BO43" s="8">
        <f t="shared" si="11"/>
        <v>201</v>
      </c>
      <c r="BP43" s="8">
        <f t="shared" si="12"/>
        <v>115</v>
      </c>
      <c r="BQ43" s="8">
        <f t="shared" si="13"/>
        <v>416</v>
      </c>
      <c r="BR43" s="8">
        <f t="shared" si="14"/>
        <v>201</v>
      </c>
      <c r="BS43" s="15">
        <f t="shared" si="15"/>
        <v>59.660143656548456</v>
      </c>
      <c r="BT43" s="15" t="str">
        <f t="shared" si="16"/>
        <v>OK - No Upgrade</v>
      </c>
      <c r="BU43" s="15" t="str">
        <f t="shared" si="17"/>
        <v>Need to Balance</v>
      </c>
    </row>
    <row r="44" spans="1:73" ht="15.75" customHeight="1" x14ac:dyDescent="0.25">
      <c r="A44" s="8" t="s">
        <v>38</v>
      </c>
      <c r="B44" s="8" t="s">
        <v>39</v>
      </c>
      <c r="C44" s="8" t="s">
        <v>158</v>
      </c>
      <c r="D44" s="8"/>
      <c r="E44" s="8" t="s">
        <v>163</v>
      </c>
      <c r="F44" s="8" t="s">
        <v>56</v>
      </c>
      <c r="G44" s="8"/>
      <c r="H44" s="8">
        <v>1000</v>
      </c>
      <c r="I44" s="8" t="s">
        <v>164</v>
      </c>
      <c r="J44" s="8">
        <v>1</v>
      </c>
      <c r="K44" s="8">
        <v>239</v>
      </c>
      <c r="L44" s="8">
        <v>241</v>
      </c>
      <c r="M44" s="8">
        <v>242</v>
      </c>
      <c r="N44" s="8">
        <v>415</v>
      </c>
      <c r="O44" s="8">
        <v>417</v>
      </c>
      <c r="P44" s="8">
        <v>422</v>
      </c>
      <c r="Q44" s="9"/>
      <c r="R44" s="16"/>
      <c r="S44" s="10"/>
      <c r="T44" s="10"/>
      <c r="U44" s="10"/>
      <c r="V44" s="11"/>
      <c r="W44" s="12" t="s">
        <v>46</v>
      </c>
      <c r="X44" s="17"/>
      <c r="Y44" s="13">
        <v>60</v>
      </c>
      <c r="Z44" s="13">
        <v>84</v>
      </c>
      <c r="AA44" s="13">
        <v>102</v>
      </c>
      <c r="AB44" s="14">
        <v>34</v>
      </c>
      <c r="AC44" s="9" t="s">
        <v>46</v>
      </c>
      <c r="AD44" s="16"/>
      <c r="AE44" s="10">
        <v>135</v>
      </c>
      <c r="AF44" s="10">
        <v>147</v>
      </c>
      <c r="AG44" s="10">
        <v>54</v>
      </c>
      <c r="AH44" s="11">
        <v>81</v>
      </c>
      <c r="AI44" s="12" t="s">
        <v>46</v>
      </c>
      <c r="AJ44" s="17"/>
      <c r="AK44" s="13">
        <v>82</v>
      </c>
      <c r="AL44" s="13">
        <v>58</v>
      </c>
      <c r="AM44" s="13">
        <v>36</v>
      </c>
      <c r="AN44" s="14">
        <v>34</v>
      </c>
      <c r="AO44" s="9" t="s">
        <v>47</v>
      </c>
      <c r="AP44" s="16"/>
      <c r="AQ44" s="10">
        <v>116</v>
      </c>
      <c r="AR44" s="10">
        <v>183</v>
      </c>
      <c r="AS44" s="10">
        <v>142</v>
      </c>
      <c r="AT44" s="11">
        <v>43</v>
      </c>
      <c r="AU44" s="12" t="s">
        <v>47</v>
      </c>
      <c r="AV44" s="17"/>
      <c r="AW44" s="13">
        <v>124</v>
      </c>
      <c r="AX44" s="13">
        <v>140</v>
      </c>
      <c r="AY44" s="13">
        <v>105</v>
      </c>
      <c r="AZ44" s="14">
        <v>60</v>
      </c>
      <c r="BA44" s="9" t="s">
        <v>47</v>
      </c>
      <c r="BB44" s="16"/>
      <c r="BC44" s="10">
        <v>106</v>
      </c>
      <c r="BD44" s="10">
        <v>89</v>
      </c>
      <c r="BE44" s="10">
        <v>99</v>
      </c>
      <c r="BF44" s="11">
        <v>18</v>
      </c>
      <c r="BG44" s="12"/>
      <c r="BH44" s="17"/>
      <c r="BI44" s="13"/>
      <c r="BJ44" s="13"/>
      <c r="BK44" s="13"/>
      <c r="BL44" s="14"/>
      <c r="BM44" s="8">
        <f t="shared" si="9"/>
        <v>623</v>
      </c>
      <c r="BN44" s="8">
        <f t="shared" si="10"/>
        <v>701</v>
      </c>
      <c r="BO44" s="8">
        <f t="shared" si="11"/>
        <v>538</v>
      </c>
      <c r="BP44" s="8">
        <f t="shared" si="12"/>
        <v>270</v>
      </c>
      <c r="BQ44" s="8">
        <f t="shared" si="13"/>
        <v>701</v>
      </c>
      <c r="BR44" s="8">
        <f t="shared" si="14"/>
        <v>538</v>
      </c>
      <c r="BS44" s="15">
        <f t="shared" si="15"/>
        <v>50.387956068389983</v>
      </c>
      <c r="BT44" s="15" t="str">
        <f t="shared" si="16"/>
        <v>OK - No Upgrade</v>
      </c>
      <c r="BU44" s="15" t="str">
        <f t="shared" si="17"/>
        <v>Need to Balance</v>
      </c>
    </row>
    <row r="45" spans="1:73" ht="15.75" customHeight="1" x14ac:dyDescent="0.25">
      <c r="A45" s="8" t="s">
        <v>38</v>
      </c>
      <c r="B45" s="8" t="s">
        <v>39</v>
      </c>
      <c r="C45" s="8" t="s">
        <v>158</v>
      </c>
      <c r="D45" s="8"/>
      <c r="E45" s="8" t="s">
        <v>165</v>
      </c>
      <c r="F45" s="8" t="s">
        <v>56</v>
      </c>
      <c r="G45" s="8"/>
      <c r="H45" s="8">
        <v>1000</v>
      </c>
      <c r="I45" s="8" t="s">
        <v>166</v>
      </c>
      <c r="J45" s="8">
        <v>1</v>
      </c>
      <c r="K45" s="8">
        <v>234</v>
      </c>
      <c r="L45" s="8">
        <v>233</v>
      </c>
      <c r="M45" s="8">
        <v>230</v>
      </c>
      <c r="N45" s="8">
        <v>403</v>
      </c>
      <c r="O45" s="8">
        <v>409</v>
      </c>
      <c r="P45" s="8">
        <v>407</v>
      </c>
      <c r="Q45" s="9"/>
      <c r="R45" s="16"/>
      <c r="S45" s="10"/>
      <c r="T45" s="10"/>
      <c r="U45" s="10"/>
      <c r="V45" s="11"/>
      <c r="W45" s="12"/>
      <c r="X45" s="17"/>
      <c r="Y45" s="13"/>
      <c r="Z45" s="13"/>
      <c r="AA45" s="13"/>
      <c r="AB45" s="14"/>
      <c r="AC45" s="9"/>
      <c r="AD45" s="16"/>
      <c r="AE45" s="10"/>
      <c r="AF45" s="10"/>
      <c r="AG45" s="10"/>
      <c r="AH45" s="11"/>
      <c r="AI45" s="12" t="s">
        <v>47</v>
      </c>
      <c r="AJ45" s="17"/>
      <c r="AK45" s="13">
        <v>34</v>
      </c>
      <c r="AL45" s="13">
        <v>55</v>
      </c>
      <c r="AM45" s="13">
        <v>46</v>
      </c>
      <c r="AN45" s="14">
        <v>17</v>
      </c>
      <c r="AO45" s="9" t="s">
        <v>47</v>
      </c>
      <c r="AP45" s="16"/>
      <c r="AQ45" s="10">
        <v>117</v>
      </c>
      <c r="AR45" s="10">
        <v>104</v>
      </c>
      <c r="AS45" s="10">
        <v>97</v>
      </c>
      <c r="AT45" s="11">
        <v>19</v>
      </c>
      <c r="AU45" s="12" t="s">
        <v>47</v>
      </c>
      <c r="AV45" s="17"/>
      <c r="AW45" s="13">
        <v>81</v>
      </c>
      <c r="AX45" s="13">
        <v>131</v>
      </c>
      <c r="AY45" s="13">
        <v>116</v>
      </c>
      <c r="AZ45" s="14">
        <v>15</v>
      </c>
      <c r="BA45" s="9" t="s">
        <v>47</v>
      </c>
      <c r="BB45" s="16"/>
      <c r="BC45" s="10">
        <v>131</v>
      </c>
      <c r="BD45" s="10">
        <v>94</v>
      </c>
      <c r="BE45" s="10">
        <v>114</v>
      </c>
      <c r="BF45" s="11">
        <v>42</v>
      </c>
      <c r="BG45" s="12" t="s">
        <v>47</v>
      </c>
      <c r="BH45" s="17"/>
      <c r="BI45" s="13">
        <v>243</v>
      </c>
      <c r="BJ45" s="13">
        <v>92</v>
      </c>
      <c r="BK45" s="13">
        <v>150</v>
      </c>
      <c r="BL45" s="14">
        <v>148</v>
      </c>
      <c r="BM45" s="8">
        <f t="shared" si="9"/>
        <v>606</v>
      </c>
      <c r="BN45" s="8">
        <f t="shared" si="10"/>
        <v>476</v>
      </c>
      <c r="BO45" s="8">
        <f t="shared" si="11"/>
        <v>523</v>
      </c>
      <c r="BP45" s="8">
        <f t="shared" si="12"/>
        <v>241</v>
      </c>
      <c r="BQ45" s="8">
        <f t="shared" si="13"/>
        <v>606</v>
      </c>
      <c r="BR45" s="8">
        <f t="shared" si="14"/>
        <v>476</v>
      </c>
      <c r="BS45" s="15">
        <f t="shared" si="15"/>
        <v>42.299798412285611</v>
      </c>
      <c r="BT45" s="15" t="str">
        <f t="shared" si="16"/>
        <v>OK - No Upgrade</v>
      </c>
      <c r="BU45" s="15" t="str">
        <f t="shared" si="17"/>
        <v>Need to Balance</v>
      </c>
    </row>
    <row r="46" spans="1:73" ht="15.75" customHeight="1" x14ac:dyDescent="0.25">
      <c r="A46" s="8" t="s">
        <v>38</v>
      </c>
      <c r="B46" s="8" t="s">
        <v>39</v>
      </c>
      <c r="C46" s="8" t="s">
        <v>158</v>
      </c>
      <c r="D46" s="8"/>
      <c r="E46" s="8" t="s">
        <v>167</v>
      </c>
      <c r="F46" s="8" t="s">
        <v>56</v>
      </c>
      <c r="G46" s="8"/>
      <c r="H46" s="8">
        <v>1000</v>
      </c>
      <c r="I46" s="8" t="s">
        <v>168</v>
      </c>
      <c r="J46" s="8">
        <v>1</v>
      </c>
      <c r="K46" s="8">
        <v>243</v>
      </c>
      <c r="L46" s="8">
        <v>242</v>
      </c>
      <c r="M46" s="8">
        <v>245</v>
      </c>
      <c r="N46" s="8">
        <v>420</v>
      </c>
      <c r="O46" s="8">
        <v>425</v>
      </c>
      <c r="P46" s="8">
        <v>424</v>
      </c>
      <c r="Q46" s="9" t="s">
        <v>47</v>
      </c>
      <c r="R46" s="16"/>
      <c r="S46" s="10">
        <v>22</v>
      </c>
      <c r="T46" s="10">
        <v>5</v>
      </c>
      <c r="U46" s="10">
        <v>11</v>
      </c>
      <c r="V46" s="11">
        <v>13</v>
      </c>
      <c r="W46" s="12"/>
      <c r="X46" s="17"/>
      <c r="Y46" s="13"/>
      <c r="Z46" s="13"/>
      <c r="AA46" s="13"/>
      <c r="AB46" s="14"/>
      <c r="AC46" s="9"/>
      <c r="AD46" s="16"/>
      <c r="AE46" s="10"/>
      <c r="AF46" s="10"/>
      <c r="AG46" s="10"/>
      <c r="AH46" s="11"/>
      <c r="AI46" s="12"/>
      <c r="AJ46" s="17"/>
      <c r="AK46" s="13"/>
      <c r="AL46" s="13"/>
      <c r="AM46" s="13"/>
      <c r="AN46" s="14"/>
      <c r="AO46" s="9"/>
      <c r="AP46" s="16"/>
      <c r="AQ46" s="10"/>
      <c r="AR46" s="10"/>
      <c r="AS46" s="10"/>
      <c r="AT46" s="11"/>
      <c r="AU46" s="12"/>
      <c r="AV46" s="17"/>
      <c r="AW46" s="13"/>
      <c r="AX46" s="13"/>
      <c r="AY46" s="13"/>
      <c r="AZ46" s="14"/>
      <c r="BA46" s="9"/>
      <c r="BB46" s="16"/>
      <c r="BC46" s="10"/>
      <c r="BD46" s="10"/>
      <c r="BE46" s="10"/>
      <c r="BF46" s="11"/>
      <c r="BG46" s="12"/>
      <c r="BH46" s="17"/>
      <c r="BI46" s="13"/>
      <c r="BJ46" s="13"/>
      <c r="BK46" s="13"/>
      <c r="BL46" s="14"/>
      <c r="BM46" s="8">
        <f t="shared" si="9"/>
        <v>22</v>
      </c>
      <c r="BN46" s="8">
        <f t="shared" si="10"/>
        <v>5</v>
      </c>
      <c r="BO46" s="8">
        <f t="shared" si="11"/>
        <v>11</v>
      </c>
      <c r="BP46" s="8">
        <f t="shared" si="12"/>
        <v>13</v>
      </c>
      <c r="BQ46" s="8">
        <f t="shared" si="13"/>
        <v>22</v>
      </c>
      <c r="BR46" s="8">
        <f t="shared" si="14"/>
        <v>5</v>
      </c>
      <c r="BS46" s="15">
        <f t="shared" si="15"/>
        <v>1.6004149461936426</v>
      </c>
      <c r="BT46" s="15" t="str">
        <f t="shared" si="16"/>
        <v>OK - No Upgrade</v>
      </c>
      <c r="BU46" s="15" t="str">
        <f t="shared" si="17"/>
        <v>Need to Balance</v>
      </c>
    </row>
    <row r="47" spans="1:73" ht="15.75" customHeight="1" x14ac:dyDescent="0.25">
      <c r="A47" s="8" t="s">
        <v>38</v>
      </c>
      <c r="B47" s="8" t="s">
        <v>39</v>
      </c>
      <c r="C47" s="8" t="s">
        <v>158</v>
      </c>
      <c r="D47" s="8"/>
      <c r="E47" s="8" t="s">
        <v>169</v>
      </c>
      <c r="F47" s="8" t="s">
        <v>56</v>
      </c>
      <c r="G47" s="8"/>
      <c r="H47" s="8">
        <v>1000</v>
      </c>
      <c r="I47" s="8" t="s">
        <v>170</v>
      </c>
      <c r="J47" s="8">
        <v>1</v>
      </c>
      <c r="K47" s="8">
        <v>243</v>
      </c>
      <c r="L47" s="8">
        <v>242</v>
      </c>
      <c r="M47" s="8">
        <v>245</v>
      </c>
      <c r="N47" s="8">
        <v>419</v>
      </c>
      <c r="O47" s="8">
        <v>425</v>
      </c>
      <c r="P47" s="8">
        <v>423</v>
      </c>
      <c r="Q47" s="9"/>
      <c r="R47" s="16"/>
      <c r="S47" s="10"/>
      <c r="T47" s="10"/>
      <c r="U47" s="10"/>
      <c r="V47" s="11"/>
      <c r="W47" s="12"/>
      <c r="X47" s="17"/>
      <c r="Y47" s="13"/>
      <c r="Z47" s="13"/>
      <c r="AA47" s="13"/>
      <c r="AB47" s="14"/>
      <c r="AC47" s="9"/>
      <c r="AD47" s="16"/>
      <c r="AE47" s="10"/>
      <c r="AF47" s="10"/>
      <c r="AG47" s="10"/>
      <c r="AH47" s="11"/>
      <c r="AI47" s="12"/>
      <c r="AJ47" s="17"/>
      <c r="AK47" s="13"/>
      <c r="AL47" s="13"/>
      <c r="AM47" s="13"/>
      <c r="AN47" s="14"/>
      <c r="AO47" s="9" t="s">
        <v>47</v>
      </c>
      <c r="AP47" s="16"/>
      <c r="AQ47" s="10">
        <v>118</v>
      </c>
      <c r="AR47" s="10">
        <v>128</v>
      </c>
      <c r="AS47" s="10">
        <v>81</v>
      </c>
      <c r="AT47" s="11">
        <v>45</v>
      </c>
      <c r="AU47" s="12" t="s">
        <v>47</v>
      </c>
      <c r="AV47" s="17"/>
      <c r="AW47" s="13">
        <v>18</v>
      </c>
      <c r="AX47" s="13">
        <v>69</v>
      </c>
      <c r="AY47" s="13">
        <v>22</v>
      </c>
      <c r="AZ47" s="14">
        <v>31</v>
      </c>
      <c r="BA47" s="9" t="s">
        <v>46</v>
      </c>
      <c r="BB47" s="16"/>
      <c r="BC47" s="10">
        <v>65</v>
      </c>
      <c r="BD47" s="10">
        <v>59</v>
      </c>
      <c r="BE47" s="10">
        <v>53</v>
      </c>
      <c r="BF47" s="11">
        <v>9</v>
      </c>
      <c r="BG47" s="12" t="s">
        <v>46</v>
      </c>
      <c r="BH47" s="17"/>
      <c r="BI47" s="13">
        <v>56</v>
      </c>
      <c r="BJ47" s="13">
        <v>37</v>
      </c>
      <c r="BK47" s="13">
        <v>44</v>
      </c>
      <c r="BL47" s="14">
        <v>15</v>
      </c>
      <c r="BM47" s="8">
        <f t="shared" si="9"/>
        <v>257</v>
      </c>
      <c r="BN47" s="8">
        <f t="shared" si="10"/>
        <v>293</v>
      </c>
      <c r="BO47" s="8">
        <f t="shared" si="11"/>
        <v>200</v>
      </c>
      <c r="BP47" s="8">
        <f t="shared" si="12"/>
        <v>100</v>
      </c>
      <c r="BQ47" s="8">
        <f t="shared" si="13"/>
        <v>293</v>
      </c>
      <c r="BR47" s="8">
        <f t="shared" si="14"/>
        <v>200</v>
      </c>
      <c r="BS47" s="15">
        <f t="shared" si="15"/>
        <v>21.263868149280839</v>
      </c>
      <c r="BT47" s="15" t="str">
        <f t="shared" si="16"/>
        <v>OK - No Upgrade</v>
      </c>
      <c r="BU47" s="15" t="str">
        <f t="shared" si="17"/>
        <v>Need to Balance</v>
      </c>
    </row>
    <row r="48" spans="1:73" ht="15.75" customHeight="1" x14ac:dyDescent="0.25">
      <c r="A48" s="8" t="s">
        <v>38</v>
      </c>
      <c r="B48" s="8" t="s">
        <v>39</v>
      </c>
      <c r="C48" s="8" t="s">
        <v>158</v>
      </c>
      <c r="D48" s="8"/>
      <c r="E48" s="8" t="s">
        <v>171</v>
      </c>
      <c r="F48" s="8" t="s">
        <v>56</v>
      </c>
      <c r="G48" s="8"/>
      <c r="H48" s="8">
        <v>1000</v>
      </c>
      <c r="I48" s="8" t="s">
        <v>172</v>
      </c>
      <c r="J48" s="8">
        <v>1</v>
      </c>
      <c r="K48" s="8">
        <v>242</v>
      </c>
      <c r="L48" s="8">
        <v>242</v>
      </c>
      <c r="M48" s="8">
        <v>246</v>
      </c>
      <c r="N48" s="8">
        <v>420</v>
      </c>
      <c r="O48" s="8">
        <v>426</v>
      </c>
      <c r="P48" s="8">
        <v>424</v>
      </c>
      <c r="Q48" s="9"/>
      <c r="R48" s="16"/>
      <c r="S48" s="10"/>
      <c r="T48" s="10"/>
      <c r="U48" s="10"/>
      <c r="V48" s="11"/>
      <c r="W48" s="12"/>
      <c r="X48" s="17"/>
      <c r="Y48" s="13"/>
      <c r="Z48" s="13"/>
      <c r="AA48" s="13"/>
      <c r="AB48" s="14"/>
      <c r="AC48" s="9" t="s">
        <v>47</v>
      </c>
      <c r="AD48" s="16"/>
      <c r="AE48" s="10">
        <v>6</v>
      </c>
      <c r="AF48" s="10">
        <v>19</v>
      </c>
      <c r="AG48" s="10">
        <v>38</v>
      </c>
      <c r="AH48" s="11">
        <v>29</v>
      </c>
      <c r="AI48" s="12" t="s">
        <v>47</v>
      </c>
      <c r="AJ48" s="17"/>
      <c r="AK48" s="13">
        <v>79</v>
      </c>
      <c r="AL48" s="13">
        <v>74</v>
      </c>
      <c r="AM48" s="13">
        <v>51</v>
      </c>
      <c r="AN48" s="14">
        <v>17</v>
      </c>
      <c r="AO48" s="9"/>
      <c r="AP48" s="16"/>
      <c r="AQ48" s="10"/>
      <c r="AR48" s="10"/>
      <c r="AS48" s="10"/>
      <c r="AT48" s="11"/>
      <c r="AU48" s="12"/>
      <c r="AV48" s="17"/>
      <c r="AW48" s="13"/>
      <c r="AX48" s="13"/>
      <c r="AY48" s="13"/>
      <c r="AZ48" s="14"/>
      <c r="BA48" s="9"/>
      <c r="BB48" s="16"/>
      <c r="BC48" s="10"/>
      <c r="BD48" s="10"/>
      <c r="BE48" s="10"/>
      <c r="BF48" s="11"/>
      <c r="BG48" s="12" t="s">
        <v>47</v>
      </c>
      <c r="BH48" s="17"/>
      <c r="BI48" s="13">
        <v>66</v>
      </c>
      <c r="BJ48" s="13">
        <v>42</v>
      </c>
      <c r="BK48" s="13">
        <v>56</v>
      </c>
      <c r="BL48" s="14">
        <v>22</v>
      </c>
      <c r="BM48" s="8">
        <f t="shared" si="9"/>
        <v>151</v>
      </c>
      <c r="BN48" s="8">
        <f t="shared" si="10"/>
        <v>135</v>
      </c>
      <c r="BO48" s="8">
        <f t="shared" si="11"/>
        <v>145</v>
      </c>
      <c r="BP48" s="8">
        <f t="shared" si="12"/>
        <v>68</v>
      </c>
      <c r="BQ48" s="8">
        <f t="shared" si="13"/>
        <v>151</v>
      </c>
      <c r="BR48" s="8">
        <f t="shared" si="14"/>
        <v>135</v>
      </c>
      <c r="BS48" s="15">
        <f t="shared" si="15"/>
        <v>10.984666221601818</v>
      </c>
      <c r="BT48" s="15" t="str">
        <f t="shared" si="16"/>
        <v>OK - No Upgrade</v>
      </c>
      <c r="BU48" s="15" t="str">
        <f t="shared" si="17"/>
        <v>OK - Balanced</v>
      </c>
    </row>
    <row r="49" spans="1:73" ht="15.75" customHeight="1" x14ac:dyDescent="0.25">
      <c r="A49" s="8" t="s">
        <v>38</v>
      </c>
      <c r="B49" s="8" t="s">
        <v>39</v>
      </c>
      <c r="C49" s="8" t="s">
        <v>158</v>
      </c>
      <c r="D49" s="8"/>
      <c r="E49" s="8" t="s">
        <v>173</v>
      </c>
      <c r="F49" s="8" t="s">
        <v>56</v>
      </c>
      <c r="G49" s="8"/>
      <c r="H49" s="8">
        <v>500</v>
      </c>
      <c r="I49" s="8" t="s">
        <v>174</v>
      </c>
      <c r="J49" s="8">
        <v>1</v>
      </c>
      <c r="K49" s="8">
        <v>244</v>
      </c>
      <c r="L49" s="8">
        <v>243</v>
      </c>
      <c r="M49" s="8">
        <v>247</v>
      </c>
      <c r="N49" s="8">
        <v>421</v>
      </c>
      <c r="O49" s="8">
        <v>428</v>
      </c>
      <c r="P49" s="8">
        <v>425</v>
      </c>
      <c r="Q49" s="9" t="s">
        <v>47</v>
      </c>
      <c r="R49" s="16"/>
      <c r="S49" s="10">
        <v>34</v>
      </c>
      <c r="T49" s="10">
        <v>24</v>
      </c>
      <c r="U49" s="10">
        <v>30</v>
      </c>
      <c r="V49" s="11">
        <v>5</v>
      </c>
      <c r="W49" s="12" t="s">
        <v>47</v>
      </c>
      <c r="X49" s="17"/>
      <c r="Y49" s="13">
        <v>2</v>
      </c>
      <c r="Z49" s="13">
        <v>0</v>
      </c>
      <c r="AA49" s="13">
        <v>0</v>
      </c>
      <c r="AB49" s="14">
        <v>2</v>
      </c>
      <c r="AC49" s="9"/>
      <c r="AD49" s="16"/>
      <c r="AE49" s="10"/>
      <c r="AF49" s="10"/>
      <c r="AG49" s="10"/>
      <c r="AH49" s="11"/>
      <c r="AI49" s="12"/>
      <c r="AJ49" s="17"/>
      <c r="AK49" s="13"/>
      <c r="AL49" s="13"/>
      <c r="AM49" s="13"/>
      <c r="AN49" s="14"/>
      <c r="AO49" s="9"/>
      <c r="AP49" s="16"/>
      <c r="AQ49" s="10"/>
      <c r="AR49" s="10"/>
      <c r="AS49" s="10"/>
      <c r="AT49" s="11"/>
      <c r="AU49" s="12"/>
      <c r="AV49" s="17"/>
      <c r="AW49" s="13"/>
      <c r="AX49" s="13"/>
      <c r="AY49" s="13"/>
      <c r="AZ49" s="14"/>
      <c r="BA49" s="9"/>
      <c r="BB49" s="16"/>
      <c r="BC49" s="10"/>
      <c r="BD49" s="10"/>
      <c r="BE49" s="10"/>
      <c r="BF49" s="11"/>
      <c r="BG49" s="12"/>
      <c r="BH49" s="17"/>
      <c r="BI49" s="13"/>
      <c r="BJ49" s="13"/>
      <c r="BK49" s="13"/>
      <c r="BL49" s="14"/>
      <c r="BM49" s="8">
        <f t="shared" si="9"/>
        <v>36</v>
      </c>
      <c r="BN49" s="8">
        <f t="shared" si="10"/>
        <v>24</v>
      </c>
      <c r="BO49" s="8">
        <f t="shared" si="11"/>
        <v>30</v>
      </c>
      <c r="BP49" s="8">
        <f t="shared" si="12"/>
        <v>7</v>
      </c>
      <c r="BQ49" s="8">
        <f t="shared" si="13"/>
        <v>36</v>
      </c>
      <c r="BR49" s="8">
        <f t="shared" si="14"/>
        <v>24</v>
      </c>
      <c r="BS49" s="15">
        <f t="shared" si="15"/>
        <v>5.2501924079027802</v>
      </c>
      <c r="BT49" s="15" t="str">
        <f t="shared" si="16"/>
        <v>OK - No Upgrade</v>
      </c>
      <c r="BU49" s="15" t="str">
        <f t="shared" si="17"/>
        <v>Need to Balance</v>
      </c>
    </row>
    <row r="50" spans="1:73" ht="15.75" customHeight="1" x14ac:dyDescent="0.25">
      <c r="A50" s="8" t="s">
        <v>38</v>
      </c>
      <c r="B50" s="8" t="s">
        <v>39</v>
      </c>
      <c r="C50" s="8" t="s">
        <v>158</v>
      </c>
      <c r="D50" s="8"/>
      <c r="E50" s="8" t="s">
        <v>175</v>
      </c>
      <c r="F50" s="8" t="s">
        <v>43</v>
      </c>
      <c r="G50" s="8"/>
      <c r="H50" s="8">
        <v>315</v>
      </c>
      <c r="I50" s="8" t="s">
        <v>176</v>
      </c>
      <c r="J50" s="8">
        <v>1</v>
      </c>
      <c r="K50" s="8">
        <v>257</v>
      </c>
      <c r="L50" s="8">
        <v>254</v>
      </c>
      <c r="M50" s="8">
        <v>260</v>
      </c>
      <c r="N50" s="8">
        <v>442</v>
      </c>
      <c r="O50" s="8">
        <v>451</v>
      </c>
      <c r="P50" s="8">
        <v>447</v>
      </c>
      <c r="Q50" s="9" t="s">
        <v>47</v>
      </c>
      <c r="R50" s="16"/>
      <c r="S50" s="10">
        <v>0</v>
      </c>
      <c r="T50" s="10">
        <v>0</v>
      </c>
      <c r="U50" s="10">
        <v>0</v>
      </c>
      <c r="V50" s="11">
        <v>0</v>
      </c>
      <c r="W50" s="12" t="s">
        <v>47</v>
      </c>
      <c r="X50" s="17"/>
      <c r="Y50" s="13">
        <v>2</v>
      </c>
      <c r="Z50" s="13">
        <v>13</v>
      </c>
      <c r="AA50" s="13">
        <v>0</v>
      </c>
      <c r="AB50" s="14">
        <v>10</v>
      </c>
      <c r="AC50" s="9"/>
      <c r="AD50" s="16"/>
      <c r="AE50" s="10"/>
      <c r="AF50" s="10"/>
      <c r="AG50" s="10"/>
      <c r="AH50" s="11"/>
      <c r="AI50" s="12"/>
      <c r="AJ50" s="17"/>
      <c r="AK50" s="13"/>
      <c r="AL50" s="13"/>
      <c r="AM50" s="13"/>
      <c r="AN50" s="14"/>
      <c r="AO50" s="9"/>
      <c r="AP50" s="16"/>
      <c r="AQ50" s="10"/>
      <c r="AR50" s="10"/>
      <c r="AS50" s="10"/>
      <c r="AT50" s="11"/>
      <c r="AU50" s="12"/>
      <c r="AV50" s="17"/>
      <c r="AW50" s="13"/>
      <c r="AX50" s="13"/>
      <c r="AY50" s="13"/>
      <c r="AZ50" s="14"/>
      <c r="BA50" s="9"/>
      <c r="BB50" s="16"/>
      <c r="BC50" s="10"/>
      <c r="BD50" s="10"/>
      <c r="BE50" s="10"/>
      <c r="BF50" s="11"/>
      <c r="BG50" s="12"/>
      <c r="BH50" s="17"/>
      <c r="BI50" s="13"/>
      <c r="BJ50" s="13"/>
      <c r="BK50" s="13"/>
      <c r="BL50" s="14"/>
      <c r="BM50" s="8">
        <f t="shared" si="9"/>
        <v>2</v>
      </c>
      <c r="BN50" s="8">
        <f t="shared" si="10"/>
        <v>13</v>
      </c>
      <c r="BO50" s="8">
        <f t="shared" si="11"/>
        <v>0</v>
      </c>
      <c r="BP50" s="8">
        <f t="shared" si="12"/>
        <v>10</v>
      </c>
      <c r="BQ50" s="8">
        <f t="shared" si="13"/>
        <v>13</v>
      </c>
      <c r="BR50" s="8">
        <f t="shared" si="14"/>
        <v>0</v>
      </c>
      <c r="BS50" s="15">
        <f t="shared" si="15"/>
        <v>3.159480615965323</v>
      </c>
      <c r="BT50" s="15" t="str">
        <f t="shared" si="16"/>
        <v>OK - No Upgrade</v>
      </c>
      <c r="BU50" s="15" t="str">
        <f t="shared" si="17"/>
        <v>Need to Balance</v>
      </c>
    </row>
    <row r="51" spans="1:73" ht="15.75" customHeight="1" x14ac:dyDescent="0.25">
      <c r="A51" s="8" t="s">
        <v>38</v>
      </c>
      <c r="B51" s="8" t="s">
        <v>39</v>
      </c>
      <c r="C51" s="8" t="s">
        <v>158</v>
      </c>
      <c r="D51" s="8"/>
      <c r="E51" s="8" t="s">
        <v>177</v>
      </c>
      <c r="F51" s="8" t="s">
        <v>56</v>
      </c>
      <c r="G51" s="8"/>
      <c r="H51" s="8">
        <v>1000</v>
      </c>
      <c r="I51" s="8" t="s">
        <v>178</v>
      </c>
      <c r="J51" s="8">
        <v>1</v>
      </c>
      <c r="K51" s="8">
        <v>243</v>
      </c>
      <c r="L51" s="8">
        <v>242</v>
      </c>
      <c r="M51" s="8">
        <v>245</v>
      </c>
      <c r="N51" s="8">
        <v>418</v>
      </c>
      <c r="O51" s="8">
        <v>426</v>
      </c>
      <c r="P51" s="8">
        <v>423</v>
      </c>
      <c r="Q51" s="9" t="s">
        <v>47</v>
      </c>
      <c r="R51" s="16"/>
      <c r="S51" s="10">
        <v>26</v>
      </c>
      <c r="T51" s="10">
        <v>2</v>
      </c>
      <c r="U51" s="10">
        <v>0</v>
      </c>
      <c r="V51" s="11">
        <v>24</v>
      </c>
      <c r="W51" s="12" t="s">
        <v>47</v>
      </c>
      <c r="X51" s="17"/>
      <c r="Y51" s="13">
        <v>5</v>
      </c>
      <c r="Z51" s="13">
        <v>13</v>
      </c>
      <c r="AA51" s="13">
        <v>0</v>
      </c>
      <c r="AB51" s="14">
        <v>11</v>
      </c>
      <c r="AC51" s="9" t="s">
        <v>47</v>
      </c>
      <c r="AD51" s="16"/>
      <c r="AE51" s="10">
        <v>7</v>
      </c>
      <c r="AF51" s="10">
        <v>0</v>
      </c>
      <c r="AG51" s="10">
        <v>9</v>
      </c>
      <c r="AH51" s="11">
        <v>8</v>
      </c>
      <c r="AI51" s="12" t="s">
        <v>47</v>
      </c>
      <c r="AJ51" s="17"/>
      <c r="AK51" s="13">
        <v>11</v>
      </c>
      <c r="AL51" s="13">
        <v>10</v>
      </c>
      <c r="AM51" s="13">
        <v>10</v>
      </c>
      <c r="AN51" s="14">
        <v>3</v>
      </c>
      <c r="AO51" s="9"/>
      <c r="AP51" s="16"/>
      <c r="AQ51" s="10"/>
      <c r="AR51" s="10"/>
      <c r="AS51" s="10"/>
      <c r="AT51" s="11"/>
      <c r="AU51" s="12"/>
      <c r="AV51" s="17"/>
      <c r="AW51" s="13"/>
      <c r="AX51" s="13"/>
      <c r="AY51" s="13"/>
      <c r="AZ51" s="14"/>
      <c r="BA51" s="9"/>
      <c r="BB51" s="16"/>
      <c r="BC51" s="10"/>
      <c r="BD51" s="10"/>
      <c r="BE51" s="10"/>
      <c r="BF51" s="11"/>
      <c r="BG51" s="12"/>
      <c r="BH51" s="17"/>
      <c r="BI51" s="13"/>
      <c r="BJ51" s="13"/>
      <c r="BK51" s="13"/>
      <c r="BL51" s="14"/>
      <c r="BM51" s="8">
        <f t="shared" si="9"/>
        <v>49</v>
      </c>
      <c r="BN51" s="8">
        <f t="shared" si="10"/>
        <v>25</v>
      </c>
      <c r="BO51" s="8">
        <f t="shared" si="11"/>
        <v>19</v>
      </c>
      <c r="BP51" s="8">
        <f t="shared" si="12"/>
        <v>46</v>
      </c>
      <c r="BQ51" s="8">
        <f t="shared" si="13"/>
        <v>49</v>
      </c>
      <c r="BR51" s="8">
        <f t="shared" si="14"/>
        <v>19</v>
      </c>
      <c r="BS51" s="15">
        <f t="shared" si="15"/>
        <v>3.5475864640625741</v>
      </c>
      <c r="BT51" s="15" t="str">
        <f t="shared" si="16"/>
        <v>OK - No Upgrade</v>
      </c>
      <c r="BU51" s="15" t="str">
        <f t="shared" si="17"/>
        <v>Need to Balance</v>
      </c>
    </row>
    <row r="52" spans="1:73" ht="15.75" customHeight="1" x14ac:dyDescent="0.25">
      <c r="A52" s="8" t="s">
        <v>38</v>
      </c>
      <c r="B52" s="8" t="s">
        <v>39</v>
      </c>
      <c r="C52" s="8" t="s">
        <v>158</v>
      </c>
      <c r="D52" s="8"/>
      <c r="E52" s="8" t="s">
        <v>179</v>
      </c>
      <c r="F52" s="8" t="s">
        <v>56</v>
      </c>
      <c r="G52" s="8"/>
      <c r="H52" s="8">
        <v>1000</v>
      </c>
      <c r="I52" s="8" t="s">
        <v>180</v>
      </c>
      <c r="J52" s="8">
        <v>1</v>
      </c>
      <c r="K52" s="8">
        <v>246</v>
      </c>
      <c r="L52" s="8">
        <v>248</v>
      </c>
      <c r="M52" s="8">
        <v>250</v>
      </c>
      <c r="N52" s="8">
        <v>429</v>
      </c>
      <c r="O52" s="8">
        <v>431</v>
      </c>
      <c r="P52" s="8">
        <v>435</v>
      </c>
      <c r="Q52" s="9" t="s">
        <v>70</v>
      </c>
      <c r="R52" s="16"/>
      <c r="S52" s="10">
        <v>21</v>
      </c>
      <c r="T52" s="10">
        <v>17</v>
      </c>
      <c r="U52" s="10">
        <v>11</v>
      </c>
      <c r="V52" s="11">
        <v>8</v>
      </c>
      <c r="W52" s="12" t="s">
        <v>70</v>
      </c>
      <c r="X52" s="17"/>
      <c r="Y52" s="13">
        <v>109</v>
      </c>
      <c r="Z52" s="13">
        <v>83</v>
      </c>
      <c r="AA52" s="13">
        <v>62</v>
      </c>
      <c r="AB52" s="14">
        <v>37</v>
      </c>
      <c r="AC52" s="9" t="s">
        <v>70</v>
      </c>
      <c r="AD52" s="16"/>
      <c r="AE52" s="10">
        <v>79</v>
      </c>
      <c r="AF52" s="10">
        <v>46</v>
      </c>
      <c r="AG52" s="10">
        <v>44</v>
      </c>
      <c r="AH52" s="11">
        <v>21</v>
      </c>
      <c r="AI52" s="12" t="s">
        <v>70</v>
      </c>
      <c r="AJ52" s="17"/>
      <c r="AK52" s="13">
        <v>141</v>
      </c>
      <c r="AL52" s="13">
        <v>70</v>
      </c>
      <c r="AM52" s="13">
        <v>98</v>
      </c>
      <c r="AN52" s="14">
        <v>60</v>
      </c>
      <c r="AO52" s="9"/>
      <c r="AP52" s="16"/>
      <c r="AQ52" s="10"/>
      <c r="AR52" s="10"/>
      <c r="AS52" s="10"/>
      <c r="AT52" s="11"/>
      <c r="AU52" s="12"/>
      <c r="AV52" s="17"/>
      <c r="AW52" s="13"/>
      <c r="AX52" s="13"/>
      <c r="AY52" s="13"/>
      <c r="AZ52" s="14"/>
      <c r="BA52" s="9"/>
      <c r="BB52" s="16"/>
      <c r="BC52" s="10"/>
      <c r="BD52" s="10"/>
      <c r="BE52" s="10"/>
      <c r="BF52" s="11"/>
      <c r="BG52" s="12"/>
      <c r="BH52" s="17"/>
      <c r="BI52" s="13"/>
      <c r="BJ52" s="13"/>
      <c r="BK52" s="13"/>
      <c r="BL52" s="14"/>
      <c r="BM52" s="8">
        <f t="shared" si="9"/>
        <v>350</v>
      </c>
      <c r="BN52" s="8">
        <f t="shared" si="10"/>
        <v>216</v>
      </c>
      <c r="BO52" s="8">
        <f t="shared" si="11"/>
        <v>215</v>
      </c>
      <c r="BP52" s="8">
        <f t="shared" si="12"/>
        <v>126</v>
      </c>
      <c r="BQ52" s="8">
        <f t="shared" si="13"/>
        <v>350</v>
      </c>
      <c r="BR52" s="8">
        <f t="shared" si="14"/>
        <v>215</v>
      </c>
      <c r="BS52" s="15">
        <f t="shared" si="15"/>
        <v>26.006742875646687</v>
      </c>
      <c r="BT52" s="15" t="str">
        <f t="shared" si="16"/>
        <v>OK - No Upgrade</v>
      </c>
      <c r="BU52" s="15" t="str">
        <f t="shared" si="17"/>
        <v>Need to Balance</v>
      </c>
    </row>
    <row r="53" spans="1:73" ht="15.75" customHeight="1" x14ac:dyDescent="0.25">
      <c r="A53" s="8" t="s">
        <v>38</v>
      </c>
      <c r="B53" s="8" t="s">
        <v>39</v>
      </c>
      <c r="C53" s="8" t="s">
        <v>158</v>
      </c>
      <c r="D53" s="8"/>
      <c r="E53" s="8" t="s">
        <v>181</v>
      </c>
      <c r="F53" s="8" t="s">
        <v>56</v>
      </c>
      <c r="G53" s="8"/>
      <c r="H53" s="8">
        <v>1000</v>
      </c>
      <c r="I53" s="8" t="s">
        <v>182</v>
      </c>
      <c r="J53" s="8">
        <v>1</v>
      </c>
      <c r="K53" s="8">
        <v>242</v>
      </c>
      <c r="L53" s="8">
        <v>242</v>
      </c>
      <c r="M53" s="8">
        <v>247</v>
      </c>
      <c r="N53" s="8">
        <v>423</v>
      </c>
      <c r="O53" s="8">
        <v>428</v>
      </c>
      <c r="P53" s="8">
        <v>427</v>
      </c>
      <c r="Q53" s="9" t="s">
        <v>47</v>
      </c>
      <c r="R53" s="16"/>
      <c r="S53" s="10">
        <v>44</v>
      </c>
      <c r="T53" s="10">
        <v>20</v>
      </c>
      <c r="U53" s="10">
        <v>27</v>
      </c>
      <c r="V53" s="11">
        <v>16</v>
      </c>
      <c r="W53" s="12" t="s">
        <v>47</v>
      </c>
      <c r="X53" s="17"/>
      <c r="Y53" s="13">
        <v>15</v>
      </c>
      <c r="Z53" s="13">
        <v>12</v>
      </c>
      <c r="AA53" s="13">
        <v>0</v>
      </c>
      <c r="AB53" s="14">
        <v>14</v>
      </c>
      <c r="AC53" s="9" t="s">
        <v>47</v>
      </c>
      <c r="AD53" s="16"/>
      <c r="AE53" s="10">
        <v>1</v>
      </c>
      <c r="AF53" s="10">
        <v>1</v>
      </c>
      <c r="AG53" s="10">
        <v>11</v>
      </c>
      <c r="AH53" s="11">
        <v>8</v>
      </c>
      <c r="AI53" s="12"/>
      <c r="AJ53" s="17"/>
      <c r="AK53" s="13"/>
      <c r="AL53" s="13"/>
      <c r="AM53" s="13"/>
      <c r="AN53" s="14"/>
      <c r="AO53" s="9"/>
      <c r="AP53" s="16"/>
      <c r="AQ53" s="10"/>
      <c r="AR53" s="10"/>
      <c r="AS53" s="10"/>
      <c r="AT53" s="11"/>
      <c r="AU53" s="12"/>
      <c r="AV53" s="17"/>
      <c r="AW53" s="13"/>
      <c r="AX53" s="13"/>
      <c r="AY53" s="13"/>
      <c r="AZ53" s="14"/>
      <c r="BA53" s="9"/>
      <c r="BB53" s="16"/>
      <c r="BC53" s="10"/>
      <c r="BD53" s="10"/>
      <c r="BE53" s="10"/>
      <c r="BF53" s="11"/>
      <c r="BG53" s="12"/>
      <c r="BH53" s="17"/>
      <c r="BI53" s="13"/>
      <c r="BJ53" s="13"/>
      <c r="BK53" s="13"/>
      <c r="BL53" s="14"/>
      <c r="BM53" s="8">
        <f t="shared" si="9"/>
        <v>60</v>
      </c>
      <c r="BN53" s="8">
        <f t="shared" si="10"/>
        <v>33</v>
      </c>
      <c r="BO53" s="8">
        <f t="shared" si="11"/>
        <v>38</v>
      </c>
      <c r="BP53" s="8">
        <f t="shared" si="12"/>
        <v>38</v>
      </c>
      <c r="BQ53" s="8">
        <f t="shared" si="13"/>
        <v>60</v>
      </c>
      <c r="BR53" s="8">
        <f t="shared" si="14"/>
        <v>33</v>
      </c>
      <c r="BS53" s="15">
        <f t="shared" si="15"/>
        <v>4.3959449496098104</v>
      </c>
      <c r="BT53" s="15" t="str">
        <f t="shared" si="16"/>
        <v>OK - No Upgrade</v>
      </c>
      <c r="BU53" s="15" t="str">
        <f t="shared" si="17"/>
        <v>Need to Balance</v>
      </c>
    </row>
    <row r="54" spans="1:73" ht="15.75" customHeight="1" x14ac:dyDescent="0.25">
      <c r="A54" s="8" t="s">
        <v>38</v>
      </c>
      <c r="B54" s="8" t="s">
        <v>39</v>
      </c>
      <c r="C54" s="8" t="s">
        <v>158</v>
      </c>
      <c r="D54" s="8"/>
      <c r="E54" s="8" t="s">
        <v>183</v>
      </c>
      <c r="F54" s="8" t="s">
        <v>56</v>
      </c>
      <c r="G54" s="8"/>
      <c r="H54" s="8">
        <v>1000</v>
      </c>
      <c r="I54" s="8" t="s">
        <v>184</v>
      </c>
      <c r="J54" s="8">
        <v>1</v>
      </c>
      <c r="K54" s="8">
        <v>243</v>
      </c>
      <c r="L54" s="8">
        <v>242</v>
      </c>
      <c r="M54" s="8">
        <v>246</v>
      </c>
      <c r="N54" s="8">
        <v>419</v>
      </c>
      <c r="O54" s="8">
        <v>425</v>
      </c>
      <c r="P54" s="8">
        <v>424</v>
      </c>
      <c r="Q54" s="9"/>
      <c r="R54" s="16"/>
      <c r="S54" s="10"/>
      <c r="T54" s="10"/>
      <c r="U54" s="10"/>
      <c r="V54" s="11"/>
      <c r="W54" s="12"/>
      <c r="X54" s="17"/>
      <c r="Y54" s="13"/>
      <c r="Z54" s="13"/>
      <c r="AA54" s="13"/>
      <c r="AB54" s="14"/>
      <c r="AC54" s="9" t="s">
        <v>70</v>
      </c>
      <c r="AD54" s="16"/>
      <c r="AE54" s="10">
        <v>3</v>
      </c>
      <c r="AF54" s="10">
        <v>3</v>
      </c>
      <c r="AG54" s="10">
        <v>0</v>
      </c>
      <c r="AH54" s="11">
        <v>3</v>
      </c>
      <c r="AI54" s="12" t="s">
        <v>47</v>
      </c>
      <c r="AJ54" s="17"/>
      <c r="AK54" s="13">
        <v>11</v>
      </c>
      <c r="AL54" s="13">
        <v>2</v>
      </c>
      <c r="AM54" s="13">
        <v>13</v>
      </c>
      <c r="AN54" s="14">
        <v>10</v>
      </c>
      <c r="AO54" s="9" t="s">
        <v>47</v>
      </c>
      <c r="AP54" s="16"/>
      <c r="AQ54" s="10">
        <v>0</v>
      </c>
      <c r="AR54" s="10">
        <v>0</v>
      </c>
      <c r="AS54" s="10">
        <v>0</v>
      </c>
      <c r="AT54" s="11">
        <v>0</v>
      </c>
      <c r="AU54" s="12" t="s">
        <v>47</v>
      </c>
      <c r="AV54" s="17"/>
      <c r="AW54" s="13">
        <v>2</v>
      </c>
      <c r="AX54" s="13">
        <v>0</v>
      </c>
      <c r="AY54" s="13">
        <v>1</v>
      </c>
      <c r="AZ54" s="14">
        <v>3</v>
      </c>
      <c r="BA54" s="9" t="s">
        <v>47</v>
      </c>
      <c r="BB54" s="16"/>
      <c r="BC54" s="10">
        <v>28</v>
      </c>
      <c r="BD54" s="10">
        <v>15</v>
      </c>
      <c r="BE54" s="10">
        <v>0</v>
      </c>
      <c r="BF54" s="11">
        <v>18</v>
      </c>
      <c r="BG54" s="12" t="s">
        <v>47</v>
      </c>
      <c r="BH54" s="17"/>
      <c r="BI54" s="13">
        <v>1</v>
      </c>
      <c r="BJ54" s="13">
        <v>11</v>
      </c>
      <c r="BK54" s="13">
        <v>0</v>
      </c>
      <c r="BL54" s="14">
        <v>5</v>
      </c>
      <c r="BM54" s="8">
        <f t="shared" si="9"/>
        <v>45</v>
      </c>
      <c r="BN54" s="8">
        <f t="shared" si="10"/>
        <v>31</v>
      </c>
      <c r="BO54" s="8">
        <f t="shared" si="11"/>
        <v>14</v>
      </c>
      <c r="BP54" s="8">
        <f t="shared" si="12"/>
        <v>39</v>
      </c>
      <c r="BQ54" s="8">
        <f t="shared" si="13"/>
        <v>45</v>
      </c>
      <c r="BR54" s="8">
        <f t="shared" si="14"/>
        <v>14</v>
      </c>
      <c r="BS54" s="15">
        <f t="shared" si="15"/>
        <v>3.2657817976711181</v>
      </c>
      <c r="BT54" s="15" t="str">
        <f t="shared" si="16"/>
        <v>OK - No Upgrade</v>
      </c>
      <c r="BU54" s="15" t="str">
        <f t="shared" si="17"/>
        <v>Need to Balance</v>
      </c>
    </row>
    <row r="55" spans="1:73" ht="15.75" customHeight="1" x14ac:dyDescent="0.25">
      <c r="A55" s="8" t="s">
        <v>38</v>
      </c>
      <c r="B55" s="8" t="s">
        <v>39</v>
      </c>
      <c r="C55" s="8" t="s">
        <v>158</v>
      </c>
      <c r="D55" s="8"/>
      <c r="E55" s="8" t="s">
        <v>185</v>
      </c>
      <c r="F55" s="8" t="s">
        <v>56</v>
      </c>
      <c r="G55" s="8"/>
      <c r="H55" s="8">
        <v>1000</v>
      </c>
      <c r="I55" s="8" t="s">
        <v>186</v>
      </c>
      <c r="J55" s="8">
        <v>1</v>
      </c>
      <c r="K55" s="8">
        <v>244</v>
      </c>
      <c r="L55" s="8">
        <v>242</v>
      </c>
      <c r="M55" s="8">
        <v>246</v>
      </c>
      <c r="N55" s="8">
        <v>421</v>
      </c>
      <c r="O55" s="8">
        <v>425</v>
      </c>
      <c r="P55" s="8">
        <v>423</v>
      </c>
      <c r="Q55" s="9" t="s">
        <v>47</v>
      </c>
      <c r="R55" s="16"/>
      <c r="S55" s="10">
        <v>48</v>
      </c>
      <c r="T55" s="10">
        <v>43</v>
      </c>
      <c r="U55" s="10">
        <v>32</v>
      </c>
      <c r="V55" s="11">
        <v>11</v>
      </c>
      <c r="W55" s="12"/>
      <c r="X55" s="17"/>
      <c r="Y55" s="13"/>
      <c r="Z55" s="13"/>
      <c r="AA55" s="13"/>
      <c r="AB55" s="14"/>
      <c r="AC55" s="9"/>
      <c r="AD55" s="16"/>
      <c r="AE55" s="10"/>
      <c r="AF55" s="10"/>
      <c r="AG55" s="10"/>
      <c r="AH55" s="11"/>
      <c r="AI55" s="12"/>
      <c r="AJ55" s="17"/>
      <c r="AK55" s="13"/>
      <c r="AL55" s="13"/>
      <c r="AM55" s="13"/>
      <c r="AN55" s="14"/>
      <c r="AO55" s="9"/>
      <c r="AP55" s="16"/>
      <c r="AQ55" s="10"/>
      <c r="AR55" s="10"/>
      <c r="AS55" s="10"/>
      <c r="AT55" s="11"/>
      <c r="AU55" s="12"/>
      <c r="AV55" s="17"/>
      <c r="AW55" s="13"/>
      <c r="AX55" s="13"/>
      <c r="AY55" s="13"/>
      <c r="AZ55" s="14"/>
      <c r="BA55" s="9"/>
      <c r="BB55" s="16"/>
      <c r="BC55" s="10"/>
      <c r="BD55" s="10"/>
      <c r="BE55" s="10"/>
      <c r="BF55" s="11"/>
      <c r="BG55" s="12"/>
      <c r="BH55" s="17"/>
      <c r="BI55" s="13"/>
      <c r="BJ55" s="13"/>
      <c r="BK55" s="13"/>
      <c r="BL55" s="14"/>
      <c r="BM55" s="8">
        <f t="shared" si="9"/>
        <v>48</v>
      </c>
      <c r="BN55" s="8">
        <f t="shared" si="10"/>
        <v>43</v>
      </c>
      <c r="BO55" s="8">
        <f t="shared" si="11"/>
        <v>32</v>
      </c>
      <c r="BP55" s="8">
        <f t="shared" si="12"/>
        <v>11</v>
      </c>
      <c r="BQ55" s="8">
        <f t="shared" si="13"/>
        <v>48</v>
      </c>
      <c r="BR55" s="8">
        <f t="shared" si="14"/>
        <v>32</v>
      </c>
      <c r="BS55" s="15">
        <f t="shared" si="15"/>
        <v>3.5001282719351878</v>
      </c>
      <c r="BT55" s="15" t="str">
        <f t="shared" si="16"/>
        <v>OK - No Upgrade</v>
      </c>
      <c r="BU55" s="15" t="str">
        <f t="shared" si="17"/>
        <v>Need to Balance</v>
      </c>
    </row>
    <row r="56" spans="1:73" ht="15.75" customHeight="1" x14ac:dyDescent="0.25">
      <c r="A56" s="8" t="s">
        <v>38</v>
      </c>
      <c r="B56" s="8" t="s">
        <v>39</v>
      </c>
      <c r="C56" s="8" t="s">
        <v>158</v>
      </c>
      <c r="D56" s="8"/>
      <c r="E56" s="8" t="s">
        <v>187</v>
      </c>
      <c r="F56" s="8" t="s">
        <v>43</v>
      </c>
      <c r="G56" s="8"/>
      <c r="H56" s="8">
        <v>315</v>
      </c>
      <c r="I56" s="8" t="s">
        <v>188</v>
      </c>
      <c r="J56" s="8">
        <v>1</v>
      </c>
      <c r="K56" s="8">
        <v>240</v>
      </c>
      <c r="L56" s="8">
        <v>242</v>
      </c>
      <c r="M56" s="8">
        <v>245</v>
      </c>
      <c r="N56" s="8">
        <v>421</v>
      </c>
      <c r="O56" s="8">
        <v>425</v>
      </c>
      <c r="P56" s="8">
        <v>422</v>
      </c>
      <c r="Q56" s="9" t="s">
        <v>47</v>
      </c>
      <c r="R56" s="16"/>
      <c r="S56" s="10">
        <v>12</v>
      </c>
      <c r="T56" s="10">
        <v>50</v>
      </c>
      <c r="U56" s="10">
        <v>36</v>
      </c>
      <c r="V56" s="11">
        <v>12</v>
      </c>
      <c r="W56" s="12" t="s">
        <v>47</v>
      </c>
      <c r="X56" s="17"/>
      <c r="Y56" s="13">
        <v>30</v>
      </c>
      <c r="Z56" s="13">
        <v>11</v>
      </c>
      <c r="AA56" s="13">
        <v>26</v>
      </c>
      <c r="AB56" s="14">
        <v>23</v>
      </c>
      <c r="AC56" s="9" t="s">
        <v>47</v>
      </c>
      <c r="AD56" s="16"/>
      <c r="AE56" s="10">
        <v>5</v>
      </c>
      <c r="AF56" s="10">
        <v>8</v>
      </c>
      <c r="AG56" s="10">
        <v>13</v>
      </c>
      <c r="AH56" s="11">
        <v>3</v>
      </c>
      <c r="AI56" s="12"/>
      <c r="AJ56" s="17"/>
      <c r="AK56" s="13"/>
      <c r="AL56" s="13"/>
      <c r="AM56" s="13"/>
      <c r="AN56" s="14"/>
      <c r="AO56" s="9"/>
      <c r="AP56" s="16"/>
      <c r="AQ56" s="10"/>
      <c r="AR56" s="10"/>
      <c r="AS56" s="10"/>
      <c r="AT56" s="11"/>
      <c r="AU56" s="12"/>
      <c r="AV56" s="17"/>
      <c r="AW56" s="13"/>
      <c r="AX56" s="13"/>
      <c r="AY56" s="13"/>
      <c r="AZ56" s="14"/>
      <c r="BA56" s="9"/>
      <c r="BB56" s="16"/>
      <c r="BC56" s="10"/>
      <c r="BD56" s="10"/>
      <c r="BE56" s="10"/>
      <c r="BF56" s="11"/>
      <c r="BG56" s="12"/>
      <c r="BH56" s="17"/>
      <c r="BI56" s="13"/>
      <c r="BJ56" s="13"/>
      <c r="BK56" s="13"/>
      <c r="BL56" s="14"/>
      <c r="BM56" s="8">
        <f t="shared" si="9"/>
        <v>47</v>
      </c>
      <c r="BN56" s="8">
        <f t="shared" si="10"/>
        <v>69</v>
      </c>
      <c r="BO56" s="8">
        <f t="shared" si="11"/>
        <v>75</v>
      </c>
      <c r="BP56" s="8">
        <f t="shared" si="12"/>
        <v>38</v>
      </c>
      <c r="BQ56" s="8">
        <f t="shared" si="13"/>
        <v>75</v>
      </c>
      <c r="BR56" s="8">
        <f t="shared" si="14"/>
        <v>47</v>
      </c>
      <c r="BS56" s="15">
        <f t="shared" si="15"/>
        <v>17.361747380630892</v>
      </c>
      <c r="BT56" s="15" t="str">
        <f t="shared" si="16"/>
        <v>OK - No Upgrade</v>
      </c>
      <c r="BU56" s="15" t="str">
        <f t="shared" si="17"/>
        <v>Need to Balance</v>
      </c>
    </row>
    <row r="57" spans="1:73" ht="15.75" customHeight="1" x14ac:dyDescent="0.25">
      <c r="A57" s="8" t="s">
        <v>38</v>
      </c>
      <c r="B57" s="8" t="s">
        <v>39</v>
      </c>
      <c r="C57" s="8" t="s">
        <v>158</v>
      </c>
      <c r="D57" s="8"/>
      <c r="E57" s="8" t="s">
        <v>189</v>
      </c>
      <c r="F57" s="8" t="s">
        <v>56</v>
      </c>
      <c r="G57" s="8"/>
      <c r="H57" s="8">
        <v>1000</v>
      </c>
      <c r="I57" s="8" t="s">
        <v>190</v>
      </c>
      <c r="J57" s="8">
        <v>1</v>
      </c>
      <c r="K57" s="8">
        <v>243</v>
      </c>
      <c r="L57" s="8">
        <v>242</v>
      </c>
      <c r="M57" s="8">
        <v>245</v>
      </c>
      <c r="N57" s="8">
        <v>418</v>
      </c>
      <c r="O57" s="8">
        <v>424</v>
      </c>
      <c r="P57" s="8">
        <v>423</v>
      </c>
      <c r="Q57" s="9" t="s">
        <v>47</v>
      </c>
      <c r="R57" s="16"/>
      <c r="S57" s="10">
        <v>23</v>
      </c>
      <c r="T57" s="10">
        <v>42</v>
      </c>
      <c r="U57" s="10">
        <v>38</v>
      </c>
      <c r="V57" s="11">
        <v>12</v>
      </c>
      <c r="W57" s="12" t="s">
        <v>47</v>
      </c>
      <c r="X57" s="17"/>
      <c r="Y57" s="13">
        <v>71</v>
      </c>
      <c r="Z57" s="13">
        <v>31</v>
      </c>
      <c r="AA57" s="13">
        <v>46</v>
      </c>
      <c r="AB57" s="14">
        <v>43</v>
      </c>
      <c r="AC57" s="9"/>
      <c r="AD57" s="16"/>
      <c r="AE57" s="10"/>
      <c r="AF57" s="10"/>
      <c r="AG57" s="10"/>
      <c r="AH57" s="11"/>
      <c r="AI57" s="12"/>
      <c r="AJ57" s="17"/>
      <c r="AK57" s="13"/>
      <c r="AL57" s="13"/>
      <c r="AM57" s="13"/>
      <c r="AN57" s="14"/>
      <c r="AO57" s="9"/>
      <c r="AP57" s="16"/>
      <c r="AQ57" s="10"/>
      <c r="AR57" s="10"/>
      <c r="AS57" s="10"/>
      <c r="AT57" s="11"/>
      <c r="AU57" s="12"/>
      <c r="AV57" s="17"/>
      <c r="AW57" s="13"/>
      <c r="AX57" s="13"/>
      <c r="AY57" s="13"/>
      <c r="AZ57" s="14"/>
      <c r="BA57" s="9"/>
      <c r="BB57" s="16"/>
      <c r="BC57" s="10"/>
      <c r="BD57" s="10"/>
      <c r="BE57" s="10"/>
      <c r="BF57" s="11"/>
      <c r="BG57" s="12"/>
      <c r="BH57" s="17"/>
      <c r="BI57" s="13"/>
      <c r="BJ57" s="13"/>
      <c r="BK57" s="13"/>
      <c r="BL57" s="14"/>
      <c r="BM57" s="8">
        <f t="shared" si="9"/>
        <v>94</v>
      </c>
      <c r="BN57" s="8">
        <f t="shared" si="10"/>
        <v>73</v>
      </c>
      <c r="BO57" s="8">
        <f t="shared" si="11"/>
        <v>84</v>
      </c>
      <c r="BP57" s="8">
        <f t="shared" si="12"/>
        <v>55</v>
      </c>
      <c r="BQ57" s="8">
        <f t="shared" si="13"/>
        <v>94</v>
      </c>
      <c r="BR57" s="8">
        <f t="shared" si="14"/>
        <v>73</v>
      </c>
      <c r="BS57" s="15">
        <f t="shared" si="15"/>
        <v>6.8055740330996333</v>
      </c>
      <c r="BT57" s="15" t="str">
        <f t="shared" si="16"/>
        <v>OK - No Upgrade</v>
      </c>
      <c r="BU57" s="15" t="str">
        <f t="shared" si="17"/>
        <v>Need to Balance</v>
      </c>
    </row>
    <row r="58" spans="1:73" ht="15.75" customHeight="1" x14ac:dyDescent="0.25">
      <c r="A58" s="8" t="s">
        <v>38</v>
      </c>
      <c r="B58" s="8" t="s">
        <v>39</v>
      </c>
      <c r="C58" s="8" t="s">
        <v>158</v>
      </c>
      <c r="D58" s="8"/>
      <c r="E58" s="8" t="s">
        <v>191</v>
      </c>
      <c r="F58" s="8" t="s">
        <v>56</v>
      </c>
      <c r="G58" s="8"/>
      <c r="H58" s="8">
        <v>1000</v>
      </c>
      <c r="I58" s="8" t="s">
        <v>192</v>
      </c>
      <c r="J58" s="8">
        <v>1</v>
      </c>
      <c r="K58" s="8">
        <v>242</v>
      </c>
      <c r="L58" s="8">
        <v>242</v>
      </c>
      <c r="M58" s="8">
        <v>246</v>
      </c>
      <c r="N58" s="8">
        <v>418</v>
      </c>
      <c r="O58" s="8">
        <v>425</v>
      </c>
      <c r="P58" s="8">
        <v>423</v>
      </c>
      <c r="Q58" s="9" t="s">
        <v>47</v>
      </c>
      <c r="R58" s="16"/>
      <c r="S58" s="10">
        <v>16</v>
      </c>
      <c r="T58" s="10">
        <v>11</v>
      </c>
      <c r="U58" s="10">
        <v>48</v>
      </c>
      <c r="V58" s="11">
        <v>31</v>
      </c>
      <c r="W58" s="12" t="s">
        <v>47</v>
      </c>
      <c r="X58" s="17"/>
      <c r="Y58" s="13">
        <v>195</v>
      </c>
      <c r="Z58" s="13">
        <v>94</v>
      </c>
      <c r="AA58" s="13">
        <v>57</v>
      </c>
      <c r="AB58" s="14">
        <v>33</v>
      </c>
      <c r="AC58" s="9" t="s">
        <v>47</v>
      </c>
      <c r="AD58" s="16"/>
      <c r="AE58" s="10">
        <v>150</v>
      </c>
      <c r="AF58" s="10">
        <v>89</v>
      </c>
      <c r="AG58" s="10">
        <v>49</v>
      </c>
      <c r="AH58" s="11">
        <v>40</v>
      </c>
      <c r="AI58" s="12" t="s">
        <v>47</v>
      </c>
      <c r="AJ58" s="17"/>
      <c r="AK58" s="13">
        <v>24</v>
      </c>
      <c r="AL58" s="13">
        <v>16</v>
      </c>
      <c r="AM58" s="13">
        <v>0</v>
      </c>
      <c r="AN58" s="14">
        <v>27</v>
      </c>
      <c r="AO58" s="9" t="s">
        <v>47</v>
      </c>
      <c r="AP58" s="16"/>
      <c r="AQ58" s="10">
        <v>0</v>
      </c>
      <c r="AR58" s="10">
        <v>7</v>
      </c>
      <c r="AS58" s="10">
        <v>21</v>
      </c>
      <c r="AT58" s="11">
        <v>11</v>
      </c>
      <c r="AU58" s="12"/>
      <c r="AV58" s="17"/>
      <c r="AW58" s="13"/>
      <c r="AX58" s="13"/>
      <c r="AY58" s="13"/>
      <c r="AZ58" s="14"/>
      <c r="BA58" s="9"/>
      <c r="BB58" s="16"/>
      <c r="BC58" s="10"/>
      <c r="BD58" s="10"/>
      <c r="BE58" s="10"/>
      <c r="BF58" s="11"/>
      <c r="BG58" s="12"/>
      <c r="BH58" s="17"/>
      <c r="BI58" s="13"/>
      <c r="BJ58" s="13"/>
      <c r="BK58" s="13"/>
      <c r="BL58" s="14"/>
      <c r="BM58" s="8">
        <f t="shared" si="9"/>
        <v>385</v>
      </c>
      <c r="BN58" s="8">
        <f t="shared" si="10"/>
        <v>217</v>
      </c>
      <c r="BO58" s="8">
        <f t="shared" si="11"/>
        <v>175</v>
      </c>
      <c r="BP58" s="8">
        <f t="shared" si="12"/>
        <v>142</v>
      </c>
      <c r="BQ58" s="8">
        <f t="shared" si="13"/>
        <v>385</v>
      </c>
      <c r="BR58" s="8">
        <f t="shared" si="14"/>
        <v>175</v>
      </c>
      <c r="BS58" s="15">
        <f t="shared" si="15"/>
        <v>27.873893646205943</v>
      </c>
      <c r="BT58" s="15" t="str">
        <f t="shared" si="16"/>
        <v>OK - No Upgrade</v>
      </c>
      <c r="BU58" s="15" t="str">
        <f t="shared" si="17"/>
        <v>Need to Balance</v>
      </c>
    </row>
    <row r="59" spans="1:73" ht="15.75" customHeight="1" x14ac:dyDescent="0.25">
      <c r="A59" s="8" t="s">
        <v>38</v>
      </c>
      <c r="B59" s="8" t="s">
        <v>39</v>
      </c>
      <c r="C59" s="8" t="s">
        <v>158</v>
      </c>
      <c r="D59" s="8"/>
      <c r="E59" s="8" t="s">
        <v>193</v>
      </c>
      <c r="F59" s="8" t="s">
        <v>56</v>
      </c>
      <c r="G59" s="8"/>
      <c r="H59" s="8">
        <v>1000</v>
      </c>
      <c r="I59" s="8" t="s">
        <v>194</v>
      </c>
      <c r="J59" s="8">
        <v>1</v>
      </c>
      <c r="K59" s="8">
        <v>243</v>
      </c>
      <c r="L59" s="8">
        <v>243</v>
      </c>
      <c r="M59" s="8">
        <v>246</v>
      </c>
      <c r="N59" s="8">
        <v>419</v>
      </c>
      <c r="O59" s="8">
        <v>427</v>
      </c>
      <c r="P59" s="8">
        <v>424</v>
      </c>
      <c r="Q59" s="9"/>
      <c r="R59" s="16"/>
      <c r="S59" s="10"/>
      <c r="T59" s="10"/>
      <c r="U59" s="10"/>
      <c r="V59" s="11"/>
      <c r="W59" s="12"/>
      <c r="X59" s="17"/>
      <c r="Y59" s="13"/>
      <c r="Z59" s="13"/>
      <c r="AA59" s="13"/>
      <c r="AB59" s="14"/>
      <c r="AC59" s="9"/>
      <c r="AD59" s="16"/>
      <c r="AE59" s="10"/>
      <c r="AF59" s="10"/>
      <c r="AG59" s="10"/>
      <c r="AH59" s="11"/>
      <c r="AI59" s="12"/>
      <c r="AJ59" s="17"/>
      <c r="AK59" s="13"/>
      <c r="AL59" s="13"/>
      <c r="AM59" s="13"/>
      <c r="AN59" s="14"/>
      <c r="AO59" s="9"/>
      <c r="AP59" s="16"/>
      <c r="AQ59" s="10"/>
      <c r="AR59" s="10"/>
      <c r="AS59" s="10"/>
      <c r="AT59" s="11"/>
      <c r="AU59" s="12" t="s">
        <v>47</v>
      </c>
      <c r="AV59" s="17"/>
      <c r="AW59" s="13">
        <v>27</v>
      </c>
      <c r="AX59" s="13">
        <v>31</v>
      </c>
      <c r="AY59" s="13">
        <v>7</v>
      </c>
      <c r="AZ59" s="14">
        <v>37</v>
      </c>
      <c r="BA59" s="9" t="s">
        <v>47</v>
      </c>
      <c r="BB59" s="16"/>
      <c r="BC59" s="10">
        <v>23</v>
      </c>
      <c r="BD59" s="10">
        <v>45</v>
      </c>
      <c r="BE59" s="10">
        <v>34</v>
      </c>
      <c r="BF59" s="11">
        <v>12</v>
      </c>
      <c r="BG59" s="12" t="s">
        <v>47</v>
      </c>
      <c r="BH59" s="17"/>
      <c r="BI59" s="13">
        <v>45</v>
      </c>
      <c r="BJ59" s="13">
        <v>72</v>
      </c>
      <c r="BK59" s="13">
        <v>76</v>
      </c>
      <c r="BL59" s="14">
        <v>28</v>
      </c>
      <c r="BM59" s="8">
        <f t="shared" si="9"/>
        <v>95</v>
      </c>
      <c r="BN59" s="8">
        <f t="shared" si="10"/>
        <v>148</v>
      </c>
      <c r="BO59" s="8">
        <f t="shared" si="11"/>
        <v>117</v>
      </c>
      <c r="BP59" s="8">
        <f t="shared" si="12"/>
        <v>77</v>
      </c>
      <c r="BQ59" s="8">
        <f t="shared" si="13"/>
        <v>148</v>
      </c>
      <c r="BR59" s="8">
        <f t="shared" si="14"/>
        <v>95</v>
      </c>
      <c r="BS59" s="15">
        <f t="shared" si="15"/>
        <v>10.74079346789612</v>
      </c>
      <c r="BT59" s="15" t="str">
        <f t="shared" si="16"/>
        <v>OK - No Upgrade</v>
      </c>
      <c r="BU59" s="15" t="str">
        <f t="shared" si="17"/>
        <v>Need to Balance</v>
      </c>
    </row>
    <row r="60" spans="1:73" ht="15.75" customHeight="1" x14ac:dyDescent="0.25">
      <c r="A60" s="8" t="s">
        <v>38</v>
      </c>
      <c r="B60" s="8" t="s">
        <v>39</v>
      </c>
      <c r="C60" s="8" t="s">
        <v>158</v>
      </c>
      <c r="D60" s="8"/>
      <c r="E60" s="8" t="s">
        <v>195</v>
      </c>
      <c r="F60" s="8" t="s">
        <v>56</v>
      </c>
      <c r="G60" s="8"/>
      <c r="H60" s="8">
        <v>500</v>
      </c>
      <c r="I60" s="8" t="s">
        <v>196</v>
      </c>
      <c r="J60" s="8">
        <v>1</v>
      </c>
      <c r="K60" s="8">
        <v>243</v>
      </c>
      <c r="L60" s="8">
        <v>242</v>
      </c>
      <c r="M60" s="8">
        <v>246</v>
      </c>
      <c r="N60" s="8">
        <v>417</v>
      </c>
      <c r="O60" s="8">
        <v>426</v>
      </c>
      <c r="P60" s="8">
        <v>423</v>
      </c>
      <c r="Q60" s="9" t="s">
        <v>47</v>
      </c>
      <c r="R60" s="16"/>
      <c r="S60" s="10">
        <v>118</v>
      </c>
      <c r="T60" s="10">
        <v>55</v>
      </c>
      <c r="U60" s="10">
        <v>91</v>
      </c>
      <c r="V60" s="11">
        <v>64</v>
      </c>
      <c r="W60" s="12" t="s">
        <v>47</v>
      </c>
      <c r="X60" s="17"/>
      <c r="Y60" s="13">
        <v>108</v>
      </c>
      <c r="Z60" s="13">
        <v>75</v>
      </c>
      <c r="AA60" s="13">
        <v>39</v>
      </c>
      <c r="AB60" s="14">
        <v>63</v>
      </c>
      <c r="AC60" s="9"/>
      <c r="AD60" s="16"/>
      <c r="AE60" s="10"/>
      <c r="AF60" s="10"/>
      <c r="AG60" s="10"/>
      <c r="AH60" s="11"/>
      <c r="AI60" s="12"/>
      <c r="AJ60" s="17"/>
      <c r="AK60" s="13"/>
      <c r="AL60" s="13"/>
      <c r="AM60" s="13"/>
      <c r="AN60" s="14"/>
      <c r="AO60" s="9"/>
      <c r="AP60" s="16"/>
      <c r="AQ60" s="10"/>
      <c r="AR60" s="10"/>
      <c r="AS60" s="10"/>
      <c r="AT60" s="11"/>
      <c r="AU60" s="12"/>
      <c r="AV60" s="17"/>
      <c r="AW60" s="13"/>
      <c r="AX60" s="13"/>
      <c r="AY60" s="13"/>
      <c r="AZ60" s="14"/>
      <c r="BA60" s="9"/>
      <c r="BB60" s="16"/>
      <c r="BC60" s="10"/>
      <c r="BD60" s="10"/>
      <c r="BE60" s="10"/>
      <c r="BF60" s="11"/>
      <c r="BG60" s="12"/>
      <c r="BH60" s="17"/>
      <c r="BI60" s="13"/>
      <c r="BJ60" s="13"/>
      <c r="BK60" s="13"/>
      <c r="BL60" s="14"/>
      <c r="BM60" s="8">
        <f t="shared" si="9"/>
        <v>226</v>
      </c>
      <c r="BN60" s="8">
        <f t="shared" si="10"/>
        <v>130</v>
      </c>
      <c r="BO60" s="8">
        <f t="shared" si="11"/>
        <v>130</v>
      </c>
      <c r="BP60" s="8">
        <f t="shared" si="12"/>
        <v>127</v>
      </c>
      <c r="BQ60" s="8">
        <f t="shared" si="13"/>
        <v>226</v>
      </c>
      <c r="BR60" s="8">
        <f t="shared" si="14"/>
        <v>130</v>
      </c>
      <c r="BS60" s="15">
        <f t="shared" si="15"/>
        <v>32.646386441381225</v>
      </c>
      <c r="BT60" s="15" t="str">
        <f t="shared" si="16"/>
        <v>OK - No Upgrade</v>
      </c>
      <c r="BU60" s="15" t="str">
        <f t="shared" si="17"/>
        <v>Need to Balance</v>
      </c>
    </row>
    <row r="61" spans="1:73" ht="15.75" customHeight="1" x14ac:dyDescent="0.25">
      <c r="A61" s="8" t="s">
        <v>38</v>
      </c>
      <c r="B61" s="8" t="s">
        <v>39</v>
      </c>
      <c r="C61" s="8" t="s">
        <v>158</v>
      </c>
      <c r="D61" s="8" t="s">
        <v>197</v>
      </c>
      <c r="E61" s="8" t="s">
        <v>198</v>
      </c>
      <c r="F61" s="8" t="s">
        <v>56</v>
      </c>
      <c r="G61" s="8"/>
      <c r="H61" s="8">
        <v>500</v>
      </c>
      <c r="I61" s="8" t="s">
        <v>199</v>
      </c>
      <c r="J61" s="8">
        <v>1</v>
      </c>
      <c r="K61" s="8">
        <v>242</v>
      </c>
      <c r="L61" s="8">
        <v>242</v>
      </c>
      <c r="M61" s="8">
        <v>245</v>
      </c>
      <c r="N61" s="8">
        <v>416</v>
      </c>
      <c r="O61" s="8">
        <v>424</v>
      </c>
      <c r="P61" s="8">
        <v>423</v>
      </c>
      <c r="Q61" s="9" t="s">
        <v>47</v>
      </c>
      <c r="R61" s="16"/>
      <c r="S61" s="10">
        <v>112</v>
      </c>
      <c r="T61" s="10">
        <v>60</v>
      </c>
      <c r="U61" s="10">
        <v>88</v>
      </c>
      <c r="V61" s="11">
        <v>33</v>
      </c>
      <c r="W61" s="12" t="s">
        <v>47</v>
      </c>
      <c r="X61" s="17"/>
      <c r="Y61" s="13">
        <v>19</v>
      </c>
      <c r="Z61" s="13">
        <v>2</v>
      </c>
      <c r="AA61" s="13">
        <v>22</v>
      </c>
      <c r="AB61" s="14">
        <v>15</v>
      </c>
      <c r="AC61" s="9" t="s">
        <v>47</v>
      </c>
      <c r="AD61" s="16"/>
      <c r="AE61" s="10">
        <v>131</v>
      </c>
      <c r="AF61" s="10">
        <v>88</v>
      </c>
      <c r="AG61" s="10">
        <v>96</v>
      </c>
      <c r="AH61" s="11">
        <v>42</v>
      </c>
      <c r="AI61" s="12" t="s">
        <v>47</v>
      </c>
      <c r="AJ61" s="17"/>
      <c r="AK61" s="13">
        <v>26</v>
      </c>
      <c r="AL61" s="13">
        <v>24</v>
      </c>
      <c r="AM61" s="13">
        <v>43</v>
      </c>
      <c r="AN61" s="14">
        <v>15</v>
      </c>
      <c r="AO61" s="9" t="s">
        <v>47</v>
      </c>
      <c r="AP61" s="16"/>
      <c r="AQ61" s="10">
        <v>78</v>
      </c>
      <c r="AR61" s="10">
        <v>104</v>
      </c>
      <c r="AS61" s="10">
        <v>67</v>
      </c>
      <c r="AT61" s="11">
        <v>30</v>
      </c>
      <c r="AU61" s="12"/>
      <c r="AV61" s="17"/>
      <c r="AW61" s="13"/>
      <c r="AX61" s="13"/>
      <c r="AY61" s="13"/>
      <c r="AZ61" s="14"/>
      <c r="BA61" s="9"/>
      <c r="BB61" s="16"/>
      <c r="BC61" s="10"/>
      <c r="BD61" s="10"/>
      <c r="BE61" s="10"/>
      <c r="BF61" s="11"/>
      <c r="BG61" s="12"/>
      <c r="BH61" s="17"/>
      <c r="BI61" s="13"/>
      <c r="BJ61" s="13"/>
      <c r="BK61" s="13"/>
      <c r="BL61" s="14"/>
      <c r="BM61" s="8">
        <f t="shared" si="9"/>
        <v>366</v>
      </c>
      <c r="BN61" s="8">
        <f t="shared" si="10"/>
        <v>278</v>
      </c>
      <c r="BO61" s="8">
        <f t="shared" si="11"/>
        <v>316</v>
      </c>
      <c r="BP61" s="8">
        <f t="shared" si="12"/>
        <v>135</v>
      </c>
      <c r="BQ61" s="8">
        <f t="shared" si="13"/>
        <v>366</v>
      </c>
      <c r="BR61" s="8">
        <f t="shared" si="14"/>
        <v>278</v>
      </c>
      <c r="BS61" s="15">
        <f t="shared" si="15"/>
        <v>52.743025551441391</v>
      </c>
      <c r="BT61" s="15" t="str">
        <f t="shared" si="16"/>
        <v>OK - No Upgrade</v>
      </c>
      <c r="BU61" s="15" t="str">
        <f t="shared" si="17"/>
        <v>Need to Balance</v>
      </c>
    </row>
    <row r="62" spans="1:73" ht="15.75" customHeight="1" x14ac:dyDescent="0.25">
      <c r="A62" s="8" t="s">
        <v>38</v>
      </c>
      <c r="B62" s="8" t="s">
        <v>39</v>
      </c>
      <c r="C62" s="8" t="s">
        <v>158</v>
      </c>
      <c r="D62" s="8"/>
      <c r="E62" s="8" t="s">
        <v>200</v>
      </c>
      <c r="F62" s="8" t="s">
        <v>56</v>
      </c>
      <c r="G62" s="8"/>
      <c r="H62" s="8">
        <v>1000</v>
      </c>
      <c r="I62" s="8" t="s">
        <v>201</v>
      </c>
      <c r="J62" s="8">
        <v>1</v>
      </c>
      <c r="K62" s="8">
        <v>246</v>
      </c>
      <c r="L62" s="8">
        <v>245</v>
      </c>
      <c r="M62" s="8">
        <v>249</v>
      </c>
      <c r="N62" s="8">
        <v>423</v>
      </c>
      <c r="O62" s="8">
        <v>431</v>
      </c>
      <c r="P62" s="8">
        <v>429</v>
      </c>
      <c r="Q62" s="9"/>
      <c r="R62" s="16"/>
      <c r="S62" s="10"/>
      <c r="T62" s="10"/>
      <c r="U62" s="10"/>
      <c r="V62" s="11"/>
      <c r="W62" s="12"/>
      <c r="X62" s="17"/>
      <c r="Y62" s="13"/>
      <c r="Z62" s="13"/>
      <c r="AA62" s="13"/>
      <c r="AB62" s="14"/>
      <c r="AC62" s="9" t="s">
        <v>47</v>
      </c>
      <c r="AD62" s="16"/>
      <c r="AE62" s="10">
        <v>26</v>
      </c>
      <c r="AF62" s="10">
        <v>10</v>
      </c>
      <c r="AG62" s="10">
        <v>3</v>
      </c>
      <c r="AH62" s="11">
        <v>20</v>
      </c>
      <c r="AI62" s="12" t="s">
        <v>47</v>
      </c>
      <c r="AJ62" s="17"/>
      <c r="AK62" s="13">
        <v>28</v>
      </c>
      <c r="AL62" s="13">
        <v>21</v>
      </c>
      <c r="AM62" s="13">
        <v>10</v>
      </c>
      <c r="AN62" s="14">
        <v>9</v>
      </c>
      <c r="AO62" s="9" t="s">
        <v>46</v>
      </c>
      <c r="AP62" s="16"/>
      <c r="AQ62" s="10">
        <v>27</v>
      </c>
      <c r="AR62" s="10">
        <v>26</v>
      </c>
      <c r="AS62" s="10">
        <v>44</v>
      </c>
      <c r="AT62" s="11">
        <v>21</v>
      </c>
      <c r="AU62" s="12" t="s">
        <v>47</v>
      </c>
      <c r="AV62" s="17"/>
      <c r="AW62" s="13">
        <v>11</v>
      </c>
      <c r="AX62" s="13">
        <v>23</v>
      </c>
      <c r="AY62" s="13">
        <v>9</v>
      </c>
      <c r="AZ62" s="14">
        <v>15</v>
      </c>
      <c r="BA62" s="9"/>
      <c r="BB62" s="16"/>
      <c r="BC62" s="10"/>
      <c r="BD62" s="10"/>
      <c r="BE62" s="10"/>
      <c r="BF62" s="11"/>
      <c r="BG62" s="12" t="s">
        <v>47</v>
      </c>
      <c r="BH62" s="17"/>
      <c r="BI62" s="13">
        <v>5</v>
      </c>
      <c r="BJ62" s="13">
        <v>8</v>
      </c>
      <c r="BK62" s="13">
        <v>5</v>
      </c>
      <c r="BL62" s="14">
        <v>3</v>
      </c>
      <c r="BM62" s="8">
        <f t="shared" si="9"/>
        <v>97</v>
      </c>
      <c r="BN62" s="8">
        <f t="shared" si="10"/>
        <v>88</v>
      </c>
      <c r="BO62" s="8">
        <f t="shared" si="11"/>
        <v>71</v>
      </c>
      <c r="BP62" s="8">
        <f t="shared" si="12"/>
        <v>68</v>
      </c>
      <c r="BQ62" s="8">
        <f t="shared" si="13"/>
        <v>97</v>
      </c>
      <c r="BR62" s="8">
        <f t="shared" si="14"/>
        <v>71</v>
      </c>
      <c r="BS62" s="15">
        <f t="shared" si="15"/>
        <v>7.1067776685358606</v>
      </c>
      <c r="BT62" s="15" t="str">
        <f t="shared" si="16"/>
        <v>OK - No Upgrade</v>
      </c>
      <c r="BU62" s="15" t="str">
        <f t="shared" si="17"/>
        <v>Need to Balance</v>
      </c>
    </row>
    <row r="63" spans="1:73" ht="15.75" customHeight="1" x14ac:dyDescent="0.25">
      <c r="A63" s="8" t="s">
        <v>38</v>
      </c>
      <c r="B63" s="8" t="s">
        <v>39</v>
      </c>
      <c r="C63" s="8" t="s">
        <v>124</v>
      </c>
      <c r="D63" s="8" t="s">
        <v>202</v>
      </c>
      <c r="E63" s="8" t="s">
        <v>203</v>
      </c>
      <c r="F63" s="8" t="s">
        <v>56</v>
      </c>
      <c r="G63" s="8"/>
      <c r="H63" s="8">
        <v>500</v>
      </c>
      <c r="I63" s="8" t="s">
        <v>204</v>
      </c>
      <c r="J63" s="8">
        <v>1</v>
      </c>
      <c r="K63" s="8">
        <v>243</v>
      </c>
      <c r="L63" s="8">
        <v>243</v>
      </c>
      <c r="M63" s="8">
        <v>251</v>
      </c>
      <c r="N63" s="8">
        <v>430</v>
      </c>
      <c r="O63" s="8">
        <v>434</v>
      </c>
      <c r="P63" s="8">
        <v>433</v>
      </c>
      <c r="Q63" s="9"/>
      <c r="R63" s="16"/>
      <c r="S63" s="10"/>
      <c r="T63" s="10"/>
      <c r="U63" s="10"/>
      <c r="V63" s="11"/>
      <c r="W63" s="12"/>
      <c r="X63" s="17"/>
      <c r="Y63" s="13"/>
      <c r="Z63" s="13"/>
      <c r="AA63" s="13"/>
      <c r="AB63" s="14"/>
      <c r="AC63" s="9" t="s">
        <v>70</v>
      </c>
      <c r="AD63" s="16"/>
      <c r="AE63" s="10">
        <v>55</v>
      </c>
      <c r="AF63" s="10">
        <v>46</v>
      </c>
      <c r="AG63" s="10">
        <v>46</v>
      </c>
      <c r="AH63" s="11">
        <v>15</v>
      </c>
      <c r="AI63" s="12" t="s">
        <v>47</v>
      </c>
      <c r="AJ63" s="17"/>
      <c r="AK63" s="13">
        <v>86</v>
      </c>
      <c r="AL63" s="13">
        <v>102</v>
      </c>
      <c r="AM63" s="13">
        <v>94</v>
      </c>
      <c r="AN63" s="14">
        <v>20</v>
      </c>
      <c r="AO63" s="9" t="s">
        <v>70</v>
      </c>
      <c r="AP63" s="16"/>
      <c r="AQ63" s="10">
        <v>170</v>
      </c>
      <c r="AR63" s="10">
        <v>169</v>
      </c>
      <c r="AS63" s="10">
        <v>219</v>
      </c>
      <c r="AT63" s="11">
        <v>51</v>
      </c>
      <c r="AU63" s="12"/>
      <c r="AV63" s="17"/>
      <c r="AW63" s="13"/>
      <c r="AX63" s="13"/>
      <c r="AY63" s="13"/>
      <c r="AZ63" s="14"/>
      <c r="BA63" s="9"/>
      <c r="BB63" s="16"/>
      <c r="BC63" s="10"/>
      <c r="BD63" s="10"/>
      <c r="BE63" s="10"/>
      <c r="BF63" s="11"/>
      <c r="BG63" s="12"/>
      <c r="BH63" s="17"/>
      <c r="BI63" s="13"/>
      <c r="BJ63" s="13"/>
      <c r="BK63" s="13"/>
      <c r="BL63" s="14"/>
      <c r="BM63" s="8">
        <f t="shared" si="9"/>
        <v>311</v>
      </c>
      <c r="BN63" s="8">
        <f t="shared" si="10"/>
        <v>317</v>
      </c>
      <c r="BO63" s="8">
        <f t="shared" si="11"/>
        <v>359</v>
      </c>
      <c r="BP63" s="8">
        <f t="shared" si="12"/>
        <v>86</v>
      </c>
      <c r="BQ63" s="8">
        <f t="shared" si="13"/>
        <v>359</v>
      </c>
      <c r="BR63" s="8">
        <f t="shared" si="14"/>
        <v>311</v>
      </c>
      <c r="BS63" s="15">
        <f t="shared" si="15"/>
        <v>53.475336632881508</v>
      </c>
      <c r="BT63" s="15" t="str">
        <f t="shared" si="16"/>
        <v>OK - No Upgrade</v>
      </c>
      <c r="BU63" s="15" t="str">
        <f t="shared" si="17"/>
        <v>OK - Balanced</v>
      </c>
    </row>
  </sheetData>
  <mergeCells count="79">
    <mergeCell ref="BU1:BU3"/>
    <mergeCell ref="BI2:BI3"/>
    <mergeCell ref="AE2:AE3"/>
    <mergeCell ref="AG2:AG3"/>
    <mergeCell ref="Y2:Y3"/>
    <mergeCell ref="AQ2:AQ3"/>
    <mergeCell ref="AS2:AS3"/>
    <mergeCell ref="AY2:AY3"/>
    <mergeCell ref="BK2:BK3"/>
    <mergeCell ref="AZ2:AZ3"/>
    <mergeCell ref="BB2:BB3"/>
    <mergeCell ref="BL2:BL3"/>
    <mergeCell ref="BN2:BN3"/>
    <mergeCell ref="AU1:AZ1"/>
    <mergeCell ref="AJ2:AJ3"/>
    <mergeCell ref="AL2:AL3"/>
    <mergeCell ref="BR1:BR3"/>
    <mergeCell ref="H1:H3"/>
    <mergeCell ref="AR2:AR3"/>
    <mergeCell ref="AT2:AT3"/>
    <mergeCell ref="E1:E3"/>
    <mergeCell ref="BF2:BF3"/>
    <mergeCell ref="K2:M2"/>
    <mergeCell ref="F1:F3"/>
    <mergeCell ref="J1:J3"/>
    <mergeCell ref="R2:R3"/>
    <mergeCell ref="AD2:AD3"/>
    <mergeCell ref="AN2:AN3"/>
    <mergeCell ref="AP2:AP3"/>
    <mergeCell ref="A1:A3"/>
    <mergeCell ref="BA1:BF1"/>
    <mergeCell ref="C1:C3"/>
    <mergeCell ref="D1:D2"/>
    <mergeCell ref="BQ1:BQ3"/>
    <mergeCell ref="BS1:BS3"/>
    <mergeCell ref="BA2:BA3"/>
    <mergeCell ref="S2:S3"/>
    <mergeCell ref="BC2:BC3"/>
    <mergeCell ref="K1:P1"/>
    <mergeCell ref="BM2:BM3"/>
    <mergeCell ref="BO2:BO3"/>
    <mergeCell ref="W1:AB1"/>
    <mergeCell ref="Q1:V1"/>
    <mergeCell ref="BP2:BP3"/>
    <mergeCell ref="AC1:AH1"/>
    <mergeCell ref="AO1:AT1"/>
    <mergeCell ref="Z2:Z3"/>
    <mergeCell ref="B1:B3"/>
    <mergeCell ref="AI1:AN1"/>
    <mergeCell ref="V2:V3"/>
    <mergeCell ref="X2:X3"/>
    <mergeCell ref="BG1:BL1"/>
    <mergeCell ref="BD2:BD3"/>
    <mergeCell ref="AV2:AV3"/>
    <mergeCell ref="AX2:AX3"/>
    <mergeCell ref="I1:I3"/>
    <mergeCell ref="BH2:BH3"/>
    <mergeCell ref="BJ2:BJ3"/>
    <mergeCell ref="AF2:AF3"/>
    <mergeCell ref="AH2:AH3"/>
    <mergeCell ref="Q2:Q3"/>
    <mergeCell ref="AI2:AI3"/>
    <mergeCell ref="AK2:AK3"/>
    <mergeCell ref="N2:P2"/>
    <mergeCell ref="G1:G3"/>
    <mergeCell ref="U2:U3"/>
    <mergeCell ref="BT1:BT3"/>
    <mergeCell ref="BE2:BE3"/>
    <mergeCell ref="W2:W3"/>
    <mergeCell ref="BG2:BG3"/>
    <mergeCell ref="AA2:AA3"/>
    <mergeCell ref="AC2:AC3"/>
    <mergeCell ref="AM2:AM3"/>
    <mergeCell ref="AO2:AO3"/>
    <mergeCell ref="BM1:BP1"/>
    <mergeCell ref="AU2:AU3"/>
    <mergeCell ref="AW2:AW3"/>
    <mergeCell ref="AB2:AB3"/>
    <mergeCell ref="T2:T3"/>
  </mergeCells>
  <dataValidations count="1">
    <dataValidation type="list" allowBlank="1" errorTitle="Invalid value" error="Please choose Cu or Al" promptTitle="Cable Type" prompt="Choose cable material" sqref="R4:R63 BH4:BH63 BB4:BB63 AV4:AV63 AP4:AP63 AJ4:AJ63 AD4:AD63 X4:X63" xr:uid="{00000000-0002-0000-0000-000000000000}">
      <formula1>"Cu,Al"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U64"/>
  <sheetViews>
    <sheetView workbookViewId="0"/>
  </sheetViews>
  <sheetFormatPr defaultRowHeight="15" x14ac:dyDescent="0.25"/>
  <cols>
    <col min="1" max="1" width="12.85546875" customWidth="1"/>
    <col min="2" max="2" width="14.85546875" customWidth="1"/>
    <col min="3" max="3" width="9.85546875" customWidth="1"/>
    <col min="4" max="4" width="20.85546875" customWidth="1"/>
    <col min="5" max="5" width="8.85546875" customWidth="1"/>
    <col min="6" max="6" width="10.85546875" customWidth="1"/>
    <col min="7" max="7" width="5.85546875" customWidth="1"/>
    <col min="8" max="8" width="9.85546875" customWidth="1"/>
    <col min="9" max="9" width="10.85546875" customWidth="1"/>
    <col min="10" max="10" width="5.85546875" customWidth="1"/>
    <col min="11" max="11" width="7.85546875" customWidth="1"/>
    <col min="12" max="16" width="6.85546875" customWidth="1"/>
    <col min="17" max="17" width="8.85546875" customWidth="1"/>
    <col min="18" max="21" width="6.85546875" customWidth="1"/>
    <col min="22" max="22" width="8.85546875" customWidth="1"/>
    <col min="23" max="26" width="6.85546875" customWidth="1"/>
    <col min="27" max="27" width="8.85546875" customWidth="1"/>
    <col min="28" max="31" width="6.85546875" customWidth="1"/>
    <col min="32" max="32" width="8.85546875" customWidth="1"/>
    <col min="33" max="36" width="6.85546875" customWidth="1"/>
    <col min="37" max="37" width="8.85546875" customWidth="1"/>
    <col min="38" max="41" width="6.85546875" customWidth="1"/>
    <col min="42" max="42" width="8.85546875" customWidth="1"/>
    <col min="43" max="46" width="6.85546875" customWidth="1"/>
    <col min="47" max="47" width="8.85546875" customWidth="1"/>
    <col min="48" max="51" width="6.85546875" customWidth="1"/>
    <col min="52" max="52" width="8.85546875" customWidth="1"/>
    <col min="53" max="60" width="6.85546875" customWidth="1"/>
    <col min="61" max="62" width="7.85546875" customWidth="1"/>
    <col min="63" max="63" width="9.85546875" customWidth="1"/>
    <col min="64" max="65" width="24.85546875" customWidth="1"/>
  </cols>
  <sheetData>
    <row r="1" spans="1:73" ht="19.5" customHeight="1" x14ac:dyDescent="0.25">
      <c r="A1" s="21" t="s">
        <v>0</v>
      </c>
      <c r="B1" s="21" t="s">
        <v>1</v>
      </c>
      <c r="C1" s="21" t="s">
        <v>2</v>
      </c>
      <c r="D1" s="38" t="s">
        <v>3</v>
      </c>
      <c r="E1" s="21" t="s">
        <v>4</v>
      </c>
      <c r="F1" s="40" t="s">
        <v>5</v>
      </c>
      <c r="G1" s="21" t="s">
        <v>6</v>
      </c>
      <c r="H1" s="21" t="s">
        <v>7</v>
      </c>
      <c r="I1" s="21" t="s">
        <v>8</v>
      </c>
      <c r="J1" s="41" t="s">
        <v>9</v>
      </c>
      <c r="K1" s="18" t="s">
        <v>10</v>
      </c>
      <c r="L1" s="19"/>
      <c r="M1" s="19"/>
      <c r="N1" s="19"/>
      <c r="O1" s="19"/>
      <c r="P1" s="20"/>
      <c r="Q1" s="29" t="s">
        <v>11</v>
      </c>
      <c r="R1" s="30"/>
      <c r="S1" s="30"/>
      <c r="T1" s="30"/>
      <c r="U1" s="30"/>
      <c r="V1" s="31"/>
      <c r="W1" s="29" t="s">
        <v>12</v>
      </c>
      <c r="X1" s="30"/>
      <c r="Y1" s="30"/>
      <c r="Z1" s="30"/>
      <c r="AA1" s="30"/>
      <c r="AB1" s="31"/>
      <c r="AC1" s="29" t="s">
        <v>13</v>
      </c>
      <c r="AD1" s="30"/>
      <c r="AE1" s="30"/>
      <c r="AF1" s="30"/>
      <c r="AG1" s="30"/>
      <c r="AH1" s="31"/>
      <c r="AI1" s="29" t="s">
        <v>14</v>
      </c>
      <c r="AJ1" s="30"/>
      <c r="AK1" s="30"/>
      <c r="AL1" s="30"/>
      <c r="AM1" s="30"/>
      <c r="AN1" s="31"/>
      <c r="AO1" s="29" t="s">
        <v>15</v>
      </c>
      <c r="AP1" s="30"/>
      <c r="AQ1" s="30"/>
      <c r="AR1" s="30"/>
      <c r="AS1" s="30"/>
      <c r="AT1" s="31"/>
      <c r="AU1" s="29" t="s">
        <v>16</v>
      </c>
      <c r="AV1" s="30"/>
      <c r="AW1" s="30"/>
      <c r="AX1" s="30"/>
      <c r="AY1" s="30"/>
      <c r="AZ1" s="31"/>
      <c r="BA1" s="29" t="s">
        <v>17</v>
      </c>
      <c r="BB1" s="30"/>
      <c r="BC1" s="30"/>
      <c r="BD1" s="30"/>
      <c r="BE1" s="30"/>
      <c r="BF1" s="31"/>
      <c r="BG1" s="29" t="s">
        <v>18</v>
      </c>
      <c r="BH1" s="30"/>
      <c r="BI1" s="30"/>
      <c r="BJ1" s="30"/>
      <c r="BK1" s="30"/>
      <c r="BL1" s="31"/>
      <c r="BM1" s="37" t="s">
        <v>19</v>
      </c>
      <c r="BN1" s="19"/>
      <c r="BO1" s="19"/>
      <c r="BP1" s="20"/>
      <c r="BQ1" s="18" t="s">
        <v>20</v>
      </c>
      <c r="BR1" s="18" t="s">
        <v>21</v>
      </c>
      <c r="BS1" s="39" t="s">
        <v>22</v>
      </c>
      <c r="BT1" s="26" t="s">
        <v>23</v>
      </c>
      <c r="BU1" s="26" t="s">
        <v>24</v>
      </c>
    </row>
    <row r="2" spans="1:73" ht="19.5" customHeight="1" x14ac:dyDescent="0.25">
      <c r="A2" s="22"/>
      <c r="B2" s="22"/>
      <c r="C2" s="22"/>
      <c r="D2" s="23"/>
      <c r="E2" s="22"/>
      <c r="F2" s="22"/>
      <c r="G2" s="22"/>
      <c r="H2" s="22"/>
      <c r="I2" s="22"/>
      <c r="J2" s="22"/>
      <c r="K2" s="18" t="s">
        <v>25</v>
      </c>
      <c r="L2" s="19"/>
      <c r="M2" s="20"/>
      <c r="N2" s="18" t="s">
        <v>26</v>
      </c>
      <c r="O2" s="19"/>
      <c r="P2" s="20"/>
      <c r="Q2" s="27" t="s">
        <v>27</v>
      </c>
      <c r="R2" s="34" t="s">
        <v>5</v>
      </c>
      <c r="S2" s="36" t="s">
        <v>28</v>
      </c>
      <c r="T2" s="35" t="s">
        <v>29</v>
      </c>
      <c r="U2" s="24" t="s">
        <v>30</v>
      </c>
      <c r="V2" s="32" t="s">
        <v>31</v>
      </c>
      <c r="W2" s="27" t="s">
        <v>27</v>
      </c>
      <c r="X2" s="34" t="s">
        <v>5</v>
      </c>
      <c r="Y2" s="36" t="s">
        <v>28</v>
      </c>
      <c r="Z2" s="35" t="s">
        <v>29</v>
      </c>
      <c r="AA2" s="24" t="s">
        <v>30</v>
      </c>
      <c r="AB2" s="32" t="s">
        <v>31</v>
      </c>
      <c r="AC2" s="27" t="s">
        <v>27</v>
      </c>
      <c r="AD2" s="34" t="s">
        <v>5</v>
      </c>
      <c r="AE2" s="36" t="s">
        <v>28</v>
      </c>
      <c r="AF2" s="35" t="s">
        <v>29</v>
      </c>
      <c r="AG2" s="24" t="s">
        <v>30</v>
      </c>
      <c r="AH2" s="32" t="s">
        <v>31</v>
      </c>
      <c r="AI2" s="27" t="s">
        <v>27</v>
      </c>
      <c r="AJ2" s="34" t="s">
        <v>5</v>
      </c>
      <c r="AK2" s="36" t="s">
        <v>28</v>
      </c>
      <c r="AL2" s="35" t="s">
        <v>29</v>
      </c>
      <c r="AM2" s="24" t="s">
        <v>30</v>
      </c>
      <c r="AN2" s="32" t="s">
        <v>31</v>
      </c>
      <c r="AO2" s="27" t="s">
        <v>27</v>
      </c>
      <c r="AP2" s="34" t="s">
        <v>5</v>
      </c>
      <c r="AQ2" s="36" t="s">
        <v>28</v>
      </c>
      <c r="AR2" s="35" t="s">
        <v>29</v>
      </c>
      <c r="AS2" s="24" t="s">
        <v>30</v>
      </c>
      <c r="AT2" s="32" t="s">
        <v>31</v>
      </c>
      <c r="AU2" s="27" t="s">
        <v>27</v>
      </c>
      <c r="AV2" s="34" t="s">
        <v>5</v>
      </c>
      <c r="AW2" s="36" t="s">
        <v>28</v>
      </c>
      <c r="AX2" s="35" t="s">
        <v>29</v>
      </c>
      <c r="AY2" s="24" t="s">
        <v>30</v>
      </c>
      <c r="AZ2" s="32" t="s">
        <v>31</v>
      </c>
      <c r="BA2" s="27" t="s">
        <v>27</v>
      </c>
      <c r="BB2" s="34" t="s">
        <v>5</v>
      </c>
      <c r="BC2" s="36" t="s">
        <v>28</v>
      </c>
      <c r="BD2" s="35" t="s">
        <v>29</v>
      </c>
      <c r="BE2" s="24" t="s">
        <v>30</v>
      </c>
      <c r="BF2" s="32" t="s">
        <v>31</v>
      </c>
      <c r="BG2" s="27" t="s">
        <v>27</v>
      </c>
      <c r="BH2" s="34" t="s">
        <v>5</v>
      </c>
      <c r="BI2" s="36" t="s">
        <v>28</v>
      </c>
      <c r="BJ2" s="35" t="s">
        <v>29</v>
      </c>
      <c r="BK2" s="24" t="s">
        <v>30</v>
      </c>
      <c r="BL2" s="32" t="s">
        <v>31</v>
      </c>
      <c r="BM2" s="37" t="s">
        <v>28</v>
      </c>
      <c r="BN2" s="37" t="s">
        <v>29</v>
      </c>
      <c r="BO2" s="37" t="s">
        <v>30</v>
      </c>
      <c r="BP2" s="37" t="s">
        <v>31</v>
      </c>
      <c r="BQ2" s="22"/>
      <c r="BR2" s="22"/>
      <c r="BS2" s="22"/>
      <c r="BT2" s="22"/>
      <c r="BU2" s="22"/>
    </row>
    <row r="3" spans="1:73" ht="19.5" customHeight="1" x14ac:dyDescent="0.25">
      <c r="A3" s="23"/>
      <c r="B3" s="23"/>
      <c r="C3" s="23"/>
      <c r="D3" s="1"/>
      <c r="E3" s="23"/>
      <c r="F3" s="23"/>
      <c r="G3" s="23"/>
      <c r="H3" s="23"/>
      <c r="I3" s="23"/>
      <c r="J3" s="23"/>
      <c r="K3" s="2" t="s">
        <v>32</v>
      </c>
      <c r="L3" s="3" t="s">
        <v>33</v>
      </c>
      <c r="M3" s="4" t="s">
        <v>34</v>
      </c>
      <c r="N3" s="5" t="s">
        <v>35</v>
      </c>
      <c r="O3" s="6" t="s">
        <v>36</v>
      </c>
      <c r="P3" s="7" t="s">
        <v>37</v>
      </c>
      <c r="Q3" s="28"/>
      <c r="R3" s="25"/>
      <c r="S3" s="25"/>
      <c r="T3" s="25"/>
      <c r="U3" s="25"/>
      <c r="V3" s="33"/>
      <c r="W3" s="28"/>
      <c r="X3" s="25"/>
      <c r="Y3" s="25"/>
      <c r="Z3" s="25"/>
      <c r="AA3" s="25"/>
      <c r="AB3" s="33"/>
      <c r="AC3" s="28"/>
      <c r="AD3" s="25"/>
      <c r="AE3" s="25"/>
      <c r="AF3" s="25"/>
      <c r="AG3" s="25"/>
      <c r="AH3" s="33"/>
      <c r="AI3" s="28"/>
      <c r="AJ3" s="25"/>
      <c r="AK3" s="25"/>
      <c r="AL3" s="25"/>
      <c r="AM3" s="25"/>
      <c r="AN3" s="33"/>
      <c r="AO3" s="28"/>
      <c r="AP3" s="25"/>
      <c r="AQ3" s="25"/>
      <c r="AR3" s="25"/>
      <c r="AS3" s="25"/>
      <c r="AT3" s="33"/>
      <c r="AU3" s="28"/>
      <c r="AV3" s="25"/>
      <c r="AW3" s="25"/>
      <c r="AX3" s="25"/>
      <c r="AY3" s="25"/>
      <c r="AZ3" s="33"/>
      <c r="BA3" s="28"/>
      <c r="BB3" s="25"/>
      <c r="BC3" s="25"/>
      <c r="BD3" s="25"/>
      <c r="BE3" s="25"/>
      <c r="BF3" s="33"/>
      <c r="BG3" s="28"/>
      <c r="BH3" s="25"/>
      <c r="BI3" s="25"/>
      <c r="BJ3" s="25"/>
      <c r="BK3" s="25"/>
      <c r="BL3" s="33"/>
      <c r="BM3" s="23"/>
      <c r="BN3" s="23"/>
      <c r="BO3" s="23"/>
      <c r="BP3" s="23"/>
      <c r="BQ3" s="23"/>
      <c r="BR3" s="23"/>
      <c r="BS3" s="23"/>
      <c r="BT3" s="23"/>
      <c r="BU3" s="23"/>
    </row>
    <row r="4" spans="1:73" ht="15.75" customHeight="1" x14ac:dyDescent="0.25">
      <c r="A4" s="8" t="s">
        <v>38</v>
      </c>
      <c r="B4" s="8" t="s">
        <v>205</v>
      </c>
      <c r="C4" s="8" t="s">
        <v>40</v>
      </c>
      <c r="D4" s="8" t="s">
        <v>206</v>
      </c>
      <c r="E4" s="8" t="s">
        <v>207</v>
      </c>
      <c r="F4" s="8" t="s">
        <v>43</v>
      </c>
      <c r="G4" s="8" t="s">
        <v>44</v>
      </c>
      <c r="H4" s="8">
        <v>315</v>
      </c>
      <c r="I4" s="8" t="s">
        <v>208</v>
      </c>
      <c r="J4" s="8">
        <v>1</v>
      </c>
      <c r="K4" s="8">
        <v>245</v>
      </c>
      <c r="L4" s="8">
        <v>247</v>
      </c>
      <c r="M4" s="8">
        <v>247</v>
      </c>
      <c r="N4" s="8">
        <v>431</v>
      </c>
      <c r="O4" s="8">
        <v>430</v>
      </c>
      <c r="P4" s="8">
        <v>430</v>
      </c>
      <c r="Q4" s="9" t="s">
        <v>46</v>
      </c>
      <c r="R4" s="16"/>
      <c r="S4" s="10">
        <v>0</v>
      </c>
      <c r="T4" s="10">
        <v>0</v>
      </c>
      <c r="U4" s="10">
        <v>0</v>
      </c>
      <c r="V4" s="11">
        <v>0</v>
      </c>
      <c r="W4" s="12"/>
      <c r="X4" s="17"/>
      <c r="Y4" s="13"/>
      <c r="Z4" s="13"/>
      <c r="AA4" s="13"/>
      <c r="AB4" s="14"/>
      <c r="AC4" s="9"/>
      <c r="AD4" s="16"/>
      <c r="AE4" s="10"/>
      <c r="AF4" s="10"/>
      <c r="AG4" s="10"/>
      <c r="AH4" s="11"/>
      <c r="AI4" s="12"/>
      <c r="AJ4" s="17"/>
      <c r="AK4" s="13"/>
      <c r="AL4" s="13"/>
      <c r="AM4" s="13"/>
      <c r="AN4" s="14"/>
      <c r="AO4" s="9"/>
      <c r="AP4" s="16"/>
      <c r="AQ4" s="10"/>
      <c r="AR4" s="10"/>
      <c r="AS4" s="10"/>
      <c r="AT4" s="11"/>
      <c r="AU4" s="12"/>
      <c r="AV4" s="17"/>
      <c r="AW4" s="13"/>
      <c r="AX4" s="13"/>
      <c r="AY4" s="13"/>
      <c r="AZ4" s="14"/>
      <c r="BA4" s="9"/>
      <c r="BB4" s="16"/>
      <c r="BC4" s="10"/>
      <c r="BD4" s="10"/>
      <c r="BE4" s="10"/>
      <c r="BF4" s="11"/>
      <c r="BG4" s="12"/>
      <c r="BH4" s="17"/>
      <c r="BI4" s="13"/>
      <c r="BJ4" s="13"/>
      <c r="BK4" s="13"/>
      <c r="BL4" s="14"/>
      <c r="BM4" s="8">
        <f t="shared" ref="BM4:BM35" si="0">SUM(S4,Y4,AE4,AK4,AQ4,AW4,BC4,BI4)</f>
        <v>0</v>
      </c>
      <c r="BN4" s="8">
        <f t="shared" ref="BN4:BN35" si="1">SUM(T4,Z4,AF4,AL4,AR4,AX4,BD4,BJ4)</f>
        <v>0</v>
      </c>
      <c r="BO4" s="8">
        <f t="shared" ref="BO4:BO35" si="2">SUM(U4,AA4,AG4,AM4,AS4,AY4,BE4,BK4)</f>
        <v>0</v>
      </c>
      <c r="BP4" s="8">
        <f t="shared" ref="BP4:BP35" si="3">SUM(V4,AB4,AH4,AN4,AT4,AZ4,BF4,BL4)</f>
        <v>0</v>
      </c>
      <c r="BQ4" s="8">
        <f t="shared" ref="BQ4:BQ35" si="4">MAX(BM4:BO4)</f>
        <v>0</v>
      </c>
      <c r="BR4" s="8">
        <f t="shared" ref="BR4:BR35" si="5">MIN(BM4:BO4)</f>
        <v>0</v>
      </c>
      <c r="BS4" s="15">
        <f t="shared" ref="BS4:BS35" si="6">IF(H4&gt;0,(BQ4*SQRT(3)*IF(N4&gt;0,N4,IF(O4&gt;0,O4,IF(P4&gt;0,P4,415)))/(H4*1000))*100,0)</f>
        <v>0</v>
      </c>
      <c r="BT4" s="15" t="str">
        <f t="shared" ref="BT4:BT35" si="7">IF(BS4&gt;70,"Upgrade","OK - No Upgrade")</f>
        <v>OK - No Upgrade</v>
      </c>
      <c r="BU4" s="15" t="str">
        <f t="shared" ref="BU4:BU35" si="8">IF(IF(AVERAGE(BM4:BO4)&gt;0,((BQ4-AVERAGE(BM4:BO4))/AVERAGE(BM4:BO4))*100,0)&gt;10,"Need to Balance","OK - Balanced")</f>
        <v>OK - Balanced</v>
      </c>
    </row>
    <row r="5" spans="1:73" ht="15.75" customHeight="1" x14ac:dyDescent="0.25">
      <c r="A5" s="8" t="s">
        <v>38</v>
      </c>
      <c r="B5" s="8" t="s">
        <v>205</v>
      </c>
      <c r="C5" s="8" t="s">
        <v>40</v>
      </c>
      <c r="D5" s="8" t="s">
        <v>209</v>
      </c>
      <c r="E5" s="8" t="s">
        <v>210</v>
      </c>
      <c r="F5" s="8" t="s">
        <v>56</v>
      </c>
      <c r="G5" s="8" t="s">
        <v>44</v>
      </c>
      <c r="H5" s="8">
        <v>1000</v>
      </c>
      <c r="I5" s="8" t="s">
        <v>211</v>
      </c>
      <c r="J5" s="8">
        <v>1</v>
      </c>
      <c r="K5" s="8">
        <v>248</v>
      </c>
      <c r="L5" s="8">
        <v>249</v>
      </c>
      <c r="M5" s="8">
        <v>249</v>
      </c>
      <c r="N5" s="8">
        <v>425</v>
      </c>
      <c r="O5" s="8">
        <v>426</v>
      </c>
      <c r="P5" s="8">
        <v>424</v>
      </c>
      <c r="Q5" s="9"/>
      <c r="R5" s="16"/>
      <c r="S5" s="10"/>
      <c r="T5" s="10"/>
      <c r="U5" s="10"/>
      <c r="V5" s="11"/>
      <c r="W5" s="12"/>
      <c r="X5" s="17"/>
      <c r="Y5" s="13"/>
      <c r="Z5" s="13"/>
      <c r="AA5" s="13"/>
      <c r="AB5" s="14"/>
      <c r="AC5" s="9"/>
      <c r="AD5" s="16"/>
      <c r="AE5" s="10"/>
      <c r="AF5" s="10"/>
      <c r="AG5" s="10"/>
      <c r="AH5" s="11"/>
      <c r="AI5" s="12" t="s">
        <v>46</v>
      </c>
      <c r="AJ5" s="17"/>
      <c r="AK5" s="13">
        <v>143</v>
      </c>
      <c r="AL5" s="13">
        <v>115</v>
      </c>
      <c r="AM5" s="13">
        <v>128</v>
      </c>
      <c r="AN5" s="14">
        <v>29</v>
      </c>
      <c r="AO5" s="9" t="s">
        <v>46</v>
      </c>
      <c r="AP5" s="16"/>
      <c r="AQ5" s="10">
        <v>88</v>
      </c>
      <c r="AR5" s="10">
        <v>42</v>
      </c>
      <c r="AS5" s="10">
        <v>61</v>
      </c>
      <c r="AT5" s="11">
        <v>52</v>
      </c>
      <c r="AU5" s="12" t="s">
        <v>47</v>
      </c>
      <c r="AV5" s="17"/>
      <c r="AW5" s="13">
        <v>59</v>
      </c>
      <c r="AX5" s="13">
        <v>47</v>
      </c>
      <c r="AY5" s="13">
        <v>76</v>
      </c>
      <c r="AZ5" s="14">
        <v>34</v>
      </c>
      <c r="BA5" s="9" t="s">
        <v>46</v>
      </c>
      <c r="BB5" s="16"/>
      <c r="BC5" s="10">
        <v>24</v>
      </c>
      <c r="BD5" s="10">
        <v>46</v>
      </c>
      <c r="BE5" s="10">
        <v>33</v>
      </c>
      <c r="BF5" s="11">
        <v>15</v>
      </c>
      <c r="BG5" s="12" t="s">
        <v>46</v>
      </c>
      <c r="BH5" s="17"/>
      <c r="BI5" s="13">
        <v>54</v>
      </c>
      <c r="BJ5" s="13">
        <v>27</v>
      </c>
      <c r="BK5" s="13">
        <v>87</v>
      </c>
      <c r="BL5" s="14">
        <v>52</v>
      </c>
      <c r="BM5" s="8">
        <f t="shared" si="0"/>
        <v>368</v>
      </c>
      <c r="BN5" s="8">
        <f t="shared" si="1"/>
        <v>277</v>
      </c>
      <c r="BO5" s="8">
        <f t="shared" si="2"/>
        <v>385</v>
      </c>
      <c r="BP5" s="8">
        <f t="shared" si="3"/>
        <v>182</v>
      </c>
      <c r="BQ5" s="8">
        <f t="shared" si="4"/>
        <v>385</v>
      </c>
      <c r="BR5" s="8">
        <f t="shared" si="5"/>
        <v>277</v>
      </c>
      <c r="BS5" s="15">
        <f t="shared" si="6"/>
        <v>28.340681338845751</v>
      </c>
      <c r="BT5" s="15" t="str">
        <f t="shared" si="7"/>
        <v>OK - No Upgrade</v>
      </c>
      <c r="BU5" s="15" t="str">
        <f t="shared" si="8"/>
        <v>Need to Balance</v>
      </c>
    </row>
    <row r="6" spans="1:73" ht="15.75" customHeight="1" x14ac:dyDescent="0.25">
      <c r="A6" s="8" t="s">
        <v>38</v>
      </c>
      <c r="B6" s="8" t="s">
        <v>205</v>
      </c>
      <c r="C6" s="8" t="s">
        <v>40</v>
      </c>
      <c r="D6" s="8" t="s">
        <v>212</v>
      </c>
      <c r="E6" s="8" t="s">
        <v>213</v>
      </c>
      <c r="F6" s="8" t="s">
        <v>56</v>
      </c>
      <c r="G6" s="8" t="s">
        <v>44</v>
      </c>
      <c r="H6" s="8">
        <v>1000</v>
      </c>
      <c r="I6" s="8" t="s">
        <v>214</v>
      </c>
      <c r="J6" s="8">
        <v>1</v>
      </c>
      <c r="K6" s="8">
        <v>245</v>
      </c>
      <c r="L6" s="8">
        <v>248</v>
      </c>
      <c r="M6" s="8">
        <v>247</v>
      </c>
      <c r="N6" s="8">
        <v>425</v>
      </c>
      <c r="O6" s="8">
        <v>424</v>
      </c>
      <c r="P6" s="8">
        <v>425</v>
      </c>
      <c r="Q6" s="9"/>
      <c r="R6" s="16"/>
      <c r="S6" s="10"/>
      <c r="T6" s="10"/>
      <c r="U6" s="10"/>
      <c r="V6" s="11"/>
      <c r="W6" s="12"/>
      <c r="X6" s="17"/>
      <c r="Y6" s="13"/>
      <c r="Z6" s="13"/>
      <c r="AA6" s="13"/>
      <c r="AB6" s="14"/>
      <c r="AC6" s="9" t="s">
        <v>47</v>
      </c>
      <c r="AD6" s="16"/>
      <c r="AE6" s="10">
        <v>144</v>
      </c>
      <c r="AF6" s="10">
        <v>150</v>
      </c>
      <c r="AG6" s="10">
        <v>120</v>
      </c>
      <c r="AH6" s="11">
        <v>37</v>
      </c>
      <c r="AI6" s="12" t="s">
        <v>47</v>
      </c>
      <c r="AJ6" s="17"/>
      <c r="AK6" s="13">
        <v>8</v>
      </c>
      <c r="AL6" s="13">
        <v>12</v>
      </c>
      <c r="AM6" s="13">
        <v>10</v>
      </c>
      <c r="AN6" s="14">
        <v>4</v>
      </c>
      <c r="AO6" s="9" t="s">
        <v>46</v>
      </c>
      <c r="AP6" s="16"/>
      <c r="AQ6" s="10">
        <v>31</v>
      </c>
      <c r="AR6" s="10">
        <v>28</v>
      </c>
      <c r="AS6" s="10">
        <v>18</v>
      </c>
      <c r="AT6" s="11">
        <v>35</v>
      </c>
      <c r="AU6" s="12" t="s">
        <v>47</v>
      </c>
      <c r="AV6" s="17"/>
      <c r="AW6" s="13">
        <v>125</v>
      </c>
      <c r="AX6" s="13">
        <v>126</v>
      </c>
      <c r="AY6" s="13">
        <v>76</v>
      </c>
      <c r="AZ6" s="14">
        <v>68</v>
      </c>
      <c r="BA6" s="9" t="s">
        <v>47</v>
      </c>
      <c r="BB6" s="16"/>
      <c r="BC6" s="10">
        <v>54</v>
      </c>
      <c r="BD6" s="10">
        <v>83</v>
      </c>
      <c r="BE6" s="10">
        <v>51</v>
      </c>
      <c r="BF6" s="11">
        <v>33</v>
      </c>
      <c r="BG6" s="12" t="s">
        <v>47</v>
      </c>
      <c r="BH6" s="17"/>
      <c r="BI6" s="13">
        <v>14</v>
      </c>
      <c r="BJ6" s="13">
        <v>13</v>
      </c>
      <c r="BK6" s="13">
        <v>13</v>
      </c>
      <c r="BL6" s="14">
        <v>4</v>
      </c>
      <c r="BM6" s="8">
        <f t="shared" si="0"/>
        <v>376</v>
      </c>
      <c r="BN6" s="8">
        <f t="shared" si="1"/>
        <v>412</v>
      </c>
      <c r="BO6" s="8">
        <f t="shared" si="2"/>
        <v>288</v>
      </c>
      <c r="BP6" s="8">
        <f t="shared" si="3"/>
        <v>181</v>
      </c>
      <c r="BQ6" s="8">
        <f t="shared" si="4"/>
        <v>412</v>
      </c>
      <c r="BR6" s="8">
        <f t="shared" si="5"/>
        <v>288</v>
      </c>
      <c r="BS6" s="15">
        <f t="shared" si="6"/>
        <v>30.328209640531039</v>
      </c>
      <c r="BT6" s="15" t="str">
        <f t="shared" si="7"/>
        <v>OK - No Upgrade</v>
      </c>
      <c r="BU6" s="15" t="str">
        <f t="shared" si="8"/>
        <v>Need to Balance</v>
      </c>
    </row>
    <row r="7" spans="1:73" ht="15.75" customHeight="1" x14ac:dyDescent="0.25">
      <c r="A7" s="8" t="s">
        <v>38</v>
      </c>
      <c r="B7" s="8" t="s">
        <v>205</v>
      </c>
      <c r="C7" s="8" t="s">
        <v>40</v>
      </c>
      <c r="D7" s="8" t="s">
        <v>215</v>
      </c>
      <c r="E7" s="8" t="s">
        <v>216</v>
      </c>
      <c r="F7" s="8" t="s">
        <v>56</v>
      </c>
      <c r="G7" s="8" t="s">
        <v>44</v>
      </c>
      <c r="H7" s="8">
        <v>1000</v>
      </c>
      <c r="I7" s="8" t="s">
        <v>217</v>
      </c>
      <c r="J7" s="8">
        <v>1</v>
      </c>
      <c r="K7" s="8">
        <v>246</v>
      </c>
      <c r="L7" s="8">
        <v>248</v>
      </c>
      <c r="M7" s="8">
        <v>250</v>
      </c>
      <c r="N7" s="8">
        <v>425</v>
      </c>
      <c r="O7" s="8">
        <v>426</v>
      </c>
      <c r="P7" s="8">
        <v>428</v>
      </c>
      <c r="Q7" s="9"/>
      <c r="R7" s="16"/>
      <c r="S7" s="10"/>
      <c r="T7" s="10"/>
      <c r="U7" s="10"/>
      <c r="V7" s="11"/>
      <c r="W7" s="12" t="s">
        <v>47</v>
      </c>
      <c r="X7" s="17"/>
      <c r="Y7" s="13">
        <v>125</v>
      </c>
      <c r="Z7" s="13">
        <v>137</v>
      </c>
      <c r="AA7" s="13">
        <v>103</v>
      </c>
      <c r="AB7" s="14">
        <v>33</v>
      </c>
      <c r="AC7" s="9" t="s">
        <v>47</v>
      </c>
      <c r="AD7" s="16"/>
      <c r="AE7" s="10">
        <v>3</v>
      </c>
      <c r="AF7" s="10">
        <v>16</v>
      </c>
      <c r="AG7" s="10">
        <v>6</v>
      </c>
      <c r="AH7" s="11">
        <v>7</v>
      </c>
      <c r="AI7" s="12" t="s">
        <v>46</v>
      </c>
      <c r="AJ7" s="17"/>
      <c r="AK7" s="13">
        <v>56</v>
      </c>
      <c r="AL7" s="13">
        <v>73</v>
      </c>
      <c r="AM7" s="13">
        <v>20</v>
      </c>
      <c r="AN7" s="14">
        <v>40</v>
      </c>
      <c r="AO7" s="9" t="s">
        <v>46</v>
      </c>
      <c r="AP7" s="16"/>
      <c r="AQ7" s="10">
        <v>40</v>
      </c>
      <c r="AR7" s="10">
        <v>49</v>
      </c>
      <c r="AS7" s="10">
        <v>24</v>
      </c>
      <c r="AT7" s="11">
        <v>19</v>
      </c>
      <c r="AU7" s="12" t="s">
        <v>46</v>
      </c>
      <c r="AV7" s="17"/>
      <c r="AW7" s="13">
        <v>129</v>
      </c>
      <c r="AX7" s="13">
        <v>54</v>
      </c>
      <c r="AY7" s="13">
        <v>107</v>
      </c>
      <c r="AZ7" s="14">
        <v>60</v>
      </c>
      <c r="BA7" s="9" t="s">
        <v>47</v>
      </c>
      <c r="BB7" s="16"/>
      <c r="BC7" s="10">
        <v>129</v>
      </c>
      <c r="BD7" s="10">
        <v>108</v>
      </c>
      <c r="BE7" s="10">
        <v>59</v>
      </c>
      <c r="BF7" s="11">
        <v>56</v>
      </c>
      <c r="BG7" s="12" t="s">
        <v>47</v>
      </c>
      <c r="BH7" s="17"/>
      <c r="BI7" s="13">
        <v>10</v>
      </c>
      <c r="BJ7" s="13">
        <v>16</v>
      </c>
      <c r="BK7" s="13">
        <v>12</v>
      </c>
      <c r="BL7" s="14">
        <v>8</v>
      </c>
      <c r="BM7" s="8">
        <f t="shared" si="0"/>
        <v>492</v>
      </c>
      <c r="BN7" s="8">
        <f t="shared" si="1"/>
        <v>453</v>
      </c>
      <c r="BO7" s="8">
        <f t="shared" si="2"/>
        <v>331</v>
      </c>
      <c r="BP7" s="8">
        <f t="shared" si="3"/>
        <v>223</v>
      </c>
      <c r="BQ7" s="8">
        <f t="shared" si="4"/>
        <v>492</v>
      </c>
      <c r="BR7" s="8">
        <f t="shared" si="5"/>
        <v>331</v>
      </c>
      <c r="BS7" s="15">
        <f t="shared" si="6"/>
        <v>36.217182386265215</v>
      </c>
      <c r="BT7" s="15" t="str">
        <f t="shared" si="7"/>
        <v>OK - No Upgrade</v>
      </c>
      <c r="BU7" s="15" t="str">
        <f t="shared" si="8"/>
        <v>Need to Balance</v>
      </c>
    </row>
    <row r="8" spans="1:73" ht="15.75" customHeight="1" x14ac:dyDescent="0.25">
      <c r="A8" s="8" t="s">
        <v>38</v>
      </c>
      <c r="B8" s="8" t="s">
        <v>205</v>
      </c>
      <c r="C8" s="8" t="s">
        <v>40</v>
      </c>
      <c r="D8" s="8"/>
      <c r="E8" s="8" t="s">
        <v>218</v>
      </c>
      <c r="F8" s="8" t="s">
        <v>56</v>
      </c>
      <c r="G8" s="8" t="s">
        <v>44</v>
      </c>
      <c r="H8" s="8">
        <v>1000</v>
      </c>
      <c r="I8" s="8" t="s">
        <v>219</v>
      </c>
      <c r="J8" s="8">
        <v>1</v>
      </c>
      <c r="K8" s="8">
        <v>247</v>
      </c>
      <c r="L8" s="8">
        <v>249</v>
      </c>
      <c r="M8" s="8">
        <v>249</v>
      </c>
      <c r="N8" s="8">
        <v>433</v>
      </c>
      <c r="O8" s="8">
        <v>437</v>
      </c>
      <c r="P8" s="8">
        <v>435</v>
      </c>
      <c r="Q8" s="9"/>
      <c r="R8" s="16"/>
      <c r="S8" s="10"/>
      <c r="T8" s="10"/>
      <c r="U8" s="10"/>
      <c r="V8" s="11"/>
      <c r="W8" s="12" t="s">
        <v>47</v>
      </c>
      <c r="X8" s="17"/>
      <c r="Y8" s="13">
        <v>22</v>
      </c>
      <c r="Z8" s="13">
        <v>42</v>
      </c>
      <c r="AA8" s="13">
        <v>37</v>
      </c>
      <c r="AB8" s="14">
        <v>73</v>
      </c>
      <c r="AC8" s="9" t="s">
        <v>46</v>
      </c>
      <c r="AD8" s="16"/>
      <c r="AE8" s="10">
        <v>23</v>
      </c>
      <c r="AF8" s="10">
        <v>30</v>
      </c>
      <c r="AG8" s="10">
        <v>38</v>
      </c>
      <c r="AH8" s="11">
        <v>12</v>
      </c>
      <c r="AI8" s="12" t="s">
        <v>46</v>
      </c>
      <c r="AJ8" s="17"/>
      <c r="AK8" s="13">
        <v>0</v>
      </c>
      <c r="AL8" s="13">
        <v>0</v>
      </c>
      <c r="AM8" s="13">
        <v>0</v>
      </c>
      <c r="AN8" s="14">
        <v>0</v>
      </c>
      <c r="AO8" s="9" t="s">
        <v>46</v>
      </c>
      <c r="AP8" s="16"/>
      <c r="AQ8" s="10">
        <v>118</v>
      </c>
      <c r="AR8" s="10">
        <v>121</v>
      </c>
      <c r="AS8" s="10">
        <v>180</v>
      </c>
      <c r="AT8" s="11">
        <v>35</v>
      </c>
      <c r="AU8" s="12" t="s">
        <v>47</v>
      </c>
      <c r="AV8" s="17"/>
      <c r="AW8" s="13">
        <v>26</v>
      </c>
      <c r="AX8" s="13">
        <v>7</v>
      </c>
      <c r="AY8" s="13">
        <v>66</v>
      </c>
      <c r="AZ8" s="14">
        <v>44</v>
      </c>
      <c r="BA8" s="9" t="s">
        <v>47</v>
      </c>
      <c r="BB8" s="16"/>
      <c r="BC8" s="10">
        <v>81</v>
      </c>
      <c r="BD8" s="10">
        <v>72</v>
      </c>
      <c r="BE8" s="10">
        <v>76</v>
      </c>
      <c r="BF8" s="11">
        <v>51</v>
      </c>
      <c r="BG8" s="12" t="s">
        <v>46</v>
      </c>
      <c r="BH8" s="17"/>
      <c r="BI8" s="13">
        <v>146</v>
      </c>
      <c r="BJ8" s="13">
        <v>192</v>
      </c>
      <c r="BK8" s="13">
        <v>134</v>
      </c>
      <c r="BL8" s="14">
        <v>51</v>
      </c>
      <c r="BM8" s="8">
        <f t="shared" si="0"/>
        <v>416</v>
      </c>
      <c r="BN8" s="8">
        <f t="shared" si="1"/>
        <v>464</v>
      </c>
      <c r="BO8" s="8">
        <f t="shared" si="2"/>
        <v>531</v>
      </c>
      <c r="BP8" s="8">
        <f t="shared" si="3"/>
        <v>266</v>
      </c>
      <c r="BQ8" s="8">
        <f t="shared" si="4"/>
        <v>531</v>
      </c>
      <c r="BR8" s="8">
        <f t="shared" si="5"/>
        <v>416</v>
      </c>
      <c r="BS8" s="15">
        <f t="shared" si="6"/>
        <v>39.823831782865895</v>
      </c>
      <c r="BT8" s="15" t="str">
        <f t="shared" si="7"/>
        <v>OK - No Upgrade</v>
      </c>
      <c r="BU8" s="15" t="str">
        <f t="shared" si="8"/>
        <v>Need to Balance</v>
      </c>
    </row>
    <row r="9" spans="1:73" ht="15.75" customHeight="1" x14ac:dyDescent="0.25">
      <c r="A9" s="8" t="s">
        <v>38</v>
      </c>
      <c r="B9" s="8" t="s">
        <v>205</v>
      </c>
      <c r="C9" s="8" t="s">
        <v>40</v>
      </c>
      <c r="D9" s="8"/>
      <c r="E9" s="8" t="s">
        <v>220</v>
      </c>
      <c r="F9" s="8" t="s">
        <v>43</v>
      </c>
      <c r="G9" s="8" t="s">
        <v>44</v>
      </c>
      <c r="H9" s="8">
        <v>315</v>
      </c>
      <c r="I9" s="8" t="s">
        <v>221</v>
      </c>
      <c r="J9" s="8">
        <v>1</v>
      </c>
      <c r="K9" s="8">
        <v>249</v>
      </c>
      <c r="L9" s="8">
        <v>246</v>
      </c>
      <c r="M9" s="8">
        <v>245</v>
      </c>
      <c r="N9" s="8">
        <v>431</v>
      </c>
      <c r="O9" s="8">
        <v>435</v>
      </c>
      <c r="P9" s="8">
        <v>433</v>
      </c>
      <c r="Q9" s="9" t="s">
        <v>47</v>
      </c>
      <c r="R9" s="16"/>
      <c r="S9" s="10">
        <v>91</v>
      </c>
      <c r="T9" s="10">
        <v>55</v>
      </c>
      <c r="U9" s="10">
        <v>61</v>
      </c>
      <c r="V9" s="11">
        <v>34</v>
      </c>
      <c r="W9" s="12"/>
      <c r="X9" s="17"/>
      <c r="Y9" s="13"/>
      <c r="Z9" s="13"/>
      <c r="AA9" s="13"/>
      <c r="AB9" s="14"/>
      <c r="AC9" s="9"/>
      <c r="AD9" s="16"/>
      <c r="AE9" s="10"/>
      <c r="AF9" s="10"/>
      <c r="AG9" s="10"/>
      <c r="AH9" s="11"/>
      <c r="AI9" s="12"/>
      <c r="AJ9" s="17"/>
      <c r="AK9" s="13"/>
      <c r="AL9" s="13"/>
      <c r="AM9" s="13"/>
      <c r="AN9" s="14"/>
      <c r="AO9" s="9"/>
      <c r="AP9" s="16"/>
      <c r="AQ9" s="10"/>
      <c r="AR9" s="10"/>
      <c r="AS9" s="10"/>
      <c r="AT9" s="11"/>
      <c r="AU9" s="12"/>
      <c r="AV9" s="17"/>
      <c r="AW9" s="13"/>
      <c r="AX9" s="13"/>
      <c r="AY9" s="13"/>
      <c r="AZ9" s="14"/>
      <c r="BA9" s="9"/>
      <c r="BB9" s="16"/>
      <c r="BC9" s="10"/>
      <c r="BD9" s="10"/>
      <c r="BE9" s="10"/>
      <c r="BF9" s="11"/>
      <c r="BG9" s="12"/>
      <c r="BH9" s="17"/>
      <c r="BI9" s="13"/>
      <c r="BJ9" s="13"/>
      <c r="BK9" s="13"/>
      <c r="BL9" s="14"/>
      <c r="BM9" s="8">
        <f t="shared" si="0"/>
        <v>91</v>
      </c>
      <c r="BN9" s="8">
        <f t="shared" si="1"/>
        <v>55</v>
      </c>
      <c r="BO9" s="8">
        <f t="shared" si="2"/>
        <v>61</v>
      </c>
      <c r="BP9" s="8">
        <f t="shared" si="3"/>
        <v>34</v>
      </c>
      <c r="BQ9" s="8">
        <f t="shared" si="4"/>
        <v>91</v>
      </c>
      <c r="BR9" s="8">
        <f t="shared" si="5"/>
        <v>55</v>
      </c>
      <c r="BS9" s="15">
        <f t="shared" si="6"/>
        <v>21.565957055129822</v>
      </c>
      <c r="BT9" s="15" t="str">
        <f t="shared" si="7"/>
        <v>OK - No Upgrade</v>
      </c>
      <c r="BU9" s="15" t="str">
        <f t="shared" si="8"/>
        <v>Need to Balance</v>
      </c>
    </row>
    <row r="10" spans="1:73" ht="15.75" customHeight="1" x14ac:dyDescent="0.25">
      <c r="A10" s="8" t="s">
        <v>38</v>
      </c>
      <c r="B10" s="8" t="s">
        <v>205</v>
      </c>
      <c r="C10" s="8" t="s">
        <v>40</v>
      </c>
      <c r="D10" s="8" t="s">
        <v>222</v>
      </c>
      <c r="E10" s="8" t="s">
        <v>223</v>
      </c>
      <c r="F10" s="8" t="s">
        <v>43</v>
      </c>
      <c r="G10" s="8" t="s">
        <v>44</v>
      </c>
      <c r="H10" s="8">
        <v>200</v>
      </c>
      <c r="I10" s="8" t="s">
        <v>224</v>
      </c>
      <c r="J10" s="8">
        <v>1</v>
      </c>
      <c r="K10" s="8">
        <v>244</v>
      </c>
      <c r="L10" s="8">
        <v>243</v>
      </c>
      <c r="M10" s="8">
        <v>248</v>
      </c>
      <c r="N10" s="8">
        <v>426</v>
      </c>
      <c r="O10" s="8">
        <v>424</v>
      </c>
      <c r="P10" s="8">
        <v>426</v>
      </c>
      <c r="Q10" s="9" t="s">
        <v>47</v>
      </c>
      <c r="R10" s="16"/>
      <c r="S10" s="10">
        <v>144</v>
      </c>
      <c r="T10" s="10">
        <v>131</v>
      </c>
      <c r="U10" s="10">
        <v>139</v>
      </c>
      <c r="V10" s="11">
        <v>25</v>
      </c>
      <c r="W10" s="12"/>
      <c r="X10" s="17"/>
      <c r="Y10" s="13"/>
      <c r="Z10" s="13"/>
      <c r="AA10" s="13"/>
      <c r="AB10" s="14"/>
      <c r="AC10" s="9"/>
      <c r="AD10" s="16"/>
      <c r="AE10" s="10"/>
      <c r="AF10" s="10"/>
      <c r="AG10" s="10"/>
      <c r="AH10" s="11"/>
      <c r="AI10" s="12"/>
      <c r="AJ10" s="17"/>
      <c r="AK10" s="13"/>
      <c r="AL10" s="13"/>
      <c r="AM10" s="13"/>
      <c r="AN10" s="14"/>
      <c r="AO10" s="9"/>
      <c r="AP10" s="16"/>
      <c r="AQ10" s="10"/>
      <c r="AR10" s="10"/>
      <c r="AS10" s="10"/>
      <c r="AT10" s="11"/>
      <c r="AU10" s="12"/>
      <c r="AV10" s="17"/>
      <c r="AW10" s="13"/>
      <c r="AX10" s="13"/>
      <c r="AY10" s="13"/>
      <c r="AZ10" s="14"/>
      <c r="BA10" s="9"/>
      <c r="BB10" s="16"/>
      <c r="BC10" s="10"/>
      <c r="BD10" s="10"/>
      <c r="BE10" s="10"/>
      <c r="BF10" s="11"/>
      <c r="BG10" s="12"/>
      <c r="BH10" s="17"/>
      <c r="BI10" s="13"/>
      <c r="BJ10" s="13"/>
      <c r="BK10" s="13"/>
      <c r="BL10" s="14"/>
      <c r="BM10" s="8">
        <f t="shared" si="0"/>
        <v>144</v>
      </c>
      <c r="BN10" s="8">
        <f t="shared" si="1"/>
        <v>131</v>
      </c>
      <c r="BO10" s="8">
        <f t="shared" si="2"/>
        <v>139</v>
      </c>
      <c r="BP10" s="8">
        <f t="shared" si="3"/>
        <v>25</v>
      </c>
      <c r="BQ10" s="8">
        <f t="shared" si="4"/>
        <v>144</v>
      </c>
      <c r="BR10" s="8">
        <f t="shared" si="5"/>
        <v>131</v>
      </c>
      <c r="BS10" s="15">
        <f t="shared" si="6"/>
        <v>53.125462369752597</v>
      </c>
      <c r="BT10" s="15" t="str">
        <f t="shared" si="7"/>
        <v>OK - No Upgrade</v>
      </c>
      <c r="BU10" s="15" t="str">
        <f t="shared" si="8"/>
        <v>OK - Balanced</v>
      </c>
    </row>
    <row r="11" spans="1:73" ht="15.75" customHeight="1" x14ac:dyDescent="0.25">
      <c r="A11" s="8" t="s">
        <v>38</v>
      </c>
      <c r="B11" s="8" t="s">
        <v>205</v>
      </c>
      <c r="C11" s="8" t="s">
        <v>40</v>
      </c>
      <c r="D11" s="8" t="s">
        <v>225</v>
      </c>
      <c r="E11" s="8" t="s">
        <v>226</v>
      </c>
      <c r="F11" s="8" t="s">
        <v>56</v>
      </c>
      <c r="G11" s="8" t="s">
        <v>44</v>
      </c>
      <c r="H11" s="8">
        <v>1000</v>
      </c>
      <c r="I11" s="8" t="s">
        <v>227</v>
      </c>
      <c r="J11" s="8">
        <v>1</v>
      </c>
      <c r="K11" s="8">
        <v>250</v>
      </c>
      <c r="L11" s="8">
        <v>251</v>
      </c>
      <c r="M11" s="8">
        <v>254</v>
      </c>
      <c r="N11" s="8">
        <v>433</v>
      </c>
      <c r="O11" s="8">
        <v>435</v>
      </c>
      <c r="P11" s="8">
        <v>440</v>
      </c>
      <c r="Q11" s="9" t="s">
        <v>47</v>
      </c>
      <c r="R11" s="16"/>
      <c r="S11" s="10">
        <v>109</v>
      </c>
      <c r="T11" s="10">
        <v>159</v>
      </c>
      <c r="U11" s="10">
        <v>123</v>
      </c>
      <c r="V11" s="11">
        <v>40</v>
      </c>
      <c r="W11" s="12"/>
      <c r="X11" s="17"/>
      <c r="Y11" s="13"/>
      <c r="Z11" s="13"/>
      <c r="AA11" s="13"/>
      <c r="AB11" s="14"/>
      <c r="AC11" s="9" t="s">
        <v>47</v>
      </c>
      <c r="AD11" s="16"/>
      <c r="AE11" s="10">
        <v>205</v>
      </c>
      <c r="AF11" s="10">
        <v>97</v>
      </c>
      <c r="AG11" s="10">
        <v>81</v>
      </c>
      <c r="AH11" s="11">
        <v>38</v>
      </c>
      <c r="AI11" s="12" t="s">
        <v>47</v>
      </c>
      <c r="AJ11" s="17"/>
      <c r="AK11" s="13">
        <v>27</v>
      </c>
      <c r="AL11" s="13">
        <v>0</v>
      </c>
      <c r="AM11" s="13">
        <v>6</v>
      </c>
      <c r="AN11" s="14">
        <v>47</v>
      </c>
      <c r="AO11" s="9" t="s">
        <v>47</v>
      </c>
      <c r="AP11" s="16"/>
      <c r="AQ11" s="10">
        <v>109</v>
      </c>
      <c r="AR11" s="10">
        <v>128</v>
      </c>
      <c r="AS11" s="10">
        <v>126</v>
      </c>
      <c r="AT11" s="11">
        <v>23</v>
      </c>
      <c r="AU11" s="12" t="s">
        <v>47</v>
      </c>
      <c r="AV11" s="17"/>
      <c r="AW11" s="13">
        <v>58</v>
      </c>
      <c r="AX11" s="13">
        <v>58</v>
      </c>
      <c r="AY11" s="13">
        <v>29</v>
      </c>
      <c r="AZ11" s="14">
        <v>32</v>
      </c>
      <c r="BA11" s="9" t="s">
        <v>47</v>
      </c>
      <c r="BB11" s="16"/>
      <c r="BC11" s="10">
        <v>79</v>
      </c>
      <c r="BD11" s="10">
        <v>86</v>
      </c>
      <c r="BE11" s="10">
        <v>43</v>
      </c>
      <c r="BF11" s="11">
        <v>40</v>
      </c>
      <c r="BG11" s="12"/>
      <c r="BH11" s="17"/>
      <c r="BI11" s="13"/>
      <c r="BJ11" s="13"/>
      <c r="BK11" s="13"/>
      <c r="BL11" s="14"/>
      <c r="BM11" s="8">
        <f t="shared" si="0"/>
        <v>587</v>
      </c>
      <c r="BN11" s="8">
        <f t="shared" si="1"/>
        <v>528</v>
      </c>
      <c r="BO11" s="8">
        <f t="shared" si="2"/>
        <v>408</v>
      </c>
      <c r="BP11" s="8">
        <f t="shared" si="3"/>
        <v>220</v>
      </c>
      <c r="BQ11" s="8">
        <f t="shared" si="4"/>
        <v>587</v>
      </c>
      <c r="BR11" s="8">
        <f t="shared" si="5"/>
        <v>408</v>
      </c>
      <c r="BS11" s="15">
        <f t="shared" si="6"/>
        <v>44.023708581058905</v>
      </c>
      <c r="BT11" s="15" t="str">
        <f t="shared" si="7"/>
        <v>OK - No Upgrade</v>
      </c>
      <c r="BU11" s="15" t="str">
        <f t="shared" si="8"/>
        <v>Need to Balance</v>
      </c>
    </row>
    <row r="12" spans="1:73" ht="15.75" customHeight="1" x14ac:dyDescent="0.25">
      <c r="A12" s="8" t="s">
        <v>38</v>
      </c>
      <c r="B12" s="8" t="s">
        <v>205</v>
      </c>
      <c r="C12" s="8" t="s">
        <v>40</v>
      </c>
      <c r="D12" s="8" t="s">
        <v>228</v>
      </c>
      <c r="E12" s="8" t="s">
        <v>229</v>
      </c>
      <c r="F12" s="8" t="s">
        <v>56</v>
      </c>
      <c r="G12" s="8" t="s">
        <v>44</v>
      </c>
      <c r="H12" s="8">
        <v>1000</v>
      </c>
      <c r="I12" s="8" t="s">
        <v>230</v>
      </c>
      <c r="J12" s="8">
        <v>1</v>
      </c>
      <c r="K12" s="8">
        <v>246</v>
      </c>
      <c r="L12" s="8">
        <v>245</v>
      </c>
      <c r="M12" s="8">
        <v>250</v>
      </c>
      <c r="N12" s="8">
        <v>425</v>
      </c>
      <c r="O12" s="8">
        <v>432</v>
      </c>
      <c r="P12" s="8">
        <v>433</v>
      </c>
      <c r="Q12" s="9" t="s">
        <v>47</v>
      </c>
      <c r="R12" s="16"/>
      <c r="S12" s="10">
        <v>58</v>
      </c>
      <c r="T12" s="10">
        <v>49</v>
      </c>
      <c r="U12" s="10">
        <v>125</v>
      </c>
      <c r="V12" s="11">
        <v>32</v>
      </c>
      <c r="W12" s="12" t="s">
        <v>47</v>
      </c>
      <c r="X12" s="17"/>
      <c r="Y12" s="13">
        <v>85</v>
      </c>
      <c r="Z12" s="13">
        <v>61</v>
      </c>
      <c r="AA12" s="13">
        <v>86</v>
      </c>
      <c r="AB12" s="14">
        <v>43</v>
      </c>
      <c r="AC12" s="9" t="s">
        <v>47</v>
      </c>
      <c r="AD12" s="16"/>
      <c r="AE12" s="10">
        <v>73</v>
      </c>
      <c r="AF12" s="10">
        <v>84</v>
      </c>
      <c r="AG12" s="10">
        <v>53</v>
      </c>
      <c r="AH12" s="11">
        <v>28</v>
      </c>
      <c r="AI12" s="12" t="s">
        <v>47</v>
      </c>
      <c r="AJ12" s="17"/>
      <c r="AK12" s="13">
        <v>47</v>
      </c>
      <c r="AL12" s="13">
        <v>46</v>
      </c>
      <c r="AM12" s="13">
        <v>31</v>
      </c>
      <c r="AN12" s="14">
        <v>22</v>
      </c>
      <c r="AO12" s="9" t="s">
        <v>47</v>
      </c>
      <c r="AP12" s="16"/>
      <c r="AQ12" s="10">
        <v>95</v>
      </c>
      <c r="AR12" s="10">
        <v>82</v>
      </c>
      <c r="AS12" s="10">
        <v>94</v>
      </c>
      <c r="AT12" s="11">
        <v>14</v>
      </c>
      <c r="AU12" s="12" t="s">
        <v>70</v>
      </c>
      <c r="AV12" s="17"/>
      <c r="AW12" s="13">
        <v>43</v>
      </c>
      <c r="AX12" s="13">
        <v>29</v>
      </c>
      <c r="AY12" s="13">
        <v>155</v>
      </c>
      <c r="AZ12" s="14">
        <v>100</v>
      </c>
      <c r="BA12" s="9"/>
      <c r="BB12" s="16"/>
      <c r="BC12" s="10"/>
      <c r="BD12" s="10"/>
      <c r="BE12" s="10"/>
      <c r="BF12" s="11"/>
      <c r="BG12" s="12"/>
      <c r="BH12" s="17"/>
      <c r="BI12" s="13"/>
      <c r="BJ12" s="13"/>
      <c r="BK12" s="13"/>
      <c r="BL12" s="14"/>
      <c r="BM12" s="8">
        <f t="shared" si="0"/>
        <v>401</v>
      </c>
      <c r="BN12" s="8">
        <f t="shared" si="1"/>
        <v>351</v>
      </c>
      <c r="BO12" s="8">
        <f t="shared" si="2"/>
        <v>544</v>
      </c>
      <c r="BP12" s="8">
        <f t="shared" si="3"/>
        <v>239</v>
      </c>
      <c r="BQ12" s="8">
        <f t="shared" si="4"/>
        <v>544</v>
      </c>
      <c r="BR12" s="8">
        <f t="shared" si="5"/>
        <v>351</v>
      </c>
      <c r="BS12" s="15">
        <f t="shared" si="6"/>
        <v>40.045014670992444</v>
      </c>
      <c r="BT12" s="15" t="str">
        <f t="shared" si="7"/>
        <v>OK - No Upgrade</v>
      </c>
      <c r="BU12" s="15" t="str">
        <f t="shared" si="8"/>
        <v>Need to Balance</v>
      </c>
    </row>
    <row r="13" spans="1:73" ht="15.75" customHeight="1" x14ac:dyDescent="0.25">
      <c r="A13" s="8" t="s">
        <v>38</v>
      </c>
      <c r="B13" s="8" t="s">
        <v>205</v>
      </c>
      <c r="C13" s="8" t="s">
        <v>40</v>
      </c>
      <c r="D13" s="8" t="s">
        <v>231</v>
      </c>
      <c r="E13" s="8" t="s">
        <v>232</v>
      </c>
      <c r="F13" s="8" t="s">
        <v>56</v>
      </c>
      <c r="G13" s="8" t="s">
        <v>44</v>
      </c>
      <c r="H13" s="8">
        <v>1000</v>
      </c>
      <c r="I13" s="8" t="s">
        <v>233</v>
      </c>
      <c r="J13" s="8">
        <v>1</v>
      </c>
      <c r="K13" s="8">
        <v>245</v>
      </c>
      <c r="L13" s="8">
        <v>245</v>
      </c>
      <c r="M13" s="8">
        <v>248</v>
      </c>
      <c r="N13" s="8">
        <v>423</v>
      </c>
      <c r="O13" s="8">
        <v>429</v>
      </c>
      <c r="P13" s="8">
        <v>430</v>
      </c>
      <c r="Q13" s="9" t="s">
        <v>47</v>
      </c>
      <c r="R13" s="16"/>
      <c r="S13" s="10">
        <v>52</v>
      </c>
      <c r="T13" s="10">
        <v>29</v>
      </c>
      <c r="U13" s="10">
        <v>62</v>
      </c>
      <c r="V13" s="11">
        <v>12</v>
      </c>
      <c r="W13" s="12"/>
      <c r="X13" s="17"/>
      <c r="Y13" s="13"/>
      <c r="Z13" s="13"/>
      <c r="AA13" s="13"/>
      <c r="AB13" s="14"/>
      <c r="AC13" s="9" t="s">
        <v>46</v>
      </c>
      <c r="AD13" s="16"/>
      <c r="AE13" s="10">
        <v>242</v>
      </c>
      <c r="AF13" s="10">
        <v>51</v>
      </c>
      <c r="AG13" s="10">
        <v>71</v>
      </c>
      <c r="AH13" s="11">
        <v>44</v>
      </c>
      <c r="AI13" s="12" t="s">
        <v>46</v>
      </c>
      <c r="AJ13" s="17"/>
      <c r="AK13" s="13">
        <v>24</v>
      </c>
      <c r="AL13" s="13">
        <v>87</v>
      </c>
      <c r="AM13" s="13">
        <v>74</v>
      </c>
      <c r="AN13" s="14">
        <v>67</v>
      </c>
      <c r="AO13" s="9" t="s">
        <v>46</v>
      </c>
      <c r="AP13" s="16"/>
      <c r="AQ13" s="10">
        <v>150</v>
      </c>
      <c r="AR13" s="10">
        <v>65</v>
      </c>
      <c r="AS13" s="10">
        <v>122</v>
      </c>
      <c r="AT13" s="11">
        <v>81</v>
      </c>
      <c r="AU13" s="12" t="s">
        <v>46</v>
      </c>
      <c r="AV13" s="17"/>
      <c r="AW13" s="13">
        <v>0</v>
      </c>
      <c r="AX13" s="13">
        <v>51</v>
      </c>
      <c r="AY13" s="13">
        <v>27</v>
      </c>
      <c r="AZ13" s="14">
        <v>26</v>
      </c>
      <c r="BA13" s="9" t="s">
        <v>46</v>
      </c>
      <c r="BB13" s="16"/>
      <c r="BC13" s="10">
        <v>75</v>
      </c>
      <c r="BD13" s="10">
        <v>42</v>
      </c>
      <c r="BE13" s="10">
        <v>34</v>
      </c>
      <c r="BF13" s="11">
        <v>31</v>
      </c>
      <c r="BG13" s="12" t="s">
        <v>46</v>
      </c>
      <c r="BH13" s="17"/>
      <c r="BI13" s="13">
        <v>10</v>
      </c>
      <c r="BJ13" s="13">
        <v>50</v>
      </c>
      <c r="BK13" s="13">
        <v>56</v>
      </c>
      <c r="BL13" s="14">
        <v>46</v>
      </c>
      <c r="BM13" s="8">
        <f t="shared" si="0"/>
        <v>553</v>
      </c>
      <c r="BN13" s="8">
        <f t="shared" si="1"/>
        <v>375</v>
      </c>
      <c r="BO13" s="8">
        <f t="shared" si="2"/>
        <v>446</v>
      </c>
      <c r="BP13" s="8">
        <f t="shared" si="3"/>
        <v>307</v>
      </c>
      <c r="BQ13" s="8">
        <f t="shared" si="4"/>
        <v>553</v>
      </c>
      <c r="BR13" s="8">
        <f t="shared" si="5"/>
        <v>375</v>
      </c>
      <c r="BS13" s="15">
        <f t="shared" si="6"/>
        <v>40.515959285570418</v>
      </c>
      <c r="BT13" s="15" t="str">
        <f t="shared" si="7"/>
        <v>OK - No Upgrade</v>
      </c>
      <c r="BU13" s="15" t="str">
        <f t="shared" si="8"/>
        <v>Need to Balance</v>
      </c>
    </row>
    <row r="14" spans="1:73" ht="15.75" customHeight="1" x14ac:dyDescent="0.25">
      <c r="A14" s="8" t="s">
        <v>38</v>
      </c>
      <c r="B14" s="8" t="s">
        <v>205</v>
      </c>
      <c r="C14" s="8" t="s">
        <v>124</v>
      </c>
      <c r="D14" s="8" t="s">
        <v>234</v>
      </c>
      <c r="E14" s="8" t="s">
        <v>235</v>
      </c>
      <c r="F14" s="8" t="s">
        <v>43</v>
      </c>
      <c r="G14" s="8" t="s">
        <v>44</v>
      </c>
      <c r="H14" s="8">
        <v>315</v>
      </c>
      <c r="I14" s="8" t="s">
        <v>236</v>
      </c>
      <c r="J14" s="8">
        <v>1</v>
      </c>
      <c r="K14" s="8">
        <v>232</v>
      </c>
      <c r="L14" s="8">
        <v>236</v>
      </c>
      <c r="M14" s="8">
        <v>241</v>
      </c>
      <c r="N14" s="8">
        <v>419</v>
      </c>
      <c r="O14" s="8">
        <v>418</v>
      </c>
      <c r="P14" s="8">
        <v>420</v>
      </c>
      <c r="Q14" s="9" t="s">
        <v>47</v>
      </c>
      <c r="R14" s="16"/>
      <c r="S14" s="10">
        <v>0</v>
      </c>
      <c r="T14" s="10">
        <v>0</v>
      </c>
      <c r="U14" s="10">
        <v>0</v>
      </c>
      <c r="V14" s="11">
        <v>0</v>
      </c>
      <c r="W14" s="12" t="s">
        <v>47</v>
      </c>
      <c r="X14" s="17"/>
      <c r="Y14" s="13">
        <v>28</v>
      </c>
      <c r="Z14" s="13">
        <v>54</v>
      </c>
      <c r="AA14" s="13">
        <v>49</v>
      </c>
      <c r="AB14" s="14">
        <v>29</v>
      </c>
      <c r="AC14" s="9"/>
      <c r="AD14" s="16"/>
      <c r="AE14" s="10"/>
      <c r="AF14" s="10"/>
      <c r="AG14" s="10"/>
      <c r="AH14" s="11"/>
      <c r="AI14" s="12"/>
      <c r="AJ14" s="17"/>
      <c r="AK14" s="13"/>
      <c r="AL14" s="13"/>
      <c r="AM14" s="13"/>
      <c r="AN14" s="14"/>
      <c r="AO14" s="9"/>
      <c r="AP14" s="16"/>
      <c r="AQ14" s="10"/>
      <c r="AR14" s="10"/>
      <c r="AS14" s="10"/>
      <c r="AT14" s="11"/>
      <c r="AU14" s="12"/>
      <c r="AV14" s="17"/>
      <c r="AW14" s="13"/>
      <c r="AX14" s="13"/>
      <c r="AY14" s="13"/>
      <c r="AZ14" s="14"/>
      <c r="BA14" s="9"/>
      <c r="BB14" s="16"/>
      <c r="BC14" s="10"/>
      <c r="BD14" s="10"/>
      <c r="BE14" s="10"/>
      <c r="BF14" s="11"/>
      <c r="BG14" s="12"/>
      <c r="BH14" s="17"/>
      <c r="BI14" s="13"/>
      <c r="BJ14" s="13"/>
      <c r="BK14" s="13"/>
      <c r="BL14" s="14"/>
      <c r="BM14" s="8">
        <f t="shared" si="0"/>
        <v>28</v>
      </c>
      <c r="BN14" s="8">
        <f t="shared" si="1"/>
        <v>54</v>
      </c>
      <c r="BO14" s="8">
        <f t="shared" si="2"/>
        <v>49</v>
      </c>
      <c r="BP14" s="8">
        <f t="shared" si="3"/>
        <v>29</v>
      </c>
      <c r="BQ14" s="8">
        <f t="shared" si="4"/>
        <v>54</v>
      </c>
      <c r="BR14" s="8">
        <f t="shared" si="5"/>
        <v>28</v>
      </c>
      <c r="BS14" s="15">
        <f t="shared" si="6"/>
        <v>12.441073514937591</v>
      </c>
      <c r="BT14" s="15" t="str">
        <f t="shared" si="7"/>
        <v>OK - No Upgrade</v>
      </c>
      <c r="BU14" s="15" t="str">
        <f t="shared" si="8"/>
        <v>Need to Balance</v>
      </c>
    </row>
    <row r="15" spans="1:73" ht="15.75" customHeight="1" x14ac:dyDescent="0.25">
      <c r="A15" s="8" t="s">
        <v>38</v>
      </c>
      <c r="B15" s="8" t="s">
        <v>205</v>
      </c>
      <c r="C15" s="8" t="s">
        <v>124</v>
      </c>
      <c r="D15" s="8" t="s">
        <v>237</v>
      </c>
      <c r="E15" s="8" t="s">
        <v>238</v>
      </c>
      <c r="F15" s="8" t="s">
        <v>43</v>
      </c>
      <c r="G15" s="8"/>
      <c r="H15" s="8">
        <v>315</v>
      </c>
      <c r="I15" s="8"/>
      <c r="J15" s="8">
        <v>1</v>
      </c>
      <c r="K15" s="8"/>
      <c r="L15" s="8"/>
      <c r="M15" s="8"/>
      <c r="N15" s="8"/>
      <c r="O15" s="8"/>
      <c r="P15" s="8"/>
      <c r="Q15" s="9"/>
      <c r="R15" s="16"/>
      <c r="S15" s="10"/>
      <c r="T15" s="10"/>
      <c r="U15" s="10"/>
      <c r="V15" s="11"/>
      <c r="W15" s="12"/>
      <c r="X15" s="17"/>
      <c r="Y15" s="13"/>
      <c r="Z15" s="13"/>
      <c r="AA15" s="13"/>
      <c r="AB15" s="14"/>
      <c r="AC15" s="9"/>
      <c r="AD15" s="16"/>
      <c r="AE15" s="10"/>
      <c r="AF15" s="10"/>
      <c r="AG15" s="10"/>
      <c r="AH15" s="11"/>
      <c r="AI15" s="12"/>
      <c r="AJ15" s="17"/>
      <c r="AK15" s="13"/>
      <c r="AL15" s="13"/>
      <c r="AM15" s="13"/>
      <c r="AN15" s="14"/>
      <c r="AO15" s="9"/>
      <c r="AP15" s="16"/>
      <c r="AQ15" s="10"/>
      <c r="AR15" s="10"/>
      <c r="AS15" s="10"/>
      <c r="AT15" s="11"/>
      <c r="AU15" s="12"/>
      <c r="AV15" s="17"/>
      <c r="AW15" s="13"/>
      <c r="AX15" s="13"/>
      <c r="AY15" s="13"/>
      <c r="AZ15" s="14"/>
      <c r="BA15" s="9"/>
      <c r="BB15" s="16"/>
      <c r="BC15" s="10"/>
      <c r="BD15" s="10"/>
      <c r="BE15" s="10"/>
      <c r="BF15" s="11"/>
      <c r="BG15" s="12"/>
      <c r="BH15" s="17"/>
      <c r="BI15" s="13"/>
      <c r="BJ15" s="13"/>
      <c r="BK15" s="13"/>
      <c r="BL15" s="14"/>
      <c r="BM15" s="8">
        <f t="shared" si="0"/>
        <v>0</v>
      </c>
      <c r="BN15" s="8">
        <f t="shared" si="1"/>
        <v>0</v>
      </c>
      <c r="BO15" s="8">
        <f t="shared" si="2"/>
        <v>0</v>
      </c>
      <c r="BP15" s="8">
        <f t="shared" si="3"/>
        <v>0</v>
      </c>
      <c r="BQ15" s="8">
        <f t="shared" si="4"/>
        <v>0</v>
      </c>
      <c r="BR15" s="8">
        <f t="shared" si="5"/>
        <v>0</v>
      </c>
      <c r="BS15" s="15">
        <f t="shared" si="6"/>
        <v>0</v>
      </c>
      <c r="BT15" s="15" t="str">
        <f t="shared" si="7"/>
        <v>OK - No Upgrade</v>
      </c>
      <c r="BU15" s="15" t="str">
        <f t="shared" si="8"/>
        <v>OK - Balanced</v>
      </c>
    </row>
    <row r="16" spans="1:73" ht="15.75" customHeight="1" x14ac:dyDescent="0.25">
      <c r="A16" s="8" t="s">
        <v>38</v>
      </c>
      <c r="B16" s="8" t="s">
        <v>205</v>
      </c>
      <c r="C16" s="8" t="s">
        <v>124</v>
      </c>
      <c r="D16" s="8" t="s">
        <v>239</v>
      </c>
      <c r="E16" s="8" t="s">
        <v>240</v>
      </c>
      <c r="F16" s="8" t="s">
        <v>56</v>
      </c>
      <c r="G16" s="8" t="s">
        <v>44</v>
      </c>
      <c r="H16" s="8">
        <v>1000</v>
      </c>
      <c r="I16" s="8" t="s">
        <v>241</v>
      </c>
      <c r="J16" s="8">
        <v>1</v>
      </c>
      <c r="K16" s="8">
        <v>241</v>
      </c>
      <c r="L16" s="8">
        <v>240</v>
      </c>
      <c r="M16" s="8">
        <v>243</v>
      </c>
      <c r="N16" s="8">
        <v>417</v>
      </c>
      <c r="O16" s="8">
        <v>419</v>
      </c>
      <c r="P16" s="8">
        <v>418</v>
      </c>
      <c r="Q16" s="9" t="s">
        <v>47</v>
      </c>
      <c r="R16" s="16"/>
      <c r="S16" s="10">
        <v>0</v>
      </c>
      <c r="T16" s="10">
        <v>0</v>
      </c>
      <c r="U16" s="10">
        <v>0</v>
      </c>
      <c r="V16" s="11">
        <v>0</v>
      </c>
      <c r="W16" s="12" t="s">
        <v>47</v>
      </c>
      <c r="X16" s="17"/>
      <c r="Y16" s="13">
        <v>69</v>
      </c>
      <c r="Z16" s="13">
        <v>17</v>
      </c>
      <c r="AA16" s="13">
        <v>88</v>
      </c>
      <c r="AB16" s="14">
        <v>26</v>
      </c>
      <c r="AC16" s="9" t="s">
        <v>47</v>
      </c>
      <c r="AD16" s="16"/>
      <c r="AE16" s="10">
        <v>19</v>
      </c>
      <c r="AF16" s="10">
        <v>36</v>
      </c>
      <c r="AG16" s="10">
        <v>3</v>
      </c>
      <c r="AH16" s="11">
        <v>24</v>
      </c>
      <c r="AI16" s="12" t="s">
        <v>47</v>
      </c>
      <c r="AJ16" s="17"/>
      <c r="AK16" s="13">
        <v>14</v>
      </c>
      <c r="AL16" s="13">
        <v>6</v>
      </c>
      <c r="AM16" s="13">
        <v>10</v>
      </c>
      <c r="AN16" s="14">
        <v>12</v>
      </c>
      <c r="AO16" s="9"/>
      <c r="AP16" s="16"/>
      <c r="AQ16" s="10"/>
      <c r="AR16" s="10"/>
      <c r="AS16" s="10"/>
      <c r="AT16" s="11"/>
      <c r="AU16" s="12"/>
      <c r="AV16" s="17"/>
      <c r="AW16" s="13"/>
      <c r="AX16" s="13"/>
      <c r="AY16" s="13"/>
      <c r="AZ16" s="14"/>
      <c r="BA16" s="9"/>
      <c r="BB16" s="16"/>
      <c r="BC16" s="10"/>
      <c r="BD16" s="10"/>
      <c r="BE16" s="10"/>
      <c r="BF16" s="11"/>
      <c r="BG16" s="12"/>
      <c r="BH16" s="17"/>
      <c r="BI16" s="13"/>
      <c r="BJ16" s="13"/>
      <c r="BK16" s="13"/>
      <c r="BL16" s="14"/>
      <c r="BM16" s="8">
        <f t="shared" si="0"/>
        <v>102</v>
      </c>
      <c r="BN16" s="8">
        <f t="shared" si="1"/>
        <v>59</v>
      </c>
      <c r="BO16" s="8">
        <f t="shared" si="2"/>
        <v>101</v>
      </c>
      <c r="BP16" s="8">
        <f t="shared" si="3"/>
        <v>62</v>
      </c>
      <c r="BQ16" s="8">
        <f t="shared" si="4"/>
        <v>102</v>
      </c>
      <c r="BR16" s="8">
        <f t="shared" si="5"/>
        <v>59</v>
      </c>
      <c r="BS16" s="15">
        <f t="shared" si="6"/>
        <v>7.3671049049134618</v>
      </c>
      <c r="BT16" s="15" t="str">
        <f t="shared" si="7"/>
        <v>OK - No Upgrade</v>
      </c>
      <c r="BU16" s="15" t="str">
        <f t="shared" si="8"/>
        <v>Need to Balance</v>
      </c>
    </row>
    <row r="17" spans="1:73" ht="15.75" customHeight="1" x14ac:dyDescent="0.25">
      <c r="A17" s="8" t="s">
        <v>38</v>
      </c>
      <c r="B17" s="8" t="s">
        <v>205</v>
      </c>
      <c r="C17" s="8" t="s">
        <v>40</v>
      </c>
      <c r="D17" s="8" t="s">
        <v>242</v>
      </c>
      <c r="E17" s="8" t="s">
        <v>243</v>
      </c>
      <c r="F17" s="8" t="s">
        <v>56</v>
      </c>
      <c r="G17" s="8" t="s">
        <v>44</v>
      </c>
      <c r="H17" s="8">
        <v>500</v>
      </c>
      <c r="I17" s="8" t="s">
        <v>244</v>
      </c>
      <c r="J17" s="8">
        <v>1</v>
      </c>
      <c r="K17" s="8">
        <v>242</v>
      </c>
      <c r="L17" s="8">
        <v>246</v>
      </c>
      <c r="M17" s="8">
        <v>247</v>
      </c>
      <c r="N17" s="8">
        <v>435</v>
      </c>
      <c r="O17" s="8">
        <v>431</v>
      </c>
      <c r="P17" s="8">
        <v>430</v>
      </c>
      <c r="Q17" s="9"/>
      <c r="R17" s="16"/>
      <c r="S17" s="10"/>
      <c r="T17" s="10"/>
      <c r="U17" s="10"/>
      <c r="V17" s="11"/>
      <c r="W17" s="12"/>
      <c r="X17" s="17"/>
      <c r="Y17" s="13"/>
      <c r="Z17" s="13"/>
      <c r="AA17" s="13"/>
      <c r="AB17" s="14"/>
      <c r="AC17" s="9" t="s">
        <v>47</v>
      </c>
      <c r="AD17" s="16"/>
      <c r="AE17" s="10">
        <v>42</v>
      </c>
      <c r="AF17" s="10">
        <v>15</v>
      </c>
      <c r="AG17" s="10">
        <v>26</v>
      </c>
      <c r="AH17" s="11">
        <v>18</v>
      </c>
      <c r="AI17" s="12" t="s">
        <v>47</v>
      </c>
      <c r="AJ17" s="17"/>
      <c r="AK17" s="13">
        <v>82</v>
      </c>
      <c r="AL17" s="13">
        <v>98</v>
      </c>
      <c r="AM17" s="13">
        <v>112</v>
      </c>
      <c r="AN17" s="14">
        <v>30</v>
      </c>
      <c r="AO17" s="9" t="s">
        <v>47</v>
      </c>
      <c r="AP17" s="16"/>
      <c r="AQ17" s="10">
        <v>46</v>
      </c>
      <c r="AR17" s="10">
        <v>62</v>
      </c>
      <c r="AS17" s="10">
        <v>25</v>
      </c>
      <c r="AT17" s="11">
        <v>19</v>
      </c>
      <c r="AU17" s="12" t="s">
        <v>47</v>
      </c>
      <c r="AV17" s="17"/>
      <c r="AW17" s="13">
        <v>92</v>
      </c>
      <c r="AX17" s="13">
        <v>160</v>
      </c>
      <c r="AY17" s="13">
        <v>102</v>
      </c>
      <c r="AZ17" s="14">
        <v>49</v>
      </c>
      <c r="BA17" s="9"/>
      <c r="BB17" s="16"/>
      <c r="BC17" s="10"/>
      <c r="BD17" s="10"/>
      <c r="BE17" s="10"/>
      <c r="BF17" s="11"/>
      <c r="BG17" s="12"/>
      <c r="BH17" s="17"/>
      <c r="BI17" s="13"/>
      <c r="BJ17" s="13"/>
      <c r="BK17" s="13"/>
      <c r="BL17" s="14"/>
      <c r="BM17" s="8">
        <f t="shared" si="0"/>
        <v>262</v>
      </c>
      <c r="BN17" s="8">
        <f t="shared" si="1"/>
        <v>335</v>
      </c>
      <c r="BO17" s="8">
        <f t="shared" si="2"/>
        <v>265</v>
      </c>
      <c r="BP17" s="8">
        <f t="shared" si="3"/>
        <v>116</v>
      </c>
      <c r="BQ17" s="8">
        <f t="shared" si="4"/>
        <v>335</v>
      </c>
      <c r="BR17" s="8">
        <f t="shared" si="5"/>
        <v>262</v>
      </c>
      <c r="BS17" s="15">
        <f t="shared" si="6"/>
        <v>50.480620786594919</v>
      </c>
      <c r="BT17" s="15" t="str">
        <f t="shared" si="7"/>
        <v>OK - No Upgrade</v>
      </c>
      <c r="BU17" s="15" t="str">
        <f t="shared" si="8"/>
        <v>Need to Balance</v>
      </c>
    </row>
    <row r="18" spans="1:73" ht="15.75" customHeight="1" x14ac:dyDescent="0.25">
      <c r="A18" s="8" t="s">
        <v>38</v>
      </c>
      <c r="B18" s="8" t="s">
        <v>205</v>
      </c>
      <c r="C18" s="8" t="s">
        <v>124</v>
      </c>
      <c r="D18" s="8" t="s">
        <v>245</v>
      </c>
      <c r="E18" s="8" t="s">
        <v>246</v>
      </c>
      <c r="F18" s="8" t="s">
        <v>56</v>
      </c>
      <c r="G18" s="8" t="s">
        <v>44</v>
      </c>
      <c r="H18" s="8">
        <v>1000</v>
      </c>
      <c r="I18" s="8" t="s">
        <v>247</v>
      </c>
      <c r="J18" s="8">
        <v>1</v>
      </c>
      <c r="K18" s="8">
        <v>239</v>
      </c>
      <c r="L18" s="8">
        <v>238</v>
      </c>
      <c r="M18" s="8">
        <v>241</v>
      </c>
      <c r="N18" s="8">
        <v>413</v>
      </c>
      <c r="O18" s="8">
        <v>418</v>
      </c>
      <c r="P18" s="8">
        <v>416</v>
      </c>
      <c r="Q18" s="9" t="s">
        <v>47</v>
      </c>
      <c r="R18" s="16"/>
      <c r="S18" s="10">
        <v>96</v>
      </c>
      <c r="T18" s="10">
        <v>74</v>
      </c>
      <c r="U18" s="10">
        <v>78</v>
      </c>
      <c r="V18" s="11">
        <v>14</v>
      </c>
      <c r="W18" s="12" t="s">
        <v>47</v>
      </c>
      <c r="X18" s="17"/>
      <c r="Y18" s="13">
        <v>141</v>
      </c>
      <c r="Z18" s="13">
        <v>97</v>
      </c>
      <c r="AA18" s="13">
        <v>73</v>
      </c>
      <c r="AB18" s="14">
        <v>56</v>
      </c>
      <c r="AC18" s="9" t="s">
        <v>46</v>
      </c>
      <c r="AD18" s="16"/>
      <c r="AE18" s="10">
        <v>58</v>
      </c>
      <c r="AF18" s="10">
        <v>44</v>
      </c>
      <c r="AG18" s="10">
        <v>55</v>
      </c>
      <c r="AH18" s="11">
        <v>22</v>
      </c>
      <c r="AI18" s="12" t="s">
        <v>47</v>
      </c>
      <c r="AJ18" s="17"/>
      <c r="AK18" s="13">
        <v>62</v>
      </c>
      <c r="AL18" s="13">
        <v>64</v>
      </c>
      <c r="AM18" s="13">
        <v>110</v>
      </c>
      <c r="AN18" s="14">
        <v>35</v>
      </c>
      <c r="AO18" s="9" t="s">
        <v>47</v>
      </c>
      <c r="AP18" s="16"/>
      <c r="AQ18" s="10">
        <v>2</v>
      </c>
      <c r="AR18" s="10">
        <v>0</v>
      </c>
      <c r="AS18" s="10">
        <v>0</v>
      </c>
      <c r="AT18" s="11">
        <v>2</v>
      </c>
      <c r="AU18" s="12"/>
      <c r="AV18" s="17"/>
      <c r="AW18" s="13"/>
      <c r="AX18" s="13"/>
      <c r="AY18" s="13"/>
      <c r="AZ18" s="14"/>
      <c r="BA18" s="9"/>
      <c r="BB18" s="16"/>
      <c r="BC18" s="10"/>
      <c r="BD18" s="10"/>
      <c r="BE18" s="10"/>
      <c r="BF18" s="11"/>
      <c r="BG18" s="12" t="s">
        <v>46</v>
      </c>
      <c r="BH18" s="17"/>
      <c r="BI18" s="13">
        <v>80</v>
      </c>
      <c r="BJ18" s="13">
        <v>65</v>
      </c>
      <c r="BK18" s="13">
        <v>62</v>
      </c>
      <c r="BL18" s="14">
        <v>22</v>
      </c>
      <c r="BM18" s="8">
        <f t="shared" si="0"/>
        <v>439</v>
      </c>
      <c r="BN18" s="8">
        <f t="shared" si="1"/>
        <v>344</v>
      </c>
      <c r="BO18" s="8">
        <f t="shared" si="2"/>
        <v>378</v>
      </c>
      <c r="BP18" s="8">
        <f t="shared" si="3"/>
        <v>151</v>
      </c>
      <c r="BQ18" s="8">
        <f t="shared" si="4"/>
        <v>439</v>
      </c>
      <c r="BR18" s="8">
        <f t="shared" si="5"/>
        <v>344</v>
      </c>
      <c r="BS18" s="15">
        <f t="shared" si="6"/>
        <v>31.403293576789043</v>
      </c>
      <c r="BT18" s="15" t="str">
        <f t="shared" si="7"/>
        <v>OK - No Upgrade</v>
      </c>
      <c r="BU18" s="15" t="str">
        <f t="shared" si="8"/>
        <v>Need to Balance</v>
      </c>
    </row>
    <row r="19" spans="1:73" ht="15.75" customHeight="1" x14ac:dyDescent="0.25">
      <c r="A19" s="8" t="s">
        <v>38</v>
      </c>
      <c r="B19" s="8" t="s">
        <v>205</v>
      </c>
      <c r="C19" s="8" t="s">
        <v>40</v>
      </c>
      <c r="D19" s="8" t="s">
        <v>248</v>
      </c>
      <c r="E19" s="8" t="s">
        <v>249</v>
      </c>
      <c r="F19" s="8" t="s">
        <v>56</v>
      </c>
      <c r="G19" s="8" t="s">
        <v>44</v>
      </c>
      <c r="H19" s="8">
        <v>500</v>
      </c>
      <c r="I19" s="8" t="s">
        <v>250</v>
      </c>
      <c r="J19" s="8">
        <v>1</v>
      </c>
      <c r="K19" s="8">
        <v>247</v>
      </c>
      <c r="L19" s="8">
        <v>244</v>
      </c>
      <c r="M19" s="8">
        <v>246</v>
      </c>
      <c r="N19" s="8">
        <v>429</v>
      </c>
      <c r="O19" s="8">
        <v>425</v>
      </c>
      <c r="P19" s="8">
        <v>420</v>
      </c>
      <c r="Q19" s="9"/>
      <c r="R19" s="16"/>
      <c r="S19" s="10"/>
      <c r="T19" s="10"/>
      <c r="U19" s="10"/>
      <c r="V19" s="11"/>
      <c r="W19" s="12"/>
      <c r="X19" s="17"/>
      <c r="Y19" s="13"/>
      <c r="Z19" s="13"/>
      <c r="AA19" s="13"/>
      <c r="AB19" s="14"/>
      <c r="AC19" s="9"/>
      <c r="AD19" s="16"/>
      <c r="AE19" s="10"/>
      <c r="AF19" s="10"/>
      <c r="AG19" s="10"/>
      <c r="AH19" s="11"/>
      <c r="AI19" s="12" t="s">
        <v>47</v>
      </c>
      <c r="AJ19" s="17"/>
      <c r="AK19" s="13">
        <v>86</v>
      </c>
      <c r="AL19" s="13">
        <v>72</v>
      </c>
      <c r="AM19" s="13">
        <v>78</v>
      </c>
      <c r="AN19" s="14">
        <v>25</v>
      </c>
      <c r="AO19" s="9" t="s">
        <v>47</v>
      </c>
      <c r="AP19" s="16"/>
      <c r="AQ19" s="10">
        <v>120</v>
      </c>
      <c r="AR19" s="10">
        <v>91</v>
      </c>
      <c r="AS19" s="10">
        <v>131</v>
      </c>
      <c r="AT19" s="11">
        <v>36</v>
      </c>
      <c r="AU19" s="12" t="s">
        <v>47</v>
      </c>
      <c r="AV19" s="17"/>
      <c r="AW19" s="13">
        <v>0</v>
      </c>
      <c r="AX19" s="13">
        <v>0</v>
      </c>
      <c r="AY19" s="13">
        <v>0</v>
      </c>
      <c r="AZ19" s="14">
        <v>0</v>
      </c>
      <c r="BA19" s="9"/>
      <c r="BB19" s="16"/>
      <c r="BC19" s="10"/>
      <c r="BD19" s="10"/>
      <c r="BE19" s="10"/>
      <c r="BF19" s="11"/>
      <c r="BG19" s="12"/>
      <c r="BH19" s="17"/>
      <c r="BI19" s="13"/>
      <c r="BJ19" s="13"/>
      <c r="BK19" s="13"/>
      <c r="BL19" s="14"/>
      <c r="BM19" s="8">
        <f t="shared" si="0"/>
        <v>206</v>
      </c>
      <c r="BN19" s="8">
        <f t="shared" si="1"/>
        <v>163</v>
      </c>
      <c r="BO19" s="8">
        <f t="shared" si="2"/>
        <v>209</v>
      </c>
      <c r="BP19" s="8">
        <f t="shared" si="3"/>
        <v>61</v>
      </c>
      <c r="BQ19" s="8">
        <f t="shared" si="4"/>
        <v>209</v>
      </c>
      <c r="BR19" s="8">
        <f t="shared" si="5"/>
        <v>163</v>
      </c>
      <c r="BS19" s="15">
        <f t="shared" si="6"/>
        <v>31.059481491486622</v>
      </c>
      <c r="BT19" s="15" t="str">
        <f t="shared" si="7"/>
        <v>OK - No Upgrade</v>
      </c>
      <c r="BU19" s="15" t="str">
        <f t="shared" si="8"/>
        <v>OK - Balanced</v>
      </c>
    </row>
    <row r="20" spans="1:73" ht="15.75" customHeight="1" x14ac:dyDescent="0.25">
      <c r="A20" s="8" t="s">
        <v>38</v>
      </c>
      <c r="B20" s="8" t="s">
        <v>205</v>
      </c>
      <c r="C20" s="8" t="s">
        <v>124</v>
      </c>
      <c r="D20" s="8" t="s">
        <v>251</v>
      </c>
      <c r="E20" s="8" t="s">
        <v>252</v>
      </c>
      <c r="F20" s="8" t="s">
        <v>56</v>
      </c>
      <c r="G20" s="8" t="s">
        <v>44</v>
      </c>
      <c r="H20" s="8">
        <v>1000</v>
      </c>
      <c r="I20" s="8" t="s">
        <v>253</v>
      </c>
      <c r="J20" s="8">
        <v>1</v>
      </c>
      <c r="K20" s="8">
        <v>238</v>
      </c>
      <c r="L20" s="8">
        <v>239</v>
      </c>
      <c r="M20" s="8">
        <v>241</v>
      </c>
      <c r="N20" s="8">
        <v>416</v>
      </c>
      <c r="O20" s="8">
        <v>417</v>
      </c>
      <c r="P20" s="8">
        <v>420</v>
      </c>
      <c r="Q20" s="9" t="s">
        <v>47</v>
      </c>
      <c r="R20" s="16"/>
      <c r="S20" s="10">
        <v>25</v>
      </c>
      <c r="T20" s="10">
        <v>33</v>
      </c>
      <c r="U20" s="10">
        <v>3</v>
      </c>
      <c r="V20" s="11">
        <v>20</v>
      </c>
      <c r="W20" s="12" t="s">
        <v>47</v>
      </c>
      <c r="X20" s="17"/>
      <c r="Y20" s="13">
        <v>12</v>
      </c>
      <c r="Z20" s="13">
        <v>27</v>
      </c>
      <c r="AA20" s="13">
        <v>17</v>
      </c>
      <c r="AB20" s="14">
        <v>14</v>
      </c>
      <c r="AC20" s="9" t="s">
        <v>47</v>
      </c>
      <c r="AD20" s="16"/>
      <c r="AE20" s="10">
        <v>15</v>
      </c>
      <c r="AF20" s="10">
        <v>25</v>
      </c>
      <c r="AG20" s="10">
        <v>13</v>
      </c>
      <c r="AH20" s="11">
        <v>9</v>
      </c>
      <c r="AI20" s="12" t="s">
        <v>47</v>
      </c>
      <c r="AJ20" s="17"/>
      <c r="AK20" s="13">
        <v>55</v>
      </c>
      <c r="AL20" s="13">
        <v>128</v>
      </c>
      <c r="AM20" s="13">
        <v>76</v>
      </c>
      <c r="AN20" s="14">
        <v>42</v>
      </c>
      <c r="AO20" s="9"/>
      <c r="AP20" s="16"/>
      <c r="AQ20" s="10"/>
      <c r="AR20" s="10"/>
      <c r="AS20" s="10"/>
      <c r="AT20" s="11"/>
      <c r="AU20" s="12"/>
      <c r="AV20" s="17"/>
      <c r="AW20" s="13"/>
      <c r="AX20" s="13"/>
      <c r="AY20" s="13"/>
      <c r="AZ20" s="14"/>
      <c r="BA20" s="9"/>
      <c r="BB20" s="16"/>
      <c r="BC20" s="10"/>
      <c r="BD20" s="10"/>
      <c r="BE20" s="10"/>
      <c r="BF20" s="11"/>
      <c r="BG20" s="12"/>
      <c r="BH20" s="17"/>
      <c r="BI20" s="13"/>
      <c r="BJ20" s="13"/>
      <c r="BK20" s="13"/>
      <c r="BL20" s="14"/>
      <c r="BM20" s="8">
        <f t="shared" si="0"/>
        <v>107</v>
      </c>
      <c r="BN20" s="8">
        <f t="shared" si="1"/>
        <v>213</v>
      </c>
      <c r="BO20" s="8">
        <f t="shared" si="2"/>
        <v>109</v>
      </c>
      <c r="BP20" s="8">
        <f t="shared" si="3"/>
        <v>85</v>
      </c>
      <c r="BQ20" s="8">
        <f t="shared" si="4"/>
        <v>213</v>
      </c>
      <c r="BR20" s="8">
        <f t="shared" si="5"/>
        <v>107</v>
      </c>
      <c r="BS20" s="15">
        <f t="shared" si="6"/>
        <v>15.347355795706305</v>
      </c>
      <c r="BT20" s="15" t="str">
        <f t="shared" si="7"/>
        <v>OK - No Upgrade</v>
      </c>
      <c r="BU20" s="15" t="str">
        <f t="shared" si="8"/>
        <v>Need to Balance</v>
      </c>
    </row>
    <row r="21" spans="1:73" ht="15.75" customHeight="1" x14ac:dyDescent="0.25">
      <c r="A21" s="8" t="s">
        <v>38</v>
      </c>
      <c r="B21" s="8" t="s">
        <v>205</v>
      </c>
      <c r="C21" s="8" t="s">
        <v>40</v>
      </c>
      <c r="D21" s="8" t="s">
        <v>254</v>
      </c>
      <c r="E21" s="8" t="s">
        <v>255</v>
      </c>
      <c r="F21" s="8" t="s">
        <v>56</v>
      </c>
      <c r="G21" s="8" t="s">
        <v>44</v>
      </c>
      <c r="H21" s="8">
        <v>1000</v>
      </c>
      <c r="I21" s="8" t="s">
        <v>256</v>
      </c>
      <c r="J21" s="8">
        <v>1</v>
      </c>
      <c r="K21" s="8">
        <v>242</v>
      </c>
      <c r="L21" s="8">
        <v>245</v>
      </c>
      <c r="M21" s="8">
        <v>249</v>
      </c>
      <c r="N21" s="8">
        <v>422</v>
      </c>
      <c r="O21" s="8">
        <v>421</v>
      </c>
      <c r="P21" s="8">
        <v>420</v>
      </c>
      <c r="Q21" s="9" t="s">
        <v>47</v>
      </c>
      <c r="R21" s="16"/>
      <c r="S21" s="10">
        <v>53</v>
      </c>
      <c r="T21" s="10">
        <v>56</v>
      </c>
      <c r="U21" s="10">
        <v>25</v>
      </c>
      <c r="V21" s="11">
        <v>18</v>
      </c>
      <c r="W21" s="12" t="s">
        <v>47</v>
      </c>
      <c r="X21" s="17"/>
      <c r="Y21" s="13">
        <v>68</v>
      </c>
      <c r="Z21" s="13">
        <v>81</v>
      </c>
      <c r="AA21" s="13">
        <v>92</v>
      </c>
      <c r="AB21" s="14">
        <v>25</v>
      </c>
      <c r="AC21" s="9" t="s">
        <v>47</v>
      </c>
      <c r="AD21" s="16"/>
      <c r="AE21" s="10">
        <v>36</v>
      </c>
      <c r="AF21" s="10">
        <v>85</v>
      </c>
      <c r="AG21" s="10">
        <v>48</v>
      </c>
      <c r="AH21" s="11">
        <v>42</v>
      </c>
      <c r="AI21" s="12"/>
      <c r="AJ21" s="17"/>
      <c r="AK21" s="13"/>
      <c r="AL21" s="13"/>
      <c r="AM21" s="13"/>
      <c r="AN21" s="14"/>
      <c r="AO21" s="9"/>
      <c r="AP21" s="16"/>
      <c r="AQ21" s="10"/>
      <c r="AR21" s="10"/>
      <c r="AS21" s="10"/>
      <c r="AT21" s="11"/>
      <c r="AU21" s="12"/>
      <c r="AV21" s="17"/>
      <c r="AW21" s="13"/>
      <c r="AX21" s="13"/>
      <c r="AY21" s="13"/>
      <c r="AZ21" s="14"/>
      <c r="BA21" s="9"/>
      <c r="BB21" s="16"/>
      <c r="BC21" s="10"/>
      <c r="BD21" s="10"/>
      <c r="BE21" s="10"/>
      <c r="BF21" s="11"/>
      <c r="BG21" s="12"/>
      <c r="BH21" s="17"/>
      <c r="BI21" s="13"/>
      <c r="BJ21" s="13"/>
      <c r="BK21" s="13"/>
      <c r="BL21" s="14"/>
      <c r="BM21" s="8">
        <f t="shared" si="0"/>
        <v>157</v>
      </c>
      <c r="BN21" s="8">
        <f t="shared" si="1"/>
        <v>222</v>
      </c>
      <c r="BO21" s="8">
        <f t="shared" si="2"/>
        <v>165</v>
      </c>
      <c r="BP21" s="8">
        <f t="shared" si="3"/>
        <v>85</v>
      </c>
      <c r="BQ21" s="8">
        <f t="shared" si="4"/>
        <v>222</v>
      </c>
      <c r="BR21" s="8">
        <f t="shared" si="5"/>
        <v>157</v>
      </c>
      <c r="BS21" s="15">
        <f t="shared" si="6"/>
        <v>16.226544785628267</v>
      </c>
      <c r="BT21" s="15" t="str">
        <f t="shared" si="7"/>
        <v>OK - No Upgrade</v>
      </c>
      <c r="BU21" s="15" t="str">
        <f t="shared" si="8"/>
        <v>Need to Balance</v>
      </c>
    </row>
    <row r="22" spans="1:73" ht="15.75" customHeight="1" x14ac:dyDescent="0.25">
      <c r="A22" s="8" t="s">
        <v>38</v>
      </c>
      <c r="B22" s="8" t="s">
        <v>205</v>
      </c>
      <c r="C22" s="8" t="s">
        <v>124</v>
      </c>
      <c r="D22" s="8" t="s">
        <v>257</v>
      </c>
      <c r="E22" s="8" t="s">
        <v>258</v>
      </c>
      <c r="F22" s="8" t="s">
        <v>56</v>
      </c>
      <c r="G22" s="8" t="s">
        <v>44</v>
      </c>
      <c r="H22" s="8">
        <v>1000</v>
      </c>
      <c r="I22" s="8" t="s">
        <v>259</v>
      </c>
      <c r="J22" s="8">
        <v>1</v>
      </c>
      <c r="K22" s="8">
        <v>237</v>
      </c>
      <c r="L22" s="8">
        <v>237</v>
      </c>
      <c r="M22" s="8">
        <v>240</v>
      </c>
      <c r="N22" s="8">
        <v>410</v>
      </c>
      <c r="O22" s="8">
        <v>416</v>
      </c>
      <c r="P22" s="8">
        <v>413</v>
      </c>
      <c r="Q22" s="9"/>
      <c r="R22" s="16"/>
      <c r="S22" s="10"/>
      <c r="T22" s="10"/>
      <c r="U22" s="10"/>
      <c r="V22" s="11"/>
      <c r="W22" s="12"/>
      <c r="X22" s="17"/>
      <c r="Y22" s="13"/>
      <c r="Z22" s="13"/>
      <c r="AA22" s="13"/>
      <c r="AB22" s="14"/>
      <c r="AC22" s="9"/>
      <c r="AD22" s="16"/>
      <c r="AE22" s="10"/>
      <c r="AF22" s="10"/>
      <c r="AG22" s="10"/>
      <c r="AH22" s="11"/>
      <c r="AI22" s="12" t="s">
        <v>47</v>
      </c>
      <c r="AJ22" s="17"/>
      <c r="AK22" s="13">
        <v>40</v>
      </c>
      <c r="AL22" s="13">
        <v>39</v>
      </c>
      <c r="AM22" s="13">
        <v>20</v>
      </c>
      <c r="AN22" s="14">
        <v>17</v>
      </c>
      <c r="AO22" s="9" t="s">
        <v>47</v>
      </c>
      <c r="AP22" s="16"/>
      <c r="AQ22" s="10">
        <v>205</v>
      </c>
      <c r="AR22" s="10">
        <v>125</v>
      </c>
      <c r="AS22" s="10">
        <v>106</v>
      </c>
      <c r="AT22" s="11">
        <v>60</v>
      </c>
      <c r="AU22" s="12" t="s">
        <v>47</v>
      </c>
      <c r="AV22" s="17"/>
      <c r="AW22" s="13">
        <v>175</v>
      </c>
      <c r="AX22" s="13">
        <v>221</v>
      </c>
      <c r="AY22" s="13">
        <v>212</v>
      </c>
      <c r="AZ22" s="14">
        <v>40</v>
      </c>
      <c r="BA22" s="9"/>
      <c r="BB22" s="16"/>
      <c r="BC22" s="10"/>
      <c r="BD22" s="10"/>
      <c r="BE22" s="10"/>
      <c r="BF22" s="11"/>
      <c r="BG22" s="12" t="s">
        <v>46</v>
      </c>
      <c r="BH22" s="17"/>
      <c r="BI22" s="13">
        <v>103</v>
      </c>
      <c r="BJ22" s="13">
        <v>126</v>
      </c>
      <c r="BK22" s="13">
        <v>100</v>
      </c>
      <c r="BL22" s="14">
        <v>50</v>
      </c>
      <c r="BM22" s="8">
        <f t="shared" si="0"/>
        <v>523</v>
      </c>
      <c r="BN22" s="8">
        <f t="shared" si="1"/>
        <v>511</v>
      </c>
      <c r="BO22" s="8">
        <f t="shared" si="2"/>
        <v>438</v>
      </c>
      <c r="BP22" s="8">
        <f t="shared" si="3"/>
        <v>167</v>
      </c>
      <c r="BQ22" s="8">
        <f t="shared" si="4"/>
        <v>523</v>
      </c>
      <c r="BR22" s="8">
        <f t="shared" si="5"/>
        <v>438</v>
      </c>
      <c r="BS22" s="15">
        <f t="shared" si="6"/>
        <v>37.140365466699436</v>
      </c>
      <c r="BT22" s="15" t="str">
        <f t="shared" si="7"/>
        <v>OK - No Upgrade</v>
      </c>
      <c r="BU22" s="15" t="str">
        <f t="shared" si="8"/>
        <v>OK - Balanced</v>
      </c>
    </row>
    <row r="23" spans="1:73" ht="15.75" customHeight="1" x14ac:dyDescent="0.25">
      <c r="A23" s="8" t="s">
        <v>38</v>
      </c>
      <c r="B23" s="8" t="s">
        <v>205</v>
      </c>
      <c r="C23" s="8" t="s">
        <v>40</v>
      </c>
      <c r="D23" s="8" t="s">
        <v>260</v>
      </c>
      <c r="E23" s="8" t="s">
        <v>261</v>
      </c>
      <c r="F23" s="8" t="s">
        <v>43</v>
      </c>
      <c r="G23" s="8" t="s">
        <v>44</v>
      </c>
      <c r="H23" s="8">
        <v>315</v>
      </c>
      <c r="I23" s="8" t="s">
        <v>259</v>
      </c>
      <c r="J23" s="8">
        <v>1</v>
      </c>
      <c r="K23" s="8">
        <v>250</v>
      </c>
      <c r="L23" s="8">
        <v>249</v>
      </c>
      <c r="M23" s="8">
        <v>248</v>
      </c>
      <c r="N23" s="8">
        <v>438</v>
      </c>
      <c r="O23" s="8">
        <v>436</v>
      </c>
      <c r="P23" s="8">
        <v>439</v>
      </c>
      <c r="Q23" s="9" t="s">
        <v>47</v>
      </c>
      <c r="R23" s="16"/>
      <c r="S23" s="10">
        <v>45</v>
      </c>
      <c r="T23" s="10">
        <v>70</v>
      </c>
      <c r="U23" s="10">
        <v>46</v>
      </c>
      <c r="V23" s="11">
        <v>26</v>
      </c>
      <c r="W23" s="12"/>
      <c r="X23" s="17"/>
      <c r="Y23" s="13"/>
      <c r="Z23" s="13"/>
      <c r="AA23" s="13"/>
      <c r="AB23" s="14"/>
      <c r="AC23" s="9"/>
      <c r="AD23" s="16"/>
      <c r="AE23" s="10"/>
      <c r="AF23" s="10"/>
      <c r="AG23" s="10"/>
      <c r="AH23" s="11"/>
      <c r="AI23" s="12"/>
      <c r="AJ23" s="17"/>
      <c r="AK23" s="13"/>
      <c r="AL23" s="13"/>
      <c r="AM23" s="13"/>
      <c r="AN23" s="14"/>
      <c r="AO23" s="9"/>
      <c r="AP23" s="16"/>
      <c r="AQ23" s="10"/>
      <c r="AR23" s="10"/>
      <c r="AS23" s="10"/>
      <c r="AT23" s="11"/>
      <c r="AU23" s="12"/>
      <c r="AV23" s="17"/>
      <c r="AW23" s="13"/>
      <c r="AX23" s="13"/>
      <c r="AY23" s="13"/>
      <c r="AZ23" s="14"/>
      <c r="BA23" s="9"/>
      <c r="BB23" s="16"/>
      <c r="BC23" s="10"/>
      <c r="BD23" s="10"/>
      <c r="BE23" s="10"/>
      <c r="BF23" s="11"/>
      <c r="BG23" s="12"/>
      <c r="BH23" s="17"/>
      <c r="BI23" s="13"/>
      <c r="BJ23" s="13"/>
      <c r="BK23" s="13"/>
      <c r="BL23" s="14"/>
      <c r="BM23" s="8">
        <f t="shared" si="0"/>
        <v>45</v>
      </c>
      <c r="BN23" s="8">
        <f t="shared" si="1"/>
        <v>70</v>
      </c>
      <c r="BO23" s="8">
        <f t="shared" si="2"/>
        <v>46</v>
      </c>
      <c r="BP23" s="8">
        <f t="shared" si="3"/>
        <v>26</v>
      </c>
      <c r="BQ23" s="8">
        <f t="shared" si="4"/>
        <v>70</v>
      </c>
      <c r="BR23" s="8">
        <f t="shared" si="5"/>
        <v>45</v>
      </c>
      <c r="BS23" s="15">
        <f t="shared" si="6"/>
        <v>16.858627860337069</v>
      </c>
      <c r="BT23" s="15" t="str">
        <f t="shared" si="7"/>
        <v>OK - No Upgrade</v>
      </c>
      <c r="BU23" s="15" t="str">
        <f t="shared" si="8"/>
        <v>Need to Balance</v>
      </c>
    </row>
    <row r="24" spans="1:73" ht="15.75" customHeight="1" x14ac:dyDescent="0.25">
      <c r="A24" s="8" t="s">
        <v>38</v>
      </c>
      <c r="B24" s="8" t="s">
        <v>205</v>
      </c>
      <c r="C24" s="8" t="s">
        <v>124</v>
      </c>
      <c r="D24" s="8" t="s">
        <v>262</v>
      </c>
      <c r="E24" s="8" t="s">
        <v>263</v>
      </c>
      <c r="F24" s="8" t="s">
        <v>56</v>
      </c>
      <c r="G24" s="8" t="s">
        <v>44</v>
      </c>
      <c r="H24" s="8">
        <v>500</v>
      </c>
      <c r="I24" s="8" t="s">
        <v>264</v>
      </c>
      <c r="J24" s="8">
        <v>1</v>
      </c>
      <c r="K24" s="8">
        <v>238</v>
      </c>
      <c r="L24" s="8">
        <v>239</v>
      </c>
      <c r="M24" s="8">
        <v>241</v>
      </c>
      <c r="N24" s="8">
        <v>411</v>
      </c>
      <c r="O24" s="8">
        <v>418</v>
      </c>
      <c r="P24" s="8">
        <v>417</v>
      </c>
      <c r="Q24" s="9"/>
      <c r="R24" s="16"/>
      <c r="S24" s="10"/>
      <c r="T24" s="10"/>
      <c r="U24" s="10"/>
      <c r="V24" s="11"/>
      <c r="W24" s="12"/>
      <c r="X24" s="17"/>
      <c r="Y24" s="13"/>
      <c r="Z24" s="13"/>
      <c r="AA24" s="13"/>
      <c r="AB24" s="14"/>
      <c r="AC24" s="9"/>
      <c r="AD24" s="16"/>
      <c r="AE24" s="10"/>
      <c r="AF24" s="10"/>
      <c r="AG24" s="10"/>
      <c r="AH24" s="11"/>
      <c r="AI24" s="12" t="s">
        <v>47</v>
      </c>
      <c r="AJ24" s="17"/>
      <c r="AK24" s="13">
        <v>103</v>
      </c>
      <c r="AL24" s="13">
        <v>51</v>
      </c>
      <c r="AM24" s="13">
        <v>100</v>
      </c>
      <c r="AN24" s="14">
        <v>61</v>
      </c>
      <c r="AO24" s="9" t="s">
        <v>47</v>
      </c>
      <c r="AP24" s="16"/>
      <c r="AQ24" s="10">
        <v>50</v>
      </c>
      <c r="AR24" s="10">
        <v>38</v>
      </c>
      <c r="AS24" s="10">
        <v>46</v>
      </c>
      <c r="AT24" s="11">
        <v>22</v>
      </c>
      <c r="AU24" s="12" t="s">
        <v>47</v>
      </c>
      <c r="AV24" s="17"/>
      <c r="AW24" s="13">
        <v>51</v>
      </c>
      <c r="AX24" s="13">
        <v>49</v>
      </c>
      <c r="AY24" s="13">
        <v>22</v>
      </c>
      <c r="AZ24" s="14">
        <v>35</v>
      </c>
      <c r="BA24" s="9"/>
      <c r="BB24" s="16"/>
      <c r="BC24" s="10"/>
      <c r="BD24" s="10"/>
      <c r="BE24" s="10"/>
      <c r="BF24" s="11"/>
      <c r="BG24" s="12"/>
      <c r="BH24" s="17"/>
      <c r="BI24" s="13"/>
      <c r="BJ24" s="13"/>
      <c r="BK24" s="13"/>
      <c r="BL24" s="14"/>
      <c r="BM24" s="8">
        <f t="shared" si="0"/>
        <v>204</v>
      </c>
      <c r="BN24" s="8">
        <f t="shared" si="1"/>
        <v>138</v>
      </c>
      <c r="BO24" s="8">
        <f t="shared" si="2"/>
        <v>168</v>
      </c>
      <c r="BP24" s="8">
        <f t="shared" si="3"/>
        <v>118</v>
      </c>
      <c r="BQ24" s="8">
        <f t="shared" si="4"/>
        <v>204</v>
      </c>
      <c r="BR24" s="8">
        <f t="shared" si="5"/>
        <v>138</v>
      </c>
      <c r="BS24" s="15">
        <f t="shared" si="6"/>
        <v>29.044413581960988</v>
      </c>
      <c r="BT24" s="15" t="str">
        <f t="shared" si="7"/>
        <v>OK - No Upgrade</v>
      </c>
      <c r="BU24" s="15" t="str">
        <f t="shared" si="8"/>
        <v>Need to Balance</v>
      </c>
    </row>
    <row r="25" spans="1:73" ht="15.75" customHeight="1" x14ac:dyDescent="0.25">
      <c r="A25" s="8" t="s">
        <v>38</v>
      </c>
      <c r="B25" s="8" t="s">
        <v>205</v>
      </c>
      <c r="C25" s="8" t="s">
        <v>265</v>
      </c>
      <c r="D25" s="8" t="s">
        <v>266</v>
      </c>
      <c r="E25" s="8" t="s">
        <v>267</v>
      </c>
      <c r="F25" s="8" t="s">
        <v>56</v>
      </c>
      <c r="G25" s="8" t="s">
        <v>44</v>
      </c>
      <c r="H25" s="8">
        <v>1000</v>
      </c>
      <c r="I25" s="8" t="s">
        <v>268</v>
      </c>
      <c r="J25" s="8">
        <v>1</v>
      </c>
      <c r="K25" s="8">
        <v>240</v>
      </c>
      <c r="L25" s="8">
        <v>241</v>
      </c>
      <c r="M25" s="8">
        <v>240</v>
      </c>
      <c r="N25" s="8">
        <v>421</v>
      </c>
      <c r="O25" s="8">
        <v>419</v>
      </c>
      <c r="P25" s="8">
        <v>422</v>
      </c>
      <c r="Q25" s="9" t="s">
        <v>47</v>
      </c>
      <c r="R25" s="16"/>
      <c r="S25" s="10">
        <v>55</v>
      </c>
      <c r="T25" s="10">
        <v>36</v>
      </c>
      <c r="U25" s="10">
        <v>41</v>
      </c>
      <c r="V25" s="11">
        <v>18</v>
      </c>
      <c r="W25" s="12"/>
      <c r="X25" s="17"/>
      <c r="Y25" s="13"/>
      <c r="Z25" s="13"/>
      <c r="AA25" s="13"/>
      <c r="AB25" s="14"/>
      <c r="AC25" s="9"/>
      <c r="AD25" s="16"/>
      <c r="AE25" s="10"/>
      <c r="AF25" s="10"/>
      <c r="AG25" s="10"/>
      <c r="AH25" s="11"/>
      <c r="AI25" s="12" t="s">
        <v>47</v>
      </c>
      <c r="AJ25" s="17"/>
      <c r="AK25" s="13">
        <v>98</v>
      </c>
      <c r="AL25" s="13">
        <v>102</v>
      </c>
      <c r="AM25" s="13">
        <v>71</v>
      </c>
      <c r="AN25" s="14">
        <v>21</v>
      </c>
      <c r="AO25" s="9" t="s">
        <v>70</v>
      </c>
      <c r="AP25" s="16"/>
      <c r="AQ25" s="10">
        <v>55</v>
      </c>
      <c r="AR25" s="10">
        <v>33</v>
      </c>
      <c r="AS25" s="10">
        <v>16</v>
      </c>
      <c r="AT25" s="11">
        <v>19</v>
      </c>
      <c r="AU25" s="12" t="s">
        <v>70</v>
      </c>
      <c r="AV25" s="17"/>
      <c r="AW25" s="13">
        <v>42</v>
      </c>
      <c r="AX25" s="13">
        <v>56</v>
      </c>
      <c r="AY25" s="13">
        <v>28</v>
      </c>
      <c r="AZ25" s="14">
        <v>16</v>
      </c>
      <c r="BA25" s="9" t="s">
        <v>46</v>
      </c>
      <c r="BB25" s="16"/>
      <c r="BC25" s="10">
        <v>85</v>
      </c>
      <c r="BD25" s="10">
        <v>62</v>
      </c>
      <c r="BE25" s="10">
        <v>65</v>
      </c>
      <c r="BF25" s="11">
        <v>23</v>
      </c>
      <c r="BG25" s="12" t="s">
        <v>46</v>
      </c>
      <c r="BH25" s="17"/>
      <c r="BI25" s="13">
        <v>68</v>
      </c>
      <c r="BJ25" s="13">
        <v>48</v>
      </c>
      <c r="BK25" s="13">
        <v>92</v>
      </c>
      <c r="BL25" s="14">
        <v>42</v>
      </c>
      <c r="BM25" s="8">
        <f t="shared" si="0"/>
        <v>403</v>
      </c>
      <c r="BN25" s="8">
        <f t="shared" si="1"/>
        <v>337</v>
      </c>
      <c r="BO25" s="8">
        <f t="shared" si="2"/>
        <v>313</v>
      </c>
      <c r="BP25" s="8">
        <f t="shared" si="3"/>
        <v>139</v>
      </c>
      <c r="BQ25" s="8">
        <f t="shared" si="4"/>
        <v>403</v>
      </c>
      <c r="BR25" s="8">
        <f t="shared" si="5"/>
        <v>313</v>
      </c>
      <c r="BS25" s="15">
        <f t="shared" si="6"/>
        <v>29.386493616455837</v>
      </c>
      <c r="BT25" s="15" t="str">
        <f t="shared" si="7"/>
        <v>OK - No Upgrade</v>
      </c>
      <c r="BU25" s="15" t="str">
        <f t="shared" si="8"/>
        <v>Need to Balance</v>
      </c>
    </row>
    <row r="26" spans="1:73" ht="15.75" customHeight="1" x14ac:dyDescent="0.25">
      <c r="A26" s="8" t="s">
        <v>38</v>
      </c>
      <c r="B26" s="8" t="s">
        <v>205</v>
      </c>
      <c r="C26" s="8" t="s">
        <v>265</v>
      </c>
      <c r="D26" s="8" t="s">
        <v>269</v>
      </c>
      <c r="E26" s="8" t="s">
        <v>270</v>
      </c>
      <c r="F26" s="8" t="s">
        <v>56</v>
      </c>
      <c r="G26" s="8" t="s">
        <v>44</v>
      </c>
      <c r="H26" s="8">
        <v>1000</v>
      </c>
      <c r="I26" s="8" t="s">
        <v>271</v>
      </c>
      <c r="J26" s="8">
        <v>1</v>
      </c>
      <c r="K26" s="8">
        <v>240</v>
      </c>
      <c r="L26" s="8">
        <v>241</v>
      </c>
      <c r="M26" s="8">
        <v>240</v>
      </c>
      <c r="N26" s="8">
        <v>424</v>
      </c>
      <c r="O26" s="8">
        <v>422</v>
      </c>
      <c r="P26" s="8">
        <v>421</v>
      </c>
      <c r="Q26" s="9" t="s">
        <v>47</v>
      </c>
      <c r="R26" s="16"/>
      <c r="S26" s="10">
        <v>60</v>
      </c>
      <c r="T26" s="10">
        <v>48</v>
      </c>
      <c r="U26" s="10">
        <v>49</v>
      </c>
      <c r="V26" s="11">
        <v>21</v>
      </c>
      <c r="W26" s="12" t="s">
        <v>47</v>
      </c>
      <c r="X26" s="17"/>
      <c r="Y26" s="13">
        <v>70</v>
      </c>
      <c r="Z26" s="13">
        <v>29</v>
      </c>
      <c r="AA26" s="13">
        <v>31</v>
      </c>
      <c r="AB26" s="14">
        <v>18</v>
      </c>
      <c r="AC26" s="9"/>
      <c r="AD26" s="16"/>
      <c r="AE26" s="10"/>
      <c r="AF26" s="10"/>
      <c r="AG26" s="10"/>
      <c r="AH26" s="11"/>
      <c r="AI26" s="12"/>
      <c r="AJ26" s="17"/>
      <c r="AK26" s="13"/>
      <c r="AL26" s="13"/>
      <c r="AM26" s="13"/>
      <c r="AN26" s="14"/>
      <c r="AO26" s="9" t="s">
        <v>47</v>
      </c>
      <c r="AP26" s="16"/>
      <c r="AQ26" s="10">
        <v>99</v>
      </c>
      <c r="AR26" s="10">
        <v>103</v>
      </c>
      <c r="AS26" s="10">
        <v>156</v>
      </c>
      <c r="AT26" s="11">
        <v>48</v>
      </c>
      <c r="AU26" s="12"/>
      <c r="AV26" s="17"/>
      <c r="AW26" s="13"/>
      <c r="AX26" s="13"/>
      <c r="AY26" s="13"/>
      <c r="AZ26" s="14"/>
      <c r="BA26" s="9"/>
      <c r="BB26" s="16"/>
      <c r="BC26" s="10"/>
      <c r="BD26" s="10"/>
      <c r="BE26" s="10"/>
      <c r="BF26" s="11"/>
      <c r="BG26" s="12"/>
      <c r="BH26" s="17"/>
      <c r="BI26" s="13"/>
      <c r="BJ26" s="13"/>
      <c r="BK26" s="13"/>
      <c r="BL26" s="14"/>
      <c r="BM26" s="8">
        <f t="shared" si="0"/>
        <v>229</v>
      </c>
      <c r="BN26" s="8">
        <f t="shared" si="1"/>
        <v>180</v>
      </c>
      <c r="BO26" s="8">
        <f t="shared" si="2"/>
        <v>236</v>
      </c>
      <c r="BP26" s="8">
        <f t="shared" si="3"/>
        <v>87</v>
      </c>
      <c r="BQ26" s="8">
        <f t="shared" si="4"/>
        <v>236</v>
      </c>
      <c r="BR26" s="8">
        <f t="shared" si="5"/>
        <v>180</v>
      </c>
      <c r="BS26" s="15">
        <f t="shared" si="6"/>
        <v>17.331593200857213</v>
      </c>
      <c r="BT26" s="15" t="str">
        <f t="shared" si="7"/>
        <v>OK - No Upgrade</v>
      </c>
      <c r="BU26" s="15" t="str">
        <f t="shared" si="8"/>
        <v>OK - Balanced</v>
      </c>
    </row>
    <row r="27" spans="1:73" ht="15.75" customHeight="1" x14ac:dyDescent="0.25">
      <c r="A27" s="8" t="s">
        <v>38</v>
      </c>
      <c r="B27" s="8" t="s">
        <v>205</v>
      </c>
      <c r="C27" s="8" t="s">
        <v>265</v>
      </c>
      <c r="D27" s="8" t="s">
        <v>272</v>
      </c>
      <c r="E27" s="8" t="s">
        <v>273</v>
      </c>
      <c r="F27" s="8" t="s">
        <v>43</v>
      </c>
      <c r="G27" s="8" t="s">
        <v>44</v>
      </c>
      <c r="H27" s="8">
        <v>315</v>
      </c>
      <c r="I27" s="8" t="s">
        <v>274</v>
      </c>
      <c r="J27" s="8">
        <v>1</v>
      </c>
      <c r="K27" s="8">
        <v>240</v>
      </c>
      <c r="L27" s="8">
        <v>241</v>
      </c>
      <c r="M27" s="8">
        <v>242</v>
      </c>
      <c r="N27" s="8">
        <v>421</v>
      </c>
      <c r="O27" s="8">
        <v>419</v>
      </c>
      <c r="P27" s="8">
        <v>422</v>
      </c>
      <c r="Q27" s="9" t="s">
        <v>46</v>
      </c>
      <c r="R27" s="16"/>
      <c r="S27" s="10">
        <v>110</v>
      </c>
      <c r="T27" s="10">
        <v>131</v>
      </c>
      <c r="U27" s="10">
        <v>131</v>
      </c>
      <c r="V27" s="11">
        <v>51</v>
      </c>
      <c r="W27" s="12" t="s">
        <v>46</v>
      </c>
      <c r="X27" s="17"/>
      <c r="Y27" s="13">
        <v>15</v>
      </c>
      <c r="Z27" s="13">
        <v>6</v>
      </c>
      <c r="AA27" s="13">
        <v>22</v>
      </c>
      <c r="AB27" s="14">
        <v>11</v>
      </c>
      <c r="AC27" s="9"/>
      <c r="AD27" s="16"/>
      <c r="AE27" s="10"/>
      <c r="AF27" s="10"/>
      <c r="AG27" s="10"/>
      <c r="AH27" s="11"/>
      <c r="AI27" s="12"/>
      <c r="AJ27" s="17"/>
      <c r="AK27" s="13"/>
      <c r="AL27" s="13"/>
      <c r="AM27" s="13"/>
      <c r="AN27" s="14"/>
      <c r="AO27" s="9"/>
      <c r="AP27" s="16"/>
      <c r="AQ27" s="10"/>
      <c r="AR27" s="10"/>
      <c r="AS27" s="10"/>
      <c r="AT27" s="11"/>
      <c r="AU27" s="12"/>
      <c r="AV27" s="17"/>
      <c r="AW27" s="13"/>
      <c r="AX27" s="13"/>
      <c r="AY27" s="13"/>
      <c r="AZ27" s="14"/>
      <c r="BA27" s="9"/>
      <c r="BB27" s="16"/>
      <c r="BC27" s="10"/>
      <c r="BD27" s="10"/>
      <c r="BE27" s="10"/>
      <c r="BF27" s="11"/>
      <c r="BG27" s="12"/>
      <c r="BH27" s="17"/>
      <c r="BI27" s="13"/>
      <c r="BJ27" s="13"/>
      <c r="BK27" s="13"/>
      <c r="BL27" s="14"/>
      <c r="BM27" s="8">
        <f t="shared" si="0"/>
        <v>125</v>
      </c>
      <c r="BN27" s="8">
        <f t="shared" si="1"/>
        <v>137</v>
      </c>
      <c r="BO27" s="8">
        <f t="shared" si="2"/>
        <v>153</v>
      </c>
      <c r="BP27" s="8">
        <f t="shared" si="3"/>
        <v>62</v>
      </c>
      <c r="BQ27" s="8">
        <f t="shared" si="4"/>
        <v>153</v>
      </c>
      <c r="BR27" s="8">
        <f t="shared" si="5"/>
        <v>125</v>
      </c>
      <c r="BS27" s="15">
        <f t="shared" si="6"/>
        <v>35.417964656487008</v>
      </c>
      <c r="BT27" s="15" t="str">
        <f t="shared" si="7"/>
        <v>OK - No Upgrade</v>
      </c>
      <c r="BU27" s="15" t="str">
        <f t="shared" si="8"/>
        <v>Need to Balance</v>
      </c>
    </row>
    <row r="28" spans="1:73" ht="15.75" customHeight="1" x14ac:dyDescent="0.25">
      <c r="A28" s="8" t="s">
        <v>38</v>
      </c>
      <c r="B28" s="8" t="s">
        <v>205</v>
      </c>
      <c r="C28" s="8" t="s">
        <v>124</v>
      </c>
      <c r="D28" s="8" t="s">
        <v>275</v>
      </c>
      <c r="E28" s="8" t="s">
        <v>276</v>
      </c>
      <c r="F28" s="8" t="s">
        <v>56</v>
      </c>
      <c r="G28" s="8" t="s">
        <v>44</v>
      </c>
      <c r="H28" s="8">
        <v>1000</v>
      </c>
      <c r="I28" s="8" t="s">
        <v>277</v>
      </c>
      <c r="J28" s="8">
        <v>1</v>
      </c>
      <c r="K28" s="8">
        <v>239</v>
      </c>
      <c r="L28" s="8">
        <v>239</v>
      </c>
      <c r="M28" s="8">
        <v>239</v>
      </c>
      <c r="N28" s="8">
        <v>413</v>
      </c>
      <c r="O28" s="8">
        <v>419</v>
      </c>
      <c r="P28" s="8">
        <v>417</v>
      </c>
      <c r="Q28" s="9"/>
      <c r="R28" s="16"/>
      <c r="S28" s="10"/>
      <c r="T28" s="10"/>
      <c r="U28" s="10"/>
      <c r="V28" s="11"/>
      <c r="W28" s="12"/>
      <c r="X28" s="17"/>
      <c r="Y28" s="13"/>
      <c r="Z28" s="13"/>
      <c r="AA28" s="13"/>
      <c r="AB28" s="14"/>
      <c r="AC28" s="9"/>
      <c r="AD28" s="16"/>
      <c r="AE28" s="10"/>
      <c r="AF28" s="10"/>
      <c r="AG28" s="10"/>
      <c r="AH28" s="11"/>
      <c r="AI28" s="12" t="s">
        <v>47</v>
      </c>
      <c r="AJ28" s="17"/>
      <c r="AK28" s="13">
        <v>65</v>
      </c>
      <c r="AL28" s="13">
        <v>62</v>
      </c>
      <c r="AM28" s="13">
        <v>144</v>
      </c>
      <c r="AN28" s="14">
        <v>43</v>
      </c>
      <c r="AO28" s="9" t="s">
        <v>47</v>
      </c>
      <c r="AP28" s="16"/>
      <c r="AQ28" s="10">
        <v>33</v>
      </c>
      <c r="AR28" s="10">
        <v>29</v>
      </c>
      <c r="AS28" s="10">
        <v>35</v>
      </c>
      <c r="AT28" s="11">
        <v>6</v>
      </c>
      <c r="AU28" s="12" t="s">
        <v>47</v>
      </c>
      <c r="AV28" s="17"/>
      <c r="AW28" s="13">
        <v>60</v>
      </c>
      <c r="AX28" s="13">
        <v>68</v>
      </c>
      <c r="AY28" s="13">
        <v>101</v>
      </c>
      <c r="AZ28" s="14">
        <v>34</v>
      </c>
      <c r="BA28" s="9" t="s">
        <v>47</v>
      </c>
      <c r="BB28" s="16"/>
      <c r="BC28" s="10">
        <v>74</v>
      </c>
      <c r="BD28" s="10">
        <v>42</v>
      </c>
      <c r="BE28" s="10">
        <v>12</v>
      </c>
      <c r="BF28" s="11">
        <v>46</v>
      </c>
      <c r="BG28" s="12"/>
      <c r="BH28" s="17"/>
      <c r="BI28" s="13"/>
      <c r="BJ28" s="13"/>
      <c r="BK28" s="13"/>
      <c r="BL28" s="14"/>
      <c r="BM28" s="8">
        <f t="shared" si="0"/>
        <v>232</v>
      </c>
      <c r="BN28" s="8">
        <f t="shared" si="1"/>
        <v>201</v>
      </c>
      <c r="BO28" s="8">
        <f t="shared" si="2"/>
        <v>292</v>
      </c>
      <c r="BP28" s="8">
        <f t="shared" si="3"/>
        <v>129</v>
      </c>
      <c r="BQ28" s="8">
        <f t="shared" si="4"/>
        <v>292</v>
      </c>
      <c r="BR28" s="8">
        <f t="shared" si="5"/>
        <v>201</v>
      </c>
      <c r="BS28" s="15">
        <f t="shared" si="6"/>
        <v>20.887839918957628</v>
      </c>
      <c r="BT28" s="15" t="str">
        <f t="shared" si="7"/>
        <v>OK - No Upgrade</v>
      </c>
      <c r="BU28" s="15" t="str">
        <f t="shared" si="8"/>
        <v>Need to Balance</v>
      </c>
    </row>
    <row r="29" spans="1:73" ht="15.75" customHeight="1" x14ac:dyDescent="0.25">
      <c r="A29" s="8" t="s">
        <v>38</v>
      </c>
      <c r="B29" s="8" t="s">
        <v>205</v>
      </c>
      <c r="C29" s="8" t="s">
        <v>265</v>
      </c>
      <c r="D29" s="8" t="s">
        <v>278</v>
      </c>
      <c r="E29" s="8" t="s">
        <v>279</v>
      </c>
      <c r="F29" s="8" t="s">
        <v>56</v>
      </c>
      <c r="G29" s="8" t="s">
        <v>44</v>
      </c>
      <c r="H29" s="8">
        <v>500</v>
      </c>
      <c r="I29" s="8" t="s">
        <v>280</v>
      </c>
      <c r="J29" s="8">
        <v>1</v>
      </c>
      <c r="K29" s="8">
        <v>241</v>
      </c>
      <c r="L29" s="8">
        <v>241</v>
      </c>
      <c r="M29" s="8">
        <v>242</v>
      </c>
      <c r="N29" s="8">
        <v>419</v>
      </c>
      <c r="O29" s="8">
        <v>419</v>
      </c>
      <c r="P29" s="8">
        <v>420</v>
      </c>
      <c r="Q29" s="9"/>
      <c r="R29" s="16"/>
      <c r="S29" s="10"/>
      <c r="T29" s="10"/>
      <c r="U29" s="10"/>
      <c r="V29" s="11"/>
      <c r="W29" s="12" t="s">
        <v>70</v>
      </c>
      <c r="X29" s="17"/>
      <c r="Y29" s="13">
        <v>101</v>
      </c>
      <c r="Z29" s="13">
        <v>65</v>
      </c>
      <c r="AA29" s="13">
        <v>51</v>
      </c>
      <c r="AB29" s="14">
        <v>34</v>
      </c>
      <c r="AC29" s="9" t="s">
        <v>70</v>
      </c>
      <c r="AD29" s="16"/>
      <c r="AE29" s="10">
        <v>96</v>
      </c>
      <c r="AF29" s="10">
        <v>85</v>
      </c>
      <c r="AG29" s="10">
        <v>208</v>
      </c>
      <c r="AH29" s="11">
        <v>35</v>
      </c>
      <c r="AI29" s="12" t="s">
        <v>47</v>
      </c>
      <c r="AJ29" s="17"/>
      <c r="AK29" s="13">
        <v>38</v>
      </c>
      <c r="AL29" s="13">
        <v>76</v>
      </c>
      <c r="AM29" s="13">
        <v>58</v>
      </c>
      <c r="AN29" s="14">
        <v>13</v>
      </c>
      <c r="AO29" s="9"/>
      <c r="AP29" s="16"/>
      <c r="AQ29" s="10"/>
      <c r="AR29" s="10"/>
      <c r="AS29" s="10"/>
      <c r="AT29" s="11"/>
      <c r="AU29" s="12"/>
      <c r="AV29" s="17"/>
      <c r="AW29" s="13"/>
      <c r="AX29" s="13"/>
      <c r="AY29" s="13"/>
      <c r="AZ29" s="14"/>
      <c r="BA29" s="9"/>
      <c r="BB29" s="16"/>
      <c r="BC29" s="10"/>
      <c r="BD29" s="10"/>
      <c r="BE29" s="10"/>
      <c r="BF29" s="11"/>
      <c r="BG29" s="12"/>
      <c r="BH29" s="17"/>
      <c r="BI29" s="13"/>
      <c r="BJ29" s="13"/>
      <c r="BK29" s="13"/>
      <c r="BL29" s="14"/>
      <c r="BM29" s="8">
        <f t="shared" si="0"/>
        <v>235</v>
      </c>
      <c r="BN29" s="8">
        <f t="shared" si="1"/>
        <v>226</v>
      </c>
      <c r="BO29" s="8">
        <f t="shared" si="2"/>
        <v>317</v>
      </c>
      <c r="BP29" s="8">
        <f t="shared" si="3"/>
        <v>82</v>
      </c>
      <c r="BQ29" s="8">
        <f t="shared" si="4"/>
        <v>317</v>
      </c>
      <c r="BR29" s="8">
        <f t="shared" si="5"/>
        <v>226</v>
      </c>
      <c r="BS29" s="15">
        <f t="shared" si="6"/>
        <v>46.011236882744193</v>
      </c>
      <c r="BT29" s="15" t="str">
        <f t="shared" si="7"/>
        <v>OK - No Upgrade</v>
      </c>
      <c r="BU29" s="15" t="str">
        <f t="shared" si="8"/>
        <v>Need to Balance</v>
      </c>
    </row>
    <row r="30" spans="1:73" ht="15.75" customHeight="1" x14ac:dyDescent="0.25">
      <c r="A30" s="8" t="s">
        <v>38</v>
      </c>
      <c r="B30" s="8" t="s">
        <v>205</v>
      </c>
      <c r="C30" s="8" t="s">
        <v>124</v>
      </c>
      <c r="D30" s="8" t="s">
        <v>281</v>
      </c>
      <c r="E30" s="8" t="s">
        <v>282</v>
      </c>
      <c r="F30" s="8" t="s">
        <v>56</v>
      </c>
      <c r="G30" s="8" t="s">
        <v>44</v>
      </c>
      <c r="H30" s="8">
        <v>1000</v>
      </c>
      <c r="I30" s="8" t="s">
        <v>283</v>
      </c>
      <c r="J30" s="8">
        <v>1</v>
      </c>
      <c r="K30" s="8">
        <v>239</v>
      </c>
      <c r="L30" s="8">
        <v>242</v>
      </c>
      <c r="M30" s="8">
        <v>240</v>
      </c>
      <c r="N30" s="8">
        <v>416</v>
      </c>
      <c r="O30" s="8">
        <v>412</v>
      </c>
      <c r="P30" s="8">
        <v>419</v>
      </c>
      <c r="Q30" s="9" t="s">
        <v>47</v>
      </c>
      <c r="R30" s="16"/>
      <c r="S30" s="10">
        <v>96</v>
      </c>
      <c r="T30" s="10">
        <v>69</v>
      </c>
      <c r="U30" s="10">
        <v>128</v>
      </c>
      <c r="V30" s="11">
        <v>43</v>
      </c>
      <c r="W30" s="12" t="s">
        <v>47</v>
      </c>
      <c r="X30" s="17"/>
      <c r="Y30" s="13">
        <v>60</v>
      </c>
      <c r="Z30" s="13">
        <v>54</v>
      </c>
      <c r="AA30" s="13">
        <v>75</v>
      </c>
      <c r="AB30" s="14">
        <v>18</v>
      </c>
      <c r="AC30" s="9" t="s">
        <v>47</v>
      </c>
      <c r="AD30" s="16"/>
      <c r="AE30" s="10">
        <v>8</v>
      </c>
      <c r="AF30" s="10">
        <v>6</v>
      </c>
      <c r="AG30" s="10">
        <v>6</v>
      </c>
      <c r="AH30" s="11">
        <v>10</v>
      </c>
      <c r="AI30" s="12"/>
      <c r="AJ30" s="17"/>
      <c r="AK30" s="13"/>
      <c r="AL30" s="13"/>
      <c r="AM30" s="13"/>
      <c r="AN30" s="14"/>
      <c r="AO30" s="9"/>
      <c r="AP30" s="16"/>
      <c r="AQ30" s="10"/>
      <c r="AR30" s="10"/>
      <c r="AS30" s="10"/>
      <c r="AT30" s="11"/>
      <c r="AU30" s="12"/>
      <c r="AV30" s="17"/>
      <c r="AW30" s="13"/>
      <c r="AX30" s="13"/>
      <c r="AY30" s="13"/>
      <c r="AZ30" s="14"/>
      <c r="BA30" s="9"/>
      <c r="BB30" s="16"/>
      <c r="BC30" s="10"/>
      <c r="BD30" s="10"/>
      <c r="BE30" s="10"/>
      <c r="BF30" s="11"/>
      <c r="BG30" s="12"/>
      <c r="BH30" s="17"/>
      <c r="BI30" s="13"/>
      <c r="BJ30" s="13"/>
      <c r="BK30" s="13"/>
      <c r="BL30" s="14"/>
      <c r="BM30" s="8">
        <f t="shared" si="0"/>
        <v>164</v>
      </c>
      <c r="BN30" s="8">
        <f t="shared" si="1"/>
        <v>129</v>
      </c>
      <c r="BO30" s="8">
        <f t="shared" si="2"/>
        <v>209</v>
      </c>
      <c r="BP30" s="8">
        <f t="shared" si="3"/>
        <v>71</v>
      </c>
      <c r="BQ30" s="8">
        <f t="shared" si="4"/>
        <v>209</v>
      </c>
      <c r="BR30" s="8">
        <f t="shared" si="5"/>
        <v>129</v>
      </c>
      <c r="BS30" s="15">
        <f t="shared" si="6"/>
        <v>15.059142541326848</v>
      </c>
      <c r="BT30" s="15" t="str">
        <f t="shared" si="7"/>
        <v>OK - No Upgrade</v>
      </c>
      <c r="BU30" s="15" t="str">
        <f t="shared" si="8"/>
        <v>Need to Balance</v>
      </c>
    </row>
    <row r="31" spans="1:73" ht="15.75" customHeight="1" x14ac:dyDescent="0.25">
      <c r="A31" s="8" t="s">
        <v>38</v>
      </c>
      <c r="B31" s="8" t="s">
        <v>205</v>
      </c>
      <c r="C31" s="8" t="s">
        <v>265</v>
      </c>
      <c r="D31" s="8" t="s">
        <v>284</v>
      </c>
      <c r="E31" s="8" t="s">
        <v>285</v>
      </c>
      <c r="F31" s="8" t="s">
        <v>56</v>
      </c>
      <c r="G31" s="8" t="s">
        <v>44</v>
      </c>
      <c r="H31" s="8">
        <v>1000</v>
      </c>
      <c r="I31" s="8" t="s">
        <v>286</v>
      </c>
      <c r="J31" s="8">
        <v>1</v>
      </c>
      <c r="K31" s="8">
        <v>247</v>
      </c>
      <c r="L31" s="8">
        <v>246</v>
      </c>
      <c r="M31" s="8">
        <v>249</v>
      </c>
      <c r="N31" s="8">
        <v>426</v>
      </c>
      <c r="O31" s="8">
        <v>431</v>
      </c>
      <c r="P31" s="8">
        <v>430</v>
      </c>
      <c r="Q31" s="9"/>
      <c r="R31" s="16"/>
      <c r="S31" s="10"/>
      <c r="T31" s="10"/>
      <c r="U31" s="10"/>
      <c r="V31" s="11"/>
      <c r="W31" s="12" t="s">
        <v>70</v>
      </c>
      <c r="X31" s="17"/>
      <c r="Y31" s="13">
        <v>210</v>
      </c>
      <c r="Z31" s="13">
        <v>104</v>
      </c>
      <c r="AA31" s="13">
        <v>231</v>
      </c>
      <c r="AB31" s="14">
        <v>3</v>
      </c>
      <c r="AC31" s="9" t="s">
        <v>70</v>
      </c>
      <c r="AD31" s="16"/>
      <c r="AE31" s="10"/>
      <c r="AF31" s="10"/>
      <c r="AG31" s="10"/>
      <c r="AH31" s="11"/>
      <c r="AI31" s="12" t="s">
        <v>70</v>
      </c>
      <c r="AJ31" s="17"/>
      <c r="AK31" s="13"/>
      <c r="AL31" s="13"/>
      <c r="AM31" s="13"/>
      <c r="AN31" s="14"/>
      <c r="AO31" s="9" t="s">
        <v>70</v>
      </c>
      <c r="AP31" s="16"/>
      <c r="AQ31" s="10">
        <v>15</v>
      </c>
      <c r="AR31" s="10">
        <v>125</v>
      </c>
      <c r="AS31" s="10">
        <v>117</v>
      </c>
      <c r="AT31" s="11">
        <v>17</v>
      </c>
      <c r="AU31" s="12"/>
      <c r="AV31" s="17"/>
      <c r="AW31" s="13"/>
      <c r="AX31" s="13"/>
      <c r="AY31" s="13"/>
      <c r="AZ31" s="14"/>
      <c r="BA31" s="9"/>
      <c r="BB31" s="16"/>
      <c r="BC31" s="10"/>
      <c r="BD31" s="10"/>
      <c r="BE31" s="10"/>
      <c r="BF31" s="11"/>
      <c r="BG31" s="12"/>
      <c r="BH31" s="17"/>
      <c r="BI31" s="13"/>
      <c r="BJ31" s="13"/>
      <c r="BK31" s="13"/>
      <c r="BL31" s="14"/>
      <c r="BM31" s="8">
        <f t="shared" si="0"/>
        <v>225</v>
      </c>
      <c r="BN31" s="8">
        <f t="shared" si="1"/>
        <v>229</v>
      </c>
      <c r="BO31" s="8">
        <f t="shared" si="2"/>
        <v>348</v>
      </c>
      <c r="BP31" s="8">
        <f t="shared" si="3"/>
        <v>20</v>
      </c>
      <c r="BQ31" s="8">
        <f t="shared" si="4"/>
        <v>348</v>
      </c>
      <c r="BR31" s="8">
        <f t="shared" si="5"/>
        <v>225</v>
      </c>
      <c r="BS31" s="15">
        <f t="shared" si="6"/>
        <v>25.677306812047096</v>
      </c>
      <c r="BT31" s="15" t="str">
        <f t="shared" si="7"/>
        <v>OK - No Upgrade</v>
      </c>
      <c r="BU31" s="15" t="str">
        <f t="shared" si="8"/>
        <v>Need to Balance</v>
      </c>
    </row>
    <row r="32" spans="1:73" ht="15.75" customHeight="1" x14ac:dyDescent="0.25">
      <c r="A32" s="8" t="s">
        <v>38</v>
      </c>
      <c r="B32" s="8" t="s">
        <v>205</v>
      </c>
      <c r="C32" s="8" t="s">
        <v>124</v>
      </c>
      <c r="D32" s="8" t="s">
        <v>287</v>
      </c>
      <c r="E32" s="8" t="s">
        <v>288</v>
      </c>
      <c r="F32" s="8" t="s">
        <v>43</v>
      </c>
      <c r="G32" s="8" t="s">
        <v>44</v>
      </c>
      <c r="H32" s="8">
        <v>315</v>
      </c>
      <c r="I32" s="8" t="s">
        <v>289</v>
      </c>
      <c r="J32" s="8">
        <v>1</v>
      </c>
      <c r="K32" s="8">
        <v>238</v>
      </c>
      <c r="L32" s="8">
        <v>235</v>
      </c>
      <c r="M32" s="8">
        <v>240</v>
      </c>
      <c r="N32" s="8">
        <v>410</v>
      </c>
      <c r="O32" s="8">
        <v>416</v>
      </c>
      <c r="P32" s="8">
        <v>411</v>
      </c>
      <c r="Q32" s="9" t="s">
        <v>47</v>
      </c>
      <c r="R32" s="16"/>
      <c r="S32" s="10">
        <v>21</v>
      </c>
      <c r="T32" s="10">
        <v>63</v>
      </c>
      <c r="U32" s="10">
        <v>9</v>
      </c>
      <c r="V32" s="11">
        <v>51</v>
      </c>
      <c r="W32" s="12" t="s">
        <v>47</v>
      </c>
      <c r="X32" s="17"/>
      <c r="Y32" s="13">
        <v>50</v>
      </c>
      <c r="Z32" s="13">
        <v>140</v>
      </c>
      <c r="AA32" s="13">
        <v>96</v>
      </c>
      <c r="AB32" s="14">
        <v>52</v>
      </c>
      <c r="AC32" s="9"/>
      <c r="AD32" s="16"/>
      <c r="AE32" s="10"/>
      <c r="AF32" s="10"/>
      <c r="AG32" s="10"/>
      <c r="AH32" s="11"/>
      <c r="AI32" s="12"/>
      <c r="AJ32" s="17"/>
      <c r="AK32" s="13"/>
      <c r="AL32" s="13"/>
      <c r="AM32" s="13"/>
      <c r="AN32" s="14"/>
      <c r="AO32" s="9"/>
      <c r="AP32" s="16"/>
      <c r="AQ32" s="10"/>
      <c r="AR32" s="10"/>
      <c r="AS32" s="10"/>
      <c r="AT32" s="11"/>
      <c r="AU32" s="12"/>
      <c r="AV32" s="17"/>
      <c r="AW32" s="13"/>
      <c r="AX32" s="13"/>
      <c r="AY32" s="13"/>
      <c r="AZ32" s="14"/>
      <c r="BA32" s="9"/>
      <c r="BB32" s="16"/>
      <c r="BC32" s="10"/>
      <c r="BD32" s="10"/>
      <c r="BE32" s="10"/>
      <c r="BF32" s="11"/>
      <c r="BG32" s="12"/>
      <c r="BH32" s="17"/>
      <c r="BI32" s="13"/>
      <c r="BJ32" s="13"/>
      <c r="BK32" s="13"/>
      <c r="BL32" s="14"/>
      <c r="BM32" s="8">
        <f t="shared" si="0"/>
        <v>71</v>
      </c>
      <c r="BN32" s="8">
        <f t="shared" si="1"/>
        <v>203</v>
      </c>
      <c r="BO32" s="8">
        <f t="shared" si="2"/>
        <v>105</v>
      </c>
      <c r="BP32" s="8">
        <f t="shared" si="3"/>
        <v>103</v>
      </c>
      <c r="BQ32" s="8">
        <f t="shared" si="4"/>
        <v>203</v>
      </c>
      <c r="BR32" s="8">
        <f t="shared" si="5"/>
        <v>71</v>
      </c>
      <c r="BS32" s="15">
        <f t="shared" si="6"/>
        <v>45.764631337764342</v>
      </c>
      <c r="BT32" s="15" t="str">
        <f t="shared" si="7"/>
        <v>OK - No Upgrade</v>
      </c>
      <c r="BU32" s="15" t="str">
        <f t="shared" si="8"/>
        <v>Need to Balance</v>
      </c>
    </row>
    <row r="33" spans="1:73" ht="15.75" customHeight="1" x14ac:dyDescent="0.25">
      <c r="A33" s="8" t="s">
        <v>38</v>
      </c>
      <c r="B33" s="8" t="s">
        <v>205</v>
      </c>
      <c r="C33" s="8" t="s">
        <v>265</v>
      </c>
      <c r="D33" s="8" t="s">
        <v>290</v>
      </c>
      <c r="E33" s="8" t="s">
        <v>291</v>
      </c>
      <c r="F33" s="8" t="s">
        <v>56</v>
      </c>
      <c r="G33" s="8" t="s">
        <v>44</v>
      </c>
      <c r="H33" s="8">
        <v>1000</v>
      </c>
      <c r="I33" s="8" t="s">
        <v>289</v>
      </c>
      <c r="J33" s="8">
        <v>1</v>
      </c>
      <c r="K33" s="8">
        <v>245</v>
      </c>
      <c r="L33" s="8">
        <v>242</v>
      </c>
      <c r="M33" s="8">
        <v>243</v>
      </c>
      <c r="N33" s="8">
        <v>422</v>
      </c>
      <c r="O33" s="8">
        <v>416</v>
      </c>
      <c r="P33" s="8">
        <v>421</v>
      </c>
      <c r="Q33" s="9" t="s">
        <v>47</v>
      </c>
      <c r="R33" s="16"/>
      <c r="S33" s="10">
        <v>25</v>
      </c>
      <c r="T33" s="10">
        <v>26</v>
      </c>
      <c r="U33" s="10">
        <v>11</v>
      </c>
      <c r="V33" s="11">
        <v>16</v>
      </c>
      <c r="W33" s="12" t="s">
        <v>47</v>
      </c>
      <c r="X33" s="17"/>
      <c r="Y33" s="13">
        <v>33</v>
      </c>
      <c r="Z33" s="13">
        <v>25</v>
      </c>
      <c r="AA33" s="13">
        <v>15</v>
      </c>
      <c r="AB33" s="14">
        <v>19</v>
      </c>
      <c r="AC33" s="9" t="s">
        <v>47</v>
      </c>
      <c r="AD33" s="16"/>
      <c r="AE33" s="10">
        <v>16</v>
      </c>
      <c r="AF33" s="10">
        <v>26</v>
      </c>
      <c r="AG33" s="10">
        <v>55</v>
      </c>
      <c r="AH33" s="11">
        <v>28</v>
      </c>
      <c r="AI33" s="12" t="s">
        <v>47</v>
      </c>
      <c r="AJ33" s="17"/>
      <c r="AK33" s="13">
        <v>85</v>
      </c>
      <c r="AL33" s="13">
        <v>56</v>
      </c>
      <c r="AM33" s="13">
        <v>140</v>
      </c>
      <c r="AN33" s="14">
        <v>48</v>
      </c>
      <c r="AO33" s="9" t="s">
        <v>70</v>
      </c>
      <c r="AP33" s="16"/>
      <c r="AQ33" s="10"/>
      <c r="AR33" s="10"/>
      <c r="AS33" s="10"/>
      <c r="AT33" s="11"/>
      <c r="AU33" s="12"/>
      <c r="AV33" s="17"/>
      <c r="AW33" s="13"/>
      <c r="AX33" s="13"/>
      <c r="AY33" s="13"/>
      <c r="AZ33" s="14"/>
      <c r="BA33" s="9"/>
      <c r="BB33" s="16"/>
      <c r="BC33" s="10"/>
      <c r="BD33" s="10"/>
      <c r="BE33" s="10"/>
      <c r="BF33" s="11"/>
      <c r="BG33" s="12"/>
      <c r="BH33" s="17"/>
      <c r="BI33" s="13"/>
      <c r="BJ33" s="13"/>
      <c r="BK33" s="13"/>
      <c r="BL33" s="14"/>
      <c r="BM33" s="8">
        <f t="shared" si="0"/>
        <v>159</v>
      </c>
      <c r="BN33" s="8">
        <f t="shared" si="1"/>
        <v>133</v>
      </c>
      <c r="BO33" s="8">
        <f t="shared" si="2"/>
        <v>221</v>
      </c>
      <c r="BP33" s="8">
        <f t="shared" si="3"/>
        <v>111</v>
      </c>
      <c r="BQ33" s="8">
        <f t="shared" si="4"/>
        <v>221</v>
      </c>
      <c r="BR33" s="8">
        <f t="shared" si="5"/>
        <v>133</v>
      </c>
      <c r="BS33" s="15">
        <f t="shared" si="6"/>
        <v>16.153452241548862</v>
      </c>
      <c r="BT33" s="15" t="str">
        <f t="shared" si="7"/>
        <v>OK - No Upgrade</v>
      </c>
      <c r="BU33" s="15" t="str">
        <f t="shared" si="8"/>
        <v>Need to Balance</v>
      </c>
    </row>
    <row r="34" spans="1:73" ht="15.75" customHeight="1" x14ac:dyDescent="0.25">
      <c r="A34" s="8" t="s">
        <v>38</v>
      </c>
      <c r="B34" s="8" t="s">
        <v>205</v>
      </c>
      <c r="C34" s="8" t="s">
        <v>124</v>
      </c>
      <c r="D34" s="8" t="s">
        <v>292</v>
      </c>
      <c r="E34" s="8" t="s">
        <v>293</v>
      </c>
      <c r="F34" s="8" t="s">
        <v>43</v>
      </c>
      <c r="G34" s="8" t="s">
        <v>44</v>
      </c>
      <c r="H34" s="8">
        <v>315</v>
      </c>
      <c r="I34" s="8" t="s">
        <v>294</v>
      </c>
      <c r="J34" s="8">
        <v>1</v>
      </c>
      <c r="K34" s="8">
        <v>242</v>
      </c>
      <c r="L34" s="8">
        <v>242</v>
      </c>
      <c r="M34" s="8">
        <v>246</v>
      </c>
      <c r="N34" s="8">
        <v>418</v>
      </c>
      <c r="O34" s="8">
        <v>424</v>
      </c>
      <c r="P34" s="8">
        <v>423</v>
      </c>
      <c r="Q34" s="9" t="s">
        <v>46</v>
      </c>
      <c r="R34" s="16"/>
      <c r="S34" s="10">
        <v>125</v>
      </c>
      <c r="T34" s="10">
        <v>114</v>
      </c>
      <c r="U34" s="10">
        <v>62</v>
      </c>
      <c r="V34" s="11">
        <v>46</v>
      </c>
      <c r="W34" s="12" t="s">
        <v>46</v>
      </c>
      <c r="X34" s="17"/>
      <c r="Y34" s="13">
        <v>27</v>
      </c>
      <c r="Z34" s="13">
        <v>56</v>
      </c>
      <c r="AA34" s="13">
        <v>60</v>
      </c>
      <c r="AB34" s="14">
        <v>41</v>
      </c>
      <c r="AC34" s="9"/>
      <c r="AD34" s="16"/>
      <c r="AE34" s="10"/>
      <c r="AF34" s="10"/>
      <c r="AG34" s="10"/>
      <c r="AH34" s="11"/>
      <c r="AI34" s="12"/>
      <c r="AJ34" s="17"/>
      <c r="AK34" s="13"/>
      <c r="AL34" s="13"/>
      <c r="AM34" s="13"/>
      <c r="AN34" s="14"/>
      <c r="AO34" s="9"/>
      <c r="AP34" s="16"/>
      <c r="AQ34" s="10"/>
      <c r="AR34" s="10"/>
      <c r="AS34" s="10"/>
      <c r="AT34" s="11"/>
      <c r="AU34" s="12"/>
      <c r="AV34" s="17"/>
      <c r="AW34" s="13"/>
      <c r="AX34" s="13"/>
      <c r="AY34" s="13"/>
      <c r="AZ34" s="14"/>
      <c r="BA34" s="9"/>
      <c r="BB34" s="16"/>
      <c r="BC34" s="10"/>
      <c r="BD34" s="10"/>
      <c r="BE34" s="10"/>
      <c r="BF34" s="11"/>
      <c r="BG34" s="12"/>
      <c r="BH34" s="17"/>
      <c r="BI34" s="13"/>
      <c r="BJ34" s="13"/>
      <c r="BK34" s="13"/>
      <c r="BL34" s="14"/>
      <c r="BM34" s="8">
        <f t="shared" si="0"/>
        <v>152</v>
      </c>
      <c r="BN34" s="8">
        <f t="shared" si="1"/>
        <v>170</v>
      </c>
      <c r="BO34" s="8">
        <f t="shared" si="2"/>
        <v>122</v>
      </c>
      <c r="BP34" s="8">
        <f t="shared" si="3"/>
        <v>87</v>
      </c>
      <c r="BQ34" s="8">
        <f t="shared" si="4"/>
        <v>170</v>
      </c>
      <c r="BR34" s="8">
        <f t="shared" si="5"/>
        <v>122</v>
      </c>
      <c r="BS34" s="15">
        <f t="shared" si="6"/>
        <v>39.072866789156954</v>
      </c>
      <c r="BT34" s="15" t="str">
        <f t="shared" si="7"/>
        <v>OK - No Upgrade</v>
      </c>
      <c r="BU34" s="15" t="str">
        <f t="shared" si="8"/>
        <v>Need to Balance</v>
      </c>
    </row>
    <row r="35" spans="1:73" ht="15.75" customHeight="1" x14ac:dyDescent="0.25">
      <c r="A35" s="8" t="s">
        <v>38</v>
      </c>
      <c r="B35" s="8" t="s">
        <v>205</v>
      </c>
      <c r="C35" s="8" t="s">
        <v>124</v>
      </c>
      <c r="D35" s="8" t="s">
        <v>295</v>
      </c>
      <c r="E35" s="8" t="s">
        <v>296</v>
      </c>
      <c r="F35" s="8" t="s">
        <v>43</v>
      </c>
      <c r="G35" s="8" t="s">
        <v>44</v>
      </c>
      <c r="H35" s="8">
        <v>315</v>
      </c>
      <c r="I35" s="8" t="s">
        <v>297</v>
      </c>
      <c r="J35" s="8">
        <v>1</v>
      </c>
      <c r="K35" s="8">
        <v>247</v>
      </c>
      <c r="L35" s="8">
        <v>245</v>
      </c>
      <c r="M35" s="8">
        <v>242</v>
      </c>
      <c r="N35" s="8">
        <v>413</v>
      </c>
      <c r="O35" s="8">
        <v>412</v>
      </c>
      <c r="P35" s="8">
        <v>411</v>
      </c>
      <c r="Q35" s="9" t="s">
        <v>46</v>
      </c>
      <c r="R35" s="16"/>
      <c r="S35" s="10">
        <v>83</v>
      </c>
      <c r="T35" s="10">
        <v>58</v>
      </c>
      <c r="U35" s="10">
        <v>35</v>
      </c>
      <c r="V35" s="11">
        <v>34</v>
      </c>
      <c r="W35" s="12" t="s">
        <v>46</v>
      </c>
      <c r="X35" s="17"/>
      <c r="Y35" s="13">
        <v>122</v>
      </c>
      <c r="Z35" s="13">
        <v>77</v>
      </c>
      <c r="AA35" s="13">
        <v>91</v>
      </c>
      <c r="AB35" s="14">
        <v>40</v>
      </c>
      <c r="AC35" s="9"/>
      <c r="AD35" s="16"/>
      <c r="AE35" s="10"/>
      <c r="AF35" s="10"/>
      <c r="AG35" s="10"/>
      <c r="AH35" s="11"/>
      <c r="AI35" s="12"/>
      <c r="AJ35" s="17"/>
      <c r="AK35" s="13"/>
      <c r="AL35" s="13"/>
      <c r="AM35" s="13"/>
      <c r="AN35" s="14"/>
      <c r="AO35" s="9"/>
      <c r="AP35" s="16"/>
      <c r="AQ35" s="10"/>
      <c r="AR35" s="10"/>
      <c r="AS35" s="10"/>
      <c r="AT35" s="11"/>
      <c r="AU35" s="12"/>
      <c r="AV35" s="17"/>
      <c r="AW35" s="13"/>
      <c r="AX35" s="13"/>
      <c r="AY35" s="13"/>
      <c r="AZ35" s="14"/>
      <c r="BA35" s="9"/>
      <c r="BB35" s="16"/>
      <c r="BC35" s="10"/>
      <c r="BD35" s="10"/>
      <c r="BE35" s="10"/>
      <c r="BF35" s="11"/>
      <c r="BG35" s="12"/>
      <c r="BH35" s="17"/>
      <c r="BI35" s="13"/>
      <c r="BJ35" s="13"/>
      <c r="BK35" s="13"/>
      <c r="BL35" s="14"/>
      <c r="BM35" s="8">
        <f t="shared" si="0"/>
        <v>205</v>
      </c>
      <c r="BN35" s="8">
        <f t="shared" si="1"/>
        <v>135</v>
      </c>
      <c r="BO35" s="8">
        <f t="shared" si="2"/>
        <v>126</v>
      </c>
      <c r="BP35" s="8">
        <f t="shared" si="3"/>
        <v>74</v>
      </c>
      <c r="BQ35" s="8">
        <f t="shared" si="4"/>
        <v>205</v>
      </c>
      <c r="BR35" s="8">
        <f t="shared" si="5"/>
        <v>126</v>
      </c>
      <c r="BS35" s="15">
        <f t="shared" si="6"/>
        <v>46.553676705656819</v>
      </c>
      <c r="BT35" s="15" t="str">
        <f t="shared" si="7"/>
        <v>OK - No Upgrade</v>
      </c>
      <c r="BU35" s="15" t="str">
        <f t="shared" si="8"/>
        <v>Need to Balance</v>
      </c>
    </row>
    <row r="36" spans="1:73" ht="15.75" customHeight="1" x14ac:dyDescent="0.25">
      <c r="A36" s="8" t="s">
        <v>38</v>
      </c>
      <c r="B36" s="8" t="s">
        <v>205</v>
      </c>
      <c r="C36" s="8" t="s">
        <v>265</v>
      </c>
      <c r="D36" s="8" t="s">
        <v>298</v>
      </c>
      <c r="E36" s="8" t="s">
        <v>299</v>
      </c>
      <c r="F36" s="8" t="s">
        <v>56</v>
      </c>
      <c r="G36" s="8" t="s">
        <v>44</v>
      </c>
      <c r="H36" s="8">
        <v>1000</v>
      </c>
      <c r="I36" s="8" t="s">
        <v>300</v>
      </c>
      <c r="J36" s="8">
        <v>1</v>
      </c>
      <c r="K36" s="8">
        <v>244</v>
      </c>
      <c r="L36" s="8">
        <v>244</v>
      </c>
      <c r="M36" s="8">
        <v>247</v>
      </c>
      <c r="N36" s="8">
        <v>423</v>
      </c>
      <c r="O36" s="8">
        <v>417</v>
      </c>
      <c r="P36" s="8">
        <v>422</v>
      </c>
      <c r="Q36" s="9" t="s">
        <v>46</v>
      </c>
      <c r="R36" s="16"/>
      <c r="S36" s="10">
        <v>6</v>
      </c>
      <c r="T36" s="10">
        <v>18</v>
      </c>
      <c r="U36" s="10">
        <v>33</v>
      </c>
      <c r="V36" s="11">
        <v>13</v>
      </c>
      <c r="W36" s="12" t="s">
        <v>70</v>
      </c>
      <c r="X36" s="17"/>
      <c r="Y36" s="13">
        <v>72</v>
      </c>
      <c r="Z36" s="13">
        <v>45</v>
      </c>
      <c r="AA36" s="13">
        <v>26</v>
      </c>
      <c r="AB36" s="14">
        <v>19</v>
      </c>
      <c r="AC36" s="9" t="s">
        <v>47</v>
      </c>
      <c r="AD36" s="16"/>
      <c r="AE36" s="10">
        <v>29</v>
      </c>
      <c r="AF36" s="10">
        <v>89</v>
      </c>
      <c r="AG36" s="10">
        <v>33</v>
      </c>
      <c r="AH36" s="11">
        <v>16</v>
      </c>
      <c r="AI36" s="12" t="s">
        <v>47</v>
      </c>
      <c r="AJ36" s="17"/>
      <c r="AK36" s="13">
        <v>78</v>
      </c>
      <c r="AL36" s="13">
        <v>46</v>
      </c>
      <c r="AM36" s="13">
        <v>48</v>
      </c>
      <c r="AN36" s="14">
        <v>25</v>
      </c>
      <c r="AO36" s="9" t="s">
        <v>46</v>
      </c>
      <c r="AP36" s="16"/>
      <c r="AQ36" s="10">
        <v>98</v>
      </c>
      <c r="AR36" s="10">
        <v>56</v>
      </c>
      <c r="AS36" s="10">
        <v>98</v>
      </c>
      <c r="AT36" s="11">
        <v>41</v>
      </c>
      <c r="AU36" s="12" t="s">
        <v>47</v>
      </c>
      <c r="AV36" s="17"/>
      <c r="AW36" s="13">
        <v>115</v>
      </c>
      <c r="AX36" s="13">
        <v>75</v>
      </c>
      <c r="AY36" s="13">
        <v>72</v>
      </c>
      <c r="AZ36" s="14">
        <v>46</v>
      </c>
      <c r="BA36" s="9" t="s">
        <v>47</v>
      </c>
      <c r="BB36" s="16"/>
      <c r="BC36" s="10">
        <v>60</v>
      </c>
      <c r="BD36" s="10">
        <v>85</v>
      </c>
      <c r="BE36" s="10">
        <v>88</v>
      </c>
      <c r="BF36" s="11">
        <v>45</v>
      </c>
      <c r="BG36" s="12" t="s">
        <v>47</v>
      </c>
      <c r="BH36" s="17"/>
      <c r="BI36" s="13"/>
      <c r="BJ36" s="13"/>
      <c r="BK36" s="13"/>
      <c r="BL36" s="14"/>
      <c r="BM36" s="8">
        <f t="shared" ref="BM36:BM64" si="9">SUM(S36,Y36,AE36,AK36,AQ36,AW36,BC36,BI36)</f>
        <v>458</v>
      </c>
      <c r="BN36" s="8">
        <f t="shared" ref="BN36:BN64" si="10">SUM(T36,Z36,AF36,AL36,AR36,AX36,BD36,BJ36)</f>
        <v>414</v>
      </c>
      <c r="BO36" s="8">
        <f t="shared" ref="BO36:BO64" si="11">SUM(U36,AA36,AG36,AM36,AS36,AY36,BE36,BK36)</f>
        <v>398</v>
      </c>
      <c r="BP36" s="8">
        <f t="shared" ref="BP36:BP64" si="12">SUM(V36,AB36,AH36,AN36,AT36,AZ36,BF36,BL36)</f>
        <v>205</v>
      </c>
      <c r="BQ36" s="8">
        <f t="shared" ref="BQ36:BQ64" si="13">MAX(BM36:BO36)</f>
        <v>458</v>
      </c>
      <c r="BR36" s="8">
        <f t="shared" ref="BR36:BR64" si="14">MIN(BM36:BO36)</f>
        <v>398</v>
      </c>
      <c r="BS36" s="15">
        <f t="shared" ref="BS36:BS64" si="15">IF(H36&gt;0,(BQ36*SQRT(3)*IF(N36&gt;0,N36,IF(O36&gt;0,O36,IF(P36&gt;0,P36,415)))/(H36*1000))*100,0)</f>
        <v>33.555713115354884</v>
      </c>
      <c r="BT36" s="15" t="str">
        <f t="shared" ref="BT36:BT67" si="16">IF(BS36&gt;70,"Upgrade","OK - No Upgrade")</f>
        <v>OK - No Upgrade</v>
      </c>
      <c r="BU36" s="15" t="str">
        <f t="shared" ref="BU36:BU64" si="17">IF(IF(AVERAGE(BM36:BO36)&gt;0,((BQ36-AVERAGE(BM36:BO36))/AVERAGE(BM36:BO36))*100,0)&gt;10,"Need to Balance","OK - Balanced")</f>
        <v>OK - Balanced</v>
      </c>
    </row>
    <row r="37" spans="1:73" ht="15.75" customHeight="1" x14ac:dyDescent="0.25">
      <c r="A37" s="8" t="s">
        <v>38</v>
      </c>
      <c r="B37" s="8" t="s">
        <v>205</v>
      </c>
      <c r="C37" s="8" t="s">
        <v>124</v>
      </c>
      <c r="D37" s="8" t="s">
        <v>301</v>
      </c>
      <c r="E37" s="8" t="s">
        <v>302</v>
      </c>
      <c r="F37" s="8" t="s">
        <v>56</v>
      </c>
      <c r="G37" s="8" t="s">
        <v>44</v>
      </c>
      <c r="H37" s="8">
        <v>500</v>
      </c>
      <c r="I37" s="8" t="s">
        <v>303</v>
      </c>
      <c r="J37" s="8">
        <v>1</v>
      </c>
      <c r="K37" s="8">
        <v>234</v>
      </c>
      <c r="L37" s="8">
        <v>234</v>
      </c>
      <c r="M37" s="8">
        <v>237</v>
      </c>
      <c r="N37" s="8">
        <v>403</v>
      </c>
      <c r="O37" s="8">
        <v>409</v>
      </c>
      <c r="P37" s="8">
        <v>412</v>
      </c>
      <c r="Q37" s="9"/>
      <c r="R37" s="16"/>
      <c r="S37" s="10"/>
      <c r="T37" s="10"/>
      <c r="U37" s="10"/>
      <c r="V37" s="11"/>
      <c r="W37" s="12"/>
      <c r="X37" s="17"/>
      <c r="Y37" s="13"/>
      <c r="Z37" s="13"/>
      <c r="AA37" s="13"/>
      <c r="AB37" s="14"/>
      <c r="AC37" s="9"/>
      <c r="AD37" s="16"/>
      <c r="AE37" s="10"/>
      <c r="AF37" s="10"/>
      <c r="AG37" s="10"/>
      <c r="AH37" s="11"/>
      <c r="AI37" s="12" t="s">
        <v>47</v>
      </c>
      <c r="AJ37" s="17"/>
      <c r="AK37" s="13"/>
      <c r="AL37" s="13"/>
      <c r="AM37" s="13"/>
      <c r="AN37" s="14"/>
      <c r="AO37" s="9" t="s">
        <v>47</v>
      </c>
      <c r="AP37" s="16"/>
      <c r="AQ37" s="10">
        <v>59</v>
      </c>
      <c r="AR37" s="10">
        <v>72</v>
      </c>
      <c r="AS37" s="10">
        <v>126</v>
      </c>
      <c r="AT37" s="11">
        <v>54</v>
      </c>
      <c r="AU37" s="12" t="s">
        <v>47</v>
      </c>
      <c r="AV37" s="17"/>
      <c r="AW37" s="13">
        <v>0</v>
      </c>
      <c r="AX37" s="13">
        <v>0</v>
      </c>
      <c r="AY37" s="13">
        <v>0</v>
      </c>
      <c r="AZ37" s="14">
        <v>0</v>
      </c>
      <c r="BA37" s="9" t="s">
        <v>47</v>
      </c>
      <c r="BB37" s="16"/>
      <c r="BC37" s="10">
        <v>113</v>
      </c>
      <c r="BD37" s="10">
        <v>76</v>
      </c>
      <c r="BE37" s="10">
        <v>105</v>
      </c>
      <c r="BF37" s="11">
        <v>11</v>
      </c>
      <c r="BG37" s="12"/>
      <c r="BH37" s="17"/>
      <c r="BI37" s="13"/>
      <c r="BJ37" s="13"/>
      <c r="BK37" s="13"/>
      <c r="BL37" s="14"/>
      <c r="BM37" s="8">
        <f t="shared" si="9"/>
        <v>172</v>
      </c>
      <c r="BN37" s="8">
        <f t="shared" si="10"/>
        <v>148</v>
      </c>
      <c r="BO37" s="8">
        <f t="shared" si="11"/>
        <v>231</v>
      </c>
      <c r="BP37" s="8">
        <f t="shared" si="12"/>
        <v>65</v>
      </c>
      <c r="BQ37" s="8">
        <f t="shared" si="13"/>
        <v>231</v>
      </c>
      <c r="BR37" s="8">
        <f t="shared" si="14"/>
        <v>148</v>
      </c>
      <c r="BS37" s="15">
        <f t="shared" si="15"/>
        <v>32.248361165801896</v>
      </c>
      <c r="BT37" s="15" t="str">
        <f t="shared" si="16"/>
        <v>OK - No Upgrade</v>
      </c>
      <c r="BU37" s="15" t="str">
        <f t="shared" si="17"/>
        <v>Need to Balance</v>
      </c>
    </row>
    <row r="38" spans="1:73" ht="15.75" customHeight="1" x14ac:dyDescent="0.25">
      <c r="A38" s="8" t="s">
        <v>38</v>
      </c>
      <c r="B38" s="8" t="s">
        <v>205</v>
      </c>
      <c r="C38" s="8" t="s">
        <v>265</v>
      </c>
      <c r="D38" s="8" t="s">
        <v>304</v>
      </c>
      <c r="E38" s="8" t="s">
        <v>305</v>
      </c>
      <c r="F38" s="8" t="s">
        <v>56</v>
      </c>
      <c r="G38" s="8" t="s">
        <v>44</v>
      </c>
      <c r="H38" s="8">
        <v>1000</v>
      </c>
      <c r="I38" s="8" t="s">
        <v>306</v>
      </c>
      <c r="J38" s="8">
        <v>1</v>
      </c>
      <c r="K38" s="8">
        <v>242</v>
      </c>
      <c r="L38" s="8">
        <v>240</v>
      </c>
      <c r="M38" s="8">
        <v>243</v>
      </c>
      <c r="N38" s="8">
        <v>424</v>
      </c>
      <c r="O38" s="8">
        <v>425</v>
      </c>
      <c r="P38" s="8">
        <v>429</v>
      </c>
      <c r="Q38" s="9"/>
      <c r="R38" s="16"/>
      <c r="S38" s="10"/>
      <c r="T38" s="10"/>
      <c r="U38" s="10"/>
      <c r="V38" s="11"/>
      <c r="W38" s="12"/>
      <c r="X38" s="17"/>
      <c r="Y38" s="13"/>
      <c r="Z38" s="13"/>
      <c r="AA38" s="13"/>
      <c r="AB38" s="14"/>
      <c r="AC38" s="9" t="s">
        <v>47</v>
      </c>
      <c r="AD38" s="16"/>
      <c r="AE38" s="10">
        <v>61</v>
      </c>
      <c r="AF38" s="10">
        <v>72</v>
      </c>
      <c r="AG38" s="10">
        <v>28</v>
      </c>
      <c r="AH38" s="11">
        <v>26</v>
      </c>
      <c r="AI38" s="12"/>
      <c r="AJ38" s="17"/>
      <c r="AK38" s="13"/>
      <c r="AL38" s="13"/>
      <c r="AM38" s="13"/>
      <c r="AN38" s="14"/>
      <c r="AO38" s="9"/>
      <c r="AP38" s="16"/>
      <c r="AQ38" s="10"/>
      <c r="AR38" s="10"/>
      <c r="AS38" s="10"/>
      <c r="AT38" s="11"/>
      <c r="AU38" s="12" t="s">
        <v>70</v>
      </c>
      <c r="AV38" s="17"/>
      <c r="AW38" s="13">
        <v>21</v>
      </c>
      <c r="AX38" s="13">
        <v>15</v>
      </c>
      <c r="AY38" s="13">
        <v>12</v>
      </c>
      <c r="AZ38" s="14">
        <v>17</v>
      </c>
      <c r="BA38" s="9" t="s">
        <v>70</v>
      </c>
      <c r="BB38" s="16"/>
      <c r="BC38" s="10">
        <v>45</v>
      </c>
      <c r="BD38" s="10">
        <v>48</v>
      </c>
      <c r="BE38" s="10">
        <v>25</v>
      </c>
      <c r="BF38" s="11">
        <v>21</v>
      </c>
      <c r="BG38" s="12"/>
      <c r="BH38" s="17"/>
      <c r="BI38" s="13"/>
      <c r="BJ38" s="13"/>
      <c r="BK38" s="13"/>
      <c r="BL38" s="14"/>
      <c r="BM38" s="8">
        <f t="shared" si="9"/>
        <v>127</v>
      </c>
      <c r="BN38" s="8">
        <f t="shared" si="10"/>
        <v>135</v>
      </c>
      <c r="BO38" s="8">
        <f t="shared" si="11"/>
        <v>65</v>
      </c>
      <c r="BP38" s="8">
        <f t="shared" si="12"/>
        <v>64</v>
      </c>
      <c r="BQ38" s="8">
        <f t="shared" si="13"/>
        <v>135</v>
      </c>
      <c r="BR38" s="8">
        <f t="shared" si="14"/>
        <v>65</v>
      </c>
      <c r="BS38" s="15">
        <f t="shared" si="15"/>
        <v>9.9142588225242516</v>
      </c>
      <c r="BT38" s="15" t="str">
        <f t="shared" si="16"/>
        <v>OK - No Upgrade</v>
      </c>
      <c r="BU38" s="15" t="str">
        <f t="shared" si="17"/>
        <v>Need to Balance</v>
      </c>
    </row>
    <row r="39" spans="1:73" ht="15.75" customHeight="1" x14ac:dyDescent="0.25">
      <c r="A39" s="8" t="s">
        <v>38</v>
      </c>
      <c r="B39" s="8" t="s">
        <v>205</v>
      </c>
      <c r="C39" s="8" t="s">
        <v>265</v>
      </c>
      <c r="D39" s="8" t="s">
        <v>307</v>
      </c>
      <c r="E39" s="8" t="s">
        <v>308</v>
      </c>
      <c r="F39" s="8" t="s">
        <v>56</v>
      </c>
      <c r="G39" s="8" t="s">
        <v>44</v>
      </c>
      <c r="H39" s="8">
        <v>500</v>
      </c>
      <c r="I39" s="8" t="s">
        <v>309</v>
      </c>
      <c r="J39" s="8">
        <v>1</v>
      </c>
      <c r="K39" s="8">
        <v>241</v>
      </c>
      <c r="L39" s="8">
        <v>242</v>
      </c>
      <c r="M39" s="8">
        <v>240</v>
      </c>
      <c r="N39" s="8">
        <v>421</v>
      </c>
      <c r="O39" s="8">
        <v>420</v>
      </c>
      <c r="P39" s="8">
        <v>422</v>
      </c>
      <c r="Q39" s="9" t="s">
        <v>70</v>
      </c>
      <c r="R39" s="16"/>
      <c r="S39" s="10">
        <v>35</v>
      </c>
      <c r="T39" s="10">
        <v>52</v>
      </c>
      <c r="U39" s="10">
        <v>65</v>
      </c>
      <c r="V39" s="11">
        <v>60</v>
      </c>
      <c r="W39" s="12" t="s">
        <v>46</v>
      </c>
      <c r="X39" s="17"/>
      <c r="Y39" s="13">
        <v>11</v>
      </c>
      <c r="Z39" s="13">
        <v>20</v>
      </c>
      <c r="AA39" s="13">
        <v>15</v>
      </c>
      <c r="AB39" s="14">
        <v>14</v>
      </c>
      <c r="AC39" s="9" t="s">
        <v>47</v>
      </c>
      <c r="AD39" s="16"/>
      <c r="AE39" s="10">
        <v>31</v>
      </c>
      <c r="AF39" s="10">
        <v>52</v>
      </c>
      <c r="AG39" s="10">
        <v>140</v>
      </c>
      <c r="AH39" s="11">
        <v>20</v>
      </c>
      <c r="AI39" s="12" t="s">
        <v>46</v>
      </c>
      <c r="AJ39" s="17"/>
      <c r="AK39" s="13">
        <v>120</v>
      </c>
      <c r="AL39" s="13">
        <v>105</v>
      </c>
      <c r="AM39" s="13">
        <v>108</v>
      </c>
      <c r="AN39" s="14">
        <v>40</v>
      </c>
      <c r="AO39" s="9" t="s">
        <v>47</v>
      </c>
      <c r="AP39" s="16"/>
      <c r="AQ39" s="10">
        <v>11</v>
      </c>
      <c r="AR39" s="10">
        <v>25</v>
      </c>
      <c r="AS39" s="10">
        <v>18</v>
      </c>
      <c r="AT39" s="11">
        <v>12</v>
      </c>
      <c r="AU39" s="12" t="s">
        <v>47</v>
      </c>
      <c r="AV39" s="17"/>
      <c r="AW39" s="13">
        <v>29</v>
      </c>
      <c r="AX39" s="13">
        <v>40</v>
      </c>
      <c r="AY39" s="13">
        <v>39</v>
      </c>
      <c r="AZ39" s="14">
        <v>17</v>
      </c>
      <c r="BA39" s="9"/>
      <c r="BB39" s="16"/>
      <c r="BC39" s="10"/>
      <c r="BD39" s="10"/>
      <c r="BE39" s="10"/>
      <c r="BF39" s="11"/>
      <c r="BG39" s="12"/>
      <c r="BH39" s="17"/>
      <c r="BI39" s="13"/>
      <c r="BJ39" s="13"/>
      <c r="BK39" s="13"/>
      <c r="BL39" s="14"/>
      <c r="BM39" s="8">
        <f t="shared" si="9"/>
        <v>237</v>
      </c>
      <c r="BN39" s="8">
        <f t="shared" si="10"/>
        <v>294</v>
      </c>
      <c r="BO39" s="8">
        <f t="shared" si="11"/>
        <v>385</v>
      </c>
      <c r="BP39" s="8">
        <f t="shared" si="12"/>
        <v>163</v>
      </c>
      <c r="BQ39" s="8">
        <f t="shared" si="13"/>
        <v>385</v>
      </c>
      <c r="BR39" s="8">
        <f t="shared" si="14"/>
        <v>237</v>
      </c>
      <c r="BS39" s="15">
        <f t="shared" si="15"/>
        <v>56.147891028960295</v>
      </c>
      <c r="BT39" s="15" t="str">
        <f t="shared" si="16"/>
        <v>OK - No Upgrade</v>
      </c>
      <c r="BU39" s="15" t="str">
        <f t="shared" si="17"/>
        <v>Need to Balance</v>
      </c>
    </row>
    <row r="40" spans="1:73" ht="15.75" customHeight="1" x14ac:dyDescent="0.25">
      <c r="A40" s="8" t="s">
        <v>38</v>
      </c>
      <c r="B40" s="8" t="s">
        <v>205</v>
      </c>
      <c r="C40" s="8" t="s">
        <v>124</v>
      </c>
      <c r="D40" s="8" t="s">
        <v>310</v>
      </c>
      <c r="E40" s="8" t="s">
        <v>311</v>
      </c>
      <c r="F40" s="8" t="s">
        <v>43</v>
      </c>
      <c r="G40" s="8" t="s">
        <v>44</v>
      </c>
      <c r="H40" s="8">
        <v>315</v>
      </c>
      <c r="I40" s="8" t="s">
        <v>312</v>
      </c>
      <c r="J40" s="8">
        <v>1</v>
      </c>
      <c r="K40" s="8">
        <v>239</v>
      </c>
      <c r="L40" s="8">
        <v>238</v>
      </c>
      <c r="M40" s="8">
        <v>237</v>
      </c>
      <c r="N40" s="8">
        <v>414</v>
      </c>
      <c r="O40" s="8">
        <v>413</v>
      </c>
      <c r="P40" s="8">
        <v>410</v>
      </c>
      <c r="Q40" s="9" t="s">
        <v>47</v>
      </c>
      <c r="R40" s="16"/>
      <c r="S40" s="10">
        <v>31</v>
      </c>
      <c r="T40" s="10">
        <v>21</v>
      </c>
      <c r="U40" s="10">
        <v>46</v>
      </c>
      <c r="V40" s="11">
        <v>13</v>
      </c>
      <c r="W40" s="12"/>
      <c r="X40" s="17"/>
      <c r="Y40" s="13"/>
      <c r="Z40" s="13"/>
      <c r="AA40" s="13"/>
      <c r="AB40" s="14"/>
      <c r="AC40" s="9"/>
      <c r="AD40" s="16"/>
      <c r="AE40" s="10"/>
      <c r="AF40" s="10"/>
      <c r="AG40" s="10"/>
      <c r="AH40" s="11"/>
      <c r="AI40" s="12"/>
      <c r="AJ40" s="17"/>
      <c r="AK40" s="13"/>
      <c r="AL40" s="13"/>
      <c r="AM40" s="13"/>
      <c r="AN40" s="14"/>
      <c r="AO40" s="9"/>
      <c r="AP40" s="16"/>
      <c r="AQ40" s="10"/>
      <c r="AR40" s="10"/>
      <c r="AS40" s="10"/>
      <c r="AT40" s="11"/>
      <c r="AU40" s="12"/>
      <c r="AV40" s="17"/>
      <c r="AW40" s="13"/>
      <c r="AX40" s="13"/>
      <c r="AY40" s="13"/>
      <c r="AZ40" s="14"/>
      <c r="BA40" s="9"/>
      <c r="BB40" s="16"/>
      <c r="BC40" s="10"/>
      <c r="BD40" s="10"/>
      <c r="BE40" s="10"/>
      <c r="BF40" s="11"/>
      <c r="BG40" s="12"/>
      <c r="BH40" s="17"/>
      <c r="BI40" s="13"/>
      <c r="BJ40" s="13"/>
      <c r="BK40" s="13"/>
      <c r="BL40" s="14"/>
      <c r="BM40" s="8">
        <f t="shared" si="9"/>
        <v>31</v>
      </c>
      <c r="BN40" s="8">
        <f t="shared" si="10"/>
        <v>21</v>
      </c>
      <c r="BO40" s="8">
        <f t="shared" si="11"/>
        <v>46</v>
      </c>
      <c r="BP40" s="8">
        <f t="shared" si="12"/>
        <v>13</v>
      </c>
      <c r="BQ40" s="8">
        <f t="shared" si="13"/>
        <v>46</v>
      </c>
      <c r="BR40" s="8">
        <f t="shared" si="14"/>
        <v>21</v>
      </c>
      <c r="BS40" s="15">
        <f t="shared" si="15"/>
        <v>10.471484310902126</v>
      </c>
      <c r="BT40" s="15" t="str">
        <f t="shared" si="16"/>
        <v>OK - No Upgrade</v>
      </c>
      <c r="BU40" s="15" t="str">
        <f t="shared" si="17"/>
        <v>Need to Balance</v>
      </c>
    </row>
    <row r="41" spans="1:73" ht="15.75" customHeight="1" x14ac:dyDescent="0.25">
      <c r="A41" s="8" t="s">
        <v>38</v>
      </c>
      <c r="B41" s="8" t="s">
        <v>205</v>
      </c>
      <c r="C41" s="8" t="s">
        <v>124</v>
      </c>
      <c r="D41" s="8" t="s">
        <v>313</v>
      </c>
      <c r="E41" s="8" t="s">
        <v>314</v>
      </c>
      <c r="F41" s="8" t="s">
        <v>56</v>
      </c>
      <c r="G41" s="8" t="s">
        <v>44</v>
      </c>
      <c r="H41" s="8">
        <v>500</v>
      </c>
      <c r="I41" s="8" t="s">
        <v>315</v>
      </c>
      <c r="J41" s="8">
        <v>1</v>
      </c>
      <c r="K41" s="8">
        <v>240</v>
      </c>
      <c r="L41" s="8">
        <v>238</v>
      </c>
      <c r="M41" s="8">
        <v>237</v>
      </c>
      <c r="N41" s="8">
        <v>416</v>
      </c>
      <c r="O41" s="8">
        <v>415</v>
      </c>
      <c r="P41" s="8">
        <v>411</v>
      </c>
      <c r="Q41" s="9"/>
      <c r="R41" s="16"/>
      <c r="S41" s="10"/>
      <c r="T41" s="10"/>
      <c r="U41" s="10"/>
      <c r="V41" s="11"/>
      <c r="W41" s="12"/>
      <c r="X41" s="17"/>
      <c r="Y41" s="13"/>
      <c r="Z41" s="13"/>
      <c r="AA41" s="13"/>
      <c r="AB41" s="14"/>
      <c r="AC41" s="9"/>
      <c r="AD41" s="16"/>
      <c r="AE41" s="10"/>
      <c r="AF41" s="10"/>
      <c r="AG41" s="10"/>
      <c r="AH41" s="11"/>
      <c r="AI41" s="12" t="s">
        <v>46</v>
      </c>
      <c r="AJ41" s="17"/>
      <c r="AK41" s="13">
        <v>10</v>
      </c>
      <c r="AL41" s="13">
        <v>3</v>
      </c>
      <c r="AM41" s="13">
        <v>23</v>
      </c>
      <c r="AN41" s="14">
        <v>16</v>
      </c>
      <c r="AO41" s="9" t="s">
        <v>46</v>
      </c>
      <c r="AP41" s="16"/>
      <c r="AQ41" s="10">
        <v>13</v>
      </c>
      <c r="AR41" s="10">
        <v>7</v>
      </c>
      <c r="AS41" s="10">
        <v>12</v>
      </c>
      <c r="AT41" s="11">
        <v>5</v>
      </c>
      <c r="AU41" s="12"/>
      <c r="AV41" s="17"/>
      <c r="AW41" s="13"/>
      <c r="AX41" s="13"/>
      <c r="AY41" s="13"/>
      <c r="AZ41" s="14"/>
      <c r="BA41" s="9"/>
      <c r="BB41" s="16"/>
      <c r="BC41" s="10"/>
      <c r="BD41" s="10"/>
      <c r="BE41" s="10"/>
      <c r="BF41" s="11"/>
      <c r="BG41" s="12"/>
      <c r="BH41" s="17"/>
      <c r="BI41" s="13"/>
      <c r="BJ41" s="13"/>
      <c r="BK41" s="13"/>
      <c r="BL41" s="14"/>
      <c r="BM41" s="8">
        <f t="shared" si="9"/>
        <v>23</v>
      </c>
      <c r="BN41" s="8">
        <f t="shared" si="10"/>
        <v>10</v>
      </c>
      <c r="BO41" s="8">
        <f t="shared" si="11"/>
        <v>35</v>
      </c>
      <c r="BP41" s="8">
        <f t="shared" si="12"/>
        <v>21</v>
      </c>
      <c r="BQ41" s="8">
        <f t="shared" si="13"/>
        <v>35</v>
      </c>
      <c r="BR41" s="8">
        <f t="shared" si="14"/>
        <v>10</v>
      </c>
      <c r="BS41" s="15">
        <f t="shared" si="15"/>
        <v>5.0437319516405701</v>
      </c>
      <c r="BT41" s="15" t="str">
        <f t="shared" si="16"/>
        <v>OK - No Upgrade</v>
      </c>
      <c r="BU41" s="15" t="str">
        <f t="shared" si="17"/>
        <v>Need to Balance</v>
      </c>
    </row>
    <row r="42" spans="1:73" ht="15.75" customHeight="1" x14ac:dyDescent="0.25">
      <c r="A42" s="8" t="s">
        <v>38</v>
      </c>
      <c r="B42" s="8" t="s">
        <v>205</v>
      </c>
      <c r="C42" s="8" t="s">
        <v>124</v>
      </c>
      <c r="D42" s="8" t="s">
        <v>316</v>
      </c>
      <c r="E42" s="8" t="s">
        <v>317</v>
      </c>
      <c r="F42" s="8" t="s">
        <v>43</v>
      </c>
      <c r="G42" s="8" t="s">
        <v>44</v>
      </c>
      <c r="H42" s="8">
        <v>315</v>
      </c>
      <c r="I42" s="8" t="s">
        <v>318</v>
      </c>
      <c r="J42" s="8">
        <v>1</v>
      </c>
      <c r="K42" s="8">
        <v>251</v>
      </c>
      <c r="L42" s="8">
        <v>250</v>
      </c>
      <c r="M42" s="8">
        <v>249</v>
      </c>
      <c r="N42" s="8">
        <v>436</v>
      </c>
      <c r="O42" s="8">
        <v>433</v>
      </c>
      <c r="P42" s="8">
        <v>431</v>
      </c>
      <c r="Q42" s="9" t="s">
        <v>46</v>
      </c>
      <c r="R42" s="16"/>
      <c r="S42" s="10">
        <v>0</v>
      </c>
      <c r="T42" s="10">
        <v>0</v>
      </c>
      <c r="U42" s="10">
        <v>0</v>
      </c>
      <c r="V42" s="11">
        <v>0</v>
      </c>
      <c r="W42" s="12" t="s">
        <v>46</v>
      </c>
      <c r="X42" s="17"/>
      <c r="Y42" s="13">
        <v>55</v>
      </c>
      <c r="Z42" s="13">
        <v>55</v>
      </c>
      <c r="AA42" s="13">
        <v>111</v>
      </c>
      <c r="AB42" s="14">
        <v>47</v>
      </c>
      <c r="AC42" s="9"/>
      <c r="AD42" s="16"/>
      <c r="AE42" s="10"/>
      <c r="AF42" s="10"/>
      <c r="AG42" s="10"/>
      <c r="AH42" s="11"/>
      <c r="AI42" s="12"/>
      <c r="AJ42" s="17"/>
      <c r="AK42" s="13"/>
      <c r="AL42" s="13"/>
      <c r="AM42" s="13"/>
      <c r="AN42" s="14"/>
      <c r="AO42" s="9"/>
      <c r="AP42" s="16"/>
      <c r="AQ42" s="10"/>
      <c r="AR42" s="10"/>
      <c r="AS42" s="10"/>
      <c r="AT42" s="11"/>
      <c r="AU42" s="12"/>
      <c r="AV42" s="17"/>
      <c r="AW42" s="13"/>
      <c r="AX42" s="13"/>
      <c r="AY42" s="13"/>
      <c r="AZ42" s="14"/>
      <c r="BA42" s="9"/>
      <c r="BB42" s="16"/>
      <c r="BC42" s="10"/>
      <c r="BD42" s="10"/>
      <c r="BE42" s="10"/>
      <c r="BF42" s="11"/>
      <c r="BG42" s="12"/>
      <c r="BH42" s="17"/>
      <c r="BI42" s="13"/>
      <c r="BJ42" s="13"/>
      <c r="BK42" s="13"/>
      <c r="BL42" s="14"/>
      <c r="BM42" s="8">
        <f t="shared" si="9"/>
        <v>55</v>
      </c>
      <c r="BN42" s="8">
        <f t="shared" si="10"/>
        <v>55</v>
      </c>
      <c r="BO42" s="8">
        <f t="shared" si="11"/>
        <v>111</v>
      </c>
      <c r="BP42" s="8">
        <f t="shared" si="12"/>
        <v>47</v>
      </c>
      <c r="BQ42" s="8">
        <f t="shared" si="13"/>
        <v>111</v>
      </c>
      <c r="BR42" s="8">
        <f t="shared" si="14"/>
        <v>55</v>
      </c>
      <c r="BS42" s="15">
        <f t="shared" si="15"/>
        <v>26.610898693048689</v>
      </c>
      <c r="BT42" s="15" t="str">
        <f t="shared" si="16"/>
        <v>OK - No Upgrade</v>
      </c>
      <c r="BU42" s="15" t="str">
        <f t="shared" si="17"/>
        <v>Need to Balance</v>
      </c>
    </row>
    <row r="43" spans="1:73" ht="15.75" customHeight="1" x14ac:dyDescent="0.25">
      <c r="A43" s="8" t="s">
        <v>38</v>
      </c>
      <c r="B43" s="8" t="s">
        <v>205</v>
      </c>
      <c r="C43" s="8" t="s">
        <v>124</v>
      </c>
      <c r="D43" s="8" t="s">
        <v>319</v>
      </c>
      <c r="E43" s="8" t="s">
        <v>320</v>
      </c>
      <c r="F43" s="8" t="s">
        <v>43</v>
      </c>
      <c r="G43" s="8" t="s">
        <v>44</v>
      </c>
      <c r="H43" s="8">
        <v>315</v>
      </c>
      <c r="I43" s="8" t="s">
        <v>321</v>
      </c>
      <c r="J43" s="8">
        <v>1</v>
      </c>
      <c r="K43" s="8">
        <v>235</v>
      </c>
      <c r="L43" s="8">
        <v>235</v>
      </c>
      <c r="M43" s="8">
        <v>37</v>
      </c>
      <c r="N43" s="8">
        <v>408</v>
      </c>
      <c r="O43" s="8">
        <v>409</v>
      </c>
      <c r="P43" s="8">
        <v>406</v>
      </c>
      <c r="Q43" s="9" t="s">
        <v>46</v>
      </c>
      <c r="R43" s="16"/>
      <c r="S43" s="10">
        <v>143</v>
      </c>
      <c r="T43" s="10">
        <v>46</v>
      </c>
      <c r="U43" s="10">
        <v>109</v>
      </c>
      <c r="V43" s="11">
        <v>12</v>
      </c>
      <c r="W43" s="12" t="s">
        <v>46</v>
      </c>
      <c r="X43" s="17"/>
      <c r="Y43" s="13">
        <v>143</v>
      </c>
      <c r="Z43" s="13">
        <v>93</v>
      </c>
      <c r="AA43" s="13">
        <v>94</v>
      </c>
      <c r="AB43" s="14">
        <v>54</v>
      </c>
      <c r="AC43" s="9"/>
      <c r="AD43" s="16"/>
      <c r="AE43" s="10"/>
      <c r="AF43" s="10"/>
      <c r="AG43" s="10"/>
      <c r="AH43" s="11"/>
      <c r="AI43" s="12"/>
      <c r="AJ43" s="17"/>
      <c r="AK43" s="13"/>
      <c r="AL43" s="13"/>
      <c r="AM43" s="13"/>
      <c r="AN43" s="14"/>
      <c r="AO43" s="9"/>
      <c r="AP43" s="16"/>
      <c r="AQ43" s="10"/>
      <c r="AR43" s="10"/>
      <c r="AS43" s="10"/>
      <c r="AT43" s="11"/>
      <c r="AU43" s="12"/>
      <c r="AV43" s="17"/>
      <c r="AW43" s="13"/>
      <c r="AX43" s="13"/>
      <c r="AY43" s="13"/>
      <c r="AZ43" s="14"/>
      <c r="BA43" s="9"/>
      <c r="BB43" s="16"/>
      <c r="BC43" s="10"/>
      <c r="BD43" s="10"/>
      <c r="BE43" s="10"/>
      <c r="BF43" s="11"/>
      <c r="BG43" s="12"/>
      <c r="BH43" s="17"/>
      <c r="BI43" s="13"/>
      <c r="BJ43" s="13"/>
      <c r="BK43" s="13"/>
      <c r="BL43" s="14"/>
      <c r="BM43" s="8">
        <f t="shared" si="9"/>
        <v>286</v>
      </c>
      <c r="BN43" s="8">
        <f t="shared" si="10"/>
        <v>139</v>
      </c>
      <c r="BO43" s="8">
        <f t="shared" si="11"/>
        <v>203</v>
      </c>
      <c r="BP43" s="8">
        <f t="shared" si="12"/>
        <v>66</v>
      </c>
      <c r="BQ43" s="8">
        <f t="shared" si="13"/>
        <v>286</v>
      </c>
      <c r="BR43" s="8">
        <f t="shared" si="14"/>
        <v>139</v>
      </c>
      <c r="BS43" s="15">
        <f t="shared" si="15"/>
        <v>64.161760201141945</v>
      </c>
      <c r="BT43" s="15" t="str">
        <f t="shared" si="16"/>
        <v>OK - No Upgrade</v>
      </c>
      <c r="BU43" s="15" t="str">
        <f t="shared" si="17"/>
        <v>Need to Balance</v>
      </c>
    </row>
    <row r="44" spans="1:73" ht="15.75" customHeight="1" x14ac:dyDescent="0.25">
      <c r="A44" s="8" t="s">
        <v>38</v>
      </c>
      <c r="B44" s="8" t="s">
        <v>205</v>
      </c>
      <c r="C44" s="8" t="s">
        <v>124</v>
      </c>
      <c r="D44" s="8" t="s">
        <v>322</v>
      </c>
      <c r="E44" s="8" t="s">
        <v>323</v>
      </c>
      <c r="F44" s="8" t="s">
        <v>43</v>
      </c>
      <c r="G44" s="8" t="s">
        <v>44</v>
      </c>
      <c r="H44" s="8">
        <v>315</v>
      </c>
      <c r="I44" s="8" t="s">
        <v>324</v>
      </c>
      <c r="J44" s="8">
        <v>1</v>
      </c>
      <c r="K44" s="8">
        <v>239</v>
      </c>
      <c r="L44" s="8">
        <v>237</v>
      </c>
      <c r="M44" s="8">
        <v>237</v>
      </c>
      <c r="N44" s="8">
        <v>415</v>
      </c>
      <c r="O44" s="8">
        <v>415</v>
      </c>
      <c r="P44" s="8">
        <v>414</v>
      </c>
      <c r="Q44" s="9" t="s">
        <v>47</v>
      </c>
      <c r="R44" s="16"/>
      <c r="S44" s="10">
        <v>47</v>
      </c>
      <c r="T44" s="10">
        <v>75</v>
      </c>
      <c r="U44" s="10">
        <v>36</v>
      </c>
      <c r="V44" s="11">
        <v>28</v>
      </c>
      <c r="W44" s="12" t="s">
        <v>47</v>
      </c>
      <c r="X44" s="17"/>
      <c r="Y44" s="13">
        <v>13</v>
      </c>
      <c r="Z44" s="13">
        <v>9</v>
      </c>
      <c r="AA44" s="13">
        <v>20</v>
      </c>
      <c r="AB44" s="14">
        <v>11</v>
      </c>
      <c r="AC44" s="9"/>
      <c r="AD44" s="16"/>
      <c r="AE44" s="10"/>
      <c r="AF44" s="10"/>
      <c r="AG44" s="10"/>
      <c r="AH44" s="11"/>
      <c r="AI44" s="12"/>
      <c r="AJ44" s="17"/>
      <c r="AK44" s="13"/>
      <c r="AL44" s="13"/>
      <c r="AM44" s="13"/>
      <c r="AN44" s="14"/>
      <c r="AO44" s="9"/>
      <c r="AP44" s="16"/>
      <c r="AQ44" s="10"/>
      <c r="AR44" s="10"/>
      <c r="AS44" s="10"/>
      <c r="AT44" s="11"/>
      <c r="AU44" s="12"/>
      <c r="AV44" s="17"/>
      <c r="AW44" s="13"/>
      <c r="AX44" s="13"/>
      <c r="AY44" s="13"/>
      <c r="AZ44" s="14"/>
      <c r="BA44" s="9"/>
      <c r="BB44" s="16"/>
      <c r="BC44" s="10"/>
      <c r="BD44" s="10"/>
      <c r="BE44" s="10"/>
      <c r="BF44" s="11"/>
      <c r="BG44" s="12"/>
      <c r="BH44" s="17"/>
      <c r="BI44" s="13"/>
      <c r="BJ44" s="13"/>
      <c r="BK44" s="13"/>
      <c r="BL44" s="14"/>
      <c r="BM44" s="8">
        <f t="shared" si="9"/>
        <v>60</v>
      </c>
      <c r="BN44" s="8">
        <f t="shared" si="10"/>
        <v>84</v>
      </c>
      <c r="BO44" s="8">
        <f t="shared" si="11"/>
        <v>56</v>
      </c>
      <c r="BP44" s="8">
        <f t="shared" si="12"/>
        <v>39</v>
      </c>
      <c r="BQ44" s="8">
        <f t="shared" si="13"/>
        <v>84</v>
      </c>
      <c r="BR44" s="8">
        <f t="shared" si="14"/>
        <v>56</v>
      </c>
      <c r="BS44" s="15">
        <f t="shared" si="15"/>
        <v>19.168028937095578</v>
      </c>
      <c r="BT44" s="15" t="str">
        <f t="shared" si="16"/>
        <v>OK - No Upgrade</v>
      </c>
      <c r="BU44" s="15" t="str">
        <f t="shared" si="17"/>
        <v>Need to Balance</v>
      </c>
    </row>
    <row r="45" spans="1:73" ht="15.75" customHeight="1" x14ac:dyDescent="0.25">
      <c r="A45" s="8" t="s">
        <v>38</v>
      </c>
      <c r="B45" s="8" t="s">
        <v>205</v>
      </c>
      <c r="C45" s="8" t="s">
        <v>124</v>
      </c>
      <c r="D45" s="8" t="s">
        <v>325</v>
      </c>
      <c r="E45" s="8" t="s">
        <v>326</v>
      </c>
      <c r="F45" s="8" t="s">
        <v>56</v>
      </c>
      <c r="G45" s="8" t="s">
        <v>44</v>
      </c>
      <c r="H45" s="8">
        <v>500</v>
      </c>
      <c r="I45" s="8" t="s">
        <v>327</v>
      </c>
      <c r="J45" s="8">
        <v>1</v>
      </c>
      <c r="K45" s="8">
        <v>238</v>
      </c>
      <c r="L45" s="8">
        <v>237</v>
      </c>
      <c r="M45" s="8">
        <v>237</v>
      </c>
      <c r="N45" s="8">
        <v>412</v>
      </c>
      <c r="O45" s="8">
        <v>413</v>
      </c>
      <c r="P45" s="8">
        <v>409</v>
      </c>
      <c r="Q45" s="9" t="s">
        <v>47</v>
      </c>
      <c r="R45" s="16"/>
      <c r="S45" s="10">
        <v>58</v>
      </c>
      <c r="T45" s="10">
        <v>44</v>
      </c>
      <c r="U45" s="10">
        <v>34</v>
      </c>
      <c r="V45" s="11">
        <v>15</v>
      </c>
      <c r="W45" s="12" t="s">
        <v>47</v>
      </c>
      <c r="X45" s="17"/>
      <c r="Y45" s="13">
        <v>91</v>
      </c>
      <c r="Z45" s="13">
        <v>122</v>
      </c>
      <c r="AA45" s="13">
        <v>102</v>
      </c>
      <c r="AB45" s="14">
        <v>35</v>
      </c>
      <c r="AC45" s="9" t="s">
        <v>47</v>
      </c>
      <c r="AD45" s="16"/>
      <c r="AE45" s="10">
        <v>18</v>
      </c>
      <c r="AF45" s="10">
        <v>32</v>
      </c>
      <c r="AG45" s="10">
        <v>44</v>
      </c>
      <c r="AH45" s="11">
        <v>26</v>
      </c>
      <c r="AI45" s="12" t="s">
        <v>47</v>
      </c>
      <c r="AJ45" s="17"/>
      <c r="AK45" s="13">
        <v>127</v>
      </c>
      <c r="AL45" s="13">
        <v>78</v>
      </c>
      <c r="AM45" s="13">
        <v>99</v>
      </c>
      <c r="AN45" s="14">
        <v>25</v>
      </c>
      <c r="AO45" s="9" t="s">
        <v>47</v>
      </c>
      <c r="AP45" s="16"/>
      <c r="AQ45" s="10">
        <v>1</v>
      </c>
      <c r="AR45" s="10">
        <v>0</v>
      </c>
      <c r="AS45" s="10">
        <v>7</v>
      </c>
      <c r="AT45" s="11">
        <v>2</v>
      </c>
      <c r="AU45" s="12"/>
      <c r="AV45" s="17"/>
      <c r="AW45" s="13"/>
      <c r="AX45" s="13"/>
      <c r="AY45" s="13"/>
      <c r="AZ45" s="14"/>
      <c r="BA45" s="9"/>
      <c r="BB45" s="16"/>
      <c r="BC45" s="10"/>
      <c r="BD45" s="10"/>
      <c r="BE45" s="10"/>
      <c r="BF45" s="11"/>
      <c r="BG45" s="12"/>
      <c r="BH45" s="17"/>
      <c r="BI45" s="13"/>
      <c r="BJ45" s="13"/>
      <c r="BK45" s="13"/>
      <c r="BL45" s="14"/>
      <c r="BM45" s="8">
        <f t="shared" si="9"/>
        <v>295</v>
      </c>
      <c r="BN45" s="8">
        <f t="shared" si="10"/>
        <v>276</v>
      </c>
      <c r="BO45" s="8">
        <f t="shared" si="11"/>
        <v>286</v>
      </c>
      <c r="BP45" s="8">
        <f t="shared" si="12"/>
        <v>103</v>
      </c>
      <c r="BQ45" s="8">
        <f t="shared" si="13"/>
        <v>295</v>
      </c>
      <c r="BR45" s="8">
        <f t="shared" si="14"/>
        <v>276</v>
      </c>
      <c r="BS45" s="15">
        <f t="shared" si="15"/>
        <v>42.102691030384271</v>
      </c>
      <c r="BT45" s="15" t="str">
        <f t="shared" si="16"/>
        <v>OK - No Upgrade</v>
      </c>
      <c r="BU45" s="15" t="str">
        <f t="shared" si="17"/>
        <v>OK - Balanced</v>
      </c>
    </row>
    <row r="46" spans="1:73" ht="15.75" customHeight="1" x14ac:dyDescent="0.25">
      <c r="A46" s="8" t="s">
        <v>38</v>
      </c>
      <c r="B46" s="8" t="s">
        <v>205</v>
      </c>
      <c r="C46" s="8" t="s">
        <v>124</v>
      </c>
      <c r="D46" s="8" t="s">
        <v>328</v>
      </c>
      <c r="E46" s="8" t="s">
        <v>329</v>
      </c>
      <c r="F46" s="8" t="s">
        <v>43</v>
      </c>
      <c r="G46" s="8" t="s">
        <v>44</v>
      </c>
      <c r="H46" s="8">
        <v>315</v>
      </c>
      <c r="I46" s="8" t="s">
        <v>330</v>
      </c>
      <c r="J46" s="8">
        <v>1</v>
      </c>
      <c r="K46" s="8">
        <v>237</v>
      </c>
      <c r="L46" s="8">
        <v>235</v>
      </c>
      <c r="M46" s="8">
        <v>234</v>
      </c>
      <c r="N46" s="8">
        <v>410</v>
      </c>
      <c r="O46" s="8">
        <v>407</v>
      </c>
      <c r="P46" s="8">
        <v>406</v>
      </c>
      <c r="Q46" s="9" t="s">
        <v>46</v>
      </c>
      <c r="R46" s="16"/>
      <c r="S46" s="10">
        <v>105</v>
      </c>
      <c r="T46" s="10">
        <v>126</v>
      </c>
      <c r="U46" s="10">
        <v>142</v>
      </c>
      <c r="V46" s="11">
        <v>29</v>
      </c>
      <c r="W46" s="12" t="s">
        <v>46</v>
      </c>
      <c r="X46" s="17"/>
      <c r="Y46" s="13">
        <v>58</v>
      </c>
      <c r="Z46" s="13">
        <v>34</v>
      </c>
      <c r="AA46" s="13">
        <v>38</v>
      </c>
      <c r="AB46" s="14">
        <v>22</v>
      </c>
      <c r="AC46" s="9"/>
      <c r="AD46" s="16"/>
      <c r="AE46" s="10"/>
      <c r="AF46" s="10"/>
      <c r="AG46" s="10"/>
      <c r="AH46" s="11"/>
      <c r="AI46" s="12"/>
      <c r="AJ46" s="17"/>
      <c r="AK46" s="13"/>
      <c r="AL46" s="13"/>
      <c r="AM46" s="13"/>
      <c r="AN46" s="14"/>
      <c r="AO46" s="9"/>
      <c r="AP46" s="16"/>
      <c r="AQ46" s="10"/>
      <c r="AR46" s="10"/>
      <c r="AS46" s="10"/>
      <c r="AT46" s="11"/>
      <c r="AU46" s="12"/>
      <c r="AV46" s="17"/>
      <c r="AW46" s="13"/>
      <c r="AX46" s="13"/>
      <c r="AY46" s="13"/>
      <c r="AZ46" s="14"/>
      <c r="BA46" s="9"/>
      <c r="BB46" s="16"/>
      <c r="BC46" s="10"/>
      <c r="BD46" s="10"/>
      <c r="BE46" s="10"/>
      <c r="BF46" s="11"/>
      <c r="BG46" s="12"/>
      <c r="BH46" s="17"/>
      <c r="BI46" s="13"/>
      <c r="BJ46" s="13"/>
      <c r="BK46" s="13"/>
      <c r="BL46" s="14"/>
      <c r="BM46" s="8">
        <f t="shared" si="9"/>
        <v>163</v>
      </c>
      <c r="BN46" s="8">
        <f t="shared" si="10"/>
        <v>160</v>
      </c>
      <c r="BO46" s="8">
        <f t="shared" si="11"/>
        <v>180</v>
      </c>
      <c r="BP46" s="8">
        <f t="shared" si="12"/>
        <v>51</v>
      </c>
      <c r="BQ46" s="8">
        <f t="shared" si="13"/>
        <v>180</v>
      </c>
      <c r="BR46" s="8">
        <f t="shared" si="14"/>
        <v>160</v>
      </c>
      <c r="BS46" s="15">
        <f t="shared" si="15"/>
        <v>40.579476063042272</v>
      </c>
      <c r="BT46" s="15" t="str">
        <f t="shared" si="16"/>
        <v>OK - No Upgrade</v>
      </c>
      <c r="BU46" s="15" t="str">
        <f t="shared" si="17"/>
        <v>OK - Balanced</v>
      </c>
    </row>
    <row r="47" spans="1:73" ht="15.75" customHeight="1" x14ac:dyDescent="0.25">
      <c r="A47" s="8" t="s">
        <v>38</v>
      </c>
      <c r="B47" s="8" t="s">
        <v>205</v>
      </c>
      <c r="C47" s="8" t="s">
        <v>124</v>
      </c>
      <c r="D47" s="8" t="s">
        <v>331</v>
      </c>
      <c r="E47" s="8" t="s">
        <v>332</v>
      </c>
      <c r="F47" s="8" t="s">
        <v>43</v>
      </c>
      <c r="G47" s="8" t="s">
        <v>44</v>
      </c>
      <c r="H47" s="8">
        <v>100</v>
      </c>
      <c r="I47" s="8" t="s">
        <v>333</v>
      </c>
      <c r="J47" s="8">
        <v>1</v>
      </c>
      <c r="K47" s="8">
        <v>232</v>
      </c>
      <c r="L47" s="8">
        <v>237</v>
      </c>
      <c r="M47" s="8">
        <v>239</v>
      </c>
      <c r="N47" s="8">
        <v>410</v>
      </c>
      <c r="O47" s="8">
        <v>411</v>
      </c>
      <c r="P47" s="8">
        <v>406</v>
      </c>
      <c r="Q47" s="9" t="s">
        <v>46</v>
      </c>
      <c r="R47" s="16"/>
      <c r="S47" s="10">
        <v>38</v>
      </c>
      <c r="T47" s="10">
        <v>23</v>
      </c>
      <c r="U47" s="10">
        <v>13</v>
      </c>
      <c r="V47" s="11">
        <v>16</v>
      </c>
      <c r="W47" s="12" t="s">
        <v>334</v>
      </c>
      <c r="X47" s="17"/>
      <c r="Y47" s="13">
        <v>0</v>
      </c>
      <c r="Z47" s="13">
        <v>0</v>
      </c>
      <c r="AA47" s="13">
        <v>0</v>
      </c>
      <c r="AB47" s="14">
        <v>0</v>
      </c>
      <c r="AC47" s="9"/>
      <c r="AD47" s="16"/>
      <c r="AE47" s="10"/>
      <c r="AF47" s="10"/>
      <c r="AG47" s="10"/>
      <c r="AH47" s="11"/>
      <c r="AI47" s="12"/>
      <c r="AJ47" s="17"/>
      <c r="AK47" s="13"/>
      <c r="AL47" s="13"/>
      <c r="AM47" s="13"/>
      <c r="AN47" s="14"/>
      <c r="AO47" s="9"/>
      <c r="AP47" s="16"/>
      <c r="AQ47" s="10"/>
      <c r="AR47" s="10"/>
      <c r="AS47" s="10"/>
      <c r="AT47" s="11"/>
      <c r="AU47" s="12"/>
      <c r="AV47" s="17"/>
      <c r="AW47" s="13"/>
      <c r="AX47" s="13"/>
      <c r="AY47" s="13"/>
      <c r="AZ47" s="14"/>
      <c r="BA47" s="9"/>
      <c r="BB47" s="16"/>
      <c r="BC47" s="10"/>
      <c r="BD47" s="10"/>
      <c r="BE47" s="10"/>
      <c r="BF47" s="11"/>
      <c r="BG47" s="12"/>
      <c r="BH47" s="17"/>
      <c r="BI47" s="13"/>
      <c r="BJ47" s="13"/>
      <c r="BK47" s="13"/>
      <c r="BL47" s="14"/>
      <c r="BM47" s="8">
        <f t="shared" si="9"/>
        <v>38</v>
      </c>
      <c r="BN47" s="8">
        <f t="shared" si="10"/>
        <v>23</v>
      </c>
      <c r="BO47" s="8">
        <f t="shared" si="11"/>
        <v>13</v>
      </c>
      <c r="BP47" s="8">
        <f t="shared" si="12"/>
        <v>16</v>
      </c>
      <c r="BQ47" s="8">
        <f t="shared" si="13"/>
        <v>38</v>
      </c>
      <c r="BR47" s="8">
        <f t="shared" si="14"/>
        <v>13</v>
      </c>
      <c r="BS47" s="15">
        <f t="shared" si="15"/>
        <v>26.985351581923105</v>
      </c>
      <c r="BT47" s="15" t="str">
        <f t="shared" si="16"/>
        <v>OK - No Upgrade</v>
      </c>
      <c r="BU47" s="15" t="str">
        <f t="shared" si="17"/>
        <v>Need to Balance</v>
      </c>
    </row>
    <row r="48" spans="1:73" ht="15.75" customHeight="1" x14ac:dyDescent="0.25">
      <c r="A48" s="8" t="s">
        <v>38</v>
      </c>
      <c r="B48" s="8" t="s">
        <v>205</v>
      </c>
      <c r="C48" s="8" t="s">
        <v>124</v>
      </c>
      <c r="D48" s="8" t="s">
        <v>335</v>
      </c>
      <c r="E48" s="8" t="s">
        <v>336</v>
      </c>
      <c r="F48" s="8" t="s">
        <v>43</v>
      </c>
      <c r="G48" s="8" t="s">
        <v>44</v>
      </c>
      <c r="H48" s="8">
        <v>100</v>
      </c>
      <c r="I48" s="8" t="s">
        <v>337</v>
      </c>
      <c r="J48" s="8">
        <v>1</v>
      </c>
      <c r="K48" s="8">
        <v>240</v>
      </c>
      <c r="L48" s="8">
        <v>238</v>
      </c>
      <c r="M48" s="8">
        <v>237</v>
      </c>
      <c r="N48" s="8">
        <v>417</v>
      </c>
      <c r="O48" s="8">
        <v>415</v>
      </c>
      <c r="P48" s="8">
        <v>410</v>
      </c>
      <c r="Q48" s="9" t="s">
        <v>46</v>
      </c>
      <c r="R48" s="16"/>
      <c r="S48" s="10">
        <v>0</v>
      </c>
      <c r="T48" s="10">
        <v>0</v>
      </c>
      <c r="U48" s="10">
        <v>0</v>
      </c>
      <c r="V48" s="11">
        <v>0</v>
      </c>
      <c r="W48" s="12"/>
      <c r="X48" s="17"/>
      <c r="Y48" s="13"/>
      <c r="Z48" s="13"/>
      <c r="AA48" s="13"/>
      <c r="AB48" s="14"/>
      <c r="AC48" s="9"/>
      <c r="AD48" s="16"/>
      <c r="AE48" s="10"/>
      <c r="AF48" s="10"/>
      <c r="AG48" s="10"/>
      <c r="AH48" s="11"/>
      <c r="AI48" s="12"/>
      <c r="AJ48" s="17"/>
      <c r="AK48" s="13"/>
      <c r="AL48" s="13"/>
      <c r="AM48" s="13"/>
      <c r="AN48" s="14"/>
      <c r="AO48" s="9"/>
      <c r="AP48" s="16"/>
      <c r="AQ48" s="10"/>
      <c r="AR48" s="10"/>
      <c r="AS48" s="10"/>
      <c r="AT48" s="11"/>
      <c r="AU48" s="12"/>
      <c r="AV48" s="17"/>
      <c r="AW48" s="13"/>
      <c r="AX48" s="13"/>
      <c r="AY48" s="13"/>
      <c r="AZ48" s="14"/>
      <c r="BA48" s="9"/>
      <c r="BB48" s="16"/>
      <c r="BC48" s="10"/>
      <c r="BD48" s="10"/>
      <c r="BE48" s="10"/>
      <c r="BF48" s="11"/>
      <c r="BG48" s="12"/>
      <c r="BH48" s="17"/>
      <c r="BI48" s="13"/>
      <c r="BJ48" s="13"/>
      <c r="BK48" s="13"/>
      <c r="BL48" s="14"/>
      <c r="BM48" s="8">
        <f t="shared" si="9"/>
        <v>0</v>
      </c>
      <c r="BN48" s="8">
        <f t="shared" si="10"/>
        <v>0</v>
      </c>
      <c r="BO48" s="8">
        <f t="shared" si="11"/>
        <v>0</v>
      </c>
      <c r="BP48" s="8">
        <f t="shared" si="12"/>
        <v>0</v>
      </c>
      <c r="BQ48" s="8">
        <f t="shared" si="13"/>
        <v>0</v>
      </c>
      <c r="BR48" s="8">
        <f t="shared" si="14"/>
        <v>0</v>
      </c>
      <c r="BS48" s="15">
        <f t="shared" si="15"/>
        <v>0</v>
      </c>
      <c r="BT48" s="15" t="str">
        <f t="shared" si="16"/>
        <v>OK - No Upgrade</v>
      </c>
      <c r="BU48" s="15" t="str">
        <f t="shared" si="17"/>
        <v>OK - Balanced</v>
      </c>
    </row>
    <row r="49" spans="1:73" ht="15.75" customHeight="1" x14ac:dyDescent="0.25">
      <c r="A49" s="8" t="s">
        <v>38</v>
      </c>
      <c r="B49" s="8" t="s">
        <v>205</v>
      </c>
      <c r="C49" s="8" t="s">
        <v>124</v>
      </c>
      <c r="D49" s="8" t="s">
        <v>338</v>
      </c>
      <c r="E49" s="8" t="s">
        <v>339</v>
      </c>
      <c r="F49" s="8" t="s">
        <v>56</v>
      </c>
      <c r="G49" s="8"/>
      <c r="H49" s="8">
        <v>1000</v>
      </c>
      <c r="I49" s="8" t="s">
        <v>340</v>
      </c>
      <c r="J49" s="8">
        <v>1</v>
      </c>
      <c r="K49" s="8">
        <v>241</v>
      </c>
      <c r="L49" s="8">
        <v>240</v>
      </c>
      <c r="M49" s="8">
        <v>243</v>
      </c>
      <c r="N49" s="8">
        <v>416</v>
      </c>
      <c r="O49" s="8">
        <v>422</v>
      </c>
      <c r="P49" s="8">
        <v>420</v>
      </c>
      <c r="Q49" s="9"/>
      <c r="R49" s="16"/>
      <c r="S49" s="10"/>
      <c r="T49" s="10"/>
      <c r="U49" s="10"/>
      <c r="V49" s="11"/>
      <c r="W49" s="12"/>
      <c r="X49" s="17"/>
      <c r="Y49" s="13"/>
      <c r="Z49" s="13"/>
      <c r="AA49" s="13"/>
      <c r="AB49" s="14"/>
      <c r="AC49" s="9" t="s">
        <v>47</v>
      </c>
      <c r="AD49" s="16"/>
      <c r="AE49" s="10">
        <v>52</v>
      </c>
      <c r="AF49" s="10">
        <v>94</v>
      </c>
      <c r="AG49" s="10">
        <v>69</v>
      </c>
      <c r="AH49" s="11">
        <v>22</v>
      </c>
      <c r="AI49" s="12" t="s">
        <v>47</v>
      </c>
      <c r="AJ49" s="17"/>
      <c r="AK49" s="13">
        <v>19</v>
      </c>
      <c r="AL49" s="13">
        <v>15</v>
      </c>
      <c r="AM49" s="13">
        <v>16</v>
      </c>
      <c r="AN49" s="14">
        <v>7</v>
      </c>
      <c r="AO49" s="9" t="s">
        <v>47</v>
      </c>
      <c r="AP49" s="16"/>
      <c r="AQ49" s="10">
        <v>44</v>
      </c>
      <c r="AR49" s="10">
        <v>50</v>
      </c>
      <c r="AS49" s="10">
        <v>81</v>
      </c>
      <c r="AT49" s="11">
        <v>27</v>
      </c>
      <c r="AU49" s="12" t="s">
        <v>47</v>
      </c>
      <c r="AV49" s="17"/>
      <c r="AW49" s="13">
        <v>90</v>
      </c>
      <c r="AX49" s="13">
        <v>75</v>
      </c>
      <c r="AY49" s="13">
        <v>27</v>
      </c>
      <c r="AZ49" s="14">
        <v>64</v>
      </c>
      <c r="BA49" s="9" t="s">
        <v>47</v>
      </c>
      <c r="BB49" s="16"/>
      <c r="BC49" s="10">
        <v>8</v>
      </c>
      <c r="BD49" s="10">
        <v>1</v>
      </c>
      <c r="BE49" s="10">
        <v>8</v>
      </c>
      <c r="BF49" s="11">
        <v>6</v>
      </c>
      <c r="BG49" s="12"/>
      <c r="BH49" s="17"/>
      <c r="BI49" s="13"/>
      <c r="BJ49" s="13"/>
      <c r="BK49" s="13"/>
      <c r="BL49" s="14"/>
      <c r="BM49" s="8">
        <f t="shared" si="9"/>
        <v>213</v>
      </c>
      <c r="BN49" s="8">
        <f t="shared" si="10"/>
        <v>235</v>
      </c>
      <c r="BO49" s="8">
        <f t="shared" si="11"/>
        <v>201</v>
      </c>
      <c r="BP49" s="8">
        <f t="shared" si="12"/>
        <v>126</v>
      </c>
      <c r="BQ49" s="8">
        <f t="shared" si="13"/>
        <v>235</v>
      </c>
      <c r="BR49" s="8">
        <f t="shared" si="14"/>
        <v>201</v>
      </c>
      <c r="BS49" s="15">
        <f t="shared" si="15"/>
        <v>16.932528694793344</v>
      </c>
      <c r="BT49" s="15" t="str">
        <f t="shared" si="16"/>
        <v>OK - No Upgrade</v>
      </c>
      <c r="BU49" s="15" t="str">
        <f t="shared" si="17"/>
        <v>OK - Balanced</v>
      </c>
    </row>
    <row r="50" spans="1:73" ht="15.75" customHeight="1" x14ac:dyDescent="0.25">
      <c r="A50" s="8" t="s">
        <v>38</v>
      </c>
      <c r="B50" s="8" t="s">
        <v>205</v>
      </c>
      <c r="C50" s="8" t="s">
        <v>124</v>
      </c>
      <c r="D50" s="8" t="s">
        <v>341</v>
      </c>
      <c r="E50" s="8" t="s">
        <v>342</v>
      </c>
      <c r="F50" s="8" t="s">
        <v>56</v>
      </c>
      <c r="G50" s="8"/>
      <c r="H50" s="8">
        <v>1000</v>
      </c>
      <c r="I50" s="8" t="s">
        <v>343</v>
      </c>
      <c r="J50" s="8">
        <v>1</v>
      </c>
      <c r="K50" s="8">
        <v>238</v>
      </c>
      <c r="L50" s="8">
        <v>240</v>
      </c>
      <c r="M50" s="8">
        <v>242</v>
      </c>
      <c r="N50" s="8">
        <v>413</v>
      </c>
      <c r="O50" s="8">
        <v>417</v>
      </c>
      <c r="P50" s="8">
        <v>419</v>
      </c>
      <c r="Q50" s="9"/>
      <c r="R50" s="16"/>
      <c r="S50" s="10"/>
      <c r="T50" s="10"/>
      <c r="U50" s="10"/>
      <c r="V50" s="11"/>
      <c r="W50" s="12"/>
      <c r="X50" s="17"/>
      <c r="Y50" s="13"/>
      <c r="Z50" s="13"/>
      <c r="AA50" s="13"/>
      <c r="AB50" s="14"/>
      <c r="AC50" s="9"/>
      <c r="AD50" s="16"/>
      <c r="AE50" s="10"/>
      <c r="AF50" s="10"/>
      <c r="AG50" s="10"/>
      <c r="AH50" s="11"/>
      <c r="AI50" s="12"/>
      <c r="AJ50" s="17"/>
      <c r="AK50" s="13"/>
      <c r="AL50" s="13"/>
      <c r="AM50" s="13"/>
      <c r="AN50" s="14"/>
      <c r="AO50" s="9" t="s">
        <v>47</v>
      </c>
      <c r="AP50" s="16"/>
      <c r="AQ50" s="10">
        <v>86</v>
      </c>
      <c r="AR50" s="10">
        <v>68</v>
      </c>
      <c r="AS50" s="10">
        <v>127</v>
      </c>
      <c r="AT50" s="11">
        <v>101</v>
      </c>
      <c r="AU50" s="12" t="s">
        <v>47</v>
      </c>
      <c r="AV50" s="17"/>
      <c r="AW50" s="13">
        <v>88</v>
      </c>
      <c r="AX50" s="13">
        <v>80</v>
      </c>
      <c r="AY50" s="13">
        <v>33</v>
      </c>
      <c r="AZ50" s="14">
        <v>55</v>
      </c>
      <c r="BA50" s="9" t="s">
        <v>47</v>
      </c>
      <c r="BB50" s="16"/>
      <c r="BC50" s="10">
        <v>101</v>
      </c>
      <c r="BD50" s="10">
        <v>70</v>
      </c>
      <c r="BE50" s="10">
        <v>73</v>
      </c>
      <c r="BF50" s="11">
        <v>25</v>
      </c>
      <c r="BG50" s="12" t="s">
        <v>47</v>
      </c>
      <c r="BH50" s="17"/>
      <c r="BI50" s="13">
        <v>0</v>
      </c>
      <c r="BJ50" s="13">
        <v>10</v>
      </c>
      <c r="BK50" s="13">
        <v>16</v>
      </c>
      <c r="BL50" s="14">
        <v>12</v>
      </c>
      <c r="BM50" s="8">
        <f t="shared" si="9"/>
        <v>275</v>
      </c>
      <c r="BN50" s="8">
        <f t="shared" si="10"/>
        <v>228</v>
      </c>
      <c r="BO50" s="8">
        <f t="shared" si="11"/>
        <v>249</v>
      </c>
      <c r="BP50" s="8">
        <f t="shared" si="12"/>
        <v>193</v>
      </c>
      <c r="BQ50" s="8">
        <f t="shared" si="13"/>
        <v>275</v>
      </c>
      <c r="BR50" s="8">
        <f t="shared" si="14"/>
        <v>228</v>
      </c>
      <c r="BS50" s="15">
        <f t="shared" si="15"/>
        <v>19.671767046963524</v>
      </c>
      <c r="BT50" s="15" t="str">
        <f t="shared" si="16"/>
        <v>OK - No Upgrade</v>
      </c>
      <c r="BU50" s="15" t="str">
        <f t="shared" si="17"/>
        <v>OK - Balanced</v>
      </c>
    </row>
    <row r="51" spans="1:73" ht="15.75" customHeight="1" x14ac:dyDescent="0.25">
      <c r="A51" s="8" t="s">
        <v>38</v>
      </c>
      <c r="B51" s="8" t="s">
        <v>205</v>
      </c>
      <c r="C51" s="8" t="s">
        <v>124</v>
      </c>
      <c r="D51" s="8" t="s">
        <v>344</v>
      </c>
      <c r="E51" s="8" t="s">
        <v>345</v>
      </c>
      <c r="F51" s="8" t="s">
        <v>56</v>
      </c>
      <c r="G51" s="8"/>
      <c r="H51" s="8">
        <v>1000</v>
      </c>
      <c r="I51" s="8" t="s">
        <v>346</v>
      </c>
      <c r="J51" s="8">
        <v>1</v>
      </c>
      <c r="K51" s="8">
        <v>240</v>
      </c>
      <c r="L51" s="8">
        <v>239</v>
      </c>
      <c r="M51" s="8">
        <v>242</v>
      </c>
      <c r="N51" s="8">
        <v>413</v>
      </c>
      <c r="O51" s="8">
        <v>421</v>
      </c>
      <c r="P51" s="8">
        <v>418</v>
      </c>
      <c r="Q51" s="9" t="s">
        <v>47</v>
      </c>
      <c r="R51" s="16"/>
      <c r="S51" s="10">
        <v>116</v>
      </c>
      <c r="T51" s="10">
        <v>101</v>
      </c>
      <c r="U51" s="10">
        <v>98</v>
      </c>
      <c r="V51" s="11">
        <v>26</v>
      </c>
      <c r="W51" s="12" t="s">
        <v>47</v>
      </c>
      <c r="X51" s="17"/>
      <c r="Y51" s="13">
        <v>70</v>
      </c>
      <c r="Z51" s="13">
        <v>127</v>
      </c>
      <c r="AA51" s="13">
        <v>78</v>
      </c>
      <c r="AB51" s="14">
        <v>32</v>
      </c>
      <c r="AC51" s="9" t="s">
        <v>47</v>
      </c>
      <c r="AD51" s="16"/>
      <c r="AE51" s="10">
        <v>0</v>
      </c>
      <c r="AF51" s="10">
        <v>0</v>
      </c>
      <c r="AG51" s="10">
        <v>0</v>
      </c>
      <c r="AH51" s="11">
        <v>0</v>
      </c>
      <c r="AI51" s="12" t="s">
        <v>47</v>
      </c>
      <c r="AJ51" s="17"/>
      <c r="AK51" s="13">
        <v>3</v>
      </c>
      <c r="AL51" s="13">
        <v>14</v>
      </c>
      <c r="AM51" s="13">
        <v>11</v>
      </c>
      <c r="AN51" s="14">
        <v>16</v>
      </c>
      <c r="AO51" s="9" t="s">
        <v>47</v>
      </c>
      <c r="AP51" s="16"/>
      <c r="AQ51" s="10">
        <v>153</v>
      </c>
      <c r="AR51" s="10">
        <v>114</v>
      </c>
      <c r="AS51" s="10">
        <v>117</v>
      </c>
      <c r="AT51" s="11">
        <v>42</v>
      </c>
      <c r="AU51" s="12" t="s">
        <v>47</v>
      </c>
      <c r="AV51" s="17"/>
      <c r="AW51" s="13">
        <v>55</v>
      </c>
      <c r="AX51" s="13">
        <v>72</v>
      </c>
      <c r="AY51" s="13">
        <v>56</v>
      </c>
      <c r="AZ51" s="14">
        <v>27</v>
      </c>
      <c r="BA51" s="9" t="s">
        <v>47</v>
      </c>
      <c r="BB51" s="16"/>
      <c r="BC51" s="10">
        <v>0</v>
      </c>
      <c r="BD51" s="10">
        <v>0</v>
      </c>
      <c r="BE51" s="10">
        <v>0</v>
      </c>
      <c r="BF51" s="11">
        <v>0</v>
      </c>
      <c r="BG51" s="12"/>
      <c r="BH51" s="17"/>
      <c r="BI51" s="13"/>
      <c r="BJ51" s="13"/>
      <c r="BK51" s="13"/>
      <c r="BL51" s="14"/>
      <c r="BM51" s="8">
        <f t="shared" si="9"/>
        <v>397</v>
      </c>
      <c r="BN51" s="8">
        <f t="shared" si="10"/>
        <v>428</v>
      </c>
      <c r="BO51" s="8">
        <f t="shared" si="11"/>
        <v>360</v>
      </c>
      <c r="BP51" s="8">
        <f t="shared" si="12"/>
        <v>143</v>
      </c>
      <c r="BQ51" s="8">
        <f t="shared" si="13"/>
        <v>428</v>
      </c>
      <c r="BR51" s="8">
        <f t="shared" si="14"/>
        <v>360</v>
      </c>
      <c r="BS51" s="15">
        <f t="shared" si="15"/>
        <v>30.6164228949105</v>
      </c>
      <c r="BT51" s="15" t="str">
        <f t="shared" si="16"/>
        <v>OK - No Upgrade</v>
      </c>
      <c r="BU51" s="15" t="str">
        <f t="shared" si="17"/>
        <v>OK - Balanced</v>
      </c>
    </row>
    <row r="52" spans="1:73" ht="15.75" customHeight="1" x14ac:dyDescent="0.25">
      <c r="A52" s="8" t="s">
        <v>38</v>
      </c>
      <c r="B52" s="8" t="s">
        <v>205</v>
      </c>
      <c r="C52" s="8" t="s">
        <v>124</v>
      </c>
      <c r="D52" s="8" t="s">
        <v>347</v>
      </c>
      <c r="E52" s="8" t="s">
        <v>348</v>
      </c>
      <c r="F52" s="8" t="s">
        <v>56</v>
      </c>
      <c r="G52" s="8"/>
      <c r="H52" s="8">
        <v>1000</v>
      </c>
      <c r="I52" s="8" t="s">
        <v>349</v>
      </c>
      <c r="J52" s="8">
        <v>1</v>
      </c>
      <c r="K52" s="8">
        <v>239</v>
      </c>
      <c r="L52" s="8">
        <v>238</v>
      </c>
      <c r="M52" s="8">
        <v>242</v>
      </c>
      <c r="N52" s="8">
        <v>411</v>
      </c>
      <c r="O52" s="8">
        <v>419</v>
      </c>
      <c r="P52" s="8">
        <v>416</v>
      </c>
      <c r="Q52" s="9"/>
      <c r="R52" s="16"/>
      <c r="S52" s="10"/>
      <c r="T52" s="10"/>
      <c r="U52" s="10"/>
      <c r="V52" s="11"/>
      <c r="W52" s="12" t="s">
        <v>47</v>
      </c>
      <c r="X52" s="17"/>
      <c r="Y52" s="13">
        <v>12</v>
      </c>
      <c r="Z52" s="13">
        <v>0</v>
      </c>
      <c r="AA52" s="13">
        <v>3</v>
      </c>
      <c r="AB52" s="14">
        <v>12</v>
      </c>
      <c r="AC52" s="9" t="s">
        <v>47</v>
      </c>
      <c r="AD52" s="16"/>
      <c r="AE52" s="10">
        <v>124</v>
      </c>
      <c r="AF52" s="10">
        <v>229</v>
      </c>
      <c r="AG52" s="10">
        <v>151</v>
      </c>
      <c r="AH52" s="11">
        <v>38</v>
      </c>
      <c r="AI52" s="12" t="s">
        <v>47</v>
      </c>
      <c r="AJ52" s="17"/>
      <c r="AK52" s="13">
        <v>113</v>
      </c>
      <c r="AL52" s="13">
        <v>48</v>
      </c>
      <c r="AM52" s="13">
        <v>38</v>
      </c>
      <c r="AN52" s="14">
        <v>38</v>
      </c>
      <c r="AO52" s="9" t="s">
        <v>47</v>
      </c>
      <c r="AP52" s="16"/>
      <c r="AQ52" s="10">
        <v>112</v>
      </c>
      <c r="AR52" s="10">
        <v>105</v>
      </c>
      <c r="AS52" s="10">
        <v>125</v>
      </c>
      <c r="AT52" s="11">
        <v>20</v>
      </c>
      <c r="AU52" s="12" t="s">
        <v>47</v>
      </c>
      <c r="AV52" s="17"/>
      <c r="AW52" s="13">
        <v>128</v>
      </c>
      <c r="AX52" s="13">
        <v>156</v>
      </c>
      <c r="AY52" s="13">
        <v>126</v>
      </c>
      <c r="AZ52" s="14">
        <v>56</v>
      </c>
      <c r="BA52" s="9" t="s">
        <v>47</v>
      </c>
      <c r="BB52" s="16"/>
      <c r="BC52" s="10">
        <v>40</v>
      </c>
      <c r="BD52" s="10">
        <v>55</v>
      </c>
      <c r="BE52" s="10">
        <v>70</v>
      </c>
      <c r="BF52" s="11">
        <v>22</v>
      </c>
      <c r="BG52" s="12" t="s">
        <v>47</v>
      </c>
      <c r="BH52" s="17"/>
      <c r="BI52" s="13">
        <v>78</v>
      </c>
      <c r="BJ52" s="13">
        <v>84</v>
      </c>
      <c r="BK52" s="13">
        <v>72</v>
      </c>
      <c r="BL52" s="14">
        <v>17</v>
      </c>
      <c r="BM52" s="8">
        <f t="shared" si="9"/>
        <v>607</v>
      </c>
      <c r="BN52" s="8">
        <f t="shared" si="10"/>
        <v>677</v>
      </c>
      <c r="BO52" s="8">
        <f t="shared" si="11"/>
        <v>585</v>
      </c>
      <c r="BP52" s="8">
        <f t="shared" si="12"/>
        <v>203</v>
      </c>
      <c r="BQ52" s="8">
        <f t="shared" si="13"/>
        <v>677</v>
      </c>
      <c r="BR52" s="8">
        <f t="shared" si="14"/>
        <v>585</v>
      </c>
      <c r="BS52" s="15">
        <f t="shared" si="15"/>
        <v>48.193794105361732</v>
      </c>
      <c r="BT52" s="15" t="str">
        <f t="shared" si="16"/>
        <v>OK - No Upgrade</v>
      </c>
      <c r="BU52" s="15" t="str">
        <f t="shared" si="17"/>
        <v>OK - Balanced</v>
      </c>
    </row>
    <row r="53" spans="1:73" ht="15.75" customHeight="1" x14ac:dyDescent="0.25">
      <c r="A53" s="8" t="s">
        <v>38</v>
      </c>
      <c r="B53" s="8" t="s">
        <v>205</v>
      </c>
      <c r="C53" s="8" t="s">
        <v>124</v>
      </c>
      <c r="D53" s="8" t="s">
        <v>350</v>
      </c>
      <c r="E53" s="8" t="s">
        <v>351</v>
      </c>
      <c r="F53" s="8" t="s">
        <v>56</v>
      </c>
      <c r="G53" s="8"/>
      <c r="H53" s="8">
        <v>1000</v>
      </c>
      <c r="I53" s="8" t="s">
        <v>352</v>
      </c>
      <c r="J53" s="8">
        <v>1</v>
      </c>
      <c r="K53" s="8">
        <v>240</v>
      </c>
      <c r="L53" s="8">
        <v>241</v>
      </c>
      <c r="M53" s="8">
        <v>243</v>
      </c>
      <c r="N53" s="8">
        <v>414</v>
      </c>
      <c r="O53" s="8">
        <v>418</v>
      </c>
      <c r="P53" s="8">
        <v>422</v>
      </c>
      <c r="Q53" s="9" t="s">
        <v>47</v>
      </c>
      <c r="R53" s="16"/>
      <c r="S53" s="10">
        <v>5</v>
      </c>
      <c r="T53" s="10">
        <v>12</v>
      </c>
      <c r="U53" s="10">
        <v>24</v>
      </c>
      <c r="V53" s="11">
        <v>22</v>
      </c>
      <c r="W53" s="12" t="s">
        <v>47</v>
      </c>
      <c r="X53" s="17"/>
      <c r="Y53" s="13">
        <v>71</v>
      </c>
      <c r="Z53" s="13">
        <v>60</v>
      </c>
      <c r="AA53" s="13">
        <v>76</v>
      </c>
      <c r="AB53" s="14">
        <v>16</v>
      </c>
      <c r="AC53" s="9"/>
      <c r="AD53" s="16"/>
      <c r="AE53" s="10"/>
      <c r="AF53" s="10"/>
      <c r="AG53" s="10"/>
      <c r="AH53" s="11"/>
      <c r="AI53" s="12"/>
      <c r="AJ53" s="17"/>
      <c r="AK53" s="13"/>
      <c r="AL53" s="13"/>
      <c r="AM53" s="13"/>
      <c r="AN53" s="14"/>
      <c r="AO53" s="9" t="s">
        <v>47</v>
      </c>
      <c r="AP53" s="16"/>
      <c r="AQ53" s="10">
        <v>164</v>
      </c>
      <c r="AR53" s="10">
        <v>148</v>
      </c>
      <c r="AS53" s="10">
        <v>174</v>
      </c>
      <c r="AT53" s="11">
        <v>27</v>
      </c>
      <c r="AU53" s="12" t="s">
        <v>47</v>
      </c>
      <c r="AV53" s="17"/>
      <c r="AW53" s="13">
        <v>170</v>
      </c>
      <c r="AX53" s="13">
        <v>199</v>
      </c>
      <c r="AY53" s="13">
        <v>176</v>
      </c>
      <c r="AZ53" s="14">
        <v>19</v>
      </c>
      <c r="BA53" s="9" t="s">
        <v>47</v>
      </c>
      <c r="BB53" s="16"/>
      <c r="BC53" s="10">
        <v>26</v>
      </c>
      <c r="BD53" s="10">
        <v>19</v>
      </c>
      <c r="BE53" s="10">
        <v>9</v>
      </c>
      <c r="BF53" s="11">
        <v>12</v>
      </c>
      <c r="BG53" s="12" t="s">
        <v>47</v>
      </c>
      <c r="BH53" s="17"/>
      <c r="BI53" s="13">
        <v>153</v>
      </c>
      <c r="BJ53" s="13">
        <v>146</v>
      </c>
      <c r="BK53" s="13">
        <v>111</v>
      </c>
      <c r="BL53" s="14">
        <v>48</v>
      </c>
      <c r="BM53" s="8">
        <f t="shared" si="9"/>
        <v>589</v>
      </c>
      <c r="BN53" s="8">
        <f t="shared" si="10"/>
        <v>584</v>
      </c>
      <c r="BO53" s="8">
        <f t="shared" si="11"/>
        <v>570</v>
      </c>
      <c r="BP53" s="8">
        <f t="shared" si="12"/>
        <v>144</v>
      </c>
      <c r="BQ53" s="8">
        <f t="shared" si="13"/>
        <v>589</v>
      </c>
      <c r="BR53" s="8">
        <f t="shared" si="14"/>
        <v>570</v>
      </c>
      <c r="BS53" s="15">
        <f t="shared" si="15"/>
        <v>42.235366122244045</v>
      </c>
      <c r="BT53" s="15" t="str">
        <f t="shared" si="16"/>
        <v>OK - No Upgrade</v>
      </c>
      <c r="BU53" s="15" t="str">
        <f t="shared" si="17"/>
        <v>OK - Balanced</v>
      </c>
    </row>
    <row r="54" spans="1:73" ht="15.75" customHeight="1" x14ac:dyDescent="0.25">
      <c r="A54" s="8" t="s">
        <v>38</v>
      </c>
      <c r="B54" s="8" t="s">
        <v>205</v>
      </c>
      <c r="C54" s="8" t="s">
        <v>124</v>
      </c>
      <c r="D54" s="8" t="s">
        <v>353</v>
      </c>
      <c r="E54" s="8" t="s">
        <v>354</v>
      </c>
      <c r="F54" s="8" t="s">
        <v>56</v>
      </c>
      <c r="G54" s="8"/>
      <c r="H54" s="8">
        <v>1000</v>
      </c>
      <c r="I54" s="8" t="s">
        <v>355</v>
      </c>
      <c r="J54" s="8">
        <v>1</v>
      </c>
      <c r="K54" s="8">
        <v>244</v>
      </c>
      <c r="L54" s="8">
        <v>423</v>
      </c>
      <c r="M54" s="8">
        <v>247</v>
      </c>
      <c r="N54" s="8">
        <v>420</v>
      </c>
      <c r="O54" s="8">
        <v>427</v>
      </c>
      <c r="P54" s="8">
        <v>425</v>
      </c>
      <c r="Q54" s="9"/>
      <c r="R54" s="16"/>
      <c r="S54" s="10"/>
      <c r="T54" s="10"/>
      <c r="U54" s="10"/>
      <c r="V54" s="11"/>
      <c r="W54" s="12"/>
      <c r="X54" s="17"/>
      <c r="Y54" s="13"/>
      <c r="Z54" s="13"/>
      <c r="AA54" s="13"/>
      <c r="AB54" s="14"/>
      <c r="AC54" s="9"/>
      <c r="AD54" s="16"/>
      <c r="AE54" s="10"/>
      <c r="AF54" s="10"/>
      <c r="AG54" s="10"/>
      <c r="AH54" s="11"/>
      <c r="AI54" s="12"/>
      <c r="AJ54" s="17"/>
      <c r="AK54" s="13"/>
      <c r="AL54" s="13"/>
      <c r="AM54" s="13"/>
      <c r="AN54" s="14"/>
      <c r="AO54" s="9" t="s">
        <v>47</v>
      </c>
      <c r="AP54" s="16"/>
      <c r="AQ54" s="10">
        <v>10</v>
      </c>
      <c r="AR54" s="10">
        <v>70</v>
      </c>
      <c r="AS54" s="10">
        <v>35</v>
      </c>
      <c r="AT54" s="11">
        <v>41</v>
      </c>
      <c r="AU54" s="12" t="s">
        <v>47</v>
      </c>
      <c r="AV54" s="17"/>
      <c r="AW54" s="13">
        <v>96</v>
      </c>
      <c r="AX54" s="13">
        <v>59</v>
      </c>
      <c r="AY54" s="13">
        <v>71</v>
      </c>
      <c r="AZ54" s="14">
        <v>31</v>
      </c>
      <c r="BA54" s="9" t="s">
        <v>70</v>
      </c>
      <c r="BB54" s="16"/>
      <c r="BC54" s="10">
        <v>50</v>
      </c>
      <c r="BD54" s="10">
        <v>62</v>
      </c>
      <c r="BE54" s="10">
        <v>34</v>
      </c>
      <c r="BF54" s="11">
        <v>27</v>
      </c>
      <c r="BG54" s="12"/>
      <c r="BH54" s="17"/>
      <c r="BI54" s="13"/>
      <c r="BJ54" s="13"/>
      <c r="BK54" s="13"/>
      <c r="BL54" s="14"/>
      <c r="BM54" s="8">
        <f t="shared" si="9"/>
        <v>156</v>
      </c>
      <c r="BN54" s="8">
        <f t="shared" si="10"/>
        <v>191</v>
      </c>
      <c r="BO54" s="8">
        <f t="shared" si="11"/>
        <v>140</v>
      </c>
      <c r="BP54" s="8">
        <f t="shared" si="12"/>
        <v>99</v>
      </c>
      <c r="BQ54" s="8">
        <f t="shared" si="13"/>
        <v>191</v>
      </c>
      <c r="BR54" s="8">
        <f t="shared" si="14"/>
        <v>140</v>
      </c>
      <c r="BS54" s="15">
        <f t="shared" si="15"/>
        <v>13.894511578317534</v>
      </c>
      <c r="BT54" s="15" t="str">
        <f t="shared" si="16"/>
        <v>OK - No Upgrade</v>
      </c>
      <c r="BU54" s="15" t="str">
        <f t="shared" si="17"/>
        <v>Need to Balance</v>
      </c>
    </row>
    <row r="55" spans="1:73" ht="15.75" customHeight="1" x14ac:dyDescent="0.25">
      <c r="A55" s="8" t="s">
        <v>38</v>
      </c>
      <c r="B55" s="8" t="s">
        <v>205</v>
      </c>
      <c r="C55" s="8" t="s">
        <v>124</v>
      </c>
      <c r="D55" s="8" t="s">
        <v>356</v>
      </c>
      <c r="E55" s="8" t="s">
        <v>357</v>
      </c>
      <c r="F55" s="8" t="s">
        <v>56</v>
      </c>
      <c r="G55" s="8"/>
      <c r="H55" s="8">
        <v>1000</v>
      </c>
      <c r="I55" s="8" t="s">
        <v>358</v>
      </c>
      <c r="J55" s="8">
        <v>1</v>
      </c>
      <c r="K55" s="8">
        <v>243</v>
      </c>
      <c r="L55" s="8">
        <v>243</v>
      </c>
      <c r="M55" s="8">
        <v>247</v>
      </c>
      <c r="N55" s="8">
        <v>419</v>
      </c>
      <c r="O55" s="8">
        <v>426</v>
      </c>
      <c r="P55" s="8">
        <v>425</v>
      </c>
      <c r="Q55" s="9" t="s">
        <v>47</v>
      </c>
      <c r="R55" s="16"/>
      <c r="S55" s="10">
        <v>168</v>
      </c>
      <c r="T55" s="10">
        <v>108</v>
      </c>
      <c r="U55" s="10">
        <v>140</v>
      </c>
      <c r="V55" s="11">
        <v>64</v>
      </c>
      <c r="W55" s="12" t="s">
        <v>47</v>
      </c>
      <c r="X55" s="17"/>
      <c r="Y55" s="13">
        <v>54</v>
      </c>
      <c r="Z55" s="13">
        <v>50</v>
      </c>
      <c r="AA55" s="13">
        <v>44</v>
      </c>
      <c r="AB55" s="14">
        <v>11</v>
      </c>
      <c r="AC55" s="9"/>
      <c r="AD55" s="16"/>
      <c r="AE55" s="10"/>
      <c r="AF55" s="10"/>
      <c r="AG55" s="10"/>
      <c r="AH55" s="11"/>
      <c r="AI55" s="12"/>
      <c r="AJ55" s="17"/>
      <c r="AK55" s="13"/>
      <c r="AL55" s="13"/>
      <c r="AM55" s="13"/>
      <c r="AN55" s="14"/>
      <c r="AO55" s="9" t="s">
        <v>47</v>
      </c>
      <c r="AP55" s="16"/>
      <c r="AQ55" s="10">
        <v>79</v>
      </c>
      <c r="AR55" s="10">
        <v>38</v>
      </c>
      <c r="AS55" s="10">
        <v>33</v>
      </c>
      <c r="AT55" s="11">
        <v>35</v>
      </c>
      <c r="AU55" s="12" t="s">
        <v>47</v>
      </c>
      <c r="AV55" s="17"/>
      <c r="AW55" s="13">
        <v>131</v>
      </c>
      <c r="AX55" s="13">
        <v>83</v>
      </c>
      <c r="AY55" s="13">
        <v>57</v>
      </c>
      <c r="AZ55" s="14">
        <v>53</v>
      </c>
      <c r="BA55" s="9" t="s">
        <v>47</v>
      </c>
      <c r="BB55" s="16"/>
      <c r="BC55" s="10">
        <v>1</v>
      </c>
      <c r="BD55" s="10">
        <v>9</v>
      </c>
      <c r="BE55" s="10">
        <v>18</v>
      </c>
      <c r="BF55" s="11">
        <v>11</v>
      </c>
      <c r="BG55" s="12"/>
      <c r="BH55" s="17"/>
      <c r="BI55" s="13"/>
      <c r="BJ55" s="13"/>
      <c r="BK55" s="13"/>
      <c r="BL55" s="14"/>
      <c r="BM55" s="8">
        <f t="shared" si="9"/>
        <v>433</v>
      </c>
      <c r="BN55" s="8">
        <f t="shared" si="10"/>
        <v>288</v>
      </c>
      <c r="BO55" s="8">
        <f t="shared" si="11"/>
        <v>292</v>
      </c>
      <c r="BP55" s="8">
        <f t="shared" si="12"/>
        <v>174</v>
      </c>
      <c r="BQ55" s="8">
        <f t="shared" si="13"/>
        <v>433</v>
      </c>
      <c r="BR55" s="8">
        <f t="shared" si="14"/>
        <v>288</v>
      </c>
      <c r="BS55" s="15">
        <f t="shared" si="15"/>
        <v>31.424078186479871</v>
      </c>
      <c r="BT55" s="15" t="str">
        <f t="shared" si="16"/>
        <v>OK - No Upgrade</v>
      </c>
      <c r="BU55" s="15" t="str">
        <f t="shared" si="17"/>
        <v>Need to Balance</v>
      </c>
    </row>
    <row r="56" spans="1:73" ht="15.75" customHeight="1" x14ac:dyDescent="0.25">
      <c r="A56" s="8" t="s">
        <v>38</v>
      </c>
      <c r="B56" s="8" t="s">
        <v>205</v>
      </c>
      <c r="C56" s="8" t="s">
        <v>124</v>
      </c>
      <c r="D56" s="8" t="s">
        <v>359</v>
      </c>
      <c r="E56" s="8" t="s">
        <v>360</v>
      </c>
      <c r="F56" s="8" t="s">
        <v>56</v>
      </c>
      <c r="G56" s="8"/>
      <c r="H56" s="8">
        <v>1000</v>
      </c>
      <c r="I56" s="8" t="s">
        <v>361</v>
      </c>
      <c r="J56" s="8">
        <v>1</v>
      </c>
      <c r="K56" s="8">
        <v>247</v>
      </c>
      <c r="L56" s="8">
        <v>246</v>
      </c>
      <c r="M56" s="8">
        <v>250</v>
      </c>
      <c r="N56" s="8">
        <v>426</v>
      </c>
      <c r="O56" s="8">
        <v>432</v>
      </c>
      <c r="P56" s="8">
        <v>430</v>
      </c>
      <c r="Q56" s="9" t="s">
        <v>132</v>
      </c>
      <c r="R56" s="16"/>
      <c r="S56" s="10">
        <v>11</v>
      </c>
      <c r="T56" s="10">
        <v>11</v>
      </c>
      <c r="U56" s="10">
        <v>0</v>
      </c>
      <c r="V56" s="11">
        <v>10</v>
      </c>
      <c r="W56" s="12" t="s">
        <v>47</v>
      </c>
      <c r="X56" s="17"/>
      <c r="Y56" s="13">
        <v>10</v>
      </c>
      <c r="Z56" s="13">
        <v>10</v>
      </c>
      <c r="AA56" s="13">
        <v>11</v>
      </c>
      <c r="AB56" s="14">
        <v>5</v>
      </c>
      <c r="AC56" s="9" t="s">
        <v>47</v>
      </c>
      <c r="AD56" s="16"/>
      <c r="AE56" s="10">
        <v>0</v>
      </c>
      <c r="AF56" s="10">
        <v>0</v>
      </c>
      <c r="AG56" s="10">
        <v>0</v>
      </c>
      <c r="AH56" s="11">
        <v>0</v>
      </c>
      <c r="AI56" s="12" t="s">
        <v>47</v>
      </c>
      <c r="AJ56" s="17"/>
      <c r="AK56" s="13">
        <v>252</v>
      </c>
      <c r="AL56" s="13">
        <v>230</v>
      </c>
      <c r="AM56" s="13">
        <v>193</v>
      </c>
      <c r="AN56" s="14">
        <v>69</v>
      </c>
      <c r="AO56" s="9" t="s">
        <v>47</v>
      </c>
      <c r="AP56" s="16"/>
      <c r="AQ56" s="10">
        <v>2</v>
      </c>
      <c r="AR56" s="10">
        <v>11</v>
      </c>
      <c r="AS56" s="10">
        <v>41</v>
      </c>
      <c r="AT56" s="11">
        <v>21</v>
      </c>
      <c r="AU56" s="12" t="s">
        <v>47</v>
      </c>
      <c r="AV56" s="17"/>
      <c r="AW56" s="13">
        <v>22</v>
      </c>
      <c r="AX56" s="13">
        <v>32</v>
      </c>
      <c r="AY56" s="13">
        <v>7</v>
      </c>
      <c r="AZ56" s="14">
        <v>23</v>
      </c>
      <c r="BA56" s="9"/>
      <c r="BB56" s="16"/>
      <c r="BC56" s="10"/>
      <c r="BD56" s="10"/>
      <c r="BE56" s="10"/>
      <c r="BF56" s="11"/>
      <c r="BG56" s="12" t="s">
        <v>70</v>
      </c>
      <c r="BH56" s="17"/>
      <c r="BI56" s="13">
        <v>0</v>
      </c>
      <c r="BJ56" s="13">
        <v>0</v>
      </c>
      <c r="BK56" s="13">
        <v>0</v>
      </c>
      <c r="BL56" s="14">
        <v>0</v>
      </c>
      <c r="BM56" s="8">
        <f t="shared" si="9"/>
        <v>297</v>
      </c>
      <c r="BN56" s="8">
        <f t="shared" si="10"/>
        <v>294</v>
      </c>
      <c r="BO56" s="8">
        <f t="shared" si="11"/>
        <v>252</v>
      </c>
      <c r="BP56" s="8">
        <f t="shared" si="12"/>
        <v>128</v>
      </c>
      <c r="BQ56" s="8">
        <f t="shared" si="13"/>
        <v>297</v>
      </c>
      <c r="BR56" s="8">
        <f t="shared" si="14"/>
        <v>252</v>
      </c>
      <c r="BS56" s="15">
        <f t="shared" si="15"/>
        <v>21.914253227522948</v>
      </c>
      <c r="BT56" s="15" t="str">
        <f t="shared" si="16"/>
        <v>OK - No Upgrade</v>
      </c>
      <c r="BU56" s="15" t="str">
        <f t="shared" si="17"/>
        <v>OK - Balanced</v>
      </c>
    </row>
    <row r="57" spans="1:73" ht="15.75" customHeight="1" x14ac:dyDescent="0.25">
      <c r="A57" s="8" t="s">
        <v>38</v>
      </c>
      <c r="B57" s="8" t="s">
        <v>205</v>
      </c>
      <c r="C57" s="8" t="s">
        <v>124</v>
      </c>
      <c r="D57" s="8" t="s">
        <v>362</v>
      </c>
      <c r="E57" s="8" t="s">
        <v>363</v>
      </c>
      <c r="F57" s="8" t="s">
        <v>56</v>
      </c>
      <c r="G57" s="8"/>
      <c r="H57" s="8">
        <v>1000</v>
      </c>
      <c r="I57" s="8" t="s">
        <v>364</v>
      </c>
      <c r="J57" s="8">
        <v>1</v>
      </c>
      <c r="K57" s="8">
        <v>245</v>
      </c>
      <c r="L57" s="8">
        <v>244</v>
      </c>
      <c r="M57" s="8">
        <v>247</v>
      </c>
      <c r="N57" s="8">
        <v>422</v>
      </c>
      <c r="O57" s="8">
        <v>428</v>
      </c>
      <c r="P57" s="8">
        <v>426</v>
      </c>
      <c r="Q57" s="9" t="s">
        <v>70</v>
      </c>
      <c r="R57" s="16"/>
      <c r="S57" s="10">
        <v>39</v>
      </c>
      <c r="T57" s="10">
        <v>14</v>
      </c>
      <c r="U57" s="10">
        <v>40</v>
      </c>
      <c r="V57" s="11">
        <v>32</v>
      </c>
      <c r="W57" s="12" t="s">
        <v>70</v>
      </c>
      <c r="X57" s="17"/>
      <c r="Y57" s="13">
        <v>65</v>
      </c>
      <c r="Z57" s="13">
        <v>30</v>
      </c>
      <c r="AA57" s="13">
        <v>37</v>
      </c>
      <c r="AB57" s="14">
        <v>29</v>
      </c>
      <c r="AC57" s="9"/>
      <c r="AD57" s="16"/>
      <c r="AE57" s="10"/>
      <c r="AF57" s="10"/>
      <c r="AG57" s="10"/>
      <c r="AH57" s="11"/>
      <c r="AI57" s="12"/>
      <c r="AJ57" s="17"/>
      <c r="AK57" s="13"/>
      <c r="AL57" s="13"/>
      <c r="AM57" s="13"/>
      <c r="AN57" s="14"/>
      <c r="AO57" s="9"/>
      <c r="AP57" s="16"/>
      <c r="AQ57" s="10"/>
      <c r="AR57" s="10"/>
      <c r="AS57" s="10"/>
      <c r="AT57" s="11"/>
      <c r="AU57" s="12"/>
      <c r="AV57" s="17"/>
      <c r="AW57" s="13"/>
      <c r="AX57" s="13"/>
      <c r="AY57" s="13"/>
      <c r="AZ57" s="14"/>
      <c r="BA57" s="9"/>
      <c r="BB57" s="16"/>
      <c r="BC57" s="10"/>
      <c r="BD57" s="10"/>
      <c r="BE57" s="10"/>
      <c r="BF57" s="11"/>
      <c r="BG57" s="12"/>
      <c r="BH57" s="17"/>
      <c r="BI57" s="13"/>
      <c r="BJ57" s="13"/>
      <c r="BK57" s="13"/>
      <c r="BL57" s="14"/>
      <c r="BM57" s="8">
        <f t="shared" si="9"/>
        <v>104</v>
      </c>
      <c r="BN57" s="8">
        <f t="shared" si="10"/>
        <v>44</v>
      </c>
      <c r="BO57" s="8">
        <f t="shared" si="11"/>
        <v>77</v>
      </c>
      <c r="BP57" s="8">
        <f t="shared" si="12"/>
        <v>61</v>
      </c>
      <c r="BQ57" s="8">
        <f t="shared" si="13"/>
        <v>104</v>
      </c>
      <c r="BR57" s="8">
        <f t="shared" si="14"/>
        <v>44</v>
      </c>
      <c r="BS57" s="15">
        <f t="shared" si="15"/>
        <v>7.6016245842582872</v>
      </c>
      <c r="BT57" s="15" t="str">
        <f t="shared" si="16"/>
        <v>OK - No Upgrade</v>
      </c>
      <c r="BU57" s="15" t="str">
        <f t="shared" si="17"/>
        <v>Need to Balance</v>
      </c>
    </row>
    <row r="58" spans="1:73" ht="15.75" customHeight="1" x14ac:dyDescent="0.25">
      <c r="A58" s="8" t="s">
        <v>38</v>
      </c>
      <c r="B58" s="8" t="s">
        <v>205</v>
      </c>
      <c r="C58" s="8" t="s">
        <v>124</v>
      </c>
      <c r="D58" s="8" t="s">
        <v>365</v>
      </c>
      <c r="E58" s="8" t="s">
        <v>366</v>
      </c>
      <c r="F58" s="8" t="s">
        <v>56</v>
      </c>
      <c r="G58" s="8"/>
      <c r="H58" s="8">
        <v>1000</v>
      </c>
      <c r="I58" s="8" t="s">
        <v>367</v>
      </c>
      <c r="J58" s="8">
        <v>1</v>
      </c>
      <c r="K58" s="8">
        <v>243</v>
      </c>
      <c r="L58" s="8">
        <v>242</v>
      </c>
      <c r="M58" s="8">
        <v>245</v>
      </c>
      <c r="N58" s="8">
        <v>417</v>
      </c>
      <c r="O58" s="8">
        <v>425</v>
      </c>
      <c r="P58" s="8">
        <v>423</v>
      </c>
      <c r="Q58" s="9"/>
      <c r="R58" s="16"/>
      <c r="S58" s="10"/>
      <c r="T58" s="10"/>
      <c r="U58" s="10"/>
      <c r="V58" s="11"/>
      <c r="W58" s="12"/>
      <c r="X58" s="17"/>
      <c r="Y58" s="13"/>
      <c r="Z58" s="13"/>
      <c r="AA58" s="13"/>
      <c r="AB58" s="14"/>
      <c r="AC58" s="9"/>
      <c r="AD58" s="16"/>
      <c r="AE58" s="10"/>
      <c r="AF58" s="10"/>
      <c r="AG58" s="10"/>
      <c r="AH58" s="11"/>
      <c r="AI58" s="12"/>
      <c r="AJ58" s="17"/>
      <c r="AK58" s="13"/>
      <c r="AL58" s="13"/>
      <c r="AM58" s="13"/>
      <c r="AN58" s="14"/>
      <c r="AO58" s="9"/>
      <c r="AP58" s="16"/>
      <c r="AQ58" s="10"/>
      <c r="AR58" s="10"/>
      <c r="AS58" s="10"/>
      <c r="AT58" s="11"/>
      <c r="AU58" s="12" t="s">
        <v>132</v>
      </c>
      <c r="AV58" s="17"/>
      <c r="AW58" s="13">
        <v>0</v>
      </c>
      <c r="AX58" s="13">
        <v>0</v>
      </c>
      <c r="AY58" s="13">
        <v>0</v>
      </c>
      <c r="AZ58" s="14">
        <v>0</v>
      </c>
      <c r="BA58" s="9" t="s">
        <v>47</v>
      </c>
      <c r="BB58" s="16"/>
      <c r="BC58" s="10">
        <v>225</v>
      </c>
      <c r="BD58" s="10">
        <v>124</v>
      </c>
      <c r="BE58" s="10">
        <v>124</v>
      </c>
      <c r="BF58" s="11">
        <v>80</v>
      </c>
      <c r="BG58" s="12" t="s">
        <v>47</v>
      </c>
      <c r="BH58" s="17"/>
      <c r="BI58" s="13">
        <v>31</v>
      </c>
      <c r="BJ58" s="13">
        <v>0</v>
      </c>
      <c r="BK58" s="13">
        <v>33</v>
      </c>
      <c r="BL58" s="14">
        <v>15</v>
      </c>
      <c r="BM58" s="8">
        <f t="shared" si="9"/>
        <v>256</v>
      </c>
      <c r="BN58" s="8">
        <f t="shared" si="10"/>
        <v>124</v>
      </c>
      <c r="BO58" s="8">
        <f t="shared" si="11"/>
        <v>157</v>
      </c>
      <c r="BP58" s="8">
        <f t="shared" si="12"/>
        <v>95</v>
      </c>
      <c r="BQ58" s="8">
        <f t="shared" si="13"/>
        <v>256</v>
      </c>
      <c r="BR58" s="8">
        <f t="shared" si="14"/>
        <v>124</v>
      </c>
      <c r="BS58" s="15">
        <f t="shared" si="15"/>
        <v>18.489988780959276</v>
      </c>
      <c r="BT58" s="15" t="str">
        <f t="shared" si="16"/>
        <v>OK - No Upgrade</v>
      </c>
      <c r="BU58" s="15" t="str">
        <f t="shared" si="17"/>
        <v>Need to Balance</v>
      </c>
    </row>
    <row r="59" spans="1:73" ht="15.75" customHeight="1" x14ac:dyDescent="0.25">
      <c r="A59" s="8" t="s">
        <v>38</v>
      </c>
      <c r="B59" s="8" t="s">
        <v>205</v>
      </c>
      <c r="C59" s="8" t="s">
        <v>124</v>
      </c>
      <c r="D59" s="8" t="s">
        <v>368</v>
      </c>
      <c r="E59" s="8" t="s">
        <v>65</v>
      </c>
      <c r="F59" s="8" t="s">
        <v>56</v>
      </c>
      <c r="G59" s="8"/>
      <c r="H59" s="8">
        <v>1000</v>
      </c>
      <c r="I59" s="8" t="s">
        <v>369</v>
      </c>
      <c r="J59" s="8">
        <v>1</v>
      </c>
      <c r="K59" s="8">
        <v>244</v>
      </c>
      <c r="L59" s="8">
        <v>243</v>
      </c>
      <c r="M59" s="8">
        <v>246</v>
      </c>
      <c r="N59" s="8">
        <v>421</v>
      </c>
      <c r="O59" s="8">
        <v>427</v>
      </c>
      <c r="P59" s="8">
        <v>424</v>
      </c>
      <c r="Q59" s="9"/>
      <c r="R59" s="16"/>
      <c r="S59" s="10"/>
      <c r="T59" s="10"/>
      <c r="U59" s="10"/>
      <c r="V59" s="11"/>
      <c r="W59" s="12" t="s">
        <v>46</v>
      </c>
      <c r="X59" s="17"/>
      <c r="Y59" s="13">
        <v>25</v>
      </c>
      <c r="Z59" s="13">
        <v>19</v>
      </c>
      <c r="AA59" s="13">
        <v>24</v>
      </c>
      <c r="AB59" s="14">
        <v>7</v>
      </c>
      <c r="AC59" s="9" t="s">
        <v>47</v>
      </c>
      <c r="AD59" s="16"/>
      <c r="AE59" s="10">
        <v>31</v>
      </c>
      <c r="AF59" s="10">
        <v>31</v>
      </c>
      <c r="AG59" s="10">
        <v>9</v>
      </c>
      <c r="AH59" s="11">
        <v>28</v>
      </c>
      <c r="AI59" s="12" t="s">
        <v>47</v>
      </c>
      <c r="AJ59" s="17"/>
      <c r="AK59" s="13">
        <v>85</v>
      </c>
      <c r="AL59" s="13">
        <v>0</v>
      </c>
      <c r="AM59" s="13">
        <v>27</v>
      </c>
      <c r="AN59" s="14">
        <v>81</v>
      </c>
      <c r="AO59" s="9"/>
      <c r="AP59" s="16"/>
      <c r="AQ59" s="10"/>
      <c r="AR59" s="10"/>
      <c r="AS59" s="10"/>
      <c r="AT59" s="11"/>
      <c r="AU59" s="12"/>
      <c r="AV59" s="17"/>
      <c r="AW59" s="13"/>
      <c r="AX59" s="13"/>
      <c r="AY59" s="13"/>
      <c r="AZ59" s="14"/>
      <c r="BA59" s="9"/>
      <c r="BB59" s="16"/>
      <c r="BC59" s="10"/>
      <c r="BD59" s="10"/>
      <c r="BE59" s="10"/>
      <c r="BF59" s="11"/>
      <c r="BG59" s="12"/>
      <c r="BH59" s="17"/>
      <c r="BI59" s="13"/>
      <c r="BJ59" s="13"/>
      <c r="BK59" s="13"/>
      <c r="BL59" s="14"/>
      <c r="BM59" s="8">
        <f t="shared" si="9"/>
        <v>141</v>
      </c>
      <c r="BN59" s="8">
        <f t="shared" si="10"/>
        <v>50</v>
      </c>
      <c r="BO59" s="8">
        <f t="shared" si="11"/>
        <v>60</v>
      </c>
      <c r="BP59" s="8">
        <f t="shared" si="12"/>
        <v>116</v>
      </c>
      <c r="BQ59" s="8">
        <f t="shared" si="13"/>
        <v>141</v>
      </c>
      <c r="BR59" s="8">
        <f t="shared" si="14"/>
        <v>50</v>
      </c>
      <c r="BS59" s="15">
        <f t="shared" si="15"/>
        <v>10.281626798809612</v>
      </c>
      <c r="BT59" s="15" t="str">
        <f t="shared" si="16"/>
        <v>OK - No Upgrade</v>
      </c>
      <c r="BU59" s="15" t="str">
        <f t="shared" si="17"/>
        <v>Need to Balance</v>
      </c>
    </row>
    <row r="60" spans="1:73" ht="15.75" customHeight="1" x14ac:dyDescent="0.25">
      <c r="A60" s="8" t="s">
        <v>38</v>
      </c>
      <c r="B60" s="8" t="s">
        <v>205</v>
      </c>
      <c r="C60" s="8" t="s">
        <v>124</v>
      </c>
      <c r="D60" s="8" t="s">
        <v>370</v>
      </c>
      <c r="E60" s="8" t="s">
        <v>371</v>
      </c>
      <c r="F60" s="8" t="s">
        <v>56</v>
      </c>
      <c r="G60" s="8"/>
      <c r="H60" s="8">
        <v>1000</v>
      </c>
      <c r="I60" s="8" t="s">
        <v>372</v>
      </c>
      <c r="J60" s="8">
        <v>1</v>
      </c>
      <c r="K60" s="8">
        <v>246</v>
      </c>
      <c r="L60" s="8">
        <v>245</v>
      </c>
      <c r="M60" s="8">
        <v>249</v>
      </c>
      <c r="N60" s="8">
        <v>425</v>
      </c>
      <c r="O60" s="8">
        <v>432</v>
      </c>
      <c r="P60" s="8">
        <v>429</v>
      </c>
      <c r="Q60" s="9"/>
      <c r="R60" s="16"/>
      <c r="S60" s="10"/>
      <c r="T60" s="10"/>
      <c r="U60" s="10"/>
      <c r="V60" s="11"/>
      <c r="W60" s="12" t="s">
        <v>47</v>
      </c>
      <c r="X60" s="17"/>
      <c r="Y60" s="13">
        <v>86</v>
      </c>
      <c r="Z60" s="13">
        <v>70</v>
      </c>
      <c r="AA60" s="13">
        <v>30</v>
      </c>
      <c r="AB60" s="14">
        <v>48</v>
      </c>
      <c r="AC60" s="9" t="s">
        <v>47</v>
      </c>
      <c r="AD60" s="16"/>
      <c r="AE60" s="10">
        <v>62</v>
      </c>
      <c r="AF60" s="10">
        <v>17</v>
      </c>
      <c r="AG60" s="10">
        <v>10</v>
      </c>
      <c r="AH60" s="11">
        <v>24</v>
      </c>
      <c r="AI60" s="12" t="s">
        <v>47</v>
      </c>
      <c r="AJ60" s="17"/>
      <c r="AK60" s="13">
        <v>32</v>
      </c>
      <c r="AL60" s="13">
        <v>48</v>
      </c>
      <c r="AM60" s="13">
        <v>4</v>
      </c>
      <c r="AN60" s="14">
        <v>47</v>
      </c>
      <c r="AO60" s="9" t="s">
        <v>47</v>
      </c>
      <c r="AP60" s="16"/>
      <c r="AQ60" s="10">
        <v>12</v>
      </c>
      <c r="AR60" s="10">
        <v>13</v>
      </c>
      <c r="AS60" s="10">
        <v>24</v>
      </c>
      <c r="AT60" s="11">
        <v>7</v>
      </c>
      <c r="AU60" s="12" t="s">
        <v>47</v>
      </c>
      <c r="AV60" s="17"/>
      <c r="AW60" s="13">
        <v>43</v>
      </c>
      <c r="AX60" s="13">
        <v>22</v>
      </c>
      <c r="AY60" s="13">
        <v>24</v>
      </c>
      <c r="AZ60" s="14">
        <v>16</v>
      </c>
      <c r="BA60" s="9"/>
      <c r="BB60" s="16"/>
      <c r="BC60" s="10"/>
      <c r="BD60" s="10"/>
      <c r="BE60" s="10"/>
      <c r="BF60" s="11"/>
      <c r="BG60" s="12"/>
      <c r="BH60" s="17"/>
      <c r="BI60" s="13"/>
      <c r="BJ60" s="13"/>
      <c r="BK60" s="13"/>
      <c r="BL60" s="14"/>
      <c r="BM60" s="8">
        <f t="shared" si="9"/>
        <v>235</v>
      </c>
      <c r="BN60" s="8">
        <f t="shared" si="10"/>
        <v>170</v>
      </c>
      <c r="BO60" s="8">
        <f t="shared" si="11"/>
        <v>92</v>
      </c>
      <c r="BP60" s="8">
        <f t="shared" si="12"/>
        <v>142</v>
      </c>
      <c r="BQ60" s="8">
        <f t="shared" si="13"/>
        <v>235</v>
      </c>
      <c r="BR60" s="8">
        <f t="shared" si="14"/>
        <v>92</v>
      </c>
      <c r="BS60" s="15">
        <f t="shared" si="15"/>
        <v>17.298857440594162</v>
      </c>
      <c r="BT60" s="15" t="str">
        <f t="shared" si="16"/>
        <v>OK - No Upgrade</v>
      </c>
      <c r="BU60" s="15" t="str">
        <f t="shared" si="17"/>
        <v>Need to Balance</v>
      </c>
    </row>
    <row r="61" spans="1:73" ht="15.75" customHeight="1" x14ac:dyDescent="0.25">
      <c r="A61" s="8" t="s">
        <v>38</v>
      </c>
      <c r="B61" s="8" t="s">
        <v>205</v>
      </c>
      <c r="C61" s="8" t="s">
        <v>124</v>
      </c>
      <c r="D61" s="8" t="s">
        <v>370</v>
      </c>
      <c r="E61" s="8" t="s">
        <v>371</v>
      </c>
      <c r="F61" s="8" t="s">
        <v>56</v>
      </c>
      <c r="G61" s="8"/>
      <c r="H61" s="8">
        <v>1000</v>
      </c>
      <c r="I61" s="8" t="s">
        <v>174</v>
      </c>
      <c r="J61" s="8">
        <v>2</v>
      </c>
      <c r="K61" s="8">
        <v>245</v>
      </c>
      <c r="L61" s="8">
        <v>244</v>
      </c>
      <c r="M61" s="8">
        <v>248</v>
      </c>
      <c r="N61" s="8">
        <v>422</v>
      </c>
      <c r="O61" s="8">
        <v>428</v>
      </c>
      <c r="P61" s="8">
        <v>427</v>
      </c>
      <c r="Q61" s="9"/>
      <c r="R61" s="16"/>
      <c r="S61" s="10"/>
      <c r="T61" s="10"/>
      <c r="U61" s="10"/>
      <c r="V61" s="11"/>
      <c r="W61" s="12" t="s">
        <v>47</v>
      </c>
      <c r="X61" s="17"/>
      <c r="Y61" s="13">
        <v>50</v>
      </c>
      <c r="Z61" s="13">
        <v>105</v>
      </c>
      <c r="AA61" s="13">
        <v>30</v>
      </c>
      <c r="AB61" s="14">
        <v>55</v>
      </c>
      <c r="AC61" s="9" t="s">
        <v>47</v>
      </c>
      <c r="AD61" s="16"/>
      <c r="AE61" s="10">
        <v>132</v>
      </c>
      <c r="AF61" s="10">
        <v>46</v>
      </c>
      <c r="AG61" s="10">
        <v>64</v>
      </c>
      <c r="AH61" s="11">
        <v>77</v>
      </c>
      <c r="AI61" s="12" t="s">
        <v>47</v>
      </c>
      <c r="AJ61" s="17"/>
      <c r="AK61" s="13">
        <v>50</v>
      </c>
      <c r="AL61" s="13">
        <v>22</v>
      </c>
      <c r="AM61" s="13">
        <v>79</v>
      </c>
      <c r="AN61" s="14">
        <v>42</v>
      </c>
      <c r="AO61" s="9" t="s">
        <v>47</v>
      </c>
      <c r="AP61" s="16"/>
      <c r="AQ61" s="10">
        <v>21</v>
      </c>
      <c r="AR61" s="10">
        <v>46</v>
      </c>
      <c r="AS61" s="10">
        <v>28</v>
      </c>
      <c r="AT61" s="11">
        <v>22</v>
      </c>
      <c r="AU61" s="12" t="s">
        <v>47</v>
      </c>
      <c r="AV61" s="17"/>
      <c r="AW61" s="13">
        <v>51</v>
      </c>
      <c r="AX61" s="13">
        <v>4</v>
      </c>
      <c r="AY61" s="13">
        <v>11</v>
      </c>
      <c r="AZ61" s="14">
        <v>39</v>
      </c>
      <c r="BA61" s="9"/>
      <c r="BB61" s="16"/>
      <c r="BC61" s="10"/>
      <c r="BD61" s="10"/>
      <c r="BE61" s="10"/>
      <c r="BF61" s="11"/>
      <c r="BG61" s="12"/>
      <c r="BH61" s="17"/>
      <c r="BI61" s="13"/>
      <c r="BJ61" s="13"/>
      <c r="BK61" s="13"/>
      <c r="BL61" s="14"/>
      <c r="BM61" s="8">
        <f t="shared" si="9"/>
        <v>304</v>
      </c>
      <c r="BN61" s="8">
        <f t="shared" si="10"/>
        <v>223</v>
      </c>
      <c r="BO61" s="8">
        <f t="shared" si="11"/>
        <v>212</v>
      </c>
      <c r="BP61" s="8">
        <f t="shared" si="12"/>
        <v>235</v>
      </c>
      <c r="BQ61" s="8">
        <f t="shared" si="13"/>
        <v>304</v>
      </c>
      <c r="BR61" s="8">
        <f t="shared" si="14"/>
        <v>212</v>
      </c>
      <c r="BS61" s="15">
        <f t="shared" si="15"/>
        <v>22.220133400139609</v>
      </c>
      <c r="BT61" s="15" t="str">
        <f t="shared" si="16"/>
        <v>OK - No Upgrade</v>
      </c>
      <c r="BU61" s="15" t="str">
        <f t="shared" si="17"/>
        <v>Need to Balance</v>
      </c>
    </row>
    <row r="62" spans="1:73" ht="15.75" customHeight="1" x14ac:dyDescent="0.25">
      <c r="A62" s="8" t="s">
        <v>38</v>
      </c>
      <c r="B62" s="8" t="s">
        <v>205</v>
      </c>
      <c r="C62" s="8" t="s">
        <v>40</v>
      </c>
      <c r="D62" s="8"/>
      <c r="E62" s="8" t="s">
        <v>373</v>
      </c>
      <c r="F62" s="8" t="s">
        <v>56</v>
      </c>
      <c r="G62" s="8"/>
      <c r="H62" s="8">
        <v>500</v>
      </c>
      <c r="I62" s="8" t="s">
        <v>374</v>
      </c>
      <c r="J62" s="8">
        <v>1</v>
      </c>
      <c r="K62" s="8">
        <v>248</v>
      </c>
      <c r="L62" s="8">
        <v>247</v>
      </c>
      <c r="M62" s="8">
        <v>251</v>
      </c>
      <c r="N62" s="8">
        <v>426</v>
      </c>
      <c r="O62" s="8">
        <v>431</v>
      </c>
      <c r="P62" s="8">
        <v>433</v>
      </c>
      <c r="Q62" s="9" t="s">
        <v>70</v>
      </c>
      <c r="R62" s="16"/>
      <c r="S62" s="10">
        <v>96</v>
      </c>
      <c r="T62" s="10">
        <v>56</v>
      </c>
      <c r="U62" s="10">
        <v>55</v>
      </c>
      <c r="V62" s="11">
        <v>35</v>
      </c>
      <c r="W62" s="12" t="s">
        <v>70</v>
      </c>
      <c r="X62" s="17"/>
      <c r="Y62" s="13">
        <v>70</v>
      </c>
      <c r="Z62" s="13">
        <v>53</v>
      </c>
      <c r="AA62" s="13">
        <v>76</v>
      </c>
      <c r="AB62" s="14">
        <v>45</v>
      </c>
      <c r="AC62" s="9" t="s">
        <v>70</v>
      </c>
      <c r="AD62" s="16"/>
      <c r="AE62" s="10">
        <v>45</v>
      </c>
      <c r="AF62" s="10">
        <v>171</v>
      </c>
      <c r="AG62" s="10">
        <v>151</v>
      </c>
      <c r="AH62" s="11">
        <v>58</v>
      </c>
      <c r="AI62" s="12"/>
      <c r="AJ62" s="17"/>
      <c r="AK62" s="13"/>
      <c r="AL62" s="13"/>
      <c r="AM62" s="13"/>
      <c r="AN62" s="14"/>
      <c r="AO62" s="9"/>
      <c r="AP62" s="16"/>
      <c r="AQ62" s="10"/>
      <c r="AR62" s="10"/>
      <c r="AS62" s="10"/>
      <c r="AT62" s="11"/>
      <c r="AU62" s="12"/>
      <c r="AV62" s="17"/>
      <c r="AW62" s="13"/>
      <c r="AX62" s="13"/>
      <c r="AY62" s="13"/>
      <c r="AZ62" s="14"/>
      <c r="BA62" s="9"/>
      <c r="BB62" s="16"/>
      <c r="BC62" s="10"/>
      <c r="BD62" s="10"/>
      <c r="BE62" s="10"/>
      <c r="BF62" s="11"/>
      <c r="BG62" s="12"/>
      <c r="BH62" s="17"/>
      <c r="BI62" s="13"/>
      <c r="BJ62" s="13"/>
      <c r="BK62" s="13"/>
      <c r="BL62" s="14"/>
      <c r="BM62" s="8">
        <f t="shared" si="9"/>
        <v>211</v>
      </c>
      <c r="BN62" s="8">
        <f t="shared" si="10"/>
        <v>280</v>
      </c>
      <c r="BO62" s="8">
        <f t="shared" si="11"/>
        <v>282</v>
      </c>
      <c r="BP62" s="8">
        <f t="shared" si="12"/>
        <v>138</v>
      </c>
      <c r="BQ62" s="8">
        <f t="shared" si="13"/>
        <v>282</v>
      </c>
      <c r="BR62" s="8">
        <f t="shared" si="14"/>
        <v>211</v>
      </c>
      <c r="BS62" s="15">
        <f t="shared" si="15"/>
        <v>41.614945522972874</v>
      </c>
      <c r="BT62" s="15" t="str">
        <f t="shared" si="16"/>
        <v>OK - No Upgrade</v>
      </c>
      <c r="BU62" s="15" t="str">
        <f t="shared" si="17"/>
        <v>OK - Balanced</v>
      </c>
    </row>
    <row r="63" spans="1:73" ht="15.75" customHeight="1" x14ac:dyDescent="0.25">
      <c r="A63" s="8" t="s">
        <v>38</v>
      </c>
      <c r="B63" s="8" t="s">
        <v>205</v>
      </c>
      <c r="C63" s="8" t="s">
        <v>40</v>
      </c>
      <c r="D63" s="8"/>
      <c r="E63" s="8" t="s">
        <v>375</v>
      </c>
      <c r="F63" s="8" t="s">
        <v>56</v>
      </c>
      <c r="G63" s="8"/>
      <c r="H63" s="8">
        <v>500</v>
      </c>
      <c r="I63" s="8" t="s">
        <v>374</v>
      </c>
      <c r="J63" s="8">
        <v>1</v>
      </c>
      <c r="K63" s="8">
        <v>248</v>
      </c>
      <c r="L63" s="8">
        <v>249</v>
      </c>
      <c r="M63" s="8">
        <v>252</v>
      </c>
      <c r="N63" s="8">
        <v>430</v>
      </c>
      <c r="O63" s="8">
        <v>436</v>
      </c>
      <c r="P63" s="8">
        <v>427</v>
      </c>
      <c r="Q63" s="9" t="s">
        <v>70</v>
      </c>
      <c r="R63" s="16"/>
      <c r="S63" s="10">
        <v>41</v>
      </c>
      <c r="T63" s="10">
        <v>51</v>
      </c>
      <c r="U63" s="10">
        <v>56</v>
      </c>
      <c r="V63" s="11">
        <v>75</v>
      </c>
      <c r="W63" s="12" t="s">
        <v>70</v>
      </c>
      <c r="X63" s="17"/>
      <c r="Y63" s="13">
        <v>222</v>
      </c>
      <c r="Z63" s="13">
        <v>138</v>
      </c>
      <c r="AA63" s="13">
        <v>129</v>
      </c>
      <c r="AB63" s="14">
        <v>70</v>
      </c>
      <c r="AC63" s="9" t="s">
        <v>70</v>
      </c>
      <c r="AD63" s="16"/>
      <c r="AE63" s="10">
        <v>65</v>
      </c>
      <c r="AF63" s="10">
        <v>70</v>
      </c>
      <c r="AG63" s="10">
        <v>73</v>
      </c>
      <c r="AH63" s="11">
        <v>85</v>
      </c>
      <c r="AI63" s="12"/>
      <c r="AJ63" s="17"/>
      <c r="AK63" s="13"/>
      <c r="AL63" s="13"/>
      <c r="AM63" s="13"/>
      <c r="AN63" s="14"/>
      <c r="AO63" s="9"/>
      <c r="AP63" s="16"/>
      <c r="AQ63" s="10"/>
      <c r="AR63" s="10"/>
      <c r="AS63" s="10"/>
      <c r="AT63" s="11"/>
      <c r="AU63" s="12"/>
      <c r="AV63" s="17"/>
      <c r="AW63" s="13"/>
      <c r="AX63" s="13"/>
      <c r="AY63" s="13"/>
      <c r="AZ63" s="14"/>
      <c r="BA63" s="9"/>
      <c r="BB63" s="16"/>
      <c r="BC63" s="10"/>
      <c r="BD63" s="10"/>
      <c r="BE63" s="10"/>
      <c r="BF63" s="11"/>
      <c r="BG63" s="12"/>
      <c r="BH63" s="17"/>
      <c r="BI63" s="13"/>
      <c r="BJ63" s="13"/>
      <c r="BK63" s="13"/>
      <c r="BL63" s="14"/>
      <c r="BM63" s="8">
        <f t="shared" si="9"/>
        <v>328</v>
      </c>
      <c r="BN63" s="8">
        <f t="shared" si="10"/>
        <v>259</v>
      </c>
      <c r="BO63" s="8">
        <f t="shared" si="11"/>
        <v>258</v>
      </c>
      <c r="BP63" s="8">
        <f t="shared" si="12"/>
        <v>230</v>
      </c>
      <c r="BQ63" s="8">
        <f t="shared" si="13"/>
        <v>328</v>
      </c>
      <c r="BR63" s="8">
        <f t="shared" si="14"/>
        <v>258</v>
      </c>
      <c r="BS63" s="15">
        <f t="shared" si="15"/>
        <v>48.857689179902891</v>
      </c>
      <c r="BT63" s="15" t="str">
        <f t="shared" si="16"/>
        <v>OK - No Upgrade</v>
      </c>
      <c r="BU63" s="15" t="str">
        <f t="shared" si="17"/>
        <v>Need to Balance</v>
      </c>
    </row>
    <row r="64" spans="1:73" ht="15.75" customHeight="1" x14ac:dyDescent="0.25">
      <c r="A64" s="8" t="s">
        <v>38</v>
      </c>
      <c r="B64" s="8" t="s">
        <v>205</v>
      </c>
      <c r="C64" s="8" t="s">
        <v>40</v>
      </c>
      <c r="D64" s="8"/>
      <c r="E64" s="8" t="s">
        <v>376</v>
      </c>
      <c r="F64" s="8" t="s">
        <v>56</v>
      </c>
      <c r="G64" s="8"/>
      <c r="H64" s="8">
        <v>500</v>
      </c>
      <c r="I64" s="8" t="s">
        <v>374</v>
      </c>
      <c r="J64" s="8">
        <v>1</v>
      </c>
      <c r="K64" s="8">
        <v>248</v>
      </c>
      <c r="L64" s="8">
        <v>248</v>
      </c>
      <c r="M64" s="8">
        <v>251</v>
      </c>
      <c r="N64" s="8">
        <v>429</v>
      </c>
      <c r="O64" s="8">
        <v>432</v>
      </c>
      <c r="P64" s="8">
        <v>434</v>
      </c>
      <c r="Q64" s="9" t="s">
        <v>70</v>
      </c>
      <c r="R64" s="16"/>
      <c r="S64" s="10">
        <v>195</v>
      </c>
      <c r="T64" s="10">
        <v>120</v>
      </c>
      <c r="U64" s="10">
        <v>129</v>
      </c>
      <c r="V64" s="11">
        <v>66</v>
      </c>
      <c r="W64" s="12" t="s">
        <v>70</v>
      </c>
      <c r="X64" s="17"/>
      <c r="Y64" s="13">
        <v>113</v>
      </c>
      <c r="Z64" s="13">
        <v>105</v>
      </c>
      <c r="AA64" s="13">
        <v>150</v>
      </c>
      <c r="AB64" s="14">
        <v>70</v>
      </c>
      <c r="AC64" s="9"/>
      <c r="AD64" s="16"/>
      <c r="AE64" s="10"/>
      <c r="AF64" s="10"/>
      <c r="AG64" s="10"/>
      <c r="AH64" s="11"/>
      <c r="AI64" s="12"/>
      <c r="AJ64" s="17"/>
      <c r="AK64" s="13"/>
      <c r="AL64" s="13"/>
      <c r="AM64" s="13"/>
      <c r="AN64" s="14"/>
      <c r="AO64" s="9"/>
      <c r="AP64" s="16"/>
      <c r="AQ64" s="10"/>
      <c r="AR64" s="10"/>
      <c r="AS64" s="10"/>
      <c r="AT64" s="11"/>
      <c r="AU64" s="12"/>
      <c r="AV64" s="17"/>
      <c r="AW64" s="13"/>
      <c r="AX64" s="13"/>
      <c r="AY64" s="13"/>
      <c r="AZ64" s="14"/>
      <c r="BA64" s="9"/>
      <c r="BB64" s="16"/>
      <c r="BC64" s="10"/>
      <c r="BD64" s="10"/>
      <c r="BE64" s="10"/>
      <c r="BF64" s="11"/>
      <c r="BG64" s="12"/>
      <c r="BH64" s="17"/>
      <c r="BI64" s="13"/>
      <c r="BJ64" s="13"/>
      <c r="BK64" s="13"/>
      <c r="BL64" s="14"/>
      <c r="BM64" s="8">
        <f t="shared" si="9"/>
        <v>308</v>
      </c>
      <c r="BN64" s="8">
        <f t="shared" si="10"/>
        <v>225</v>
      </c>
      <c r="BO64" s="8">
        <f t="shared" si="11"/>
        <v>279</v>
      </c>
      <c r="BP64" s="8">
        <f t="shared" si="12"/>
        <v>136</v>
      </c>
      <c r="BQ64" s="8">
        <f t="shared" si="13"/>
        <v>308</v>
      </c>
      <c r="BR64" s="8">
        <f t="shared" si="14"/>
        <v>225</v>
      </c>
      <c r="BS64" s="15">
        <f t="shared" si="15"/>
        <v>45.771867461138172</v>
      </c>
      <c r="BT64" s="15" t="str">
        <f t="shared" si="16"/>
        <v>OK - No Upgrade</v>
      </c>
      <c r="BU64" s="15" t="str">
        <f t="shared" si="17"/>
        <v>Need to Balance</v>
      </c>
    </row>
  </sheetData>
  <mergeCells count="79">
    <mergeCell ref="BU1:BU3"/>
    <mergeCell ref="BI2:BI3"/>
    <mergeCell ref="AE2:AE3"/>
    <mergeCell ref="AG2:AG3"/>
    <mergeCell ref="Y2:Y3"/>
    <mergeCell ref="AQ2:AQ3"/>
    <mergeCell ref="AS2:AS3"/>
    <mergeCell ref="AY2:AY3"/>
    <mergeCell ref="BK2:BK3"/>
    <mergeCell ref="AZ2:AZ3"/>
    <mergeCell ref="BB2:BB3"/>
    <mergeCell ref="BL2:BL3"/>
    <mergeCell ref="BN2:BN3"/>
    <mergeCell ref="AU1:AZ1"/>
    <mergeCell ref="AJ2:AJ3"/>
    <mergeCell ref="AL2:AL3"/>
    <mergeCell ref="BR1:BR3"/>
    <mergeCell ref="H1:H3"/>
    <mergeCell ref="AR2:AR3"/>
    <mergeCell ref="AT2:AT3"/>
    <mergeCell ref="E1:E3"/>
    <mergeCell ref="BF2:BF3"/>
    <mergeCell ref="K2:M2"/>
    <mergeCell ref="F1:F3"/>
    <mergeCell ref="J1:J3"/>
    <mergeCell ref="R2:R3"/>
    <mergeCell ref="AD2:AD3"/>
    <mergeCell ref="AN2:AN3"/>
    <mergeCell ref="AP2:AP3"/>
    <mergeCell ref="A1:A3"/>
    <mergeCell ref="BA1:BF1"/>
    <mergeCell ref="C1:C3"/>
    <mergeCell ref="D1:D2"/>
    <mergeCell ref="BQ1:BQ3"/>
    <mergeCell ref="BS1:BS3"/>
    <mergeCell ref="BA2:BA3"/>
    <mergeCell ref="S2:S3"/>
    <mergeCell ref="BC2:BC3"/>
    <mergeCell ref="K1:P1"/>
    <mergeCell ref="BM2:BM3"/>
    <mergeCell ref="BO2:BO3"/>
    <mergeCell ref="W1:AB1"/>
    <mergeCell ref="Q1:V1"/>
    <mergeCell ref="BP2:BP3"/>
    <mergeCell ref="AC1:AH1"/>
    <mergeCell ref="AO1:AT1"/>
    <mergeCell ref="Z2:Z3"/>
    <mergeCell ref="B1:B3"/>
    <mergeCell ref="AI1:AN1"/>
    <mergeCell ref="V2:V3"/>
    <mergeCell ref="X2:X3"/>
    <mergeCell ref="BG1:BL1"/>
    <mergeCell ref="BD2:BD3"/>
    <mergeCell ref="AV2:AV3"/>
    <mergeCell ref="AX2:AX3"/>
    <mergeCell ref="I1:I3"/>
    <mergeCell ref="BH2:BH3"/>
    <mergeCell ref="BJ2:BJ3"/>
    <mergeCell ref="AF2:AF3"/>
    <mergeCell ref="AH2:AH3"/>
    <mergeCell ref="Q2:Q3"/>
    <mergeCell ref="AI2:AI3"/>
    <mergeCell ref="AK2:AK3"/>
    <mergeCell ref="N2:P2"/>
    <mergeCell ref="G1:G3"/>
    <mergeCell ref="U2:U3"/>
    <mergeCell ref="BT1:BT3"/>
    <mergeCell ref="BE2:BE3"/>
    <mergeCell ref="W2:W3"/>
    <mergeCell ref="BG2:BG3"/>
    <mergeCell ref="AA2:AA3"/>
    <mergeCell ref="AC2:AC3"/>
    <mergeCell ref="AM2:AM3"/>
    <mergeCell ref="AO2:AO3"/>
    <mergeCell ref="BM1:BP1"/>
    <mergeCell ref="AU2:AU3"/>
    <mergeCell ref="AW2:AW3"/>
    <mergeCell ref="AB2:AB3"/>
    <mergeCell ref="T2:T3"/>
  </mergeCells>
  <dataValidations count="1">
    <dataValidation type="list" allowBlank="1" errorTitle="Invalid value" error="Please choose Cu or Al" promptTitle="Cable Type" prompt="Choose cable material" sqref="R4:R64 BH4:BH64 BB4:BB64 AV4:AV64 AP4:AP64 AJ4:AJ64 AD4:AD64 X4:X64" xr:uid="{00000000-0002-0000-0100-000000000000}">
      <formula1>"Cu,Al"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Q145"/>
  <sheetViews>
    <sheetView workbookViewId="0"/>
  </sheetViews>
  <sheetFormatPr defaultRowHeight="15" x14ac:dyDescent="0.25"/>
  <cols>
    <col min="1" max="1" width="12.85546875" customWidth="1"/>
    <col min="2" max="2" width="14.85546875" customWidth="1"/>
    <col min="3" max="3" width="9.85546875" customWidth="1"/>
    <col min="4" max="4" width="20.85546875" customWidth="1"/>
    <col min="5" max="5" width="8.85546875" customWidth="1"/>
    <col min="6" max="6" width="10.85546875" customWidth="1"/>
    <col min="7" max="7" width="5.85546875" customWidth="1"/>
    <col min="8" max="8" width="9.85546875" customWidth="1"/>
    <col min="9" max="9" width="10.85546875" customWidth="1"/>
    <col min="10" max="10" width="5.85546875" customWidth="1"/>
    <col min="11" max="11" width="7.85546875" customWidth="1"/>
    <col min="12" max="16" width="6.85546875" customWidth="1"/>
    <col min="17" max="17" width="8.85546875" customWidth="1"/>
    <col min="18" max="21" width="6.85546875" customWidth="1"/>
    <col min="22" max="22" width="8.85546875" customWidth="1"/>
    <col min="23" max="26" width="6.85546875" customWidth="1"/>
    <col min="27" max="27" width="8.85546875" customWidth="1"/>
    <col min="28" max="31" width="6.85546875" customWidth="1"/>
    <col min="32" max="32" width="8.85546875" customWidth="1"/>
    <col min="33" max="36" width="6.85546875" customWidth="1"/>
    <col min="37" max="37" width="8.85546875" customWidth="1"/>
    <col min="38" max="41" width="6.85546875" customWidth="1"/>
    <col min="42" max="42" width="8.85546875" customWidth="1"/>
    <col min="43" max="46" width="6.85546875" customWidth="1"/>
    <col min="47" max="47" width="8.85546875" customWidth="1"/>
    <col min="48" max="51" width="6.85546875" customWidth="1"/>
    <col min="52" max="52" width="8.85546875" customWidth="1"/>
    <col min="53" max="56" width="6.85546875" customWidth="1"/>
    <col min="57" max="57" width="8.85546875" customWidth="1"/>
    <col min="58" max="61" width="6.85546875" customWidth="1"/>
    <col min="62" max="62" width="8.85546875" customWidth="1"/>
    <col min="63" max="66" width="6.85546875" customWidth="1"/>
    <col min="67" max="67" width="8.85546875" customWidth="1"/>
    <col min="68" max="71" width="6.85546875" customWidth="1"/>
    <col min="72" max="72" width="8.85546875" customWidth="1"/>
    <col min="73" max="76" width="6.85546875" customWidth="1"/>
    <col min="77" max="77" width="8.85546875" customWidth="1"/>
    <col min="78" max="81" width="6.85546875" customWidth="1"/>
    <col min="82" max="82" width="8.85546875" customWidth="1"/>
    <col min="83" max="86" width="6.85546875" customWidth="1"/>
    <col min="87" max="87" width="8.85546875" customWidth="1"/>
    <col min="88" max="91" width="6.85546875" customWidth="1"/>
    <col min="92" max="92" width="8.85546875" customWidth="1"/>
    <col min="93" max="100" width="6.85546875" customWidth="1"/>
    <col min="101" max="102" width="7.85546875" customWidth="1"/>
    <col min="103" max="103" width="9.85546875" customWidth="1"/>
    <col min="104" max="105" width="24.85546875" customWidth="1"/>
  </cols>
  <sheetData>
    <row r="1" spans="1:121" ht="19.5" customHeight="1" x14ac:dyDescent="0.25">
      <c r="A1" s="21" t="s">
        <v>0</v>
      </c>
      <c r="B1" s="21" t="s">
        <v>1</v>
      </c>
      <c r="C1" s="21" t="s">
        <v>2</v>
      </c>
      <c r="D1" s="38" t="s">
        <v>3</v>
      </c>
      <c r="E1" s="21" t="s">
        <v>4</v>
      </c>
      <c r="F1" s="40" t="s">
        <v>5</v>
      </c>
      <c r="G1" s="21" t="s">
        <v>6</v>
      </c>
      <c r="H1" s="21" t="s">
        <v>7</v>
      </c>
      <c r="I1" s="21" t="s">
        <v>8</v>
      </c>
      <c r="J1" s="41" t="s">
        <v>9</v>
      </c>
      <c r="K1" s="18" t="s">
        <v>10</v>
      </c>
      <c r="L1" s="19"/>
      <c r="M1" s="19"/>
      <c r="N1" s="19"/>
      <c r="O1" s="19"/>
      <c r="P1" s="20"/>
      <c r="Q1" s="29" t="s">
        <v>11</v>
      </c>
      <c r="R1" s="30"/>
      <c r="S1" s="30"/>
      <c r="T1" s="30"/>
      <c r="U1" s="30"/>
      <c r="V1" s="31"/>
      <c r="W1" s="29" t="s">
        <v>12</v>
      </c>
      <c r="X1" s="30"/>
      <c r="Y1" s="30"/>
      <c r="Z1" s="30"/>
      <c r="AA1" s="30"/>
      <c r="AB1" s="31"/>
      <c r="AC1" s="29" t="s">
        <v>13</v>
      </c>
      <c r="AD1" s="30"/>
      <c r="AE1" s="30"/>
      <c r="AF1" s="30"/>
      <c r="AG1" s="30"/>
      <c r="AH1" s="31"/>
      <c r="AI1" s="29" t="s">
        <v>14</v>
      </c>
      <c r="AJ1" s="30"/>
      <c r="AK1" s="30"/>
      <c r="AL1" s="30"/>
      <c r="AM1" s="30"/>
      <c r="AN1" s="31"/>
      <c r="AO1" s="29" t="s">
        <v>15</v>
      </c>
      <c r="AP1" s="30"/>
      <c r="AQ1" s="30"/>
      <c r="AR1" s="30"/>
      <c r="AS1" s="30"/>
      <c r="AT1" s="31"/>
      <c r="AU1" s="29" t="s">
        <v>16</v>
      </c>
      <c r="AV1" s="30"/>
      <c r="AW1" s="30"/>
      <c r="AX1" s="30"/>
      <c r="AY1" s="30"/>
      <c r="AZ1" s="31"/>
      <c r="BA1" s="29" t="s">
        <v>17</v>
      </c>
      <c r="BB1" s="30"/>
      <c r="BC1" s="30"/>
      <c r="BD1" s="30"/>
      <c r="BE1" s="30"/>
      <c r="BF1" s="31"/>
      <c r="BG1" s="29" t="s">
        <v>18</v>
      </c>
      <c r="BH1" s="30"/>
      <c r="BI1" s="30"/>
      <c r="BJ1" s="30"/>
      <c r="BK1" s="30"/>
      <c r="BL1" s="31"/>
      <c r="BM1" s="29" t="s">
        <v>377</v>
      </c>
      <c r="BN1" s="30"/>
      <c r="BO1" s="30"/>
      <c r="BP1" s="30"/>
      <c r="BQ1" s="30"/>
      <c r="BR1" s="31"/>
      <c r="BS1" s="29" t="s">
        <v>378</v>
      </c>
      <c r="BT1" s="30"/>
      <c r="BU1" s="30"/>
      <c r="BV1" s="30"/>
      <c r="BW1" s="30"/>
      <c r="BX1" s="31"/>
      <c r="BY1" s="29" t="s">
        <v>379</v>
      </c>
      <c r="BZ1" s="30"/>
      <c r="CA1" s="30"/>
      <c r="CB1" s="30"/>
      <c r="CC1" s="30"/>
      <c r="CD1" s="31"/>
      <c r="CE1" s="29" t="s">
        <v>380</v>
      </c>
      <c r="CF1" s="30"/>
      <c r="CG1" s="30"/>
      <c r="CH1" s="30"/>
      <c r="CI1" s="30"/>
      <c r="CJ1" s="31"/>
      <c r="CK1" s="29" t="s">
        <v>381</v>
      </c>
      <c r="CL1" s="30"/>
      <c r="CM1" s="30"/>
      <c r="CN1" s="30"/>
      <c r="CO1" s="30"/>
      <c r="CP1" s="31"/>
      <c r="CQ1" s="29" t="s">
        <v>382</v>
      </c>
      <c r="CR1" s="30"/>
      <c r="CS1" s="30"/>
      <c r="CT1" s="30"/>
      <c r="CU1" s="30"/>
      <c r="CV1" s="31"/>
      <c r="CW1" s="29" t="s">
        <v>383</v>
      </c>
      <c r="CX1" s="30"/>
      <c r="CY1" s="30"/>
      <c r="CZ1" s="30"/>
      <c r="DA1" s="30"/>
      <c r="DB1" s="31"/>
      <c r="DC1" s="29" t="s">
        <v>384</v>
      </c>
      <c r="DD1" s="30"/>
      <c r="DE1" s="30"/>
      <c r="DF1" s="30"/>
      <c r="DG1" s="30"/>
      <c r="DH1" s="31"/>
      <c r="DI1" s="37" t="s">
        <v>19</v>
      </c>
      <c r="DJ1" s="19"/>
      <c r="DK1" s="19"/>
      <c r="DL1" s="20"/>
      <c r="DM1" s="18" t="s">
        <v>20</v>
      </c>
      <c r="DN1" s="18" t="s">
        <v>21</v>
      </c>
      <c r="DO1" s="39" t="s">
        <v>22</v>
      </c>
      <c r="DP1" s="26" t="s">
        <v>23</v>
      </c>
      <c r="DQ1" s="26" t="s">
        <v>24</v>
      </c>
    </row>
    <row r="2" spans="1:121" ht="19.5" customHeight="1" x14ac:dyDescent="0.25">
      <c r="A2" s="22"/>
      <c r="B2" s="22"/>
      <c r="C2" s="22"/>
      <c r="D2" s="23"/>
      <c r="E2" s="22"/>
      <c r="F2" s="22"/>
      <c r="G2" s="22"/>
      <c r="H2" s="22"/>
      <c r="I2" s="22"/>
      <c r="J2" s="22"/>
      <c r="K2" s="18" t="s">
        <v>25</v>
      </c>
      <c r="L2" s="19"/>
      <c r="M2" s="20"/>
      <c r="N2" s="18" t="s">
        <v>26</v>
      </c>
      <c r="O2" s="19"/>
      <c r="P2" s="20"/>
      <c r="Q2" s="27" t="s">
        <v>27</v>
      </c>
      <c r="R2" s="34" t="s">
        <v>5</v>
      </c>
      <c r="S2" s="36" t="s">
        <v>28</v>
      </c>
      <c r="T2" s="35" t="s">
        <v>29</v>
      </c>
      <c r="U2" s="24" t="s">
        <v>30</v>
      </c>
      <c r="V2" s="32" t="s">
        <v>31</v>
      </c>
      <c r="W2" s="27" t="s">
        <v>27</v>
      </c>
      <c r="X2" s="34" t="s">
        <v>5</v>
      </c>
      <c r="Y2" s="36" t="s">
        <v>28</v>
      </c>
      <c r="Z2" s="35" t="s">
        <v>29</v>
      </c>
      <c r="AA2" s="24" t="s">
        <v>30</v>
      </c>
      <c r="AB2" s="32" t="s">
        <v>31</v>
      </c>
      <c r="AC2" s="27" t="s">
        <v>27</v>
      </c>
      <c r="AD2" s="34" t="s">
        <v>5</v>
      </c>
      <c r="AE2" s="36" t="s">
        <v>28</v>
      </c>
      <c r="AF2" s="35" t="s">
        <v>29</v>
      </c>
      <c r="AG2" s="24" t="s">
        <v>30</v>
      </c>
      <c r="AH2" s="32" t="s">
        <v>31</v>
      </c>
      <c r="AI2" s="27" t="s">
        <v>27</v>
      </c>
      <c r="AJ2" s="34" t="s">
        <v>5</v>
      </c>
      <c r="AK2" s="36" t="s">
        <v>28</v>
      </c>
      <c r="AL2" s="35" t="s">
        <v>29</v>
      </c>
      <c r="AM2" s="24" t="s">
        <v>30</v>
      </c>
      <c r="AN2" s="32" t="s">
        <v>31</v>
      </c>
      <c r="AO2" s="27" t="s">
        <v>27</v>
      </c>
      <c r="AP2" s="34" t="s">
        <v>5</v>
      </c>
      <c r="AQ2" s="36" t="s">
        <v>28</v>
      </c>
      <c r="AR2" s="35" t="s">
        <v>29</v>
      </c>
      <c r="AS2" s="24" t="s">
        <v>30</v>
      </c>
      <c r="AT2" s="32" t="s">
        <v>31</v>
      </c>
      <c r="AU2" s="27" t="s">
        <v>27</v>
      </c>
      <c r="AV2" s="34" t="s">
        <v>5</v>
      </c>
      <c r="AW2" s="36" t="s">
        <v>28</v>
      </c>
      <c r="AX2" s="35" t="s">
        <v>29</v>
      </c>
      <c r="AY2" s="24" t="s">
        <v>30</v>
      </c>
      <c r="AZ2" s="32" t="s">
        <v>31</v>
      </c>
      <c r="BA2" s="27" t="s">
        <v>27</v>
      </c>
      <c r="BB2" s="34" t="s">
        <v>5</v>
      </c>
      <c r="BC2" s="36" t="s">
        <v>28</v>
      </c>
      <c r="BD2" s="35" t="s">
        <v>29</v>
      </c>
      <c r="BE2" s="24" t="s">
        <v>30</v>
      </c>
      <c r="BF2" s="32" t="s">
        <v>31</v>
      </c>
      <c r="BG2" s="27" t="s">
        <v>27</v>
      </c>
      <c r="BH2" s="34" t="s">
        <v>5</v>
      </c>
      <c r="BI2" s="36" t="s">
        <v>28</v>
      </c>
      <c r="BJ2" s="35" t="s">
        <v>29</v>
      </c>
      <c r="BK2" s="24" t="s">
        <v>30</v>
      </c>
      <c r="BL2" s="32" t="s">
        <v>31</v>
      </c>
      <c r="BM2" s="27" t="s">
        <v>27</v>
      </c>
      <c r="BN2" s="34" t="s">
        <v>5</v>
      </c>
      <c r="BO2" s="36" t="s">
        <v>28</v>
      </c>
      <c r="BP2" s="35" t="s">
        <v>29</v>
      </c>
      <c r="BQ2" s="24" t="s">
        <v>30</v>
      </c>
      <c r="BR2" s="32" t="s">
        <v>31</v>
      </c>
      <c r="BS2" s="27" t="s">
        <v>27</v>
      </c>
      <c r="BT2" s="34" t="s">
        <v>5</v>
      </c>
      <c r="BU2" s="36" t="s">
        <v>28</v>
      </c>
      <c r="BV2" s="35" t="s">
        <v>29</v>
      </c>
      <c r="BW2" s="24" t="s">
        <v>30</v>
      </c>
      <c r="BX2" s="32" t="s">
        <v>31</v>
      </c>
      <c r="BY2" s="27" t="s">
        <v>27</v>
      </c>
      <c r="BZ2" s="34" t="s">
        <v>5</v>
      </c>
      <c r="CA2" s="36" t="s">
        <v>28</v>
      </c>
      <c r="CB2" s="35" t="s">
        <v>29</v>
      </c>
      <c r="CC2" s="24" t="s">
        <v>30</v>
      </c>
      <c r="CD2" s="32" t="s">
        <v>31</v>
      </c>
      <c r="CE2" s="27" t="s">
        <v>27</v>
      </c>
      <c r="CF2" s="34" t="s">
        <v>5</v>
      </c>
      <c r="CG2" s="36" t="s">
        <v>28</v>
      </c>
      <c r="CH2" s="35" t="s">
        <v>29</v>
      </c>
      <c r="CI2" s="24" t="s">
        <v>30</v>
      </c>
      <c r="CJ2" s="32" t="s">
        <v>31</v>
      </c>
      <c r="CK2" s="27" t="s">
        <v>27</v>
      </c>
      <c r="CL2" s="34" t="s">
        <v>5</v>
      </c>
      <c r="CM2" s="36" t="s">
        <v>28</v>
      </c>
      <c r="CN2" s="35" t="s">
        <v>29</v>
      </c>
      <c r="CO2" s="24" t="s">
        <v>30</v>
      </c>
      <c r="CP2" s="32" t="s">
        <v>31</v>
      </c>
      <c r="CQ2" s="27" t="s">
        <v>27</v>
      </c>
      <c r="CR2" s="34" t="s">
        <v>5</v>
      </c>
      <c r="CS2" s="36" t="s">
        <v>28</v>
      </c>
      <c r="CT2" s="35" t="s">
        <v>29</v>
      </c>
      <c r="CU2" s="24" t="s">
        <v>30</v>
      </c>
      <c r="CV2" s="32" t="s">
        <v>31</v>
      </c>
      <c r="CW2" s="27" t="s">
        <v>27</v>
      </c>
      <c r="CX2" s="34" t="s">
        <v>5</v>
      </c>
      <c r="CY2" s="36" t="s">
        <v>28</v>
      </c>
      <c r="CZ2" s="35" t="s">
        <v>29</v>
      </c>
      <c r="DA2" s="24" t="s">
        <v>30</v>
      </c>
      <c r="DB2" s="32" t="s">
        <v>31</v>
      </c>
      <c r="DC2" s="27" t="s">
        <v>27</v>
      </c>
      <c r="DD2" s="34" t="s">
        <v>5</v>
      </c>
      <c r="DE2" s="36" t="s">
        <v>28</v>
      </c>
      <c r="DF2" s="35" t="s">
        <v>29</v>
      </c>
      <c r="DG2" s="24" t="s">
        <v>30</v>
      </c>
      <c r="DH2" s="32" t="s">
        <v>31</v>
      </c>
      <c r="DI2" s="37" t="s">
        <v>28</v>
      </c>
      <c r="DJ2" s="37" t="s">
        <v>29</v>
      </c>
      <c r="DK2" s="37" t="s">
        <v>30</v>
      </c>
      <c r="DL2" s="37" t="s">
        <v>31</v>
      </c>
      <c r="DM2" s="22"/>
      <c r="DN2" s="22"/>
      <c r="DO2" s="22"/>
      <c r="DP2" s="22"/>
      <c r="DQ2" s="22"/>
    </row>
    <row r="3" spans="1:121" ht="19.5" customHeight="1" x14ac:dyDescent="0.25">
      <c r="A3" s="23"/>
      <c r="B3" s="23"/>
      <c r="C3" s="23"/>
      <c r="D3" s="1"/>
      <c r="E3" s="23"/>
      <c r="F3" s="23"/>
      <c r="G3" s="23"/>
      <c r="H3" s="23"/>
      <c r="I3" s="23"/>
      <c r="J3" s="23"/>
      <c r="K3" s="2" t="s">
        <v>32</v>
      </c>
      <c r="L3" s="3" t="s">
        <v>33</v>
      </c>
      <c r="M3" s="4" t="s">
        <v>34</v>
      </c>
      <c r="N3" s="5" t="s">
        <v>35</v>
      </c>
      <c r="O3" s="6" t="s">
        <v>36</v>
      </c>
      <c r="P3" s="7" t="s">
        <v>37</v>
      </c>
      <c r="Q3" s="28"/>
      <c r="R3" s="25"/>
      <c r="S3" s="25"/>
      <c r="T3" s="25"/>
      <c r="U3" s="25"/>
      <c r="V3" s="33"/>
      <c r="W3" s="28"/>
      <c r="X3" s="25"/>
      <c r="Y3" s="25"/>
      <c r="Z3" s="25"/>
      <c r="AA3" s="25"/>
      <c r="AB3" s="33"/>
      <c r="AC3" s="28"/>
      <c r="AD3" s="25"/>
      <c r="AE3" s="25"/>
      <c r="AF3" s="25"/>
      <c r="AG3" s="25"/>
      <c r="AH3" s="33"/>
      <c r="AI3" s="28"/>
      <c r="AJ3" s="25"/>
      <c r="AK3" s="25"/>
      <c r="AL3" s="25"/>
      <c r="AM3" s="25"/>
      <c r="AN3" s="33"/>
      <c r="AO3" s="28"/>
      <c r="AP3" s="25"/>
      <c r="AQ3" s="25"/>
      <c r="AR3" s="25"/>
      <c r="AS3" s="25"/>
      <c r="AT3" s="33"/>
      <c r="AU3" s="28"/>
      <c r="AV3" s="25"/>
      <c r="AW3" s="25"/>
      <c r="AX3" s="25"/>
      <c r="AY3" s="25"/>
      <c r="AZ3" s="33"/>
      <c r="BA3" s="28"/>
      <c r="BB3" s="25"/>
      <c r="BC3" s="25"/>
      <c r="BD3" s="25"/>
      <c r="BE3" s="25"/>
      <c r="BF3" s="33"/>
      <c r="BG3" s="28"/>
      <c r="BH3" s="25"/>
      <c r="BI3" s="25"/>
      <c r="BJ3" s="25"/>
      <c r="BK3" s="25"/>
      <c r="BL3" s="33"/>
      <c r="BM3" s="28"/>
      <c r="BN3" s="25"/>
      <c r="BO3" s="25"/>
      <c r="BP3" s="25"/>
      <c r="BQ3" s="25"/>
      <c r="BR3" s="33"/>
      <c r="BS3" s="28"/>
      <c r="BT3" s="25"/>
      <c r="BU3" s="25"/>
      <c r="BV3" s="25"/>
      <c r="BW3" s="25"/>
      <c r="BX3" s="33"/>
      <c r="BY3" s="28"/>
      <c r="BZ3" s="25"/>
      <c r="CA3" s="25"/>
      <c r="CB3" s="25"/>
      <c r="CC3" s="25"/>
      <c r="CD3" s="33"/>
      <c r="CE3" s="28"/>
      <c r="CF3" s="25"/>
      <c r="CG3" s="25"/>
      <c r="CH3" s="25"/>
      <c r="CI3" s="25"/>
      <c r="CJ3" s="33"/>
      <c r="CK3" s="28"/>
      <c r="CL3" s="25"/>
      <c r="CM3" s="25"/>
      <c r="CN3" s="25"/>
      <c r="CO3" s="25"/>
      <c r="CP3" s="33"/>
      <c r="CQ3" s="28"/>
      <c r="CR3" s="25"/>
      <c r="CS3" s="25"/>
      <c r="CT3" s="25"/>
      <c r="CU3" s="25"/>
      <c r="CV3" s="33"/>
      <c r="CW3" s="28"/>
      <c r="CX3" s="25"/>
      <c r="CY3" s="25"/>
      <c r="CZ3" s="25"/>
      <c r="DA3" s="25"/>
      <c r="DB3" s="33"/>
      <c r="DC3" s="28"/>
      <c r="DD3" s="25"/>
      <c r="DE3" s="25"/>
      <c r="DF3" s="25"/>
      <c r="DG3" s="25"/>
      <c r="DH3" s="33"/>
      <c r="DI3" s="23"/>
      <c r="DJ3" s="23"/>
      <c r="DK3" s="23"/>
      <c r="DL3" s="23"/>
      <c r="DM3" s="23"/>
      <c r="DN3" s="23"/>
      <c r="DO3" s="23"/>
      <c r="DP3" s="23"/>
      <c r="DQ3" s="23"/>
    </row>
    <row r="4" spans="1:121" ht="15.75" customHeight="1" x14ac:dyDescent="0.25">
      <c r="A4" s="8" t="s">
        <v>38</v>
      </c>
      <c r="B4" s="8" t="s">
        <v>385</v>
      </c>
      <c r="C4" s="8" t="s">
        <v>124</v>
      </c>
      <c r="D4" s="8" t="s">
        <v>386</v>
      </c>
      <c r="E4" s="8" t="s">
        <v>387</v>
      </c>
      <c r="F4" s="8" t="s">
        <v>43</v>
      </c>
      <c r="G4" s="8" t="s">
        <v>44</v>
      </c>
      <c r="H4" s="8">
        <v>315</v>
      </c>
      <c r="I4" s="8" t="s">
        <v>388</v>
      </c>
      <c r="J4" s="8">
        <v>1</v>
      </c>
      <c r="K4" s="8">
        <v>251</v>
      </c>
      <c r="L4" s="8">
        <v>248</v>
      </c>
      <c r="M4" s="8">
        <v>247</v>
      </c>
      <c r="N4" s="8">
        <v>433</v>
      </c>
      <c r="O4" s="8">
        <v>432</v>
      </c>
      <c r="P4" s="8">
        <v>429</v>
      </c>
      <c r="Q4" s="9" t="s">
        <v>47</v>
      </c>
      <c r="R4" s="16"/>
      <c r="S4" s="10">
        <v>39</v>
      </c>
      <c r="T4" s="10">
        <v>22</v>
      </c>
      <c r="U4" s="10">
        <v>23</v>
      </c>
      <c r="V4" s="11">
        <v>10</v>
      </c>
      <c r="W4" s="12" t="s">
        <v>47</v>
      </c>
      <c r="X4" s="17"/>
      <c r="Y4" s="13">
        <v>18</v>
      </c>
      <c r="Z4" s="13">
        <v>11</v>
      </c>
      <c r="AA4" s="13">
        <v>9</v>
      </c>
      <c r="AB4" s="14">
        <v>4</v>
      </c>
      <c r="AC4" s="9"/>
      <c r="AD4" s="16"/>
      <c r="AE4" s="10"/>
      <c r="AF4" s="10"/>
      <c r="AG4" s="10"/>
      <c r="AH4" s="11"/>
      <c r="AI4" s="12"/>
      <c r="AJ4" s="17"/>
      <c r="AK4" s="13"/>
      <c r="AL4" s="13"/>
      <c r="AM4" s="13"/>
      <c r="AN4" s="14"/>
      <c r="AO4" s="9"/>
      <c r="AP4" s="16"/>
      <c r="AQ4" s="10"/>
      <c r="AR4" s="10"/>
      <c r="AS4" s="10"/>
      <c r="AT4" s="11"/>
      <c r="AU4" s="12"/>
      <c r="AV4" s="17"/>
      <c r="AW4" s="13"/>
      <c r="AX4" s="13"/>
      <c r="AY4" s="13"/>
      <c r="AZ4" s="14"/>
      <c r="BA4" s="9"/>
      <c r="BB4" s="16"/>
      <c r="BC4" s="10"/>
      <c r="BD4" s="10"/>
      <c r="BE4" s="10"/>
      <c r="BF4" s="11"/>
      <c r="BG4" s="12"/>
      <c r="BH4" s="17"/>
      <c r="BI4" s="13"/>
      <c r="BJ4" s="13"/>
      <c r="BK4" s="13"/>
      <c r="BL4" s="14"/>
      <c r="BM4" s="9"/>
      <c r="BN4" s="16"/>
      <c r="BO4" s="10"/>
      <c r="BP4" s="10"/>
      <c r="BQ4" s="10"/>
      <c r="BR4" s="11"/>
      <c r="BS4" s="12"/>
      <c r="BT4" s="17"/>
      <c r="BU4" s="13"/>
      <c r="BV4" s="13"/>
      <c r="BW4" s="13"/>
      <c r="BX4" s="14"/>
      <c r="BY4" s="9"/>
      <c r="BZ4" s="16"/>
      <c r="CA4" s="10"/>
      <c r="CB4" s="10"/>
      <c r="CC4" s="10"/>
      <c r="CD4" s="11"/>
      <c r="CE4" s="12"/>
      <c r="CF4" s="17"/>
      <c r="CG4" s="13"/>
      <c r="CH4" s="13"/>
      <c r="CI4" s="13"/>
      <c r="CJ4" s="14"/>
      <c r="CK4" s="9"/>
      <c r="CL4" s="16"/>
      <c r="CM4" s="10"/>
      <c r="CN4" s="10"/>
      <c r="CO4" s="10"/>
      <c r="CP4" s="11"/>
      <c r="CQ4" s="12"/>
      <c r="CR4" s="17"/>
      <c r="CS4" s="13"/>
      <c r="CT4" s="13"/>
      <c r="CU4" s="13"/>
      <c r="CV4" s="14"/>
      <c r="CW4" s="9"/>
      <c r="CX4" s="16"/>
      <c r="CY4" s="10"/>
      <c r="CZ4" s="10"/>
      <c r="DA4" s="10"/>
      <c r="DB4" s="11"/>
      <c r="DC4" s="12"/>
      <c r="DD4" s="17"/>
      <c r="DE4" s="13"/>
      <c r="DF4" s="13"/>
      <c r="DG4" s="13"/>
      <c r="DH4" s="14"/>
      <c r="DI4" s="8">
        <f t="shared" ref="DI4:DI35" si="0">SUM(S4,Y4,AE4,AK4,AQ4,AW4,BC4,BI4,BO4,BU4,CA4,CG4,CM4,CS4,CY4,DE4)</f>
        <v>57</v>
      </c>
      <c r="DJ4" s="8">
        <f t="shared" ref="DJ4:DJ35" si="1">SUM(T4,Z4,AF4,AL4,AR4,AX4,BD4,BJ4,BP4,BV4,CB4,CH4,CN4,CT4,CZ4,DF4)</f>
        <v>33</v>
      </c>
      <c r="DK4" s="8">
        <f t="shared" ref="DK4:DK35" si="2">SUM(U4,AA4,AG4,AM4,AS4,AY4,BE4,BK4,BQ4,BW4,CC4,CI4,CO4,CU4,DA4,DG4)</f>
        <v>32</v>
      </c>
      <c r="DL4" s="8">
        <f t="shared" ref="DL4:DL35" si="3">SUM(V4,AB4,AH4,AN4,AT4,AZ4,BF4,BL4,BR4,BX4,CD4,CJ4,CP4,CV4,DB4,DH4)</f>
        <v>14</v>
      </c>
      <c r="DM4" s="8">
        <f t="shared" ref="DM4:DM35" si="4">MAX(DI4:DK4)</f>
        <v>57</v>
      </c>
      <c r="DN4" s="8">
        <f t="shared" ref="DN4:DN35" si="5">MIN(DI4:DK4)</f>
        <v>32</v>
      </c>
      <c r="DO4" s="15">
        <f t="shared" ref="DO4:DO35" si="6">IF(H4&gt;0,(DM4*SQRT(3)*IF(N4&gt;0,N4,IF(O4&gt;0,O4,IF(P4&gt;0,P4,415)))/(H4*1000))*100,0)</f>
        <v>13.571030470351571</v>
      </c>
      <c r="DP4" s="15" t="str">
        <f t="shared" ref="DP4:DP35" si="7">IF(DO4&gt;70,"Upgrade","OK - No Upgrade")</f>
        <v>OK - No Upgrade</v>
      </c>
      <c r="DQ4" s="15" t="str">
        <f t="shared" ref="DQ4:DQ35" si="8">IF(IF(AVERAGE(DI4:DK4)&gt;0,((DM4-AVERAGE(DI4:DK4))/AVERAGE(DI4:DK4))*100,0)&gt;10,"Need to Balance","OK - Balanced")</f>
        <v>Need to Balance</v>
      </c>
    </row>
    <row r="5" spans="1:121" ht="15.75" customHeight="1" x14ac:dyDescent="0.25">
      <c r="A5" s="8" t="s">
        <v>38</v>
      </c>
      <c r="B5" s="8" t="s">
        <v>385</v>
      </c>
      <c r="C5" s="8" t="s">
        <v>389</v>
      </c>
      <c r="D5" s="8" t="s">
        <v>390</v>
      </c>
      <c r="E5" s="8" t="s">
        <v>391</v>
      </c>
      <c r="F5" s="8" t="s">
        <v>56</v>
      </c>
      <c r="G5" s="8" t="s">
        <v>44</v>
      </c>
      <c r="H5" s="8">
        <v>1000</v>
      </c>
      <c r="I5" s="8" t="s">
        <v>392</v>
      </c>
      <c r="J5" s="8">
        <v>1</v>
      </c>
      <c r="K5" s="8">
        <v>240</v>
      </c>
      <c r="L5" s="8">
        <v>240</v>
      </c>
      <c r="M5" s="8">
        <v>243</v>
      </c>
      <c r="N5" s="8">
        <v>414</v>
      </c>
      <c r="O5" s="8">
        <v>420</v>
      </c>
      <c r="P5" s="8">
        <v>418</v>
      </c>
      <c r="Q5" s="9"/>
      <c r="R5" s="16"/>
      <c r="S5" s="10"/>
      <c r="T5" s="10"/>
      <c r="U5" s="10"/>
      <c r="V5" s="11"/>
      <c r="W5" s="12" t="s">
        <v>47</v>
      </c>
      <c r="X5" s="17"/>
      <c r="Y5" s="13">
        <v>62</v>
      </c>
      <c r="Z5" s="13">
        <v>109</v>
      </c>
      <c r="AA5" s="13">
        <v>101</v>
      </c>
      <c r="AB5" s="14">
        <v>30</v>
      </c>
      <c r="AC5" s="9" t="s">
        <v>47</v>
      </c>
      <c r="AD5" s="16"/>
      <c r="AE5" s="10">
        <v>101</v>
      </c>
      <c r="AF5" s="10">
        <v>45</v>
      </c>
      <c r="AG5" s="10">
        <v>83</v>
      </c>
      <c r="AH5" s="11">
        <v>48</v>
      </c>
      <c r="AI5" s="12" t="s">
        <v>47</v>
      </c>
      <c r="AJ5" s="17"/>
      <c r="AK5" s="13">
        <v>27</v>
      </c>
      <c r="AL5" s="13">
        <v>8</v>
      </c>
      <c r="AM5" s="13">
        <v>3</v>
      </c>
      <c r="AN5" s="14">
        <v>16</v>
      </c>
      <c r="AO5" s="9" t="s">
        <v>47</v>
      </c>
      <c r="AP5" s="16"/>
      <c r="AQ5" s="10">
        <v>88</v>
      </c>
      <c r="AR5" s="10">
        <v>100</v>
      </c>
      <c r="AS5" s="10">
        <v>47</v>
      </c>
      <c r="AT5" s="11">
        <v>23</v>
      </c>
      <c r="AU5" s="12"/>
      <c r="AV5" s="17"/>
      <c r="AW5" s="13"/>
      <c r="AX5" s="13"/>
      <c r="AY5" s="13"/>
      <c r="AZ5" s="14"/>
      <c r="BA5" s="9"/>
      <c r="BB5" s="16"/>
      <c r="BC5" s="10"/>
      <c r="BD5" s="10"/>
      <c r="BE5" s="10"/>
      <c r="BF5" s="11"/>
      <c r="BG5" s="12"/>
      <c r="BH5" s="17"/>
      <c r="BI5" s="13"/>
      <c r="BJ5" s="13"/>
      <c r="BK5" s="13"/>
      <c r="BL5" s="14"/>
      <c r="BM5" s="9"/>
      <c r="BN5" s="16"/>
      <c r="BO5" s="10"/>
      <c r="BP5" s="10"/>
      <c r="BQ5" s="10"/>
      <c r="BR5" s="11"/>
      <c r="BS5" s="12"/>
      <c r="BT5" s="17"/>
      <c r="BU5" s="13"/>
      <c r="BV5" s="13"/>
      <c r="BW5" s="13"/>
      <c r="BX5" s="14"/>
      <c r="BY5" s="9"/>
      <c r="BZ5" s="16"/>
      <c r="CA5" s="10"/>
      <c r="CB5" s="10"/>
      <c r="CC5" s="10"/>
      <c r="CD5" s="11"/>
      <c r="CE5" s="12"/>
      <c r="CF5" s="17"/>
      <c r="CG5" s="13"/>
      <c r="CH5" s="13"/>
      <c r="CI5" s="13"/>
      <c r="CJ5" s="14"/>
      <c r="CK5" s="9"/>
      <c r="CL5" s="16"/>
      <c r="CM5" s="10"/>
      <c r="CN5" s="10"/>
      <c r="CO5" s="10"/>
      <c r="CP5" s="11"/>
      <c r="CQ5" s="12"/>
      <c r="CR5" s="17"/>
      <c r="CS5" s="13"/>
      <c r="CT5" s="13"/>
      <c r="CU5" s="13"/>
      <c r="CV5" s="14"/>
      <c r="CW5" s="9"/>
      <c r="CX5" s="16"/>
      <c r="CY5" s="10"/>
      <c r="CZ5" s="10"/>
      <c r="DA5" s="10"/>
      <c r="DB5" s="11"/>
      <c r="DC5" s="12"/>
      <c r="DD5" s="17"/>
      <c r="DE5" s="13"/>
      <c r="DF5" s="13"/>
      <c r="DG5" s="13"/>
      <c r="DH5" s="14"/>
      <c r="DI5" s="8">
        <f t="shared" si="0"/>
        <v>278</v>
      </c>
      <c r="DJ5" s="8">
        <f t="shared" si="1"/>
        <v>262</v>
      </c>
      <c r="DK5" s="8">
        <f t="shared" si="2"/>
        <v>234</v>
      </c>
      <c r="DL5" s="8">
        <f t="shared" si="3"/>
        <v>117</v>
      </c>
      <c r="DM5" s="8">
        <f t="shared" si="4"/>
        <v>278</v>
      </c>
      <c r="DN5" s="8">
        <f t="shared" si="5"/>
        <v>234</v>
      </c>
      <c r="DO5" s="15">
        <f t="shared" si="6"/>
        <v>19.934519154471726</v>
      </c>
      <c r="DP5" s="15" t="str">
        <f t="shared" si="7"/>
        <v>OK - No Upgrade</v>
      </c>
      <c r="DQ5" s="15" t="str">
        <f t="shared" si="8"/>
        <v>OK - Balanced</v>
      </c>
    </row>
    <row r="6" spans="1:121" ht="15.75" customHeight="1" x14ac:dyDescent="0.25">
      <c r="A6" s="8" t="s">
        <v>38</v>
      </c>
      <c r="B6" s="8" t="s">
        <v>385</v>
      </c>
      <c r="C6" s="8" t="s">
        <v>389</v>
      </c>
      <c r="D6" s="8" t="s">
        <v>390</v>
      </c>
      <c r="E6" s="8" t="s">
        <v>391</v>
      </c>
      <c r="F6" s="8" t="s">
        <v>56</v>
      </c>
      <c r="G6" s="8" t="s">
        <v>44</v>
      </c>
      <c r="H6" s="8">
        <v>1000</v>
      </c>
      <c r="I6" s="8" t="s">
        <v>393</v>
      </c>
      <c r="J6" s="8">
        <v>2</v>
      </c>
      <c r="K6" s="8">
        <v>248</v>
      </c>
      <c r="L6" s="8">
        <v>247</v>
      </c>
      <c r="M6" s="8">
        <v>249</v>
      </c>
      <c r="N6" s="8">
        <v>428</v>
      </c>
      <c r="O6" s="8">
        <v>433</v>
      </c>
      <c r="P6" s="8">
        <v>430</v>
      </c>
      <c r="Q6" s="9" t="s">
        <v>47</v>
      </c>
      <c r="R6" s="16"/>
      <c r="S6" s="10">
        <v>113</v>
      </c>
      <c r="T6" s="10">
        <v>56</v>
      </c>
      <c r="U6" s="10">
        <v>54</v>
      </c>
      <c r="V6" s="11">
        <v>44</v>
      </c>
      <c r="W6" s="12" t="s">
        <v>47</v>
      </c>
      <c r="X6" s="17"/>
      <c r="Y6" s="13">
        <v>82</v>
      </c>
      <c r="Z6" s="13">
        <v>104</v>
      </c>
      <c r="AA6" s="13">
        <v>145</v>
      </c>
      <c r="AB6" s="14">
        <v>47</v>
      </c>
      <c r="AC6" s="9" t="s">
        <v>47</v>
      </c>
      <c r="AD6" s="16"/>
      <c r="AE6" s="10">
        <v>100</v>
      </c>
      <c r="AF6" s="10">
        <v>106</v>
      </c>
      <c r="AG6" s="10">
        <v>47</v>
      </c>
      <c r="AH6" s="11">
        <v>50</v>
      </c>
      <c r="AI6" s="12"/>
      <c r="AJ6" s="17"/>
      <c r="AK6" s="13"/>
      <c r="AL6" s="13"/>
      <c r="AM6" s="13"/>
      <c r="AN6" s="14"/>
      <c r="AO6" s="9" t="s">
        <v>47</v>
      </c>
      <c r="AP6" s="16"/>
      <c r="AQ6" s="10">
        <v>20</v>
      </c>
      <c r="AR6" s="10">
        <v>48</v>
      </c>
      <c r="AS6" s="10">
        <v>11</v>
      </c>
      <c r="AT6" s="11">
        <v>31</v>
      </c>
      <c r="AU6" s="12"/>
      <c r="AV6" s="17"/>
      <c r="AW6" s="13"/>
      <c r="AX6" s="13"/>
      <c r="AY6" s="13"/>
      <c r="AZ6" s="14"/>
      <c r="BA6" s="9"/>
      <c r="BB6" s="16"/>
      <c r="BC6" s="10"/>
      <c r="BD6" s="10"/>
      <c r="BE6" s="10"/>
      <c r="BF6" s="11"/>
      <c r="BG6" s="12"/>
      <c r="BH6" s="17"/>
      <c r="BI6" s="13"/>
      <c r="BJ6" s="13"/>
      <c r="BK6" s="13"/>
      <c r="BL6" s="14"/>
      <c r="BM6" s="9"/>
      <c r="BN6" s="16"/>
      <c r="BO6" s="10"/>
      <c r="BP6" s="10"/>
      <c r="BQ6" s="10"/>
      <c r="BR6" s="11"/>
      <c r="BS6" s="12"/>
      <c r="BT6" s="17"/>
      <c r="BU6" s="13"/>
      <c r="BV6" s="13"/>
      <c r="BW6" s="13"/>
      <c r="BX6" s="14"/>
      <c r="BY6" s="9"/>
      <c r="BZ6" s="16"/>
      <c r="CA6" s="10"/>
      <c r="CB6" s="10"/>
      <c r="CC6" s="10"/>
      <c r="CD6" s="11"/>
      <c r="CE6" s="12"/>
      <c r="CF6" s="17"/>
      <c r="CG6" s="13"/>
      <c r="CH6" s="13"/>
      <c r="CI6" s="13"/>
      <c r="CJ6" s="14"/>
      <c r="CK6" s="9"/>
      <c r="CL6" s="16"/>
      <c r="CM6" s="10"/>
      <c r="CN6" s="10"/>
      <c r="CO6" s="10"/>
      <c r="CP6" s="11"/>
      <c r="CQ6" s="12"/>
      <c r="CR6" s="17"/>
      <c r="CS6" s="13"/>
      <c r="CT6" s="13"/>
      <c r="CU6" s="13"/>
      <c r="CV6" s="14"/>
      <c r="CW6" s="9"/>
      <c r="CX6" s="16"/>
      <c r="CY6" s="10"/>
      <c r="CZ6" s="10"/>
      <c r="DA6" s="10"/>
      <c r="DB6" s="11"/>
      <c r="DC6" s="12"/>
      <c r="DD6" s="17"/>
      <c r="DE6" s="13"/>
      <c r="DF6" s="13"/>
      <c r="DG6" s="13"/>
      <c r="DH6" s="14"/>
      <c r="DI6" s="8">
        <f t="shared" si="0"/>
        <v>315</v>
      </c>
      <c r="DJ6" s="8">
        <f t="shared" si="1"/>
        <v>314</v>
      </c>
      <c r="DK6" s="8">
        <f t="shared" si="2"/>
        <v>257</v>
      </c>
      <c r="DL6" s="8">
        <f t="shared" si="3"/>
        <v>172</v>
      </c>
      <c r="DM6" s="8">
        <f t="shared" si="4"/>
        <v>315</v>
      </c>
      <c r="DN6" s="8">
        <f t="shared" si="5"/>
        <v>257</v>
      </c>
      <c r="DO6" s="15">
        <f t="shared" si="6"/>
        <v>23.351508987643605</v>
      </c>
      <c r="DP6" s="15" t="str">
        <f t="shared" si="7"/>
        <v>OK - No Upgrade</v>
      </c>
      <c r="DQ6" s="15" t="str">
        <f t="shared" si="8"/>
        <v>OK - Balanced</v>
      </c>
    </row>
    <row r="7" spans="1:121" ht="15.75" customHeight="1" x14ac:dyDescent="0.25">
      <c r="A7" s="8" t="s">
        <v>38</v>
      </c>
      <c r="B7" s="8" t="s">
        <v>385</v>
      </c>
      <c r="C7" s="8" t="s">
        <v>394</v>
      </c>
      <c r="D7" s="8" t="s">
        <v>395</v>
      </c>
      <c r="E7" s="8" t="s">
        <v>396</v>
      </c>
      <c r="F7" s="8" t="s">
        <v>43</v>
      </c>
      <c r="G7" s="8" t="s">
        <v>44</v>
      </c>
      <c r="H7" s="8">
        <v>315</v>
      </c>
      <c r="I7" s="8" t="s">
        <v>397</v>
      </c>
      <c r="J7" s="8">
        <v>1</v>
      </c>
      <c r="K7" s="8">
        <v>241</v>
      </c>
      <c r="L7" s="8">
        <v>241</v>
      </c>
      <c r="M7" s="8">
        <v>240</v>
      </c>
      <c r="N7" s="8">
        <v>419</v>
      </c>
      <c r="O7" s="8">
        <v>417</v>
      </c>
      <c r="P7" s="8">
        <v>416</v>
      </c>
      <c r="Q7" s="9" t="s">
        <v>46</v>
      </c>
      <c r="R7" s="16"/>
      <c r="S7" s="10">
        <v>187</v>
      </c>
      <c r="T7" s="10">
        <v>88</v>
      </c>
      <c r="U7" s="10">
        <v>78</v>
      </c>
      <c r="V7" s="11">
        <v>72</v>
      </c>
      <c r="W7" s="12" t="s">
        <v>47</v>
      </c>
      <c r="X7" s="17"/>
      <c r="Y7" s="13">
        <v>0</v>
      </c>
      <c r="Z7" s="13">
        <v>17</v>
      </c>
      <c r="AA7" s="13">
        <v>16</v>
      </c>
      <c r="AB7" s="14">
        <v>22</v>
      </c>
      <c r="AC7" s="9"/>
      <c r="AD7" s="16"/>
      <c r="AE7" s="10"/>
      <c r="AF7" s="10"/>
      <c r="AG7" s="10"/>
      <c r="AH7" s="11"/>
      <c r="AI7" s="12"/>
      <c r="AJ7" s="17"/>
      <c r="AK7" s="13"/>
      <c r="AL7" s="13"/>
      <c r="AM7" s="13"/>
      <c r="AN7" s="14"/>
      <c r="AO7" s="9"/>
      <c r="AP7" s="16"/>
      <c r="AQ7" s="10"/>
      <c r="AR7" s="10"/>
      <c r="AS7" s="10"/>
      <c r="AT7" s="11"/>
      <c r="AU7" s="12"/>
      <c r="AV7" s="17"/>
      <c r="AW7" s="13"/>
      <c r="AX7" s="13"/>
      <c r="AY7" s="13"/>
      <c r="AZ7" s="14"/>
      <c r="BA7" s="9"/>
      <c r="BB7" s="16"/>
      <c r="BC7" s="10"/>
      <c r="BD7" s="10"/>
      <c r="BE7" s="10"/>
      <c r="BF7" s="11"/>
      <c r="BG7" s="12"/>
      <c r="BH7" s="17"/>
      <c r="BI7" s="13"/>
      <c r="BJ7" s="13"/>
      <c r="BK7" s="13"/>
      <c r="BL7" s="14"/>
      <c r="BM7" s="9"/>
      <c r="BN7" s="16"/>
      <c r="BO7" s="10"/>
      <c r="BP7" s="10"/>
      <c r="BQ7" s="10"/>
      <c r="BR7" s="11"/>
      <c r="BS7" s="12"/>
      <c r="BT7" s="17"/>
      <c r="BU7" s="13"/>
      <c r="BV7" s="13"/>
      <c r="BW7" s="13"/>
      <c r="BX7" s="14"/>
      <c r="BY7" s="9"/>
      <c r="BZ7" s="16"/>
      <c r="CA7" s="10"/>
      <c r="CB7" s="10"/>
      <c r="CC7" s="10"/>
      <c r="CD7" s="11"/>
      <c r="CE7" s="12"/>
      <c r="CF7" s="17"/>
      <c r="CG7" s="13"/>
      <c r="CH7" s="13"/>
      <c r="CI7" s="13"/>
      <c r="CJ7" s="14"/>
      <c r="CK7" s="9"/>
      <c r="CL7" s="16"/>
      <c r="CM7" s="10"/>
      <c r="CN7" s="10"/>
      <c r="CO7" s="10"/>
      <c r="CP7" s="11"/>
      <c r="CQ7" s="12"/>
      <c r="CR7" s="17"/>
      <c r="CS7" s="13"/>
      <c r="CT7" s="13"/>
      <c r="CU7" s="13"/>
      <c r="CV7" s="14"/>
      <c r="CW7" s="9"/>
      <c r="CX7" s="16"/>
      <c r="CY7" s="10"/>
      <c r="CZ7" s="10"/>
      <c r="DA7" s="10"/>
      <c r="DB7" s="11"/>
      <c r="DC7" s="12"/>
      <c r="DD7" s="17"/>
      <c r="DE7" s="13"/>
      <c r="DF7" s="13"/>
      <c r="DG7" s="13"/>
      <c r="DH7" s="14"/>
      <c r="DI7" s="8">
        <f t="shared" si="0"/>
        <v>187</v>
      </c>
      <c r="DJ7" s="8">
        <f t="shared" si="1"/>
        <v>105</v>
      </c>
      <c r="DK7" s="8">
        <f t="shared" si="2"/>
        <v>94</v>
      </c>
      <c r="DL7" s="8">
        <f t="shared" si="3"/>
        <v>94</v>
      </c>
      <c r="DM7" s="8">
        <f t="shared" si="4"/>
        <v>187</v>
      </c>
      <c r="DN7" s="8">
        <f t="shared" si="5"/>
        <v>94</v>
      </c>
      <c r="DO7" s="15">
        <f t="shared" si="6"/>
        <v>43.082976801728329</v>
      </c>
      <c r="DP7" s="15" t="str">
        <f t="shared" si="7"/>
        <v>OK - No Upgrade</v>
      </c>
      <c r="DQ7" s="15" t="str">
        <f t="shared" si="8"/>
        <v>Need to Balance</v>
      </c>
    </row>
    <row r="8" spans="1:121" ht="15.75" customHeight="1" x14ac:dyDescent="0.25">
      <c r="A8" s="8" t="s">
        <v>38</v>
      </c>
      <c r="B8" s="8" t="s">
        <v>385</v>
      </c>
      <c r="C8" s="8" t="s">
        <v>394</v>
      </c>
      <c r="D8" s="8" t="s">
        <v>395</v>
      </c>
      <c r="E8" s="8" t="s">
        <v>396</v>
      </c>
      <c r="F8" s="8" t="s">
        <v>43</v>
      </c>
      <c r="G8" s="8" t="s">
        <v>44</v>
      </c>
      <c r="H8" s="8">
        <v>315</v>
      </c>
      <c r="I8" s="8" t="s">
        <v>398</v>
      </c>
      <c r="J8" s="8">
        <v>2</v>
      </c>
      <c r="K8" s="8">
        <v>246</v>
      </c>
      <c r="L8" s="8">
        <v>245</v>
      </c>
      <c r="M8" s="8">
        <v>245</v>
      </c>
      <c r="N8" s="8">
        <v>426</v>
      </c>
      <c r="O8" s="8">
        <v>426</v>
      </c>
      <c r="P8" s="8">
        <v>425</v>
      </c>
      <c r="Q8" s="9" t="s">
        <v>46</v>
      </c>
      <c r="R8" s="16"/>
      <c r="S8" s="10">
        <v>106</v>
      </c>
      <c r="T8" s="10">
        <v>82</v>
      </c>
      <c r="U8" s="10">
        <v>45</v>
      </c>
      <c r="V8" s="11">
        <v>23</v>
      </c>
      <c r="W8" s="12" t="s">
        <v>47</v>
      </c>
      <c r="X8" s="17"/>
      <c r="Y8" s="13">
        <v>2</v>
      </c>
      <c r="Z8" s="13">
        <v>1</v>
      </c>
      <c r="AA8" s="13">
        <v>4</v>
      </c>
      <c r="AB8" s="14">
        <v>6</v>
      </c>
      <c r="AC8" s="9"/>
      <c r="AD8" s="16"/>
      <c r="AE8" s="10"/>
      <c r="AF8" s="10"/>
      <c r="AG8" s="10"/>
      <c r="AH8" s="11"/>
      <c r="AI8" s="12"/>
      <c r="AJ8" s="17"/>
      <c r="AK8" s="13"/>
      <c r="AL8" s="13"/>
      <c r="AM8" s="13"/>
      <c r="AN8" s="14"/>
      <c r="AO8" s="9"/>
      <c r="AP8" s="16"/>
      <c r="AQ8" s="10"/>
      <c r="AR8" s="10"/>
      <c r="AS8" s="10"/>
      <c r="AT8" s="11"/>
      <c r="AU8" s="12"/>
      <c r="AV8" s="17"/>
      <c r="AW8" s="13"/>
      <c r="AX8" s="13"/>
      <c r="AY8" s="13"/>
      <c r="AZ8" s="14"/>
      <c r="BA8" s="9"/>
      <c r="BB8" s="16"/>
      <c r="BC8" s="10"/>
      <c r="BD8" s="10"/>
      <c r="BE8" s="10"/>
      <c r="BF8" s="11"/>
      <c r="BG8" s="12"/>
      <c r="BH8" s="17"/>
      <c r="BI8" s="13"/>
      <c r="BJ8" s="13"/>
      <c r="BK8" s="13"/>
      <c r="BL8" s="14"/>
      <c r="BM8" s="9"/>
      <c r="BN8" s="16"/>
      <c r="BO8" s="10"/>
      <c r="BP8" s="10"/>
      <c r="BQ8" s="10"/>
      <c r="BR8" s="11"/>
      <c r="BS8" s="12"/>
      <c r="BT8" s="17"/>
      <c r="BU8" s="13"/>
      <c r="BV8" s="13"/>
      <c r="BW8" s="13"/>
      <c r="BX8" s="14"/>
      <c r="BY8" s="9"/>
      <c r="BZ8" s="16"/>
      <c r="CA8" s="10"/>
      <c r="CB8" s="10"/>
      <c r="CC8" s="10"/>
      <c r="CD8" s="11"/>
      <c r="CE8" s="12"/>
      <c r="CF8" s="17"/>
      <c r="CG8" s="13"/>
      <c r="CH8" s="13"/>
      <c r="CI8" s="13"/>
      <c r="CJ8" s="14"/>
      <c r="CK8" s="9"/>
      <c r="CL8" s="16"/>
      <c r="CM8" s="10"/>
      <c r="CN8" s="10"/>
      <c r="CO8" s="10"/>
      <c r="CP8" s="11"/>
      <c r="CQ8" s="12"/>
      <c r="CR8" s="17"/>
      <c r="CS8" s="13"/>
      <c r="CT8" s="13"/>
      <c r="CU8" s="13"/>
      <c r="CV8" s="14"/>
      <c r="CW8" s="9"/>
      <c r="CX8" s="16"/>
      <c r="CY8" s="10"/>
      <c r="CZ8" s="10"/>
      <c r="DA8" s="10"/>
      <c r="DB8" s="11"/>
      <c r="DC8" s="12"/>
      <c r="DD8" s="17"/>
      <c r="DE8" s="13"/>
      <c r="DF8" s="13"/>
      <c r="DG8" s="13"/>
      <c r="DH8" s="14"/>
      <c r="DI8" s="8">
        <f t="shared" si="0"/>
        <v>108</v>
      </c>
      <c r="DJ8" s="8">
        <f t="shared" si="1"/>
        <v>83</v>
      </c>
      <c r="DK8" s="8">
        <f t="shared" si="2"/>
        <v>49</v>
      </c>
      <c r="DL8" s="8">
        <f t="shared" si="3"/>
        <v>29</v>
      </c>
      <c r="DM8" s="8">
        <f t="shared" si="4"/>
        <v>108</v>
      </c>
      <c r="DN8" s="8">
        <f t="shared" si="5"/>
        <v>49</v>
      </c>
      <c r="DO8" s="15">
        <f t="shared" si="6"/>
        <v>25.297839223691714</v>
      </c>
      <c r="DP8" s="15" t="str">
        <f t="shared" si="7"/>
        <v>OK - No Upgrade</v>
      </c>
      <c r="DQ8" s="15" t="str">
        <f t="shared" si="8"/>
        <v>Need to Balance</v>
      </c>
    </row>
    <row r="9" spans="1:121" ht="15.75" customHeight="1" x14ac:dyDescent="0.25">
      <c r="A9" s="8" t="s">
        <v>38</v>
      </c>
      <c r="B9" s="8" t="s">
        <v>385</v>
      </c>
      <c r="C9" s="8" t="s">
        <v>394</v>
      </c>
      <c r="D9" s="8" t="s">
        <v>399</v>
      </c>
      <c r="E9" s="8" t="s">
        <v>400</v>
      </c>
      <c r="F9" s="8" t="s">
        <v>43</v>
      </c>
      <c r="G9" s="8" t="s">
        <v>44</v>
      </c>
      <c r="H9" s="8">
        <v>315</v>
      </c>
      <c r="I9" s="8" t="s">
        <v>401</v>
      </c>
      <c r="J9" s="8">
        <v>1</v>
      </c>
      <c r="K9" s="8">
        <v>242</v>
      </c>
      <c r="L9" s="8">
        <v>241</v>
      </c>
      <c r="M9" s="8">
        <v>243</v>
      </c>
      <c r="N9" s="8">
        <v>418</v>
      </c>
      <c r="O9" s="8">
        <v>422</v>
      </c>
      <c r="P9" s="8">
        <v>419</v>
      </c>
      <c r="Q9" s="9" t="s">
        <v>47</v>
      </c>
      <c r="R9" s="16"/>
      <c r="S9" s="10">
        <v>94</v>
      </c>
      <c r="T9" s="10">
        <v>75</v>
      </c>
      <c r="U9" s="10">
        <v>88</v>
      </c>
      <c r="V9" s="11">
        <v>26</v>
      </c>
      <c r="W9" s="12" t="s">
        <v>47</v>
      </c>
      <c r="X9" s="17"/>
      <c r="Y9" s="13">
        <v>1</v>
      </c>
      <c r="Z9" s="13">
        <v>13</v>
      </c>
      <c r="AA9" s="13">
        <v>17</v>
      </c>
      <c r="AB9" s="14">
        <v>17</v>
      </c>
      <c r="AC9" s="9"/>
      <c r="AD9" s="16"/>
      <c r="AE9" s="10"/>
      <c r="AF9" s="10"/>
      <c r="AG9" s="10"/>
      <c r="AH9" s="11"/>
      <c r="AI9" s="12"/>
      <c r="AJ9" s="17"/>
      <c r="AK9" s="13"/>
      <c r="AL9" s="13"/>
      <c r="AM9" s="13"/>
      <c r="AN9" s="14"/>
      <c r="AO9" s="9"/>
      <c r="AP9" s="16"/>
      <c r="AQ9" s="10"/>
      <c r="AR9" s="10"/>
      <c r="AS9" s="10"/>
      <c r="AT9" s="11"/>
      <c r="AU9" s="12"/>
      <c r="AV9" s="17"/>
      <c r="AW9" s="13"/>
      <c r="AX9" s="13"/>
      <c r="AY9" s="13"/>
      <c r="AZ9" s="14"/>
      <c r="BA9" s="9"/>
      <c r="BB9" s="16"/>
      <c r="BC9" s="10"/>
      <c r="BD9" s="10"/>
      <c r="BE9" s="10"/>
      <c r="BF9" s="11"/>
      <c r="BG9" s="12"/>
      <c r="BH9" s="17"/>
      <c r="BI9" s="13"/>
      <c r="BJ9" s="13"/>
      <c r="BK9" s="13"/>
      <c r="BL9" s="14"/>
      <c r="BM9" s="9"/>
      <c r="BN9" s="16"/>
      <c r="BO9" s="10"/>
      <c r="BP9" s="10"/>
      <c r="BQ9" s="10"/>
      <c r="BR9" s="11"/>
      <c r="BS9" s="12"/>
      <c r="BT9" s="17"/>
      <c r="BU9" s="13"/>
      <c r="BV9" s="13"/>
      <c r="BW9" s="13"/>
      <c r="BX9" s="14"/>
      <c r="BY9" s="9"/>
      <c r="BZ9" s="16"/>
      <c r="CA9" s="10"/>
      <c r="CB9" s="10"/>
      <c r="CC9" s="10"/>
      <c r="CD9" s="11"/>
      <c r="CE9" s="12"/>
      <c r="CF9" s="17"/>
      <c r="CG9" s="13"/>
      <c r="CH9" s="13"/>
      <c r="CI9" s="13"/>
      <c r="CJ9" s="14"/>
      <c r="CK9" s="9"/>
      <c r="CL9" s="16"/>
      <c r="CM9" s="10"/>
      <c r="CN9" s="10"/>
      <c r="CO9" s="10"/>
      <c r="CP9" s="11"/>
      <c r="CQ9" s="12"/>
      <c r="CR9" s="17"/>
      <c r="CS9" s="13"/>
      <c r="CT9" s="13"/>
      <c r="CU9" s="13"/>
      <c r="CV9" s="14"/>
      <c r="CW9" s="9"/>
      <c r="CX9" s="16"/>
      <c r="CY9" s="10"/>
      <c r="CZ9" s="10"/>
      <c r="DA9" s="10"/>
      <c r="DB9" s="11"/>
      <c r="DC9" s="12"/>
      <c r="DD9" s="17"/>
      <c r="DE9" s="13"/>
      <c r="DF9" s="13"/>
      <c r="DG9" s="13"/>
      <c r="DH9" s="14"/>
      <c r="DI9" s="8">
        <f t="shared" si="0"/>
        <v>95</v>
      </c>
      <c r="DJ9" s="8">
        <f t="shared" si="1"/>
        <v>88</v>
      </c>
      <c r="DK9" s="8">
        <f t="shared" si="2"/>
        <v>105</v>
      </c>
      <c r="DL9" s="8">
        <f t="shared" si="3"/>
        <v>43</v>
      </c>
      <c r="DM9" s="8">
        <f t="shared" si="4"/>
        <v>105</v>
      </c>
      <c r="DN9" s="8">
        <f t="shared" si="5"/>
        <v>88</v>
      </c>
      <c r="DO9" s="15">
        <f t="shared" si="6"/>
        <v>24.133241252126354</v>
      </c>
      <c r="DP9" s="15" t="str">
        <f t="shared" si="7"/>
        <v>OK - No Upgrade</v>
      </c>
      <c r="DQ9" s="15" t="str">
        <f t="shared" si="8"/>
        <v>OK - Balanced</v>
      </c>
    </row>
    <row r="10" spans="1:121" ht="15.75" customHeight="1" x14ac:dyDescent="0.25">
      <c r="A10" s="8" t="s">
        <v>38</v>
      </c>
      <c r="B10" s="8" t="s">
        <v>385</v>
      </c>
      <c r="C10" s="8" t="s">
        <v>394</v>
      </c>
      <c r="D10" s="8" t="s">
        <v>399</v>
      </c>
      <c r="E10" s="8" t="s">
        <v>400</v>
      </c>
      <c r="F10" s="8" t="s">
        <v>43</v>
      </c>
      <c r="G10" s="8" t="s">
        <v>44</v>
      </c>
      <c r="H10" s="8">
        <v>315</v>
      </c>
      <c r="I10" s="8" t="s">
        <v>402</v>
      </c>
      <c r="J10" s="8">
        <v>2</v>
      </c>
      <c r="K10" s="8">
        <v>247</v>
      </c>
      <c r="L10" s="8">
        <v>245</v>
      </c>
      <c r="M10" s="8">
        <v>246</v>
      </c>
      <c r="N10" s="8">
        <v>427</v>
      </c>
      <c r="O10" s="8">
        <v>428</v>
      </c>
      <c r="P10" s="8">
        <v>426</v>
      </c>
      <c r="Q10" s="9" t="s">
        <v>47</v>
      </c>
      <c r="R10" s="16"/>
      <c r="S10" s="10">
        <v>44</v>
      </c>
      <c r="T10" s="10">
        <v>60</v>
      </c>
      <c r="U10" s="10">
        <v>62</v>
      </c>
      <c r="V10" s="11">
        <v>9</v>
      </c>
      <c r="W10" s="12" t="s">
        <v>47</v>
      </c>
      <c r="X10" s="17"/>
      <c r="Y10" s="13">
        <v>3</v>
      </c>
      <c r="Z10" s="13">
        <v>33</v>
      </c>
      <c r="AA10" s="13">
        <v>54</v>
      </c>
      <c r="AB10" s="14">
        <v>49</v>
      </c>
      <c r="AC10" s="9"/>
      <c r="AD10" s="16"/>
      <c r="AE10" s="10"/>
      <c r="AF10" s="10"/>
      <c r="AG10" s="10"/>
      <c r="AH10" s="11"/>
      <c r="AI10" s="12"/>
      <c r="AJ10" s="17"/>
      <c r="AK10" s="13"/>
      <c r="AL10" s="13"/>
      <c r="AM10" s="13"/>
      <c r="AN10" s="14"/>
      <c r="AO10" s="9"/>
      <c r="AP10" s="16"/>
      <c r="AQ10" s="10"/>
      <c r="AR10" s="10"/>
      <c r="AS10" s="10"/>
      <c r="AT10" s="11"/>
      <c r="AU10" s="12"/>
      <c r="AV10" s="17"/>
      <c r="AW10" s="13"/>
      <c r="AX10" s="13"/>
      <c r="AY10" s="13"/>
      <c r="AZ10" s="14"/>
      <c r="BA10" s="9"/>
      <c r="BB10" s="16"/>
      <c r="BC10" s="10"/>
      <c r="BD10" s="10"/>
      <c r="BE10" s="10"/>
      <c r="BF10" s="11"/>
      <c r="BG10" s="12"/>
      <c r="BH10" s="17"/>
      <c r="BI10" s="13"/>
      <c r="BJ10" s="13"/>
      <c r="BK10" s="13"/>
      <c r="BL10" s="14"/>
      <c r="BM10" s="9"/>
      <c r="BN10" s="16"/>
      <c r="BO10" s="10"/>
      <c r="BP10" s="10"/>
      <c r="BQ10" s="10"/>
      <c r="BR10" s="11"/>
      <c r="BS10" s="12"/>
      <c r="BT10" s="17"/>
      <c r="BU10" s="13"/>
      <c r="BV10" s="13"/>
      <c r="BW10" s="13"/>
      <c r="BX10" s="14"/>
      <c r="BY10" s="9"/>
      <c r="BZ10" s="16"/>
      <c r="CA10" s="10"/>
      <c r="CB10" s="10"/>
      <c r="CC10" s="10"/>
      <c r="CD10" s="11"/>
      <c r="CE10" s="12"/>
      <c r="CF10" s="17"/>
      <c r="CG10" s="13"/>
      <c r="CH10" s="13"/>
      <c r="CI10" s="13"/>
      <c r="CJ10" s="14"/>
      <c r="CK10" s="9"/>
      <c r="CL10" s="16"/>
      <c r="CM10" s="10"/>
      <c r="CN10" s="10"/>
      <c r="CO10" s="10"/>
      <c r="CP10" s="11"/>
      <c r="CQ10" s="12"/>
      <c r="CR10" s="17"/>
      <c r="CS10" s="13"/>
      <c r="CT10" s="13"/>
      <c r="CU10" s="13"/>
      <c r="CV10" s="14"/>
      <c r="CW10" s="9"/>
      <c r="CX10" s="16"/>
      <c r="CY10" s="10"/>
      <c r="CZ10" s="10"/>
      <c r="DA10" s="10"/>
      <c r="DB10" s="11"/>
      <c r="DC10" s="12"/>
      <c r="DD10" s="17"/>
      <c r="DE10" s="13"/>
      <c r="DF10" s="13"/>
      <c r="DG10" s="13"/>
      <c r="DH10" s="14"/>
      <c r="DI10" s="8">
        <f t="shared" si="0"/>
        <v>47</v>
      </c>
      <c r="DJ10" s="8">
        <f t="shared" si="1"/>
        <v>93</v>
      </c>
      <c r="DK10" s="8">
        <f t="shared" si="2"/>
        <v>116</v>
      </c>
      <c r="DL10" s="8">
        <f t="shared" si="3"/>
        <v>58</v>
      </c>
      <c r="DM10" s="8">
        <f t="shared" si="4"/>
        <v>116</v>
      </c>
      <c r="DN10" s="8">
        <f t="shared" si="5"/>
        <v>47</v>
      </c>
      <c r="DO10" s="15">
        <f t="shared" si="6"/>
        <v>27.235536698571945</v>
      </c>
      <c r="DP10" s="15" t="str">
        <f t="shared" si="7"/>
        <v>OK - No Upgrade</v>
      </c>
      <c r="DQ10" s="15" t="str">
        <f t="shared" si="8"/>
        <v>Need to Balance</v>
      </c>
    </row>
    <row r="11" spans="1:121" ht="15.75" customHeight="1" x14ac:dyDescent="0.25">
      <c r="A11" s="8" t="s">
        <v>38</v>
      </c>
      <c r="B11" s="8" t="s">
        <v>385</v>
      </c>
      <c r="C11" s="8" t="s">
        <v>394</v>
      </c>
      <c r="D11" s="8" t="s">
        <v>403</v>
      </c>
      <c r="E11" s="8" t="s">
        <v>404</v>
      </c>
      <c r="F11" s="8" t="s">
        <v>43</v>
      </c>
      <c r="G11" s="8" t="s">
        <v>44</v>
      </c>
      <c r="H11" s="8">
        <v>315</v>
      </c>
      <c r="I11" s="8" t="s">
        <v>405</v>
      </c>
      <c r="J11" s="8">
        <v>1</v>
      </c>
      <c r="K11" s="8">
        <v>243</v>
      </c>
      <c r="L11" s="8">
        <v>242</v>
      </c>
      <c r="M11" s="8">
        <v>243</v>
      </c>
      <c r="N11" s="8">
        <v>420</v>
      </c>
      <c r="O11" s="8">
        <v>422</v>
      </c>
      <c r="P11" s="8">
        <v>420</v>
      </c>
      <c r="Q11" s="9" t="s">
        <v>47</v>
      </c>
      <c r="R11" s="16"/>
      <c r="S11" s="10">
        <v>28</v>
      </c>
      <c r="T11" s="10">
        <v>32</v>
      </c>
      <c r="U11" s="10">
        <v>77</v>
      </c>
      <c r="V11" s="11">
        <v>46</v>
      </c>
      <c r="W11" s="12" t="s">
        <v>47</v>
      </c>
      <c r="X11" s="17"/>
      <c r="Y11" s="13">
        <v>14</v>
      </c>
      <c r="Z11" s="13">
        <v>26</v>
      </c>
      <c r="AA11" s="13">
        <v>29</v>
      </c>
      <c r="AB11" s="14">
        <v>20</v>
      </c>
      <c r="AC11" s="9"/>
      <c r="AD11" s="16"/>
      <c r="AE11" s="10"/>
      <c r="AF11" s="10"/>
      <c r="AG11" s="10"/>
      <c r="AH11" s="11"/>
      <c r="AI11" s="12"/>
      <c r="AJ11" s="17"/>
      <c r="AK11" s="13"/>
      <c r="AL11" s="13"/>
      <c r="AM11" s="13"/>
      <c r="AN11" s="14"/>
      <c r="AO11" s="9"/>
      <c r="AP11" s="16"/>
      <c r="AQ11" s="10"/>
      <c r="AR11" s="10"/>
      <c r="AS11" s="10"/>
      <c r="AT11" s="11"/>
      <c r="AU11" s="12"/>
      <c r="AV11" s="17"/>
      <c r="AW11" s="13"/>
      <c r="AX11" s="13"/>
      <c r="AY11" s="13"/>
      <c r="AZ11" s="14"/>
      <c r="BA11" s="9"/>
      <c r="BB11" s="16"/>
      <c r="BC11" s="10"/>
      <c r="BD11" s="10"/>
      <c r="BE11" s="10"/>
      <c r="BF11" s="11"/>
      <c r="BG11" s="12"/>
      <c r="BH11" s="17"/>
      <c r="BI11" s="13"/>
      <c r="BJ11" s="13"/>
      <c r="BK11" s="13"/>
      <c r="BL11" s="14"/>
      <c r="BM11" s="9"/>
      <c r="BN11" s="16"/>
      <c r="BO11" s="10"/>
      <c r="BP11" s="10"/>
      <c r="BQ11" s="10"/>
      <c r="BR11" s="11"/>
      <c r="BS11" s="12"/>
      <c r="BT11" s="17"/>
      <c r="BU11" s="13"/>
      <c r="BV11" s="13"/>
      <c r="BW11" s="13"/>
      <c r="BX11" s="14"/>
      <c r="BY11" s="9"/>
      <c r="BZ11" s="16"/>
      <c r="CA11" s="10"/>
      <c r="CB11" s="10"/>
      <c r="CC11" s="10"/>
      <c r="CD11" s="11"/>
      <c r="CE11" s="12"/>
      <c r="CF11" s="17"/>
      <c r="CG11" s="13"/>
      <c r="CH11" s="13"/>
      <c r="CI11" s="13"/>
      <c r="CJ11" s="14"/>
      <c r="CK11" s="9"/>
      <c r="CL11" s="16"/>
      <c r="CM11" s="10"/>
      <c r="CN11" s="10"/>
      <c r="CO11" s="10"/>
      <c r="CP11" s="11"/>
      <c r="CQ11" s="12"/>
      <c r="CR11" s="17"/>
      <c r="CS11" s="13"/>
      <c r="CT11" s="13"/>
      <c r="CU11" s="13"/>
      <c r="CV11" s="14"/>
      <c r="CW11" s="9"/>
      <c r="CX11" s="16"/>
      <c r="CY11" s="10"/>
      <c r="CZ11" s="10"/>
      <c r="DA11" s="10"/>
      <c r="DB11" s="11"/>
      <c r="DC11" s="12"/>
      <c r="DD11" s="17"/>
      <c r="DE11" s="13"/>
      <c r="DF11" s="13"/>
      <c r="DG11" s="13"/>
      <c r="DH11" s="14"/>
      <c r="DI11" s="8">
        <f t="shared" si="0"/>
        <v>42</v>
      </c>
      <c r="DJ11" s="8">
        <f t="shared" si="1"/>
        <v>58</v>
      </c>
      <c r="DK11" s="8">
        <f t="shared" si="2"/>
        <v>106</v>
      </c>
      <c r="DL11" s="8">
        <f t="shared" si="3"/>
        <v>66</v>
      </c>
      <c r="DM11" s="8">
        <f t="shared" si="4"/>
        <v>106</v>
      </c>
      <c r="DN11" s="8">
        <f t="shared" si="5"/>
        <v>42</v>
      </c>
      <c r="DO11" s="15">
        <f t="shared" si="6"/>
        <v>24.479651413640134</v>
      </c>
      <c r="DP11" s="15" t="str">
        <f t="shared" si="7"/>
        <v>OK - No Upgrade</v>
      </c>
      <c r="DQ11" s="15" t="str">
        <f t="shared" si="8"/>
        <v>Need to Balance</v>
      </c>
    </row>
    <row r="12" spans="1:121" ht="15.75" customHeight="1" x14ac:dyDescent="0.25">
      <c r="A12" s="8" t="s">
        <v>38</v>
      </c>
      <c r="B12" s="8" t="s">
        <v>385</v>
      </c>
      <c r="C12" s="8" t="s">
        <v>394</v>
      </c>
      <c r="D12" s="8" t="s">
        <v>403</v>
      </c>
      <c r="E12" s="8" t="s">
        <v>404</v>
      </c>
      <c r="F12" s="8" t="s">
        <v>43</v>
      </c>
      <c r="G12" s="8" t="s">
        <v>44</v>
      </c>
      <c r="H12" s="8">
        <v>315</v>
      </c>
      <c r="I12" s="8" t="s">
        <v>406</v>
      </c>
      <c r="J12" s="8">
        <v>2</v>
      </c>
      <c r="K12" s="8">
        <v>247</v>
      </c>
      <c r="L12" s="8">
        <v>244</v>
      </c>
      <c r="M12" s="8">
        <v>245</v>
      </c>
      <c r="N12" s="8">
        <v>427</v>
      </c>
      <c r="O12" s="8">
        <v>425</v>
      </c>
      <c r="P12" s="8">
        <v>425</v>
      </c>
      <c r="Q12" s="9" t="s">
        <v>47</v>
      </c>
      <c r="R12" s="16"/>
      <c r="S12" s="10">
        <v>17</v>
      </c>
      <c r="T12" s="10">
        <v>51</v>
      </c>
      <c r="U12" s="10">
        <v>95</v>
      </c>
      <c r="V12" s="11">
        <v>64</v>
      </c>
      <c r="W12" s="12" t="s">
        <v>47</v>
      </c>
      <c r="X12" s="17"/>
      <c r="Y12" s="13">
        <v>2</v>
      </c>
      <c r="Z12" s="13">
        <v>42</v>
      </c>
      <c r="AA12" s="13">
        <v>25</v>
      </c>
      <c r="AB12" s="14">
        <v>41</v>
      </c>
      <c r="AC12" s="9"/>
      <c r="AD12" s="16"/>
      <c r="AE12" s="10"/>
      <c r="AF12" s="10"/>
      <c r="AG12" s="10"/>
      <c r="AH12" s="11"/>
      <c r="AI12" s="12"/>
      <c r="AJ12" s="17"/>
      <c r="AK12" s="13"/>
      <c r="AL12" s="13"/>
      <c r="AM12" s="13"/>
      <c r="AN12" s="14"/>
      <c r="AO12" s="9"/>
      <c r="AP12" s="16"/>
      <c r="AQ12" s="10"/>
      <c r="AR12" s="10"/>
      <c r="AS12" s="10"/>
      <c r="AT12" s="11"/>
      <c r="AU12" s="12"/>
      <c r="AV12" s="17"/>
      <c r="AW12" s="13"/>
      <c r="AX12" s="13"/>
      <c r="AY12" s="13"/>
      <c r="AZ12" s="14"/>
      <c r="BA12" s="9"/>
      <c r="BB12" s="16"/>
      <c r="BC12" s="10"/>
      <c r="BD12" s="10"/>
      <c r="BE12" s="10"/>
      <c r="BF12" s="11"/>
      <c r="BG12" s="12"/>
      <c r="BH12" s="17"/>
      <c r="BI12" s="13"/>
      <c r="BJ12" s="13"/>
      <c r="BK12" s="13"/>
      <c r="BL12" s="14"/>
      <c r="BM12" s="9"/>
      <c r="BN12" s="16"/>
      <c r="BO12" s="10"/>
      <c r="BP12" s="10"/>
      <c r="BQ12" s="10"/>
      <c r="BR12" s="11"/>
      <c r="BS12" s="12"/>
      <c r="BT12" s="17"/>
      <c r="BU12" s="13"/>
      <c r="BV12" s="13"/>
      <c r="BW12" s="13"/>
      <c r="BX12" s="14"/>
      <c r="BY12" s="9"/>
      <c r="BZ12" s="16"/>
      <c r="CA12" s="10"/>
      <c r="CB12" s="10"/>
      <c r="CC12" s="10"/>
      <c r="CD12" s="11"/>
      <c r="CE12" s="12"/>
      <c r="CF12" s="17"/>
      <c r="CG12" s="13"/>
      <c r="CH12" s="13"/>
      <c r="CI12" s="13"/>
      <c r="CJ12" s="14"/>
      <c r="CK12" s="9"/>
      <c r="CL12" s="16"/>
      <c r="CM12" s="10"/>
      <c r="CN12" s="10"/>
      <c r="CO12" s="10"/>
      <c r="CP12" s="11"/>
      <c r="CQ12" s="12"/>
      <c r="CR12" s="17"/>
      <c r="CS12" s="13"/>
      <c r="CT12" s="13"/>
      <c r="CU12" s="13"/>
      <c r="CV12" s="14"/>
      <c r="CW12" s="9"/>
      <c r="CX12" s="16"/>
      <c r="CY12" s="10"/>
      <c r="CZ12" s="10"/>
      <c r="DA12" s="10"/>
      <c r="DB12" s="11"/>
      <c r="DC12" s="12"/>
      <c r="DD12" s="17"/>
      <c r="DE12" s="13"/>
      <c r="DF12" s="13"/>
      <c r="DG12" s="13"/>
      <c r="DH12" s="14"/>
      <c r="DI12" s="8">
        <f t="shared" si="0"/>
        <v>19</v>
      </c>
      <c r="DJ12" s="8">
        <f t="shared" si="1"/>
        <v>93</v>
      </c>
      <c r="DK12" s="8">
        <f t="shared" si="2"/>
        <v>120</v>
      </c>
      <c r="DL12" s="8">
        <f t="shared" si="3"/>
        <v>105</v>
      </c>
      <c r="DM12" s="8">
        <f t="shared" si="4"/>
        <v>120</v>
      </c>
      <c r="DN12" s="8">
        <f t="shared" si="5"/>
        <v>19</v>
      </c>
      <c r="DO12" s="15">
        <f t="shared" si="6"/>
        <v>28.174693136453733</v>
      </c>
      <c r="DP12" s="15" t="str">
        <f t="shared" si="7"/>
        <v>OK - No Upgrade</v>
      </c>
      <c r="DQ12" s="15" t="str">
        <f t="shared" si="8"/>
        <v>Need to Balance</v>
      </c>
    </row>
    <row r="13" spans="1:121" ht="15.75" customHeight="1" x14ac:dyDescent="0.25">
      <c r="A13" s="8" t="s">
        <v>38</v>
      </c>
      <c r="B13" s="8" t="s">
        <v>385</v>
      </c>
      <c r="C13" s="8" t="s">
        <v>394</v>
      </c>
      <c r="D13" s="8" t="s">
        <v>407</v>
      </c>
      <c r="E13" s="8" t="s">
        <v>408</v>
      </c>
      <c r="F13" s="8" t="s">
        <v>43</v>
      </c>
      <c r="G13" s="8" t="s">
        <v>44</v>
      </c>
      <c r="H13" s="8">
        <v>315</v>
      </c>
      <c r="I13" s="8" t="s">
        <v>409</v>
      </c>
      <c r="J13" s="8">
        <v>1</v>
      </c>
      <c r="K13" s="8">
        <v>242</v>
      </c>
      <c r="L13" s="8">
        <v>238</v>
      </c>
      <c r="M13" s="8">
        <v>242</v>
      </c>
      <c r="N13" s="8">
        <v>417</v>
      </c>
      <c r="O13" s="8">
        <v>420</v>
      </c>
      <c r="P13" s="8">
        <v>416</v>
      </c>
      <c r="Q13" s="9" t="s">
        <v>47</v>
      </c>
      <c r="R13" s="16"/>
      <c r="S13" s="10">
        <v>30</v>
      </c>
      <c r="T13" s="10">
        <v>72</v>
      </c>
      <c r="U13" s="10">
        <v>45</v>
      </c>
      <c r="V13" s="11">
        <v>36</v>
      </c>
      <c r="W13" s="12" t="s">
        <v>47</v>
      </c>
      <c r="X13" s="17"/>
      <c r="Y13" s="13">
        <v>24</v>
      </c>
      <c r="Z13" s="13">
        <v>81</v>
      </c>
      <c r="AA13" s="13">
        <v>74</v>
      </c>
      <c r="AB13" s="14">
        <v>47</v>
      </c>
      <c r="AC13" s="9"/>
      <c r="AD13" s="16"/>
      <c r="AE13" s="10"/>
      <c r="AF13" s="10"/>
      <c r="AG13" s="10"/>
      <c r="AH13" s="11"/>
      <c r="AI13" s="12"/>
      <c r="AJ13" s="17"/>
      <c r="AK13" s="13"/>
      <c r="AL13" s="13"/>
      <c r="AM13" s="13"/>
      <c r="AN13" s="14"/>
      <c r="AO13" s="9"/>
      <c r="AP13" s="16"/>
      <c r="AQ13" s="10"/>
      <c r="AR13" s="10"/>
      <c r="AS13" s="10"/>
      <c r="AT13" s="11"/>
      <c r="AU13" s="12"/>
      <c r="AV13" s="17"/>
      <c r="AW13" s="13"/>
      <c r="AX13" s="13"/>
      <c r="AY13" s="13"/>
      <c r="AZ13" s="14"/>
      <c r="BA13" s="9"/>
      <c r="BB13" s="16"/>
      <c r="BC13" s="10"/>
      <c r="BD13" s="10"/>
      <c r="BE13" s="10"/>
      <c r="BF13" s="11"/>
      <c r="BG13" s="12"/>
      <c r="BH13" s="17"/>
      <c r="BI13" s="13"/>
      <c r="BJ13" s="13"/>
      <c r="BK13" s="13"/>
      <c r="BL13" s="14"/>
      <c r="BM13" s="9"/>
      <c r="BN13" s="16"/>
      <c r="BO13" s="10"/>
      <c r="BP13" s="10"/>
      <c r="BQ13" s="10"/>
      <c r="BR13" s="11"/>
      <c r="BS13" s="12"/>
      <c r="BT13" s="17"/>
      <c r="BU13" s="13"/>
      <c r="BV13" s="13"/>
      <c r="BW13" s="13"/>
      <c r="BX13" s="14"/>
      <c r="BY13" s="9"/>
      <c r="BZ13" s="16"/>
      <c r="CA13" s="10"/>
      <c r="CB13" s="10"/>
      <c r="CC13" s="10"/>
      <c r="CD13" s="11"/>
      <c r="CE13" s="12"/>
      <c r="CF13" s="17"/>
      <c r="CG13" s="13"/>
      <c r="CH13" s="13"/>
      <c r="CI13" s="13"/>
      <c r="CJ13" s="14"/>
      <c r="CK13" s="9"/>
      <c r="CL13" s="16"/>
      <c r="CM13" s="10"/>
      <c r="CN13" s="10"/>
      <c r="CO13" s="10"/>
      <c r="CP13" s="11"/>
      <c r="CQ13" s="12"/>
      <c r="CR13" s="17"/>
      <c r="CS13" s="13"/>
      <c r="CT13" s="13"/>
      <c r="CU13" s="13"/>
      <c r="CV13" s="14"/>
      <c r="CW13" s="9"/>
      <c r="CX13" s="16"/>
      <c r="CY13" s="10"/>
      <c r="CZ13" s="10"/>
      <c r="DA13" s="10"/>
      <c r="DB13" s="11"/>
      <c r="DC13" s="12"/>
      <c r="DD13" s="17"/>
      <c r="DE13" s="13"/>
      <c r="DF13" s="13"/>
      <c r="DG13" s="13"/>
      <c r="DH13" s="14"/>
      <c r="DI13" s="8">
        <f t="shared" si="0"/>
        <v>54</v>
      </c>
      <c r="DJ13" s="8">
        <f t="shared" si="1"/>
        <v>153</v>
      </c>
      <c r="DK13" s="8">
        <f t="shared" si="2"/>
        <v>119</v>
      </c>
      <c r="DL13" s="8">
        <f t="shared" si="3"/>
        <v>83</v>
      </c>
      <c r="DM13" s="8">
        <f t="shared" si="4"/>
        <v>153</v>
      </c>
      <c r="DN13" s="8">
        <f t="shared" si="5"/>
        <v>54</v>
      </c>
      <c r="DO13" s="15">
        <f t="shared" si="6"/>
        <v>35.081451928159346</v>
      </c>
      <c r="DP13" s="15" t="str">
        <f t="shared" si="7"/>
        <v>OK - No Upgrade</v>
      </c>
      <c r="DQ13" s="15" t="str">
        <f t="shared" si="8"/>
        <v>Need to Balance</v>
      </c>
    </row>
    <row r="14" spans="1:121" ht="15.75" customHeight="1" x14ac:dyDescent="0.25">
      <c r="A14" s="8" t="s">
        <v>38</v>
      </c>
      <c r="B14" s="8" t="s">
        <v>385</v>
      </c>
      <c r="C14" s="8" t="s">
        <v>394</v>
      </c>
      <c r="D14" s="8" t="s">
        <v>407</v>
      </c>
      <c r="E14" s="8" t="s">
        <v>408</v>
      </c>
      <c r="F14" s="8" t="s">
        <v>43</v>
      </c>
      <c r="G14" s="8" t="s">
        <v>44</v>
      </c>
      <c r="H14" s="8">
        <v>315</v>
      </c>
      <c r="I14" s="8" t="s">
        <v>410</v>
      </c>
      <c r="J14" s="8">
        <v>2</v>
      </c>
      <c r="K14" s="8">
        <v>244</v>
      </c>
      <c r="L14" s="8">
        <v>240</v>
      </c>
      <c r="M14" s="8">
        <v>242</v>
      </c>
      <c r="N14" s="8">
        <v>423</v>
      </c>
      <c r="O14" s="8">
        <v>421</v>
      </c>
      <c r="P14" s="8">
        <v>415</v>
      </c>
      <c r="Q14" s="9" t="s">
        <v>47</v>
      </c>
      <c r="R14" s="16"/>
      <c r="S14" s="10">
        <v>24</v>
      </c>
      <c r="T14" s="10">
        <v>86</v>
      </c>
      <c r="U14" s="10">
        <v>9</v>
      </c>
      <c r="V14" s="11">
        <v>58</v>
      </c>
      <c r="W14" s="12" t="s">
        <v>46</v>
      </c>
      <c r="X14" s="17"/>
      <c r="Y14" s="13">
        <v>76</v>
      </c>
      <c r="Z14" s="13">
        <v>160</v>
      </c>
      <c r="AA14" s="13">
        <v>180</v>
      </c>
      <c r="AB14" s="14">
        <v>88</v>
      </c>
      <c r="AC14" s="9"/>
      <c r="AD14" s="16"/>
      <c r="AE14" s="10"/>
      <c r="AF14" s="10"/>
      <c r="AG14" s="10"/>
      <c r="AH14" s="11"/>
      <c r="AI14" s="12"/>
      <c r="AJ14" s="17"/>
      <c r="AK14" s="13"/>
      <c r="AL14" s="13"/>
      <c r="AM14" s="13"/>
      <c r="AN14" s="14"/>
      <c r="AO14" s="9"/>
      <c r="AP14" s="16"/>
      <c r="AQ14" s="10"/>
      <c r="AR14" s="10"/>
      <c r="AS14" s="10"/>
      <c r="AT14" s="11"/>
      <c r="AU14" s="12"/>
      <c r="AV14" s="17"/>
      <c r="AW14" s="13"/>
      <c r="AX14" s="13"/>
      <c r="AY14" s="13"/>
      <c r="AZ14" s="14"/>
      <c r="BA14" s="9"/>
      <c r="BB14" s="16"/>
      <c r="BC14" s="10"/>
      <c r="BD14" s="10"/>
      <c r="BE14" s="10"/>
      <c r="BF14" s="11"/>
      <c r="BG14" s="12"/>
      <c r="BH14" s="17"/>
      <c r="BI14" s="13"/>
      <c r="BJ14" s="13"/>
      <c r="BK14" s="13"/>
      <c r="BL14" s="14"/>
      <c r="BM14" s="9"/>
      <c r="BN14" s="16"/>
      <c r="BO14" s="10"/>
      <c r="BP14" s="10"/>
      <c r="BQ14" s="10"/>
      <c r="BR14" s="11"/>
      <c r="BS14" s="12"/>
      <c r="BT14" s="17"/>
      <c r="BU14" s="13"/>
      <c r="BV14" s="13"/>
      <c r="BW14" s="13"/>
      <c r="BX14" s="14"/>
      <c r="BY14" s="9"/>
      <c r="BZ14" s="16"/>
      <c r="CA14" s="10"/>
      <c r="CB14" s="10"/>
      <c r="CC14" s="10"/>
      <c r="CD14" s="11"/>
      <c r="CE14" s="12"/>
      <c r="CF14" s="17"/>
      <c r="CG14" s="13"/>
      <c r="CH14" s="13"/>
      <c r="CI14" s="13"/>
      <c r="CJ14" s="14"/>
      <c r="CK14" s="9"/>
      <c r="CL14" s="16"/>
      <c r="CM14" s="10"/>
      <c r="CN14" s="10"/>
      <c r="CO14" s="10"/>
      <c r="CP14" s="11"/>
      <c r="CQ14" s="12"/>
      <c r="CR14" s="17"/>
      <c r="CS14" s="13"/>
      <c r="CT14" s="13"/>
      <c r="CU14" s="13"/>
      <c r="CV14" s="14"/>
      <c r="CW14" s="9"/>
      <c r="CX14" s="16"/>
      <c r="CY14" s="10"/>
      <c r="CZ14" s="10"/>
      <c r="DA14" s="10"/>
      <c r="DB14" s="11"/>
      <c r="DC14" s="12"/>
      <c r="DD14" s="17"/>
      <c r="DE14" s="13"/>
      <c r="DF14" s="13"/>
      <c r="DG14" s="13"/>
      <c r="DH14" s="14"/>
      <c r="DI14" s="8">
        <f t="shared" si="0"/>
        <v>100</v>
      </c>
      <c r="DJ14" s="8">
        <f t="shared" si="1"/>
        <v>246</v>
      </c>
      <c r="DK14" s="8">
        <f t="shared" si="2"/>
        <v>189</v>
      </c>
      <c r="DL14" s="8">
        <f t="shared" si="3"/>
        <v>146</v>
      </c>
      <c r="DM14" s="8">
        <f t="shared" si="4"/>
        <v>246</v>
      </c>
      <c r="DN14" s="8">
        <f t="shared" si="5"/>
        <v>100</v>
      </c>
      <c r="DO14" s="15">
        <f t="shared" si="6"/>
        <v>57.217061248889593</v>
      </c>
      <c r="DP14" s="15" t="str">
        <f t="shared" si="7"/>
        <v>OK - No Upgrade</v>
      </c>
      <c r="DQ14" s="15" t="str">
        <f t="shared" si="8"/>
        <v>Need to Balance</v>
      </c>
    </row>
    <row r="15" spans="1:121" ht="15.75" customHeight="1" x14ac:dyDescent="0.25">
      <c r="A15" s="8" t="s">
        <v>38</v>
      </c>
      <c r="B15" s="8" t="s">
        <v>385</v>
      </c>
      <c r="C15" s="8" t="s">
        <v>394</v>
      </c>
      <c r="D15" s="8" t="s">
        <v>411</v>
      </c>
      <c r="E15" s="8" t="s">
        <v>412</v>
      </c>
      <c r="F15" s="8" t="s">
        <v>43</v>
      </c>
      <c r="G15" s="8" t="s">
        <v>44</v>
      </c>
      <c r="H15" s="8">
        <v>315</v>
      </c>
      <c r="I15" s="8" t="s">
        <v>413</v>
      </c>
      <c r="J15" s="8">
        <v>1</v>
      </c>
      <c r="K15" s="8">
        <v>242</v>
      </c>
      <c r="L15" s="8">
        <v>240</v>
      </c>
      <c r="M15" s="8">
        <v>242</v>
      </c>
      <c r="N15" s="8">
        <v>416</v>
      </c>
      <c r="O15" s="8">
        <v>421</v>
      </c>
      <c r="P15" s="8">
        <v>418</v>
      </c>
      <c r="Q15" s="9" t="s">
        <v>46</v>
      </c>
      <c r="R15" s="16"/>
      <c r="S15" s="10">
        <v>53</v>
      </c>
      <c r="T15" s="10">
        <v>68</v>
      </c>
      <c r="U15" s="10">
        <v>43</v>
      </c>
      <c r="V15" s="11">
        <v>12</v>
      </c>
      <c r="W15" s="12" t="s">
        <v>47</v>
      </c>
      <c r="X15" s="17"/>
      <c r="Y15" s="13">
        <v>32</v>
      </c>
      <c r="Z15" s="13">
        <v>34</v>
      </c>
      <c r="AA15" s="13">
        <v>71</v>
      </c>
      <c r="AB15" s="14">
        <v>39</v>
      </c>
      <c r="AC15" s="9"/>
      <c r="AD15" s="16"/>
      <c r="AE15" s="10"/>
      <c r="AF15" s="10"/>
      <c r="AG15" s="10"/>
      <c r="AH15" s="11"/>
      <c r="AI15" s="12"/>
      <c r="AJ15" s="17"/>
      <c r="AK15" s="13"/>
      <c r="AL15" s="13"/>
      <c r="AM15" s="13"/>
      <c r="AN15" s="14"/>
      <c r="AO15" s="9"/>
      <c r="AP15" s="16"/>
      <c r="AQ15" s="10"/>
      <c r="AR15" s="10"/>
      <c r="AS15" s="10"/>
      <c r="AT15" s="11"/>
      <c r="AU15" s="12"/>
      <c r="AV15" s="17"/>
      <c r="AW15" s="13"/>
      <c r="AX15" s="13"/>
      <c r="AY15" s="13"/>
      <c r="AZ15" s="14"/>
      <c r="BA15" s="9"/>
      <c r="BB15" s="16"/>
      <c r="BC15" s="10"/>
      <c r="BD15" s="10"/>
      <c r="BE15" s="10"/>
      <c r="BF15" s="11"/>
      <c r="BG15" s="12"/>
      <c r="BH15" s="17"/>
      <c r="BI15" s="13"/>
      <c r="BJ15" s="13"/>
      <c r="BK15" s="13"/>
      <c r="BL15" s="14"/>
      <c r="BM15" s="9"/>
      <c r="BN15" s="16"/>
      <c r="BO15" s="10"/>
      <c r="BP15" s="10"/>
      <c r="BQ15" s="10"/>
      <c r="BR15" s="11"/>
      <c r="BS15" s="12"/>
      <c r="BT15" s="17"/>
      <c r="BU15" s="13"/>
      <c r="BV15" s="13"/>
      <c r="BW15" s="13"/>
      <c r="BX15" s="14"/>
      <c r="BY15" s="9"/>
      <c r="BZ15" s="16"/>
      <c r="CA15" s="10"/>
      <c r="CB15" s="10"/>
      <c r="CC15" s="10"/>
      <c r="CD15" s="11"/>
      <c r="CE15" s="12"/>
      <c r="CF15" s="17"/>
      <c r="CG15" s="13"/>
      <c r="CH15" s="13"/>
      <c r="CI15" s="13"/>
      <c r="CJ15" s="14"/>
      <c r="CK15" s="9"/>
      <c r="CL15" s="16"/>
      <c r="CM15" s="10"/>
      <c r="CN15" s="10"/>
      <c r="CO15" s="10"/>
      <c r="CP15" s="11"/>
      <c r="CQ15" s="12"/>
      <c r="CR15" s="17"/>
      <c r="CS15" s="13"/>
      <c r="CT15" s="13"/>
      <c r="CU15" s="13"/>
      <c r="CV15" s="14"/>
      <c r="CW15" s="9"/>
      <c r="CX15" s="16"/>
      <c r="CY15" s="10"/>
      <c r="CZ15" s="10"/>
      <c r="DA15" s="10"/>
      <c r="DB15" s="11"/>
      <c r="DC15" s="12"/>
      <c r="DD15" s="17"/>
      <c r="DE15" s="13"/>
      <c r="DF15" s="13"/>
      <c r="DG15" s="13"/>
      <c r="DH15" s="14"/>
      <c r="DI15" s="8">
        <f t="shared" si="0"/>
        <v>85</v>
      </c>
      <c r="DJ15" s="8">
        <f t="shared" si="1"/>
        <v>102</v>
      </c>
      <c r="DK15" s="8">
        <f t="shared" si="2"/>
        <v>114</v>
      </c>
      <c r="DL15" s="8">
        <f t="shared" si="3"/>
        <v>51</v>
      </c>
      <c r="DM15" s="8">
        <f t="shared" si="4"/>
        <v>114</v>
      </c>
      <c r="DN15" s="8">
        <f t="shared" si="5"/>
        <v>85</v>
      </c>
      <c r="DO15" s="15">
        <f t="shared" si="6"/>
        <v>26.076437300998869</v>
      </c>
      <c r="DP15" s="15" t="str">
        <f t="shared" si="7"/>
        <v>OK - No Upgrade</v>
      </c>
      <c r="DQ15" s="15" t="str">
        <f t="shared" si="8"/>
        <v>Need to Balance</v>
      </c>
    </row>
    <row r="16" spans="1:121" ht="15.75" customHeight="1" x14ac:dyDescent="0.25">
      <c r="A16" s="8" t="s">
        <v>38</v>
      </c>
      <c r="B16" s="8" t="s">
        <v>385</v>
      </c>
      <c r="C16" s="8" t="s">
        <v>394</v>
      </c>
      <c r="D16" s="8" t="s">
        <v>411</v>
      </c>
      <c r="E16" s="8" t="s">
        <v>412</v>
      </c>
      <c r="F16" s="8" t="s">
        <v>43</v>
      </c>
      <c r="G16" s="8" t="s">
        <v>44</v>
      </c>
      <c r="H16" s="8">
        <v>315</v>
      </c>
      <c r="I16" s="8" t="s">
        <v>414</v>
      </c>
      <c r="J16" s="8">
        <v>2</v>
      </c>
      <c r="K16" s="8">
        <v>246</v>
      </c>
      <c r="L16" s="8">
        <v>244</v>
      </c>
      <c r="M16" s="8">
        <v>246</v>
      </c>
      <c r="N16" s="8">
        <v>425</v>
      </c>
      <c r="O16" s="8">
        <v>427</v>
      </c>
      <c r="P16" s="8">
        <v>425</v>
      </c>
      <c r="Q16" s="9" t="s">
        <v>46</v>
      </c>
      <c r="R16" s="16"/>
      <c r="S16" s="10">
        <v>56</v>
      </c>
      <c r="T16" s="10">
        <v>91</v>
      </c>
      <c r="U16" s="10">
        <v>62</v>
      </c>
      <c r="V16" s="11">
        <v>27</v>
      </c>
      <c r="W16" s="12" t="s">
        <v>47</v>
      </c>
      <c r="X16" s="17"/>
      <c r="Y16" s="13">
        <v>27</v>
      </c>
      <c r="Z16" s="13">
        <v>32</v>
      </c>
      <c r="AA16" s="13">
        <v>69</v>
      </c>
      <c r="AB16" s="14">
        <v>40</v>
      </c>
      <c r="AC16" s="9"/>
      <c r="AD16" s="16"/>
      <c r="AE16" s="10"/>
      <c r="AF16" s="10"/>
      <c r="AG16" s="10"/>
      <c r="AH16" s="11"/>
      <c r="AI16" s="12"/>
      <c r="AJ16" s="17"/>
      <c r="AK16" s="13"/>
      <c r="AL16" s="13"/>
      <c r="AM16" s="13"/>
      <c r="AN16" s="14"/>
      <c r="AO16" s="9"/>
      <c r="AP16" s="16"/>
      <c r="AQ16" s="10"/>
      <c r="AR16" s="10"/>
      <c r="AS16" s="10"/>
      <c r="AT16" s="11"/>
      <c r="AU16" s="12"/>
      <c r="AV16" s="17"/>
      <c r="AW16" s="13"/>
      <c r="AX16" s="13"/>
      <c r="AY16" s="13"/>
      <c r="AZ16" s="14"/>
      <c r="BA16" s="9"/>
      <c r="BB16" s="16"/>
      <c r="BC16" s="10"/>
      <c r="BD16" s="10"/>
      <c r="BE16" s="10"/>
      <c r="BF16" s="11"/>
      <c r="BG16" s="12"/>
      <c r="BH16" s="17"/>
      <c r="BI16" s="13"/>
      <c r="BJ16" s="13"/>
      <c r="BK16" s="13"/>
      <c r="BL16" s="14"/>
      <c r="BM16" s="9"/>
      <c r="BN16" s="16"/>
      <c r="BO16" s="10"/>
      <c r="BP16" s="10"/>
      <c r="BQ16" s="10"/>
      <c r="BR16" s="11"/>
      <c r="BS16" s="12"/>
      <c r="BT16" s="17"/>
      <c r="BU16" s="13"/>
      <c r="BV16" s="13"/>
      <c r="BW16" s="13"/>
      <c r="BX16" s="14"/>
      <c r="BY16" s="9"/>
      <c r="BZ16" s="16"/>
      <c r="CA16" s="10"/>
      <c r="CB16" s="10"/>
      <c r="CC16" s="10"/>
      <c r="CD16" s="11"/>
      <c r="CE16" s="12"/>
      <c r="CF16" s="17"/>
      <c r="CG16" s="13"/>
      <c r="CH16" s="13"/>
      <c r="CI16" s="13"/>
      <c r="CJ16" s="14"/>
      <c r="CK16" s="9"/>
      <c r="CL16" s="16"/>
      <c r="CM16" s="10"/>
      <c r="CN16" s="10"/>
      <c r="CO16" s="10"/>
      <c r="CP16" s="11"/>
      <c r="CQ16" s="12"/>
      <c r="CR16" s="17"/>
      <c r="CS16" s="13"/>
      <c r="CT16" s="13"/>
      <c r="CU16" s="13"/>
      <c r="CV16" s="14"/>
      <c r="CW16" s="9"/>
      <c r="CX16" s="16"/>
      <c r="CY16" s="10"/>
      <c r="CZ16" s="10"/>
      <c r="DA16" s="10"/>
      <c r="DB16" s="11"/>
      <c r="DC16" s="12"/>
      <c r="DD16" s="17"/>
      <c r="DE16" s="13"/>
      <c r="DF16" s="13"/>
      <c r="DG16" s="13"/>
      <c r="DH16" s="14"/>
      <c r="DI16" s="8">
        <f t="shared" si="0"/>
        <v>83</v>
      </c>
      <c r="DJ16" s="8">
        <f t="shared" si="1"/>
        <v>123</v>
      </c>
      <c r="DK16" s="8">
        <f t="shared" si="2"/>
        <v>131</v>
      </c>
      <c r="DL16" s="8">
        <f t="shared" si="3"/>
        <v>67</v>
      </c>
      <c r="DM16" s="8">
        <f t="shared" si="4"/>
        <v>131</v>
      </c>
      <c r="DN16" s="8">
        <f t="shared" si="5"/>
        <v>83</v>
      </c>
      <c r="DO16" s="15">
        <f t="shared" si="6"/>
        <v>30.613310702030873</v>
      </c>
      <c r="DP16" s="15" t="str">
        <f t="shared" si="7"/>
        <v>OK - No Upgrade</v>
      </c>
      <c r="DQ16" s="15" t="str">
        <f t="shared" si="8"/>
        <v>Need to Balance</v>
      </c>
    </row>
    <row r="17" spans="1:121" ht="15.75" customHeight="1" x14ac:dyDescent="0.25">
      <c r="A17" s="8" t="s">
        <v>38</v>
      </c>
      <c r="B17" s="8" t="s">
        <v>385</v>
      </c>
      <c r="C17" s="8" t="s">
        <v>394</v>
      </c>
      <c r="D17" s="8" t="s">
        <v>415</v>
      </c>
      <c r="E17" s="8" t="s">
        <v>416</v>
      </c>
      <c r="F17" s="8" t="s">
        <v>43</v>
      </c>
      <c r="G17" s="8" t="s">
        <v>44</v>
      </c>
      <c r="H17" s="8">
        <v>315</v>
      </c>
      <c r="I17" s="8" t="s">
        <v>417</v>
      </c>
      <c r="J17" s="8">
        <v>1</v>
      </c>
      <c r="K17" s="8">
        <v>241</v>
      </c>
      <c r="L17" s="8">
        <v>239</v>
      </c>
      <c r="M17" s="8">
        <v>241</v>
      </c>
      <c r="N17" s="8">
        <v>416</v>
      </c>
      <c r="O17" s="8">
        <v>418</v>
      </c>
      <c r="P17" s="8">
        <v>415</v>
      </c>
      <c r="Q17" s="9" t="s">
        <v>47</v>
      </c>
      <c r="R17" s="16"/>
      <c r="S17" s="10">
        <v>69</v>
      </c>
      <c r="T17" s="10">
        <v>68</v>
      </c>
      <c r="U17" s="10">
        <v>73</v>
      </c>
      <c r="V17" s="11">
        <v>14</v>
      </c>
      <c r="W17" s="12" t="s">
        <v>47</v>
      </c>
      <c r="X17" s="17"/>
      <c r="Y17" s="13">
        <v>73</v>
      </c>
      <c r="Z17" s="13">
        <v>67</v>
      </c>
      <c r="AA17" s="13">
        <v>108</v>
      </c>
      <c r="AB17" s="14">
        <v>29</v>
      </c>
      <c r="AC17" s="9"/>
      <c r="AD17" s="16"/>
      <c r="AE17" s="10"/>
      <c r="AF17" s="10"/>
      <c r="AG17" s="10"/>
      <c r="AH17" s="11"/>
      <c r="AI17" s="12"/>
      <c r="AJ17" s="17"/>
      <c r="AK17" s="13"/>
      <c r="AL17" s="13"/>
      <c r="AM17" s="13"/>
      <c r="AN17" s="14"/>
      <c r="AO17" s="9"/>
      <c r="AP17" s="16"/>
      <c r="AQ17" s="10"/>
      <c r="AR17" s="10"/>
      <c r="AS17" s="10"/>
      <c r="AT17" s="11"/>
      <c r="AU17" s="12"/>
      <c r="AV17" s="17"/>
      <c r="AW17" s="13"/>
      <c r="AX17" s="13"/>
      <c r="AY17" s="13"/>
      <c r="AZ17" s="14"/>
      <c r="BA17" s="9"/>
      <c r="BB17" s="16"/>
      <c r="BC17" s="10"/>
      <c r="BD17" s="10"/>
      <c r="BE17" s="10"/>
      <c r="BF17" s="11"/>
      <c r="BG17" s="12"/>
      <c r="BH17" s="17"/>
      <c r="BI17" s="13"/>
      <c r="BJ17" s="13"/>
      <c r="BK17" s="13"/>
      <c r="BL17" s="14"/>
      <c r="BM17" s="9"/>
      <c r="BN17" s="16"/>
      <c r="BO17" s="10"/>
      <c r="BP17" s="10"/>
      <c r="BQ17" s="10"/>
      <c r="BR17" s="11"/>
      <c r="BS17" s="12"/>
      <c r="BT17" s="17"/>
      <c r="BU17" s="13"/>
      <c r="BV17" s="13"/>
      <c r="BW17" s="13"/>
      <c r="BX17" s="14"/>
      <c r="BY17" s="9"/>
      <c r="BZ17" s="16"/>
      <c r="CA17" s="10"/>
      <c r="CB17" s="10"/>
      <c r="CC17" s="10"/>
      <c r="CD17" s="11"/>
      <c r="CE17" s="12"/>
      <c r="CF17" s="17"/>
      <c r="CG17" s="13"/>
      <c r="CH17" s="13"/>
      <c r="CI17" s="13"/>
      <c r="CJ17" s="14"/>
      <c r="CK17" s="9"/>
      <c r="CL17" s="16"/>
      <c r="CM17" s="10"/>
      <c r="CN17" s="10"/>
      <c r="CO17" s="10"/>
      <c r="CP17" s="11"/>
      <c r="CQ17" s="12"/>
      <c r="CR17" s="17"/>
      <c r="CS17" s="13"/>
      <c r="CT17" s="13"/>
      <c r="CU17" s="13"/>
      <c r="CV17" s="14"/>
      <c r="CW17" s="9"/>
      <c r="CX17" s="16"/>
      <c r="CY17" s="10"/>
      <c r="CZ17" s="10"/>
      <c r="DA17" s="10"/>
      <c r="DB17" s="11"/>
      <c r="DC17" s="12"/>
      <c r="DD17" s="17"/>
      <c r="DE17" s="13"/>
      <c r="DF17" s="13"/>
      <c r="DG17" s="13"/>
      <c r="DH17" s="14"/>
      <c r="DI17" s="8">
        <f t="shared" si="0"/>
        <v>142</v>
      </c>
      <c r="DJ17" s="8">
        <f t="shared" si="1"/>
        <v>135</v>
      </c>
      <c r="DK17" s="8">
        <f t="shared" si="2"/>
        <v>181</v>
      </c>
      <c r="DL17" s="8">
        <f t="shared" si="3"/>
        <v>43</v>
      </c>
      <c r="DM17" s="8">
        <f t="shared" si="4"/>
        <v>181</v>
      </c>
      <c r="DN17" s="8">
        <f t="shared" si="5"/>
        <v>135</v>
      </c>
      <c r="DO17" s="15">
        <f t="shared" si="6"/>
        <v>41.402062732287668</v>
      </c>
      <c r="DP17" s="15" t="str">
        <f t="shared" si="7"/>
        <v>OK - No Upgrade</v>
      </c>
      <c r="DQ17" s="15" t="str">
        <f t="shared" si="8"/>
        <v>Need to Balance</v>
      </c>
    </row>
    <row r="18" spans="1:121" ht="15.75" customHeight="1" x14ac:dyDescent="0.25">
      <c r="A18" s="8" t="s">
        <v>38</v>
      </c>
      <c r="B18" s="8" t="s">
        <v>385</v>
      </c>
      <c r="C18" s="8" t="s">
        <v>394</v>
      </c>
      <c r="D18" s="8" t="s">
        <v>415</v>
      </c>
      <c r="E18" s="8" t="s">
        <v>416</v>
      </c>
      <c r="F18" s="8" t="s">
        <v>43</v>
      </c>
      <c r="G18" s="8" t="s">
        <v>44</v>
      </c>
      <c r="H18" s="8">
        <v>315</v>
      </c>
      <c r="I18" s="8" t="s">
        <v>418</v>
      </c>
      <c r="J18" s="8">
        <v>2</v>
      </c>
      <c r="K18" s="8">
        <v>247</v>
      </c>
      <c r="L18" s="8">
        <v>245</v>
      </c>
      <c r="M18" s="8">
        <v>246</v>
      </c>
      <c r="N18" s="8">
        <v>427</v>
      </c>
      <c r="O18" s="8">
        <v>428</v>
      </c>
      <c r="P18" s="8">
        <v>427</v>
      </c>
      <c r="Q18" s="9" t="s">
        <v>47</v>
      </c>
      <c r="R18" s="16"/>
      <c r="S18" s="10">
        <v>27</v>
      </c>
      <c r="T18" s="10">
        <v>23</v>
      </c>
      <c r="U18" s="10">
        <v>36</v>
      </c>
      <c r="V18" s="11">
        <v>20</v>
      </c>
      <c r="W18" s="12" t="s">
        <v>47</v>
      </c>
      <c r="X18" s="17"/>
      <c r="Y18" s="13">
        <v>42</v>
      </c>
      <c r="Z18" s="13">
        <v>55</v>
      </c>
      <c r="AA18" s="13">
        <v>100</v>
      </c>
      <c r="AB18" s="14">
        <v>44</v>
      </c>
      <c r="AC18" s="9"/>
      <c r="AD18" s="16"/>
      <c r="AE18" s="10"/>
      <c r="AF18" s="10"/>
      <c r="AG18" s="10"/>
      <c r="AH18" s="11"/>
      <c r="AI18" s="12"/>
      <c r="AJ18" s="17"/>
      <c r="AK18" s="13"/>
      <c r="AL18" s="13"/>
      <c r="AM18" s="13"/>
      <c r="AN18" s="14"/>
      <c r="AO18" s="9"/>
      <c r="AP18" s="16"/>
      <c r="AQ18" s="10"/>
      <c r="AR18" s="10"/>
      <c r="AS18" s="10"/>
      <c r="AT18" s="11"/>
      <c r="AU18" s="12"/>
      <c r="AV18" s="17"/>
      <c r="AW18" s="13"/>
      <c r="AX18" s="13"/>
      <c r="AY18" s="13"/>
      <c r="AZ18" s="14"/>
      <c r="BA18" s="9"/>
      <c r="BB18" s="16"/>
      <c r="BC18" s="10"/>
      <c r="BD18" s="10"/>
      <c r="BE18" s="10"/>
      <c r="BF18" s="11"/>
      <c r="BG18" s="12"/>
      <c r="BH18" s="17"/>
      <c r="BI18" s="13"/>
      <c r="BJ18" s="13"/>
      <c r="BK18" s="13"/>
      <c r="BL18" s="14"/>
      <c r="BM18" s="9"/>
      <c r="BN18" s="16"/>
      <c r="BO18" s="10"/>
      <c r="BP18" s="10"/>
      <c r="BQ18" s="10"/>
      <c r="BR18" s="11"/>
      <c r="BS18" s="12"/>
      <c r="BT18" s="17"/>
      <c r="BU18" s="13"/>
      <c r="BV18" s="13"/>
      <c r="BW18" s="13"/>
      <c r="BX18" s="14"/>
      <c r="BY18" s="9"/>
      <c r="BZ18" s="16"/>
      <c r="CA18" s="10"/>
      <c r="CB18" s="10"/>
      <c r="CC18" s="10"/>
      <c r="CD18" s="11"/>
      <c r="CE18" s="12"/>
      <c r="CF18" s="17"/>
      <c r="CG18" s="13"/>
      <c r="CH18" s="13"/>
      <c r="CI18" s="13"/>
      <c r="CJ18" s="14"/>
      <c r="CK18" s="9"/>
      <c r="CL18" s="16"/>
      <c r="CM18" s="10"/>
      <c r="CN18" s="10"/>
      <c r="CO18" s="10"/>
      <c r="CP18" s="11"/>
      <c r="CQ18" s="12"/>
      <c r="CR18" s="17"/>
      <c r="CS18" s="13"/>
      <c r="CT18" s="13"/>
      <c r="CU18" s="13"/>
      <c r="CV18" s="14"/>
      <c r="CW18" s="9"/>
      <c r="CX18" s="16"/>
      <c r="CY18" s="10"/>
      <c r="CZ18" s="10"/>
      <c r="DA18" s="10"/>
      <c r="DB18" s="11"/>
      <c r="DC18" s="12"/>
      <c r="DD18" s="17"/>
      <c r="DE18" s="13"/>
      <c r="DF18" s="13"/>
      <c r="DG18" s="13"/>
      <c r="DH18" s="14"/>
      <c r="DI18" s="8">
        <f t="shared" si="0"/>
        <v>69</v>
      </c>
      <c r="DJ18" s="8">
        <f t="shared" si="1"/>
        <v>78</v>
      </c>
      <c r="DK18" s="8">
        <f t="shared" si="2"/>
        <v>136</v>
      </c>
      <c r="DL18" s="8">
        <f t="shared" si="3"/>
        <v>64</v>
      </c>
      <c r="DM18" s="8">
        <f t="shared" si="4"/>
        <v>136</v>
      </c>
      <c r="DN18" s="8">
        <f t="shared" si="5"/>
        <v>69</v>
      </c>
      <c r="DO18" s="15">
        <f t="shared" si="6"/>
        <v>31.931318887980904</v>
      </c>
      <c r="DP18" s="15" t="str">
        <f t="shared" si="7"/>
        <v>OK - No Upgrade</v>
      </c>
      <c r="DQ18" s="15" t="str">
        <f t="shared" si="8"/>
        <v>Need to Balance</v>
      </c>
    </row>
    <row r="19" spans="1:121" ht="15.75" customHeight="1" x14ac:dyDescent="0.25">
      <c r="A19" s="8" t="s">
        <v>38</v>
      </c>
      <c r="B19" s="8" t="s">
        <v>385</v>
      </c>
      <c r="C19" s="8" t="s">
        <v>394</v>
      </c>
      <c r="D19" s="8" t="s">
        <v>419</v>
      </c>
      <c r="E19" s="8" t="s">
        <v>420</v>
      </c>
      <c r="F19" s="8" t="s">
        <v>43</v>
      </c>
      <c r="G19" s="8" t="s">
        <v>44</v>
      </c>
      <c r="H19" s="8">
        <v>315</v>
      </c>
      <c r="I19" s="8" t="s">
        <v>421</v>
      </c>
      <c r="J19" s="8">
        <v>1</v>
      </c>
      <c r="K19" s="8">
        <v>239</v>
      </c>
      <c r="L19" s="8">
        <v>239</v>
      </c>
      <c r="M19" s="8">
        <v>243</v>
      </c>
      <c r="N19" s="8">
        <v>413</v>
      </c>
      <c r="O19" s="8">
        <v>421</v>
      </c>
      <c r="P19" s="8">
        <v>416</v>
      </c>
      <c r="Q19" s="9" t="s">
        <v>70</v>
      </c>
      <c r="R19" s="16"/>
      <c r="S19" s="10">
        <v>65</v>
      </c>
      <c r="T19" s="10">
        <v>65</v>
      </c>
      <c r="U19" s="10">
        <v>42</v>
      </c>
      <c r="V19" s="11">
        <v>24</v>
      </c>
      <c r="W19" s="12" t="s">
        <v>70</v>
      </c>
      <c r="X19" s="17"/>
      <c r="Y19" s="13">
        <v>110</v>
      </c>
      <c r="Z19" s="13">
        <v>84</v>
      </c>
      <c r="AA19" s="13">
        <v>59</v>
      </c>
      <c r="AB19" s="14">
        <v>39</v>
      </c>
      <c r="AC19" s="9"/>
      <c r="AD19" s="16"/>
      <c r="AE19" s="10"/>
      <c r="AF19" s="10"/>
      <c r="AG19" s="10"/>
      <c r="AH19" s="11"/>
      <c r="AI19" s="12"/>
      <c r="AJ19" s="17"/>
      <c r="AK19" s="13"/>
      <c r="AL19" s="13"/>
      <c r="AM19" s="13"/>
      <c r="AN19" s="14"/>
      <c r="AO19" s="9"/>
      <c r="AP19" s="16"/>
      <c r="AQ19" s="10"/>
      <c r="AR19" s="10"/>
      <c r="AS19" s="10"/>
      <c r="AT19" s="11"/>
      <c r="AU19" s="12"/>
      <c r="AV19" s="17"/>
      <c r="AW19" s="13"/>
      <c r="AX19" s="13"/>
      <c r="AY19" s="13"/>
      <c r="AZ19" s="14"/>
      <c r="BA19" s="9"/>
      <c r="BB19" s="16"/>
      <c r="BC19" s="10"/>
      <c r="BD19" s="10"/>
      <c r="BE19" s="10"/>
      <c r="BF19" s="11"/>
      <c r="BG19" s="12"/>
      <c r="BH19" s="17"/>
      <c r="BI19" s="13"/>
      <c r="BJ19" s="13"/>
      <c r="BK19" s="13"/>
      <c r="BL19" s="14"/>
      <c r="BM19" s="9"/>
      <c r="BN19" s="16"/>
      <c r="BO19" s="10"/>
      <c r="BP19" s="10"/>
      <c r="BQ19" s="10"/>
      <c r="BR19" s="11"/>
      <c r="BS19" s="12"/>
      <c r="BT19" s="17"/>
      <c r="BU19" s="13"/>
      <c r="BV19" s="13"/>
      <c r="BW19" s="13"/>
      <c r="BX19" s="14"/>
      <c r="BY19" s="9"/>
      <c r="BZ19" s="16"/>
      <c r="CA19" s="10"/>
      <c r="CB19" s="10"/>
      <c r="CC19" s="10"/>
      <c r="CD19" s="11"/>
      <c r="CE19" s="12"/>
      <c r="CF19" s="17"/>
      <c r="CG19" s="13"/>
      <c r="CH19" s="13"/>
      <c r="CI19" s="13"/>
      <c r="CJ19" s="14"/>
      <c r="CK19" s="9"/>
      <c r="CL19" s="16"/>
      <c r="CM19" s="10"/>
      <c r="CN19" s="10"/>
      <c r="CO19" s="10"/>
      <c r="CP19" s="11"/>
      <c r="CQ19" s="12"/>
      <c r="CR19" s="17"/>
      <c r="CS19" s="13"/>
      <c r="CT19" s="13"/>
      <c r="CU19" s="13"/>
      <c r="CV19" s="14"/>
      <c r="CW19" s="9"/>
      <c r="CX19" s="16"/>
      <c r="CY19" s="10"/>
      <c r="CZ19" s="10"/>
      <c r="DA19" s="10"/>
      <c r="DB19" s="11"/>
      <c r="DC19" s="12"/>
      <c r="DD19" s="17"/>
      <c r="DE19" s="13"/>
      <c r="DF19" s="13"/>
      <c r="DG19" s="13"/>
      <c r="DH19" s="14"/>
      <c r="DI19" s="8">
        <f t="shared" si="0"/>
        <v>175</v>
      </c>
      <c r="DJ19" s="8">
        <f t="shared" si="1"/>
        <v>149</v>
      </c>
      <c r="DK19" s="8">
        <f t="shared" si="2"/>
        <v>101</v>
      </c>
      <c r="DL19" s="8">
        <f t="shared" si="3"/>
        <v>63</v>
      </c>
      <c r="DM19" s="8">
        <f t="shared" si="4"/>
        <v>175</v>
      </c>
      <c r="DN19" s="8">
        <f t="shared" si="5"/>
        <v>101</v>
      </c>
      <c r="DO19" s="15">
        <f t="shared" si="6"/>
        <v>39.740943529219237</v>
      </c>
      <c r="DP19" s="15" t="str">
        <f t="shared" si="7"/>
        <v>OK - No Upgrade</v>
      </c>
      <c r="DQ19" s="15" t="str">
        <f t="shared" si="8"/>
        <v>Need to Balance</v>
      </c>
    </row>
    <row r="20" spans="1:121" ht="15.75" customHeight="1" x14ac:dyDescent="0.25">
      <c r="A20" s="8" t="s">
        <v>38</v>
      </c>
      <c r="B20" s="8" t="s">
        <v>385</v>
      </c>
      <c r="C20" s="8" t="s">
        <v>394</v>
      </c>
      <c r="D20" s="8" t="s">
        <v>419</v>
      </c>
      <c r="E20" s="8" t="s">
        <v>420</v>
      </c>
      <c r="F20" s="8" t="s">
        <v>43</v>
      </c>
      <c r="G20" s="8" t="s">
        <v>44</v>
      </c>
      <c r="H20" s="8">
        <v>315</v>
      </c>
      <c r="I20" s="8" t="s">
        <v>422</v>
      </c>
      <c r="J20" s="8">
        <v>2</v>
      </c>
      <c r="K20" s="8">
        <v>244</v>
      </c>
      <c r="L20" s="8">
        <v>243</v>
      </c>
      <c r="M20" s="8">
        <v>247</v>
      </c>
      <c r="N20" s="8">
        <v>423</v>
      </c>
      <c r="O20" s="8">
        <v>427</v>
      </c>
      <c r="P20" s="8">
        <v>424</v>
      </c>
      <c r="Q20" s="9" t="s">
        <v>47</v>
      </c>
      <c r="R20" s="16"/>
      <c r="S20" s="10">
        <v>36</v>
      </c>
      <c r="T20" s="10">
        <v>26</v>
      </c>
      <c r="U20" s="10">
        <v>0</v>
      </c>
      <c r="V20" s="11">
        <v>27</v>
      </c>
      <c r="W20" s="12" t="s">
        <v>47</v>
      </c>
      <c r="X20" s="17"/>
      <c r="Y20" s="13">
        <v>120</v>
      </c>
      <c r="Z20" s="13">
        <v>124</v>
      </c>
      <c r="AA20" s="13">
        <v>74</v>
      </c>
      <c r="AB20" s="14">
        <v>53</v>
      </c>
      <c r="AC20" s="9"/>
      <c r="AD20" s="16"/>
      <c r="AE20" s="10"/>
      <c r="AF20" s="10"/>
      <c r="AG20" s="10"/>
      <c r="AH20" s="11"/>
      <c r="AI20" s="12"/>
      <c r="AJ20" s="17"/>
      <c r="AK20" s="13"/>
      <c r="AL20" s="13"/>
      <c r="AM20" s="13"/>
      <c r="AN20" s="14"/>
      <c r="AO20" s="9"/>
      <c r="AP20" s="16"/>
      <c r="AQ20" s="10"/>
      <c r="AR20" s="10"/>
      <c r="AS20" s="10"/>
      <c r="AT20" s="11"/>
      <c r="AU20" s="12"/>
      <c r="AV20" s="17"/>
      <c r="AW20" s="13"/>
      <c r="AX20" s="13"/>
      <c r="AY20" s="13"/>
      <c r="AZ20" s="14"/>
      <c r="BA20" s="9"/>
      <c r="BB20" s="16"/>
      <c r="BC20" s="10"/>
      <c r="BD20" s="10"/>
      <c r="BE20" s="10"/>
      <c r="BF20" s="11"/>
      <c r="BG20" s="12"/>
      <c r="BH20" s="17"/>
      <c r="BI20" s="13"/>
      <c r="BJ20" s="13"/>
      <c r="BK20" s="13"/>
      <c r="BL20" s="14"/>
      <c r="BM20" s="9"/>
      <c r="BN20" s="16"/>
      <c r="BO20" s="10"/>
      <c r="BP20" s="10"/>
      <c r="BQ20" s="10"/>
      <c r="BR20" s="11"/>
      <c r="BS20" s="12"/>
      <c r="BT20" s="17"/>
      <c r="BU20" s="13"/>
      <c r="BV20" s="13"/>
      <c r="BW20" s="13"/>
      <c r="BX20" s="14"/>
      <c r="BY20" s="9"/>
      <c r="BZ20" s="16"/>
      <c r="CA20" s="10"/>
      <c r="CB20" s="10"/>
      <c r="CC20" s="10"/>
      <c r="CD20" s="11"/>
      <c r="CE20" s="12"/>
      <c r="CF20" s="17"/>
      <c r="CG20" s="13"/>
      <c r="CH20" s="13"/>
      <c r="CI20" s="13"/>
      <c r="CJ20" s="14"/>
      <c r="CK20" s="9"/>
      <c r="CL20" s="16"/>
      <c r="CM20" s="10"/>
      <c r="CN20" s="10"/>
      <c r="CO20" s="10"/>
      <c r="CP20" s="11"/>
      <c r="CQ20" s="12"/>
      <c r="CR20" s="17"/>
      <c r="CS20" s="13"/>
      <c r="CT20" s="13"/>
      <c r="CU20" s="13"/>
      <c r="CV20" s="14"/>
      <c r="CW20" s="9"/>
      <c r="CX20" s="16"/>
      <c r="CY20" s="10"/>
      <c r="CZ20" s="10"/>
      <c r="DA20" s="10"/>
      <c r="DB20" s="11"/>
      <c r="DC20" s="12"/>
      <c r="DD20" s="17"/>
      <c r="DE20" s="13"/>
      <c r="DF20" s="13"/>
      <c r="DG20" s="13"/>
      <c r="DH20" s="14"/>
      <c r="DI20" s="8">
        <f t="shared" si="0"/>
        <v>156</v>
      </c>
      <c r="DJ20" s="8">
        <f t="shared" si="1"/>
        <v>150</v>
      </c>
      <c r="DK20" s="8">
        <f t="shared" si="2"/>
        <v>74</v>
      </c>
      <c r="DL20" s="8">
        <f t="shared" si="3"/>
        <v>80</v>
      </c>
      <c r="DM20" s="8">
        <f t="shared" si="4"/>
        <v>156</v>
      </c>
      <c r="DN20" s="8">
        <f t="shared" si="5"/>
        <v>74</v>
      </c>
      <c r="DO20" s="15">
        <f t="shared" si="6"/>
        <v>36.283990060271456</v>
      </c>
      <c r="DP20" s="15" t="str">
        <f t="shared" si="7"/>
        <v>OK - No Upgrade</v>
      </c>
      <c r="DQ20" s="15" t="str">
        <f t="shared" si="8"/>
        <v>Need to Balance</v>
      </c>
    </row>
    <row r="21" spans="1:121" ht="15.75" customHeight="1" x14ac:dyDescent="0.25">
      <c r="A21" s="8" t="s">
        <v>38</v>
      </c>
      <c r="B21" s="8" t="s">
        <v>385</v>
      </c>
      <c r="C21" s="8" t="s">
        <v>394</v>
      </c>
      <c r="D21" s="8" t="s">
        <v>423</v>
      </c>
      <c r="E21" s="8" t="s">
        <v>424</v>
      </c>
      <c r="F21" s="8" t="s">
        <v>43</v>
      </c>
      <c r="G21" s="8" t="s">
        <v>44</v>
      </c>
      <c r="H21" s="8">
        <v>315</v>
      </c>
      <c r="I21" s="8" t="s">
        <v>425</v>
      </c>
      <c r="J21" s="8">
        <v>1</v>
      </c>
      <c r="K21" s="8">
        <v>241</v>
      </c>
      <c r="L21" s="8">
        <v>240</v>
      </c>
      <c r="M21" s="8">
        <v>243</v>
      </c>
      <c r="N21" s="8">
        <v>417</v>
      </c>
      <c r="O21" s="8">
        <v>422</v>
      </c>
      <c r="P21" s="8">
        <v>418</v>
      </c>
      <c r="Q21" s="9" t="s">
        <v>47</v>
      </c>
      <c r="R21" s="16"/>
      <c r="S21" s="10">
        <v>49</v>
      </c>
      <c r="T21" s="10">
        <v>71</v>
      </c>
      <c r="U21" s="10">
        <v>53</v>
      </c>
      <c r="V21" s="11">
        <v>22</v>
      </c>
      <c r="W21" s="12" t="s">
        <v>47</v>
      </c>
      <c r="X21" s="17"/>
      <c r="Y21" s="13">
        <v>45</v>
      </c>
      <c r="Z21" s="13">
        <v>40</v>
      </c>
      <c r="AA21" s="13">
        <v>63</v>
      </c>
      <c r="AB21" s="14">
        <v>20</v>
      </c>
      <c r="AC21" s="9" t="s">
        <v>47</v>
      </c>
      <c r="AD21" s="16"/>
      <c r="AE21" s="10">
        <v>89</v>
      </c>
      <c r="AF21" s="10">
        <v>44</v>
      </c>
      <c r="AG21" s="10">
        <v>10</v>
      </c>
      <c r="AH21" s="11">
        <v>62</v>
      </c>
      <c r="AI21" s="12"/>
      <c r="AJ21" s="17"/>
      <c r="AK21" s="13"/>
      <c r="AL21" s="13"/>
      <c r="AM21" s="13"/>
      <c r="AN21" s="14"/>
      <c r="AO21" s="9"/>
      <c r="AP21" s="16"/>
      <c r="AQ21" s="10"/>
      <c r="AR21" s="10"/>
      <c r="AS21" s="10"/>
      <c r="AT21" s="11"/>
      <c r="AU21" s="12"/>
      <c r="AV21" s="17"/>
      <c r="AW21" s="13"/>
      <c r="AX21" s="13"/>
      <c r="AY21" s="13"/>
      <c r="AZ21" s="14"/>
      <c r="BA21" s="9"/>
      <c r="BB21" s="16"/>
      <c r="BC21" s="10"/>
      <c r="BD21" s="10"/>
      <c r="BE21" s="10"/>
      <c r="BF21" s="11"/>
      <c r="BG21" s="12"/>
      <c r="BH21" s="17"/>
      <c r="BI21" s="13"/>
      <c r="BJ21" s="13"/>
      <c r="BK21" s="13"/>
      <c r="BL21" s="14"/>
      <c r="BM21" s="9"/>
      <c r="BN21" s="16"/>
      <c r="BO21" s="10"/>
      <c r="BP21" s="10"/>
      <c r="BQ21" s="10"/>
      <c r="BR21" s="11"/>
      <c r="BS21" s="12"/>
      <c r="BT21" s="17"/>
      <c r="BU21" s="13"/>
      <c r="BV21" s="13"/>
      <c r="BW21" s="13"/>
      <c r="BX21" s="14"/>
      <c r="BY21" s="9"/>
      <c r="BZ21" s="16"/>
      <c r="CA21" s="10"/>
      <c r="CB21" s="10"/>
      <c r="CC21" s="10"/>
      <c r="CD21" s="11"/>
      <c r="CE21" s="12"/>
      <c r="CF21" s="17"/>
      <c r="CG21" s="13"/>
      <c r="CH21" s="13"/>
      <c r="CI21" s="13"/>
      <c r="CJ21" s="14"/>
      <c r="CK21" s="9"/>
      <c r="CL21" s="16"/>
      <c r="CM21" s="10"/>
      <c r="CN21" s="10"/>
      <c r="CO21" s="10"/>
      <c r="CP21" s="11"/>
      <c r="CQ21" s="12"/>
      <c r="CR21" s="17"/>
      <c r="CS21" s="13"/>
      <c r="CT21" s="13"/>
      <c r="CU21" s="13"/>
      <c r="CV21" s="14"/>
      <c r="CW21" s="9"/>
      <c r="CX21" s="16"/>
      <c r="CY21" s="10"/>
      <c r="CZ21" s="10"/>
      <c r="DA21" s="10"/>
      <c r="DB21" s="11"/>
      <c r="DC21" s="12"/>
      <c r="DD21" s="17"/>
      <c r="DE21" s="13"/>
      <c r="DF21" s="13"/>
      <c r="DG21" s="13"/>
      <c r="DH21" s="14"/>
      <c r="DI21" s="8">
        <f t="shared" si="0"/>
        <v>183</v>
      </c>
      <c r="DJ21" s="8">
        <f t="shared" si="1"/>
        <v>155</v>
      </c>
      <c r="DK21" s="8">
        <f t="shared" si="2"/>
        <v>126</v>
      </c>
      <c r="DL21" s="8">
        <f t="shared" si="3"/>
        <v>104</v>
      </c>
      <c r="DM21" s="8">
        <f t="shared" si="4"/>
        <v>183</v>
      </c>
      <c r="DN21" s="8">
        <f t="shared" si="5"/>
        <v>126</v>
      </c>
      <c r="DO21" s="15">
        <f t="shared" si="6"/>
        <v>41.960167992504324</v>
      </c>
      <c r="DP21" s="15" t="str">
        <f t="shared" si="7"/>
        <v>OK - No Upgrade</v>
      </c>
      <c r="DQ21" s="15" t="str">
        <f t="shared" si="8"/>
        <v>Need to Balance</v>
      </c>
    </row>
    <row r="22" spans="1:121" ht="15.75" customHeight="1" x14ac:dyDescent="0.25">
      <c r="A22" s="8" t="s">
        <v>38</v>
      </c>
      <c r="B22" s="8" t="s">
        <v>385</v>
      </c>
      <c r="C22" s="8" t="s">
        <v>394</v>
      </c>
      <c r="D22" s="8" t="s">
        <v>423</v>
      </c>
      <c r="E22" s="8" t="s">
        <v>424</v>
      </c>
      <c r="F22" s="8" t="s">
        <v>43</v>
      </c>
      <c r="G22" s="8" t="s">
        <v>44</v>
      </c>
      <c r="H22" s="8">
        <v>315</v>
      </c>
      <c r="I22" s="8" t="s">
        <v>426</v>
      </c>
      <c r="J22" s="8">
        <v>2</v>
      </c>
      <c r="K22" s="8">
        <v>246</v>
      </c>
      <c r="L22" s="8">
        <v>245</v>
      </c>
      <c r="M22" s="8">
        <v>247</v>
      </c>
      <c r="N22" s="8">
        <v>426</v>
      </c>
      <c r="O22" s="8">
        <v>428</v>
      </c>
      <c r="P22" s="8">
        <v>427</v>
      </c>
      <c r="Q22" s="9" t="s">
        <v>47</v>
      </c>
      <c r="R22" s="16"/>
      <c r="S22" s="10">
        <v>13</v>
      </c>
      <c r="T22" s="10">
        <v>11</v>
      </c>
      <c r="U22" s="10">
        <v>35</v>
      </c>
      <c r="V22" s="11">
        <v>16</v>
      </c>
      <c r="W22" s="12" t="s">
        <v>47</v>
      </c>
      <c r="X22" s="17"/>
      <c r="Y22" s="13">
        <v>36</v>
      </c>
      <c r="Z22" s="13">
        <v>16</v>
      </c>
      <c r="AA22" s="13">
        <v>47</v>
      </c>
      <c r="AB22" s="14">
        <v>24</v>
      </c>
      <c r="AC22" s="9" t="s">
        <v>47</v>
      </c>
      <c r="AD22" s="16"/>
      <c r="AE22" s="10">
        <v>71</v>
      </c>
      <c r="AF22" s="10">
        <v>41</v>
      </c>
      <c r="AG22" s="10">
        <v>15</v>
      </c>
      <c r="AH22" s="11">
        <v>44</v>
      </c>
      <c r="AI22" s="12"/>
      <c r="AJ22" s="17"/>
      <c r="AK22" s="13"/>
      <c r="AL22" s="13"/>
      <c r="AM22" s="13"/>
      <c r="AN22" s="14"/>
      <c r="AO22" s="9"/>
      <c r="AP22" s="16"/>
      <c r="AQ22" s="10"/>
      <c r="AR22" s="10"/>
      <c r="AS22" s="10"/>
      <c r="AT22" s="11"/>
      <c r="AU22" s="12"/>
      <c r="AV22" s="17"/>
      <c r="AW22" s="13"/>
      <c r="AX22" s="13"/>
      <c r="AY22" s="13"/>
      <c r="AZ22" s="14"/>
      <c r="BA22" s="9"/>
      <c r="BB22" s="16"/>
      <c r="BC22" s="10"/>
      <c r="BD22" s="10"/>
      <c r="BE22" s="10"/>
      <c r="BF22" s="11"/>
      <c r="BG22" s="12"/>
      <c r="BH22" s="17"/>
      <c r="BI22" s="13"/>
      <c r="BJ22" s="13"/>
      <c r="BK22" s="13"/>
      <c r="BL22" s="14"/>
      <c r="BM22" s="9"/>
      <c r="BN22" s="16"/>
      <c r="BO22" s="10"/>
      <c r="BP22" s="10"/>
      <c r="BQ22" s="10"/>
      <c r="BR22" s="11"/>
      <c r="BS22" s="12"/>
      <c r="BT22" s="17"/>
      <c r="BU22" s="13"/>
      <c r="BV22" s="13"/>
      <c r="BW22" s="13"/>
      <c r="BX22" s="14"/>
      <c r="BY22" s="9"/>
      <c r="BZ22" s="16"/>
      <c r="CA22" s="10"/>
      <c r="CB22" s="10"/>
      <c r="CC22" s="10"/>
      <c r="CD22" s="11"/>
      <c r="CE22" s="12"/>
      <c r="CF22" s="17"/>
      <c r="CG22" s="13"/>
      <c r="CH22" s="13"/>
      <c r="CI22" s="13"/>
      <c r="CJ22" s="14"/>
      <c r="CK22" s="9"/>
      <c r="CL22" s="16"/>
      <c r="CM22" s="10"/>
      <c r="CN22" s="10"/>
      <c r="CO22" s="10"/>
      <c r="CP22" s="11"/>
      <c r="CQ22" s="12"/>
      <c r="CR22" s="17"/>
      <c r="CS22" s="13"/>
      <c r="CT22" s="13"/>
      <c r="CU22" s="13"/>
      <c r="CV22" s="14"/>
      <c r="CW22" s="9"/>
      <c r="CX22" s="16"/>
      <c r="CY22" s="10"/>
      <c r="CZ22" s="10"/>
      <c r="DA22" s="10"/>
      <c r="DB22" s="11"/>
      <c r="DC22" s="12"/>
      <c r="DD22" s="17"/>
      <c r="DE22" s="13"/>
      <c r="DF22" s="13"/>
      <c r="DG22" s="13"/>
      <c r="DH22" s="14"/>
      <c r="DI22" s="8">
        <f t="shared" si="0"/>
        <v>120</v>
      </c>
      <c r="DJ22" s="8">
        <f t="shared" si="1"/>
        <v>68</v>
      </c>
      <c r="DK22" s="8">
        <f t="shared" si="2"/>
        <v>97</v>
      </c>
      <c r="DL22" s="8">
        <f t="shared" si="3"/>
        <v>84</v>
      </c>
      <c r="DM22" s="8">
        <f t="shared" si="4"/>
        <v>120</v>
      </c>
      <c r="DN22" s="8">
        <f t="shared" si="5"/>
        <v>68</v>
      </c>
      <c r="DO22" s="15">
        <f t="shared" si="6"/>
        <v>28.108710248546348</v>
      </c>
      <c r="DP22" s="15" t="str">
        <f t="shared" si="7"/>
        <v>OK - No Upgrade</v>
      </c>
      <c r="DQ22" s="15" t="str">
        <f t="shared" si="8"/>
        <v>Need to Balance</v>
      </c>
    </row>
    <row r="23" spans="1:121" ht="15.75" customHeight="1" x14ac:dyDescent="0.25">
      <c r="A23" s="8" t="s">
        <v>38</v>
      </c>
      <c r="B23" s="8" t="s">
        <v>385</v>
      </c>
      <c r="C23" s="8" t="s">
        <v>394</v>
      </c>
      <c r="D23" s="8" t="s">
        <v>427</v>
      </c>
      <c r="E23" s="8" t="s">
        <v>428</v>
      </c>
      <c r="F23" s="8" t="s">
        <v>43</v>
      </c>
      <c r="G23" s="8" t="s">
        <v>44</v>
      </c>
      <c r="H23" s="8">
        <v>315</v>
      </c>
      <c r="I23" s="8" t="s">
        <v>429</v>
      </c>
      <c r="J23" s="8">
        <v>1</v>
      </c>
      <c r="K23" s="8">
        <v>241</v>
      </c>
      <c r="L23" s="8">
        <v>243</v>
      </c>
      <c r="M23" s="8">
        <v>239</v>
      </c>
      <c r="N23" s="8">
        <v>419</v>
      </c>
      <c r="O23" s="8">
        <v>417</v>
      </c>
      <c r="P23" s="8">
        <v>412</v>
      </c>
      <c r="Q23" s="9" t="s">
        <v>47</v>
      </c>
      <c r="R23" s="16"/>
      <c r="S23" s="10">
        <v>112</v>
      </c>
      <c r="T23" s="10">
        <v>18</v>
      </c>
      <c r="U23" s="10">
        <v>92</v>
      </c>
      <c r="V23" s="11">
        <v>86</v>
      </c>
      <c r="W23" s="12" t="s">
        <v>47</v>
      </c>
      <c r="X23" s="17"/>
      <c r="Y23" s="13">
        <v>138</v>
      </c>
      <c r="Z23" s="13">
        <v>63</v>
      </c>
      <c r="AA23" s="13">
        <v>145</v>
      </c>
      <c r="AB23" s="14">
        <v>77</v>
      </c>
      <c r="AC23" s="9"/>
      <c r="AD23" s="16"/>
      <c r="AE23" s="10"/>
      <c r="AF23" s="10"/>
      <c r="AG23" s="10"/>
      <c r="AH23" s="11"/>
      <c r="AI23" s="12"/>
      <c r="AJ23" s="17"/>
      <c r="AK23" s="13"/>
      <c r="AL23" s="13"/>
      <c r="AM23" s="13"/>
      <c r="AN23" s="14"/>
      <c r="AO23" s="9"/>
      <c r="AP23" s="16"/>
      <c r="AQ23" s="10"/>
      <c r="AR23" s="10"/>
      <c r="AS23" s="10"/>
      <c r="AT23" s="11"/>
      <c r="AU23" s="12"/>
      <c r="AV23" s="17"/>
      <c r="AW23" s="13"/>
      <c r="AX23" s="13"/>
      <c r="AY23" s="13"/>
      <c r="AZ23" s="14"/>
      <c r="BA23" s="9"/>
      <c r="BB23" s="16"/>
      <c r="BC23" s="10"/>
      <c r="BD23" s="10"/>
      <c r="BE23" s="10"/>
      <c r="BF23" s="11"/>
      <c r="BG23" s="12"/>
      <c r="BH23" s="17"/>
      <c r="BI23" s="13"/>
      <c r="BJ23" s="13"/>
      <c r="BK23" s="13"/>
      <c r="BL23" s="14"/>
      <c r="BM23" s="9"/>
      <c r="BN23" s="16"/>
      <c r="BO23" s="10"/>
      <c r="BP23" s="10"/>
      <c r="BQ23" s="10"/>
      <c r="BR23" s="11"/>
      <c r="BS23" s="12"/>
      <c r="BT23" s="17"/>
      <c r="BU23" s="13"/>
      <c r="BV23" s="13"/>
      <c r="BW23" s="13"/>
      <c r="BX23" s="14"/>
      <c r="BY23" s="9"/>
      <c r="BZ23" s="16"/>
      <c r="CA23" s="10"/>
      <c r="CB23" s="10"/>
      <c r="CC23" s="10"/>
      <c r="CD23" s="11"/>
      <c r="CE23" s="12"/>
      <c r="CF23" s="17"/>
      <c r="CG23" s="13"/>
      <c r="CH23" s="13"/>
      <c r="CI23" s="13"/>
      <c r="CJ23" s="14"/>
      <c r="CK23" s="9"/>
      <c r="CL23" s="16"/>
      <c r="CM23" s="10"/>
      <c r="CN23" s="10"/>
      <c r="CO23" s="10"/>
      <c r="CP23" s="11"/>
      <c r="CQ23" s="12"/>
      <c r="CR23" s="17"/>
      <c r="CS23" s="13"/>
      <c r="CT23" s="13"/>
      <c r="CU23" s="13"/>
      <c r="CV23" s="14"/>
      <c r="CW23" s="9"/>
      <c r="CX23" s="16"/>
      <c r="CY23" s="10"/>
      <c r="CZ23" s="10"/>
      <c r="DA23" s="10"/>
      <c r="DB23" s="11"/>
      <c r="DC23" s="12"/>
      <c r="DD23" s="17"/>
      <c r="DE23" s="13"/>
      <c r="DF23" s="13"/>
      <c r="DG23" s="13"/>
      <c r="DH23" s="14"/>
      <c r="DI23" s="8">
        <f t="shared" si="0"/>
        <v>250</v>
      </c>
      <c r="DJ23" s="8">
        <f t="shared" si="1"/>
        <v>81</v>
      </c>
      <c r="DK23" s="8">
        <f t="shared" si="2"/>
        <v>237</v>
      </c>
      <c r="DL23" s="8">
        <f t="shared" si="3"/>
        <v>163</v>
      </c>
      <c r="DM23" s="8">
        <f t="shared" si="4"/>
        <v>250</v>
      </c>
      <c r="DN23" s="8">
        <f t="shared" si="5"/>
        <v>81</v>
      </c>
      <c r="DO23" s="15">
        <f t="shared" si="6"/>
        <v>57.597562569155528</v>
      </c>
      <c r="DP23" s="15" t="str">
        <f t="shared" si="7"/>
        <v>OK - No Upgrade</v>
      </c>
      <c r="DQ23" s="15" t="str">
        <f t="shared" si="8"/>
        <v>Need to Balance</v>
      </c>
    </row>
    <row r="24" spans="1:121" ht="15.75" customHeight="1" x14ac:dyDescent="0.25">
      <c r="A24" s="8" t="s">
        <v>38</v>
      </c>
      <c r="B24" s="8" t="s">
        <v>385</v>
      </c>
      <c r="C24" s="8" t="s">
        <v>394</v>
      </c>
      <c r="D24" s="8" t="s">
        <v>427</v>
      </c>
      <c r="E24" s="8" t="s">
        <v>428</v>
      </c>
      <c r="F24" s="8" t="s">
        <v>43</v>
      </c>
      <c r="G24" s="8" t="s">
        <v>44</v>
      </c>
      <c r="H24" s="8">
        <v>315</v>
      </c>
      <c r="I24" s="8" t="s">
        <v>430</v>
      </c>
      <c r="J24" s="8">
        <v>2</v>
      </c>
      <c r="K24" s="8">
        <v>245</v>
      </c>
      <c r="L24" s="8">
        <v>246</v>
      </c>
      <c r="M24" s="8">
        <v>243</v>
      </c>
      <c r="N24" s="8">
        <v>426</v>
      </c>
      <c r="O24" s="8">
        <v>423</v>
      </c>
      <c r="P24" s="8">
        <v>426</v>
      </c>
      <c r="Q24" s="9" t="s">
        <v>47</v>
      </c>
      <c r="R24" s="16"/>
      <c r="S24" s="10">
        <v>125</v>
      </c>
      <c r="T24" s="10">
        <v>83</v>
      </c>
      <c r="U24" s="10">
        <v>132</v>
      </c>
      <c r="V24" s="11">
        <v>46</v>
      </c>
      <c r="W24" s="12" t="s">
        <v>47</v>
      </c>
      <c r="X24" s="17"/>
      <c r="Y24" s="13">
        <v>81</v>
      </c>
      <c r="Z24" s="13">
        <v>44</v>
      </c>
      <c r="AA24" s="13">
        <v>78</v>
      </c>
      <c r="AB24" s="14">
        <v>41</v>
      </c>
      <c r="AC24" s="9"/>
      <c r="AD24" s="16"/>
      <c r="AE24" s="10"/>
      <c r="AF24" s="10"/>
      <c r="AG24" s="10"/>
      <c r="AH24" s="11"/>
      <c r="AI24" s="12"/>
      <c r="AJ24" s="17"/>
      <c r="AK24" s="13"/>
      <c r="AL24" s="13"/>
      <c r="AM24" s="13"/>
      <c r="AN24" s="14"/>
      <c r="AO24" s="9"/>
      <c r="AP24" s="16"/>
      <c r="AQ24" s="10"/>
      <c r="AR24" s="10"/>
      <c r="AS24" s="10"/>
      <c r="AT24" s="11"/>
      <c r="AU24" s="12"/>
      <c r="AV24" s="17"/>
      <c r="AW24" s="13"/>
      <c r="AX24" s="13"/>
      <c r="AY24" s="13"/>
      <c r="AZ24" s="14"/>
      <c r="BA24" s="9"/>
      <c r="BB24" s="16"/>
      <c r="BC24" s="10"/>
      <c r="BD24" s="10"/>
      <c r="BE24" s="10"/>
      <c r="BF24" s="11"/>
      <c r="BG24" s="12"/>
      <c r="BH24" s="17"/>
      <c r="BI24" s="13"/>
      <c r="BJ24" s="13"/>
      <c r="BK24" s="13"/>
      <c r="BL24" s="14"/>
      <c r="BM24" s="9"/>
      <c r="BN24" s="16"/>
      <c r="BO24" s="10"/>
      <c r="BP24" s="10"/>
      <c r="BQ24" s="10"/>
      <c r="BR24" s="11"/>
      <c r="BS24" s="12"/>
      <c r="BT24" s="17"/>
      <c r="BU24" s="13"/>
      <c r="BV24" s="13"/>
      <c r="BW24" s="13"/>
      <c r="BX24" s="14"/>
      <c r="BY24" s="9"/>
      <c r="BZ24" s="16"/>
      <c r="CA24" s="10"/>
      <c r="CB24" s="10"/>
      <c r="CC24" s="10"/>
      <c r="CD24" s="11"/>
      <c r="CE24" s="12"/>
      <c r="CF24" s="17"/>
      <c r="CG24" s="13"/>
      <c r="CH24" s="13"/>
      <c r="CI24" s="13"/>
      <c r="CJ24" s="14"/>
      <c r="CK24" s="9"/>
      <c r="CL24" s="16"/>
      <c r="CM24" s="10"/>
      <c r="CN24" s="10"/>
      <c r="CO24" s="10"/>
      <c r="CP24" s="11"/>
      <c r="CQ24" s="12"/>
      <c r="CR24" s="17"/>
      <c r="CS24" s="13"/>
      <c r="CT24" s="13"/>
      <c r="CU24" s="13"/>
      <c r="CV24" s="14"/>
      <c r="CW24" s="9"/>
      <c r="CX24" s="16"/>
      <c r="CY24" s="10"/>
      <c r="CZ24" s="10"/>
      <c r="DA24" s="10"/>
      <c r="DB24" s="11"/>
      <c r="DC24" s="12"/>
      <c r="DD24" s="17"/>
      <c r="DE24" s="13"/>
      <c r="DF24" s="13"/>
      <c r="DG24" s="13"/>
      <c r="DH24" s="14"/>
      <c r="DI24" s="8">
        <f t="shared" si="0"/>
        <v>206</v>
      </c>
      <c r="DJ24" s="8">
        <f t="shared" si="1"/>
        <v>127</v>
      </c>
      <c r="DK24" s="8">
        <f t="shared" si="2"/>
        <v>210</v>
      </c>
      <c r="DL24" s="8">
        <f t="shared" si="3"/>
        <v>87</v>
      </c>
      <c r="DM24" s="8">
        <f t="shared" si="4"/>
        <v>210</v>
      </c>
      <c r="DN24" s="8">
        <f t="shared" si="5"/>
        <v>127</v>
      </c>
      <c r="DO24" s="15">
        <f t="shared" si="6"/>
        <v>49.19024293495611</v>
      </c>
      <c r="DP24" s="15" t="str">
        <f t="shared" si="7"/>
        <v>OK - No Upgrade</v>
      </c>
      <c r="DQ24" s="15" t="str">
        <f t="shared" si="8"/>
        <v>Need to Balance</v>
      </c>
    </row>
    <row r="25" spans="1:121" ht="15.75" customHeight="1" x14ac:dyDescent="0.25">
      <c r="A25" s="8" t="s">
        <v>38</v>
      </c>
      <c r="B25" s="8" t="s">
        <v>385</v>
      </c>
      <c r="C25" s="8" t="s">
        <v>394</v>
      </c>
      <c r="D25" s="8" t="s">
        <v>431</v>
      </c>
      <c r="E25" s="8" t="s">
        <v>432</v>
      </c>
      <c r="F25" s="8" t="s">
        <v>56</v>
      </c>
      <c r="G25" s="8" t="s">
        <v>44</v>
      </c>
      <c r="H25" s="8">
        <v>1000</v>
      </c>
      <c r="I25" s="8" t="s">
        <v>433</v>
      </c>
      <c r="J25" s="8">
        <v>1</v>
      </c>
      <c r="K25" s="8">
        <v>243</v>
      </c>
      <c r="L25" s="8">
        <v>243</v>
      </c>
      <c r="M25" s="8">
        <v>244</v>
      </c>
      <c r="N25" s="8">
        <v>421</v>
      </c>
      <c r="O25" s="8">
        <v>424</v>
      </c>
      <c r="P25" s="8">
        <v>423</v>
      </c>
      <c r="Q25" s="9"/>
      <c r="R25" s="16"/>
      <c r="S25" s="10"/>
      <c r="T25" s="10"/>
      <c r="U25" s="10"/>
      <c r="V25" s="11"/>
      <c r="W25" s="12" t="s">
        <v>46</v>
      </c>
      <c r="X25" s="17"/>
      <c r="Y25" s="13">
        <v>41</v>
      </c>
      <c r="Z25" s="13">
        <v>155</v>
      </c>
      <c r="AA25" s="13">
        <v>138</v>
      </c>
      <c r="AB25" s="14">
        <v>74</v>
      </c>
      <c r="AC25" s="9" t="s">
        <v>46</v>
      </c>
      <c r="AD25" s="16"/>
      <c r="AE25" s="10">
        <v>40</v>
      </c>
      <c r="AF25" s="10">
        <v>29</v>
      </c>
      <c r="AG25" s="10">
        <v>56</v>
      </c>
      <c r="AH25" s="11">
        <v>25</v>
      </c>
      <c r="AI25" s="12" t="s">
        <v>46</v>
      </c>
      <c r="AJ25" s="17"/>
      <c r="AK25" s="13">
        <v>91</v>
      </c>
      <c r="AL25" s="13">
        <v>27</v>
      </c>
      <c r="AM25" s="13">
        <v>38</v>
      </c>
      <c r="AN25" s="14">
        <v>56</v>
      </c>
      <c r="AO25" s="9" t="s">
        <v>47</v>
      </c>
      <c r="AP25" s="16"/>
      <c r="AQ25" s="10">
        <v>86</v>
      </c>
      <c r="AR25" s="10">
        <v>74</v>
      </c>
      <c r="AS25" s="10">
        <v>101</v>
      </c>
      <c r="AT25" s="11">
        <v>54</v>
      </c>
      <c r="AU25" s="12" t="s">
        <v>70</v>
      </c>
      <c r="AV25" s="17"/>
      <c r="AW25" s="13">
        <v>79</v>
      </c>
      <c r="AX25" s="13">
        <v>95</v>
      </c>
      <c r="AY25" s="13">
        <v>84</v>
      </c>
      <c r="AZ25" s="14">
        <v>45</v>
      </c>
      <c r="BA25" s="9" t="s">
        <v>70</v>
      </c>
      <c r="BB25" s="16"/>
      <c r="BC25" s="10">
        <v>84</v>
      </c>
      <c r="BD25" s="10">
        <v>23</v>
      </c>
      <c r="BE25" s="10">
        <v>25</v>
      </c>
      <c r="BF25" s="11">
        <v>35</v>
      </c>
      <c r="BG25" s="12"/>
      <c r="BH25" s="17"/>
      <c r="BI25" s="13"/>
      <c r="BJ25" s="13"/>
      <c r="BK25" s="13"/>
      <c r="BL25" s="14"/>
      <c r="BM25" s="9"/>
      <c r="BN25" s="16"/>
      <c r="BO25" s="10"/>
      <c r="BP25" s="10"/>
      <c r="BQ25" s="10"/>
      <c r="BR25" s="11"/>
      <c r="BS25" s="12"/>
      <c r="BT25" s="17"/>
      <c r="BU25" s="13"/>
      <c r="BV25" s="13"/>
      <c r="BW25" s="13"/>
      <c r="BX25" s="14"/>
      <c r="BY25" s="9"/>
      <c r="BZ25" s="16"/>
      <c r="CA25" s="10"/>
      <c r="CB25" s="10"/>
      <c r="CC25" s="10"/>
      <c r="CD25" s="11"/>
      <c r="CE25" s="12"/>
      <c r="CF25" s="17"/>
      <c r="CG25" s="13"/>
      <c r="CH25" s="13"/>
      <c r="CI25" s="13"/>
      <c r="CJ25" s="14"/>
      <c r="CK25" s="9"/>
      <c r="CL25" s="16"/>
      <c r="CM25" s="10"/>
      <c r="CN25" s="10"/>
      <c r="CO25" s="10"/>
      <c r="CP25" s="11"/>
      <c r="CQ25" s="12"/>
      <c r="CR25" s="17"/>
      <c r="CS25" s="13"/>
      <c r="CT25" s="13"/>
      <c r="CU25" s="13"/>
      <c r="CV25" s="14"/>
      <c r="CW25" s="9"/>
      <c r="CX25" s="16"/>
      <c r="CY25" s="10"/>
      <c r="CZ25" s="10"/>
      <c r="DA25" s="10"/>
      <c r="DB25" s="11"/>
      <c r="DC25" s="12"/>
      <c r="DD25" s="17"/>
      <c r="DE25" s="13"/>
      <c r="DF25" s="13"/>
      <c r="DG25" s="13"/>
      <c r="DH25" s="14"/>
      <c r="DI25" s="8">
        <f t="shared" si="0"/>
        <v>421</v>
      </c>
      <c r="DJ25" s="8">
        <f t="shared" si="1"/>
        <v>403</v>
      </c>
      <c r="DK25" s="8">
        <f t="shared" si="2"/>
        <v>442</v>
      </c>
      <c r="DL25" s="8">
        <f t="shared" si="3"/>
        <v>289</v>
      </c>
      <c r="DM25" s="8">
        <f t="shared" si="4"/>
        <v>442</v>
      </c>
      <c r="DN25" s="8">
        <f t="shared" si="5"/>
        <v>403</v>
      </c>
      <c r="DO25" s="15">
        <f t="shared" si="6"/>
        <v>32.230347837403187</v>
      </c>
      <c r="DP25" s="15" t="str">
        <f t="shared" si="7"/>
        <v>OK - No Upgrade</v>
      </c>
      <c r="DQ25" s="15" t="str">
        <f t="shared" si="8"/>
        <v>OK - Balanced</v>
      </c>
    </row>
    <row r="26" spans="1:121" ht="15.75" customHeight="1" x14ac:dyDescent="0.25">
      <c r="A26" s="8" t="s">
        <v>38</v>
      </c>
      <c r="B26" s="8" t="s">
        <v>385</v>
      </c>
      <c r="C26" s="8" t="s">
        <v>394</v>
      </c>
      <c r="D26" s="8" t="s">
        <v>431</v>
      </c>
      <c r="E26" s="8" t="s">
        <v>432</v>
      </c>
      <c r="F26" s="8" t="s">
        <v>56</v>
      </c>
      <c r="G26" s="8" t="s">
        <v>44</v>
      </c>
      <c r="H26" s="8">
        <v>1000</v>
      </c>
      <c r="I26" s="8" t="s">
        <v>434</v>
      </c>
      <c r="J26" s="8">
        <v>2</v>
      </c>
      <c r="K26" s="8">
        <v>245</v>
      </c>
      <c r="L26" s="8">
        <v>246</v>
      </c>
      <c r="M26" s="8">
        <v>243</v>
      </c>
      <c r="N26" s="8">
        <v>424</v>
      </c>
      <c r="O26" s="8">
        <v>425</v>
      </c>
      <c r="P26" s="8">
        <v>421</v>
      </c>
      <c r="Q26" s="9"/>
      <c r="R26" s="16"/>
      <c r="S26" s="10"/>
      <c r="T26" s="10"/>
      <c r="U26" s="10"/>
      <c r="V26" s="11"/>
      <c r="W26" s="12" t="s">
        <v>47</v>
      </c>
      <c r="X26" s="17"/>
      <c r="Y26" s="13">
        <v>83</v>
      </c>
      <c r="Z26" s="13">
        <v>181</v>
      </c>
      <c r="AA26" s="13">
        <v>83</v>
      </c>
      <c r="AB26" s="14">
        <v>72</v>
      </c>
      <c r="AC26" s="9" t="s">
        <v>46</v>
      </c>
      <c r="AD26" s="16"/>
      <c r="AE26" s="10">
        <v>13</v>
      </c>
      <c r="AF26" s="10">
        <v>43</v>
      </c>
      <c r="AG26" s="10">
        <v>42</v>
      </c>
      <c r="AH26" s="11">
        <v>38</v>
      </c>
      <c r="AI26" s="12" t="s">
        <v>47</v>
      </c>
      <c r="AJ26" s="17"/>
      <c r="AK26" s="13">
        <v>87</v>
      </c>
      <c r="AL26" s="13">
        <v>51</v>
      </c>
      <c r="AM26" s="13">
        <v>92</v>
      </c>
      <c r="AN26" s="14">
        <v>29</v>
      </c>
      <c r="AO26" s="9" t="s">
        <v>46</v>
      </c>
      <c r="AP26" s="16"/>
      <c r="AQ26" s="10">
        <v>36</v>
      </c>
      <c r="AR26" s="10">
        <v>139</v>
      </c>
      <c r="AS26" s="10">
        <v>67</v>
      </c>
      <c r="AT26" s="11">
        <v>59</v>
      </c>
      <c r="AU26" s="12" t="s">
        <v>47</v>
      </c>
      <c r="AV26" s="17"/>
      <c r="AW26" s="13">
        <v>42</v>
      </c>
      <c r="AX26" s="13">
        <v>103</v>
      </c>
      <c r="AY26" s="13">
        <v>88</v>
      </c>
      <c r="AZ26" s="14">
        <v>38</v>
      </c>
      <c r="BA26" s="9" t="s">
        <v>47</v>
      </c>
      <c r="BB26" s="16"/>
      <c r="BC26" s="10">
        <v>52</v>
      </c>
      <c r="BD26" s="10">
        <v>37</v>
      </c>
      <c r="BE26" s="10">
        <v>36</v>
      </c>
      <c r="BF26" s="11">
        <v>22</v>
      </c>
      <c r="BG26" s="12"/>
      <c r="BH26" s="17"/>
      <c r="BI26" s="13"/>
      <c r="BJ26" s="13"/>
      <c r="BK26" s="13"/>
      <c r="BL26" s="14"/>
      <c r="BM26" s="9"/>
      <c r="BN26" s="16"/>
      <c r="BO26" s="10"/>
      <c r="BP26" s="10"/>
      <c r="BQ26" s="10"/>
      <c r="BR26" s="11"/>
      <c r="BS26" s="12"/>
      <c r="BT26" s="17"/>
      <c r="BU26" s="13"/>
      <c r="BV26" s="13"/>
      <c r="BW26" s="13"/>
      <c r="BX26" s="14"/>
      <c r="BY26" s="9"/>
      <c r="BZ26" s="16"/>
      <c r="CA26" s="10"/>
      <c r="CB26" s="10"/>
      <c r="CC26" s="10"/>
      <c r="CD26" s="11"/>
      <c r="CE26" s="12"/>
      <c r="CF26" s="17"/>
      <c r="CG26" s="13"/>
      <c r="CH26" s="13"/>
      <c r="CI26" s="13"/>
      <c r="CJ26" s="14"/>
      <c r="CK26" s="9"/>
      <c r="CL26" s="16"/>
      <c r="CM26" s="10"/>
      <c r="CN26" s="10"/>
      <c r="CO26" s="10"/>
      <c r="CP26" s="11"/>
      <c r="CQ26" s="12"/>
      <c r="CR26" s="17"/>
      <c r="CS26" s="13"/>
      <c r="CT26" s="13"/>
      <c r="CU26" s="13"/>
      <c r="CV26" s="14"/>
      <c r="CW26" s="9"/>
      <c r="CX26" s="16"/>
      <c r="CY26" s="10"/>
      <c r="CZ26" s="10"/>
      <c r="DA26" s="10"/>
      <c r="DB26" s="11"/>
      <c r="DC26" s="12"/>
      <c r="DD26" s="17"/>
      <c r="DE26" s="13"/>
      <c r="DF26" s="13"/>
      <c r="DG26" s="13"/>
      <c r="DH26" s="14"/>
      <c r="DI26" s="8">
        <f t="shared" si="0"/>
        <v>313</v>
      </c>
      <c r="DJ26" s="8">
        <f t="shared" si="1"/>
        <v>554</v>
      </c>
      <c r="DK26" s="8">
        <f t="shared" si="2"/>
        <v>408</v>
      </c>
      <c r="DL26" s="8">
        <f t="shared" si="3"/>
        <v>258</v>
      </c>
      <c r="DM26" s="8">
        <f t="shared" si="4"/>
        <v>554</v>
      </c>
      <c r="DN26" s="8">
        <f t="shared" si="5"/>
        <v>313</v>
      </c>
      <c r="DO26" s="15">
        <f t="shared" si="6"/>
        <v>40.685180649469899</v>
      </c>
      <c r="DP26" s="15" t="str">
        <f t="shared" si="7"/>
        <v>OK - No Upgrade</v>
      </c>
      <c r="DQ26" s="15" t="str">
        <f t="shared" si="8"/>
        <v>Need to Balance</v>
      </c>
    </row>
    <row r="27" spans="1:121" ht="15.75" customHeight="1" x14ac:dyDescent="0.25">
      <c r="A27" s="8" t="s">
        <v>38</v>
      </c>
      <c r="B27" s="8" t="s">
        <v>385</v>
      </c>
      <c r="C27" s="8" t="s">
        <v>394</v>
      </c>
      <c r="D27" s="8" t="s">
        <v>435</v>
      </c>
      <c r="E27" s="8" t="s">
        <v>436</v>
      </c>
      <c r="F27" s="8" t="s">
        <v>56</v>
      </c>
      <c r="G27" s="8" t="s">
        <v>44</v>
      </c>
      <c r="H27" s="8">
        <v>1000</v>
      </c>
      <c r="I27" s="8" t="s">
        <v>437</v>
      </c>
      <c r="J27" s="8">
        <v>1</v>
      </c>
      <c r="K27" s="8">
        <v>244</v>
      </c>
      <c r="L27" s="8">
        <v>243</v>
      </c>
      <c r="M27" s="8">
        <v>245</v>
      </c>
      <c r="N27" s="8">
        <v>423</v>
      </c>
      <c r="O27" s="8">
        <v>426</v>
      </c>
      <c r="P27" s="8">
        <v>424</v>
      </c>
      <c r="Q27" s="9" t="s">
        <v>46</v>
      </c>
      <c r="R27" s="16"/>
      <c r="S27" s="10">
        <v>66</v>
      </c>
      <c r="T27" s="10">
        <v>67</v>
      </c>
      <c r="U27" s="10">
        <v>59</v>
      </c>
      <c r="V27" s="11">
        <v>23</v>
      </c>
      <c r="W27" s="12"/>
      <c r="X27" s="17"/>
      <c r="Y27" s="13"/>
      <c r="Z27" s="13"/>
      <c r="AA27" s="13"/>
      <c r="AB27" s="14"/>
      <c r="AC27" s="9" t="s">
        <v>46</v>
      </c>
      <c r="AD27" s="16"/>
      <c r="AE27" s="10">
        <v>74</v>
      </c>
      <c r="AF27" s="10">
        <v>107</v>
      </c>
      <c r="AG27" s="10">
        <v>56</v>
      </c>
      <c r="AH27" s="11">
        <v>46</v>
      </c>
      <c r="AI27" s="12" t="s">
        <v>47</v>
      </c>
      <c r="AJ27" s="17"/>
      <c r="AK27" s="13">
        <v>47</v>
      </c>
      <c r="AL27" s="13">
        <v>44</v>
      </c>
      <c r="AM27" s="13">
        <v>86</v>
      </c>
      <c r="AN27" s="14">
        <v>28</v>
      </c>
      <c r="AO27" s="9" t="s">
        <v>47</v>
      </c>
      <c r="AP27" s="16"/>
      <c r="AQ27" s="10">
        <v>73</v>
      </c>
      <c r="AR27" s="10">
        <v>116</v>
      </c>
      <c r="AS27" s="10">
        <v>138</v>
      </c>
      <c r="AT27" s="11">
        <v>54</v>
      </c>
      <c r="AU27" s="12"/>
      <c r="AV27" s="17"/>
      <c r="AW27" s="13"/>
      <c r="AX27" s="13"/>
      <c r="AY27" s="13"/>
      <c r="AZ27" s="14"/>
      <c r="BA27" s="9" t="s">
        <v>47</v>
      </c>
      <c r="BB27" s="16"/>
      <c r="BC27" s="10">
        <v>28</v>
      </c>
      <c r="BD27" s="10">
        <v>79</v>
      </c>
      <c r="BE27" s="10">
        <v>101</v>
      </c>
      <c r="BF27" s="11">
        <v>76</v>
      </c>
      <c r="BG27" s="12" t="s">
        <v>46</v>
      </c>
      <c r="BH27" s="17"/>
      <c r="BI27" s="13">
        <v>80</v>
      </c>
      <c r="BJ27" s="13">
        <v>118</v>
      </c>
      <c r="BK27" s="13">
        <v>114</v>
      </c>
      <c r="BL27" s="14">
        <v>25</v>
      </c>
      <c r="BM27" s="9"/>
      <c r="BN27" s="16"/>
      <c r="BO27" s="10"/>
      <c r="BP27" s="10"/>
      <c r="BQ27" s="10"/>
      <c r="BR27" s="11"/>
      <c r="BS27" s="12"/>
      <c r="BT27" s="17"/>
      <c r="BU27" s="13"/>
      <c r="BV27" s="13"/>
      <c r="BW27" s="13"/>
      <c r="BX27" s="14"/>
      <c r="BY27" s="9"/>
      <c r="BZ27" s="16"/>
      <c r="CA27" s="10"/>
      <c r="CB27" s="10"/>
      <c r="CC27" s="10"/>
      <c r="CD27" s="11"/>
      <c r="CE27" s="12"/>
      <c r="CF27" s="17"/>
      <c r="CG27" s="13"/>
      <c r="CH27" s="13"/>
      <c r="CI27" s="13"/>
      <c r="CJ27" s="14"/>
      <c r="CK27" s="9"/>
      <c r="CL27" s="16"/>
      <c r="CM27" s="10"/>
      <c r="CN27" s="10"/>
      <c r="CO27" s="10"/>
      <c r="CP27" s="11"/>
      <c r="CQ27" s="12"/>
      <c r="CR27" s="17"/>
      <c r="CS27" s="13"/>
      <c r="CT27" s="13"/>
      <c r="CU27" s="13"/>
      <c r="CV27" s="14"/>
      <c r="CW27" s="9"/>
      <c r="CX27" s="16"/>
      <c r="CY27" s="10"/>
      <c r="CZ27" s="10"/>
      <c r="DA27" s="10"/>
      <c r="DB27" s="11"/>
      <c r="DC27" s="12"/>
      <c r="DD27" s="17"/>
      <c r="DE27" s="13"/>
      <c r="DF27" s="13"/>
      <c r="DG27" s="13"/>
      <c r="DH27" s="14"/>
      <c r="DI27" s="8">
        <f t="shared" si="0"/>
        <v>368</v>
      </c>
      <c r="DJ27" s="8">
        <f t="shared" si="1"/>
        <v>531</v>
      </c>
      <c r="DK27" s="8">
        <f t="shared" si="2"/>
        <v>554</v>
      </c>
      <c r="DL27" s="8">
        <f t="shared" si="3"/>
        <v>252</v>
      </c>
      <c r="DM27" s="8">
        <f t="shared" si="4"/>
        <v>554</v>
      </c>
      <c r="DN27" s="8">
        <f t="shared" si="5"/>
        <v>368</v>
      </c>
      <c r="DO27" s="15">
        <f t="shared" si="6"/>
        <v>40.589225034730589</v>
      </c>
      <c r="DP27" s="15" t="str">
        <f t="shared" si="7"/>
        <v>OK - No Upgrade</v>
      </c>
      <c r="DQ27" s="15" t="str">
        <f t="shared" si="8"/>
        <v>Need to Balance</v>
      </c>
    </row>
    <row r="28" spans="1:121" ht="15.75" customHeight="1" x14ac:dyDescent="0.25">
      <c r="A28" s="8" t="s">
        <v>38</v>
      </c>
      <c r="B28" s="8" t="s">
        <v>385</v>
      </c>
      <c r="C28" s="8" t="s">
        <v>394</v>
      </c>
      <c r="D28" s="8" t="s">
        <v>435</v>
      </c>
      <c r="E28" s="8" t="s">
        <v>436</v>
      </c>
      <c r="F28" s="8" t="s">
        <v>56</v>
      </c>
      <c r="G28" s="8" t="s">
        <v>44</v>
      </c>
      <c r="H28" s="8">
        <v>1000</v>
      </c>
      <c r="I28" s="8" t="s">
        <v>438</v>
      </c>
      <c r="J28" s="8">
        <v>2</v>
      </c>
      <c r="K28" s="8">
        <v>248</v>
      </c>
      <c r="L28" s="8">
        <v>246</v>
      </c>
      <c r="M28" s="8">
        <v>247</v>
      </c>
      <c r="N28" s="8">
        <v>425</v>
      </c>
      <c r="O28" s="8">
        <v>426</v>
      </c>
      <c r="P28" s="8">
        <v>428</v>
      </c>
      <c r="Q28" s="9" t="s">
        <v>46</v>
      </c>
      <c r="R28" s="16"/>
      <c r="S28" s="10">
        <v>115</v>
      </c>
      <c r="T28" s="10">
        <v>131</v>
      </c>
      <c r="U28" s="10">
        <v>190</v>
      </c>
      <c r="V28" s="11">
        <v>69</v>
      </c>
      <c r="W28" s="12"/>
      <c r="X28" s="17"/>
      <c r="Y28" s="13"/>
      <c r="Z28" s="13"/>
      <c r="AA28" s="13"/>
      <c r="AB28" s="14"/>
      <c r="AC28" s="9" t="s">
        <v>46</v>
      </c>
      <c r="AD28" s="16"/>
      <c r="AE28" s="10">
        <v>105</v>
      </c>
      <c r="AF28" s="10">
        <v>137</v>
      </c>
      <c r="AG28" s="10">
        <v>92</v>
      </c>
      <c r="AH28" s="11">
        <v>38</v>
      </c>
      <c r="AI28" s="12" t="s">
        <v>47</v>
      </c>
      <c r="AJ28" s="17"/>
      <c r="AK28" s="13">
        <v>31</v>
      </c>
      <c r="AL28" s="13">
        <v>57</v>
      </c>
      <c r="AM28" s="13">
        <v>94</v>
      </c>
      <c r="AN28" s="14">
        <v>45</v>
      </c>
      <c r="AO28" s="9" t="s">
        <v>47</v>
      </c>
      <c r="AP28" s="16"/>
      <c r="AQ28" s="10">
        <v>54</v>
      </c>
      <c r="AR28" s="10">
        <v>76</v>
      </c>
      <c r="AS28" s="10">
        <v>86</v>
      </c>
      <c r="AT28" s="11">
        <v>27</v>
      </c>
      <c r="AU28" s="12"/>
      <c r="AV28" s="17"/>
      <c r="AW28" s="13"/>
      <c r="AX28" s="13"/>
      <c r="AY28" s="13"/>
      <c r="AZ28" s="14"/>
      <c r="BA28" s="9" t="s">
        <v>47</v>
      </c>
      <c r="BB28" s="16"/>
      <c r="BC28" s="10">
        <v>63</v>
      </c>
      <c r="BD28" s="10">
        <v>77</v>
      </c>
      <c r="BE28" s="10">
        <v>99</v>
      </c>
      <c r="BF28" s="11">
        <v>31</v>
      </c>
      <c r="BG28" s="12" t="s">
        <v>46</v>
      </c>
      <c r="BH28" s="17"/>
      <c r="BI28" s="13">
        <v>80</v>
      </c>
      <c r="BJ28" s="13">
        <v>52</v>
      </c>
      <c r="BK28" s="13">
        <v>128</v>
      </c>
      <c r="BL28" s="14">
        <v>51</v>
      </c>
      <c r="BM28" s="9"/>
      <c r="BN28" s="16"/>
      <c r="BO28" s="10"/>
      <c r="BP28" s="10"/>
      <c r="BQ28" s="10"/>
      <c r="BR28" s="11"/>
      <c r="BS28" s="12"/>
      <c r="BT28" s="17"/>
      <c r="BU28" s="13"/>
      <c r="BV28" s="13"/>
      <c r="BW28" s="13"/>
      <c r="BX28" s="14"/>
      <c r="BY28" s="9"/>
      <c r="BZ28" s="16"/>
      <c r="CA28" s="10"/>
      <c r="CB28" s="10"/>
      <c r="CC28" s="10"/>
      <c r="CD28" s="11"/>
      <c r="CE28" s="12"/>
      <c r="CF28" s="17"/>
      <c r="CG28" s="13"/>
      <c r="CH28" s="13"/>
      <c r="CI28" s="13"/>
      <c r="CJ28" s="14"/>
      <c r="CK28" s="9"/>
      <c r="CL28" s="16"/>
      <c r="CM28" s="10"/>
      <c r="CN28" s="10"/>
      <c r="CO28" s="10"/>
      <c r="CP28" s="11"/>
      <c r="CQ28" s="12"/>
      <c r="CR28" s="17"/>
      <c r="CS28" s="13"/>
      <c r="CT28" s="13"/>
      <c r="CU28" s="13"/>
      <c r="CV28" s="14"/>
      <c r="CW28" s="9"/>
      <c r="CX28" s="16"/>
      <c r="CY28" s="10"/>
      <c r="CZ28" s="10"/>
      <c r="DA28" s="10"/>
      <c r="DB28" s="11"/>
      <c r="DC28" s="12"/>
      <c r="DD28" s="17"/>
      <c r="DE28" s="13"/>
      <c r="DF28" s="13"/>
      <c r="DG28" s="13"/>
      <c r="DH28" s="14"/>
      <c r="DI28" s="8">
        <f t="shared" si="0"/>
        <v>448</v>
      </c>
      <c r="DJ28" s="8">
        <f t="shared" si="1"/>
        <v>530</v>
      </c>
      <c r="DK28" s="8">
        <f t="shared" si="2"/>
        <v>689</v>
      </c>
      <c r="DL28" s="8">
        <f t="shared" si="3"/>
        <v>261</v>
      </c>
      <c r="DM28" s="8">
        <f t="shared" si="4"/>
        <v>689</v>
      </c>
      <c r="DN28" s="8">
        <f t="shared" si="5"/>
        <v>448</v>
      </c>
      <c r="DO28" s="15">
        <f t="shared" si="6"/>
        <v>50.71877777263564</v>
      </c>
      <c r="DP28" s="15" t="str">
        <f t="shared" si="7"/>
        <v>OK - No Upgrade</v>
      </c>
      <c r="DQ28" s="15" t="str">
        <f t="shared" si="8"/>
        <v>Need to Balance</v>
      </c>
    </row>
    <row r="29" spans="1:121" ht="15.75" customHeight="1" x14ac:dyDescent="0.25">
      <c r="A29" s="8" t="s">
        <v>38</v>
      </c>
      <c r="B29" s="8" t="s">
        <v>385</v>
      </c>
      <c r="C29" s="8" t="s">
        <v>394</v>
      </c>
      <c r="D29" s="8" t="s">
        <v>439</v>
      </c>
      <c r="E29" s="8" t="s">
        <v>440</v>
      </c>
      <c r="F29" s="8" t="s">
        <v>56</v>
      </c>
      <c r="G29" s="8" t="s">
        <v>44</v>
      </c>
      <c r="H29" s="8">
        <v>1000</v>
      </c>
      <c r="I29" s="8" t="s">
        <v>441</v>
      </c>
      <c r="J29" s="8">
        <v>1</v>
      </c>
      <c r="K29" s="8">
        <v>245</v>
      </c>
      <c r="L29" s="8">
        <v>245</v>
      </c>
      <c r="M29" s="8">
        <v>247</v>
      </c>
      <c r="N29" s="8">
        <v>423</v>
      </c>
      <c r="O29" s="8">
        <v>429</v>
      </c>
      <c r="P29" s="8">
        <v>428</v>
      </c>
      <c r="Q29" s="9"/>
      <c r="R29" s="16"/>
      <c r="S29" s="10"/>
      <c r="T29" s="10"/>
      <c r="U29" s="10"/>
      <c r="V29" s="11"/>
      <c r="W29" s="12"/>
      <c r="X29" s="17"/>
      <c r="Y29" s="13"/>
      <c r="Z29" s="13"/>
      <c r="AA29" s="13"/>
      <c r="AB29" s="14"/>
      <c r="AC29" s="9" t="s">
        <v>46</v>
      </c>
      <c r="AD29" s="16"/>
      <c r="AE29" s="10">
        <v>148</v>
      </c>
      <c r="AF29" s="10">
        <v>59</v>
      </c>
      <c r="AG29" s="10">
        <v>85</v>
      </c>
      <c r="AH29" s="11">
        <v>24</v>
      </c>
      <c r="AI29" s="12"/>
      <c r="AJ29" s="17"/>
      <c r="AK29" s="13"/>
      <c r="AL29" s="13"/>
      <c r="AM29" s="13"/>
      <c r="AN29" s="14"/>
      <c r="AO29" s="9" t="s">
        <v>46</v>
      </c>
      <c r="AP29" s="16"/>
      <c r="AQ29" s="10">
        <v>133</v>
      </c>
      <c r="AR29" s="10">
        <v>127</v>
      </c>
      <c r="AS29" s="10">
        <v>200</v>
      </c>
      <c r="AT29" s="11">
        <v>52</v>
      </c>
      <c r="AU29" s="12" t="s">
        <v>46</v>
      </c>
      <c r="AV29" s="17"/>
      <c r="AW29" s="13">
        <v>83</v>
      </c>
      <c r="AX29" s="13">
        <v>108</v>
      </c>
      <c r="AY29" s="13">
        <v>66</v>
      </c>
      <c r="AZ29" s="14">
        <v>23</v>
      </c>
      <c r="BA29" s="9" t="s">
        <v>47</v>
      </c>
      <c r="BB29" s="16"/>
      <c r="BC29" s="10">
        <v>25</v>
      </c>
      <c r="BD29" s="10">
        <v>1</v>
      </c>
      <c r="BE29" s="10">
        <v>2</v>
      </c>
      <c r="BF29" s="11">
        <v>26</v>
      </c>
      <c r="BG29" s="12"/>
      <c r="BH29" s="17"/>
      <c r="BI29" s="13"/>
      <c r="BJ29" s="13"/>
      <c r="BK29" s="13"/>
      <c r="BL29" s="14"/>
      <c r="BM29" s="9"/>
      <c r="BN29" s="16"/>
      <c r="BO29" s="10"/>
      <c r="BP29" s="10"/>
      <c r="BQ29" s="10"/>
      <c r="BR29" s="11"/>
      <c r="BS29" s="12"/>
      <c r="BT29" s="17"/>
      <c r="BU29" s="13"/>
      <c r="BV29" s="13"/>
      <c r="BW29" s="13"/>
      <c r="BX29" s="14"/>
      <c r="BY29" s="9"/>
      <c r="BZ29" s="16"/>
      <c r="CA29" s="10"/>
      <c r="CB29" s="10"/>
      <c r="CC29" s="10"/>
      <c r="CD29" s="11"/>
      <c r="CE29" s="12"/>
      <c r="CF29" s="17"/>
      <c r="CG29" s="13"/>
      <c r="CH29" s="13"/>
      <c r="CI29" s="13"/>
      <c r="CJ29" s="14"/>
      <c r="CK29" s="9"/>
      <c r="CL29" s="16"/>
      <c r="CM29" s="10"/>
      <c r="CN29" s="10"/>
      <c r="CO29" s="10"/>
      <c r="CP29" s="11"/>
      <c r="CQ29" s="12"/>
      <c r="CR29" s="17"/>
      <c r="CS29" s="13"/>
      <c r="CT29" s="13"/>
      <c r="CU29" s="13"/>
      <c r="CV29" s="14"/>
      <c r="CW29" s="9"/>
      <c r="CX29" s="16"/>
      <c r="CY29" s="10"/>
      <c r="CZ29" s="10"/>
      <c r="DA29" s="10"/>
      <c r="DB29" s="11"/>
      <c r="DC29" s="12"/>
      <c r="DD29" s="17"/>
      <c r="DE29" s="13"/>
      <c r="DF29" s="13"/>
      <c r="DG29" s="13"/>
      <c r="DH29" s="14"/>
      <c r="DI29" s="8">
        <f t="shared" si="0"/>
        <v>389</v>
      </c>
      <c r="DJ29" s="8">
        <f t="shared" si="1"/>
        <v>295</v>
      </c>
      <c r="DK29" s="8">
        <f t="shared" si="2"/>
        <v>353</v>
      </c>
      <c r="DL29" s="8">
        <f t="shared" si="3"/>
        <v>125</v>
      </c>
      <c r="DM29" s="8">
        <f t="shared" si="4"/>
        <v>389</v>
      </c>
      <c r="DN29" s="8">
        <f t="shared" si="5"/>
        <v>295</v>
      </c>
      <c r="DO29" s="15">
        <f t="shared" si="6"/>
        <v>28.500376423303603</v>
      </c>
      <c r="DP29" s="15" t="str">
        <f t="shared" si="7"/>
        <v>OK - No Upgrade</v>
      </c>
      <c r="DQ29" s="15" t="str">
        <f t="shared" si="8"/>
        <v>Need to Balance</v>
      </c>
    </row>
    <row r="30" spans="1:121" ht="15.75" customHeight="1" x14ac:dyDescent="0.25">
      <c r="A30" s="8" t="s">
        <v>38</v>
      </c>
      <c r="B30" s="8" t="s">
        <v>385</v>
      </c>
      <c r="C30" s="8" t="s">
        <v>394</v>
      </c>
      <c r="D30" s="8" t="s">
        <v>439</v>
      </c>
      <c r="E30" s="8" t="s">
        <v>440</v>
      </c>
      <c r="F30" s="8" t="s">
        <v>56</v>
      </c>
      <c r="G30" s="8" t="s">
        <v>44</v>
      </c>
      <c r="H30" s="8">
        <v>1000</v>
      </c>
      <c r="I30" s="8" t="s">
        <v>442</v>
      </c>
      <c r="J30" s="8">
        <v>2</v>
      </c>
      <c r="K30" s="8">
        <v>245</v>
      </c>
      <c r="L30" s="8">
        <v>243</v>
      </c>
      <c r="M30" s="8">
        <v>246</v>
      </c>
      <c r="N30" s="8">
        <v>426</v>
      </c>
      <c r="O30" s="8">
        <v>424</v>
      </c>
      <c r="P30" s="8">
        <v>422</v>
      </c>
      <c r="Q30" s="9"/>
      <c r="R30" s="16"/>
      <c r="S30" s="10"/>
      <c r="T30" s="10"/>
      <c r="U30" s="10"/>
      <c r="V30" s="11"/>
      <c r="W30" s="12"/>
      <c r="X30" s="17"/>
      <c r="Y30" s="13"/>
      <c r="Z30" s="13"/>
      <c r="AA30" s="13"/>
      <c r="AB30" s="14"/>
      <c r="AC30" s="9" t="s">
        <v>46</v>
      </c>
      <c r="AD30" s="16"/>
      <c r="AE30" s="10">
        <v>138</v>
      </c>
      <c r="AF30" s="10">
        <v>166</v>
      </c>
      <c r="AG30" s="10">
        <v>42</v>
      </c>
      <c r="AH30" s="11">
        <v>27</v>
      </c>
      <c r="AI30" s="12"/>
      <c r="AJ30" s="17"/>
      <c r="AK30" s="13"/>
      <c r="AL30" s="13"/>
      <c r="AM30" s="13"/>
      <c r="AN30" s="14"/>
      <c r="AO30" s="9" t="s">
        <v>46</v>
      </c>
      <c r="AP30" s="16"/>
      <c r="AQ30" s="10">
        <v>81</v>
      </c>
      <c r="AR30" s="10">
        <v>146</v>
      </c>
      <c r="AS30" s="10">
        <v>261</v>
      </c>
      <c r="AT30" s="11">
        <v>138</v>
      </c>
      <c r="AU30" s="12" t="s">
        <v>46</v>
      </c>
      <c r="AV30" s="17"/>
      <c r="AW30" s="13">
        <v>124</v>
      </c>
      <c r="AX30" s="13">
        <v>190</v>
      </c>
      <c r="AY30" s="13">
        <v>66</v>
      </c>
      <c r="AZ30" s="14">
        <v>89</v>
      </c>
      <c r="BA30" s="9" t="s">
        <v>47</v>
      </c>
      <c r="BB30" s="16"/>
      <c r="BC30" s="10">
        <v>23</v>
      </c>
      <c r="BD30" s="10">
        <v>0</v>
      </c>
      <c r="BE30" s="10">
        <v>13</v>
      </c>
      <c r="BF30" s="11">
        <v>21</v>
      </c>
      <c r="BG30" s="12"/>
      <c r="BH30" s="17"/>
      <c r="BI30" s="13"/>
      <c r="BJ30" s="13"/>
      <c r="BK30" s="13"/>
      <c r="BL30" s="14"/>
      <c r="BM30" s="9"/>
      <c r="BN30" s="16"/>
      <c r="BO30" s="10"/>
      <c r="BP30" s="10"/>
      <c r="BQ30" s="10"/>
      <c r="BR30" s="11"/>
      <c r="BS30" s="12"/>
      <c r="BT30" s="17"/>
      <c r="BU30" s="13"/>
      <c r="BV30" s="13"/>
      <c r="BW30" s="13"/>
      <c r="BX30" s="14"/>
      <c r="BY30" s="9"/>
      <c r="BZ30" s="16"/>
      <c r="CA30" s="10"/>
      <c r="CB30" s="10"/>
      <c r="CC30" s="10"/>
      <c r="CD30" s="11"/>
      <c r="CE30" s="12"/>
      <c r="CF30" s="17"/>
      <c r="CG30" s="13"/>
      <c r="CH30" s="13"/>
      <c r="CI30" s="13"/>
      <c r="CJ30" s="14"/>
      <c r="CK30" s="9"/>
      <c r="CL30" s="16"/>
      <c r="CM30" s="10"/>
      <c r="CN30" s="10"/>
      <c r="CO30" s="10"/>
      <c r="CP30" s="11"/>
      <c r="CQ30" s="12"/>
      <c r="CR30" s="17"/>
      <c r="CS30" s="13"/>
      <c r="CT30" s="13"/>
      <c r="CU30" s="13"/>
      <c r="CV30" s="14"/>
      <c r="CW30" s="9"/>
      <c r="CX30" s="16"/>
      <c r="CY30" s="10"/>
      <c r="CZ30" s="10"/>
      <c r="DA30" s="10"/>
      <c r="DB30" s="11"/>
      <c r="DC30" s="12"/>
      <c r="DD30" s="17"/>
      <c r="DE30" s="13"/>
      <c r="DF30" s="13"/>
      <c r="DG30" s="13"/>
      <c r="DH30" s="14"/>
      <c r="DI30" s="8">
        <f t="shared" si="0"/>
        <v>366</v>
      </c>
      <c r="DJ30" s="8">
        <f t="shared" si="1"/>
        <v>502</v>
      </c>
      <c r="DK30" s="8">
        <f t="shared" si="2"/>
        <v>382</v>
      </c>
      <c r="DL30" s="8">
        <f t="shared" si="3"/>
        <v>275</v>
      </c>
      <c r="DM30" s="8">
        <f t="shared" si="4"/>
        <v>502</v>
      </c>
      <c r="DN30" s="8">
        <f t="shared" si="5"/>
        <v>366</v>
      </c>
      <c r="DO30" s="15">
        <f t="shared" si="6"/>
        <v>37.040252930021957</v>
      </c>
      <c r="DP30" s="15" t="str">
        <f t="shared" si="7"/>
        <v>OK - No Upgrade</v>
      </c>
      <c r="DQ30" s="15" t="str">
        <f t="shared" si="8"/>
        <v>Need to Balance</v>
      </c>
    </row>
    <row r="31" spans="1:121" ht="15.75" customHeight="1" x14ac:dyDescent="0.25">
      <c r="A31" s="8" t="s">
        <v>38</v>
      </c>
      <c r="B31" s="8" t="s">
        <v>385</v>
      </c>
      <c r="C31" s="8" t="s">
        <v>124</v>
      </c>
      <c r="D31" s="8" t="s">
        <v>443</v>
      </c>
      <c r="E31" s="8" t="s">
        <v>444</v>
      </c>
      <c r="F31" s="8" t="s">
        <v>43</v>
      </c>
      <c r="G31" s="8" t="s">
        <v>44</v>
      </c>
      <c r="H31" s="8">
        <v>315</v>
      </c>
      <c r="I31" s="8" t="s">
        <v>445</v>
      </c>
      <c r="J31" s="8">
        <v>1</v>
      </c>
      <c r="K31" s="8">
        <v>244</v>
      </c>
      <c r="L31" s="8">
        <v>243</v>
      </c>
      <c r="M31" s="8">
        <v>244</v>
      </c>
      <c r="N31" s="8">
        <v>422</v>
      </c>
      <c r="O31" s="8">
        <v>424</v>
      </c>
      <c r="P31" s="8">
        <v>425</v>
      </c>
      <c r="Q31" s="9" t="s">
        <v>46</v>
      </c>
      <c r="R31" s="16"/>
      <c r="S31" s="10">
        <v>46</v>
      </c>
      <c r="T31" s="10">
        <v>34</v>
      </c>
      <c r="U31" s="10">
        <v>103</v>
      </c>
      <c r="V31" s="11">
        <v>62</v>
      </c>
      <c r="W31" s="12"/>
      <c r="X31" s="17"/>
      <c r="Y31" s="13"/>
      <c r="Z31" s="13"/>
      <c r="AA31" s="13"/>
      <c r="AB31" s="14"/>
      <c r="AC31" s="9"/>
      <c r="AD31" s="16"/>
      <c r="AE31" s="10"/>
      <c r="AF31" s="10"/>
      <c r="AG31" s="10"/>
      <c r="AH31" s="11"/>
      <c r="AI31" s="12"/>
      <c r="AJ31" s="17"/>
      <c r="AK31" s="13"/>
      <c r="AL31" s="13"/>
      <c r="AM31" s="13"/>
      <c r="AN31" s="14"/>
      <c r="AO31" s="9"/>
      <c r="AP31" s="16"/>
      <c r="AQ31" s="10"/>
      <c r="AR31" s="10"/>
      <c r="AS31" s="10"/>
      <c r="AT31" s="11"/>
      <c r="AU31" s="12"/>
      <c r="AV31" s="17"/>
      <c r="AW31" s="13"/>
      <c r="AX31" s="13"/>
      <c r="AY31" s="13"/>
      <c r="AZ31" s="14"/>
      <c r="BA31" s="9"/>
      <c r="BB31" s="16"/>
      <c r="BC31" s="10"/>
      <c r="BD31" s="10"/>
      <c r="BE31" s="10"/>
      <c r="BF31" s="11"/>
      <c r="BG31" s="12"/>
      <c r="BH31" s="17"/>
      <c r="BI31" s="13"/>
      <c r="BJ31" s="13"/>
      <c r="BK31" s="13"/>
      <c r="BL31" s="14"/>
      <c r="BM31" s="9"/>
      <c r="BN31" s="16"/>
      <c r="BO31" s="10"/>
      <c r="BP31" s="10"/>
      <c r="BQ31" s="10"/>
      <c r="BR31" s="11"/>
      <c r="BS31" s="12"/>
      <c r="BT31" s="17"/>
      <c r="BU31" s="13"/>
      <c r="BV31" s="13"/>
      <c r="BW31" s="13"/>
      <c r="BX31" s="14"/>
      <c r="BY31" s="9"/>
      <c r="BZ31" s="16"/>
      <c r="CA31" s="10"/>
      <c r="CB31" s="10"/>
      <c r="CC31" s="10"/>
      <c r="CD31" s="11"/>
      <c r="CE31" s="12"/>
      <c r="CF31" s="17"/>
      <c r="CG31" s="13"/>
      <c r="CH31" s="13"/>
      <c r="CI31" s="13"/>
      <c r="CJ31" s="14"/>
      <c r="CK31" s="9"/>
      <c r="CL31" s="16"/>
      <c r="CM31" s="10"/>
      <c r="CN31" s="10"/>
      <c r="CO31" s="10"/>
      <c r="CP31" s="11"/>
      <c r="CQ31" s="12"/>
      <c r="CR31" s="17"/>
      <c r="CS31" s="13"/>
      <c r="CT31" s="13"/>
      <c r="CU31" s="13"/>
      <c r="CV31" s="14"/>
      <c r="CW31" s="9"/>
      <c r="CX31" s="16"/>
      <c r="CY31" s="10"/>
      <c r="CZ31" s="10"/>
      <c r="DA31" s="10"/>
      <c r="DB31" s="11"/>
      <c r="DC31" s="12"/>
      <c r="DD31" s="17"/>
      <c r="DE31" s="13"/>
      <c r="DF31" s="13"/>
      <c r="DG31" s="13"/>
      <c r="DH31" s="14"/>
      <c r="DI31" s="8">
        <f t="shared" si="0"/>
        <v>46</v>
      </c>
      <c r="DJ31" s="8">
        <f t="shared" si="1"/>
        <v>34</v>
      </c>
      <c r="DK31" s="8">
        <f t="shared" si="2"/>
        <v>103</v>
      </c>
      <c r="DL31" s="8">
        <f t="shared" si="3"/>
        <v>62</v>
      </c>
      <c r="DM31" s="8">
        <f t="shared" si="4"/>
        <v>103</v>
      </c>
      <c r="DN31" s="8">
        <f t="shared" si="5"/>
        <v>34</v>
      </c>
      <c r="DO31" s="15">
        <f t="shared" si="6"/>
        <v>23.900101714853594</v>
      </c>
      <c r="DP31" s="15" t="str">
        <f t="shared" si="7"/>
        <v>OK - No Upgrade</v>
      </c>
      <c r="DQ31" s="15" t="str">
        <f t="shared" si="8"/>
        <v>Need to Balance</v>
      </c>
    </row>
    <row r="32" spans="1:121" ht="15.75" customHeight="1" x14ac:dyDescent="0.25">
      <c r="A32" s="8" t="s">
        <v>38</v>
      </c>
      <c r="B32" s="8" t="s">
        <v>385</v>
      </c>
      <c r="C32" s="8" t="s">
        <v>124</v>
      </c>
      <c r="D32" s="8" t="s">
        <v>443</v>
      </c>
      <c r="E32" s="8" t="s">
        <v>444</v>
      </c>
      <c r="F32" s="8" t="s">
        <v>43</v>
      </c>
      <c r="G32" s="8" t="s">
        <v>44</v>
      </c>
      <c r="H32" s="8">
        <v>315</v>
      </c>
      <c r="I32" s="8" t="s">
        <v>446</v>
      </c>
      <c r="J32" s="8">
        <v>2</v>
      </c>
      <c r="K32" s="8">
        <v>249</v>
      </c>
      <c r="L32" s="8">
        <v>247</v>
      </c>
      <c r="M32" s="8">
        <v>244</v>
      </c>
      <c r="N32" s="8">
        <v>431</v>
      </c>
      <c r="O32" s="8">
        <v>433</v>
      </c>
      <c r="P32" s="8">
        <v>415</v>
      </c>
      <c r="Q32" s="9" t="s">
        <v>46</v>
      </c>
      <c r="R32" s="16"/>
      <c r="S32" s="10">
        <v>18</v>
      </c>
      <c r="T32" s="10">
        <v>22</v>
      </c>
      <c r="U32" s="10">
        <v>24</v>
      </c>
      <c r="V32" s="11">
        <v>10</v>
      </c>
      <c r="W32" s="12"/>
      <c r="X32" s="17"/>
      <c r="Y32" s="13"/>
      <c r="Z32" s="13"/>
      <c r="AA32" s="13"/>
      <c r="AB32" s="14"/>
      <c r="AC32" s="9"/>
      <c r="AD32" s="16"/>
      <c r="AE32" s="10"/>
      <c r="AF32" s="10"/>
      <c r="AG32" s="10"/>
      <c r="AH32" s="11"/>
      <c r="AI32" s="12"/>
      <c r="AJ32" s="17"/>
      <c r="AK32" s="13"/>
      <c r="AL32" s="13"/>
      <c r="AM32" s="13"/>
      <c r="AN32" s="14"/>
      <c r="AO32" s="9"/>
      <c r="AP32" s="16"/>
      <c r="AQ32" s="10"/>
      <c r="AR32" s="10"/>
      <c r="AS32" s="10"/>
      <c r="AT32" s="11"/>
      <c r="AU32" s="12"/>
      <c r="AV32" s="17"/>
      <c r="AW32" s="13"/>
      <c r="AX32" s="13"/>
      <c r="AY32" s="13"/>
      <c r="AZ32" s="14"/>
      <c r="BA32" s="9"/>
      <c r="BB32" s="16"/>
      <c r="BC32" s="10"/>
      <c r="BD32" s="10"/>
      <c r="BE32" s="10"/>
      <c r="BF32" s="11"/>
      <c r="BG32" s="12"/>
      <c r="BH32" s="17"/>
      <c r="BI32" s="13"/>
      <c r="BJ32" s="13"/>
      <c r="BK32" s="13"/>
      <c r="BL32" s="14"/>
      <c r="BM32" s="9"/>
      <c r="BN32" s="16"/>
      <c r="BO32" s="10"/>
      <c r="BP32" s="10"/>
      <c r="BQ32" s="10"/>
      <c r="BR32" s="11"/>
      <c r="BS32" s="12"/>
      <c r="BT32" s="17"/>
      <c r="BU32" s="13"/>
      <c r="BV32" s="13"/>
      <c r="BW32" s="13"/>
      <c r="BX32" s="14"/>
      <c r="BY32" s="9"/>
      <c r="BZ32" s="16"/>
      <c r="CA32" s="10"/>
      <c r="CB32" s="10"/>
      <c r="CC32" s="10"/>
      <c r="CD32" s="11"/>
      <c r="CE32" s="12"/>
      <c r="CF32" s="17"/>
      <c r="CG32" s="13"/>
      <c r="CH32" s="13"/>
      <c r="CI32" s="13"/>
      <c r="CJ32" s="14"/>
      <c r="CK32" s="9"/>
      <c r="CL32" s="16"/>
      <c r="CM32" s="10"/>
      <c r="CN32" s="10"/>
      <c r="CO32" s="10"/>
      <c r="CP32" s="11"/>
      <c r="CQ32" s="12"/>
      <c r="CR32" s="17"/>
      <c r="CS32" s="13"/>
      <c r="CT32" s="13"/>
      <c r="CU32" s="13"/>
      <c r="CV32" s="14"/>
      <c r="CW32" s="9"/>
      <c r="CX32" s="16"/>
      <c r="CY32" s="10"/>
      <c r="CZ32" s="10"/>
      <c r="DA32" s="10"/>
      <c r="DB32" s="11"/>
      <c r="DC32" s="12"/>
      <c r="DD32" s="17"/>
      <c r="DE32" s="13"/>
      <c r="DF32" s="13"/>
      <c r="DG32" s="13"/>
      <c r="DH32" s="14"/>
      <c r="DI32" s="8">
        <f t="shared" si="0"/>
        <v>18</v>
      </c>
      <c r="DJ32" s="8">
        <f t="shared" si="1"/>
        <v>22</v>
      </c>
      <c r="DK32" s="8">
        <f t="shared" si="2"/>
        <v>24</v>
      </c>
      <c r="DL32" s="8">
        <f t="shared" si="3"/>
        <v>10</v>
      </c>
      <c r="DM32" s="8">
        <f t="shared" si="4"/>
        <v>24</v>
      </c>
      <c r="DN32" s="8">
        <f t="shared" si="5"/>
        <v>18</v>
      </c>
      <c r="DO32" s="15">
        <f t="shared" si="6"/>
        <v>5.6877249376166557</v>
      </c>
      <c r="DP32" s="15" t="str">
        <f t="shared" si="7"/>
        <v>OK - No Upgrade</v>
      </c>
      <c r="DQ32" s="15" t="str">
        <f t="shared" si="8"/>
        <v>Need to Balance</v>
      </c>
    </row>
    <row r="33" spans="1:121" ht="15.75" customHeight="1" x14ac:dyDescent="0.25">
      <c r="A33" s="8" t="s">
        <v>38</v>
      </c>
      <c r="B33" s="8" t="s">
        <v>385</v>
      </c>
      <c r="C33" s="8" t="s">
        <v>124</v>
      </c>
      <c r="D33" s="8" t="s">
        <v>447</v>
      </c>
      <c r="E33" s="8" t="s">
        <v>448</v>
      </c>
      <c r="F33" s="8" t="s">
        <v>43</v>
      </c>
      <c r="G33" s="8" t="s">
        <v>44</v>
      </c>
      <c r="H33" s="8">
        <v>315</v>
      </c>
      <c r="I33" s="8" t="s">
        <v>449</v>
      </c>
      <c r="J33" s="8">
        <v>1</v>
      </c>
      <c r="K33" s="8">
        <v>244</v>
      </c>
      <c r="L33" s="8">
        <v>243</v>
      </c>
      <c r="M33" s="8">
        <v>246</v>
      </c>
      <c r="N33" s="8">
        <v>422</v>
      </c>
      <c r="O33" s="8">
        <v>427</v>
      </c>
      <c r="P33" s="8">
        <v>423</v>
      </c>
      <c r="Q33" s="9" t="s">
        <v>47</v>
      </c>
      <c r="R33" s="16"/>
      <c r="S33" s="10">
        <v>31</v>
      </c>
      <c r="T33" s="10">
        <v>25</v>
      </c>
      <c r="U33" s="10">
        <v>29</v>
      </c>
      <c r="V33" s="11">
        <v>7</v>
      </c>
      <c r="W33" s="12" t="s">
        <v>47</v>
      </c>
      <c r="X33" s="17"/>
      <c r="Y33" s="13">
        <v>0</v>
      </c>
      <c r="Z33" s="13">
        <v>12</v>
      </c>
      <c r="AA33" s="13">
        <v>12</v>
      </c>
      <c r="AB33" s="14">
        <v>12</v>
      </c>
      <c r="AC33" s="9" t="s">
        <v>47</v>
      </c>
      <c r="AD33" s="16"/>
      <c r="AE33" s="10">
        <v>17</v>
      </c>
      <c r="AF33" s="10">
        <v>15</v>
      </c>
      <c r="AG33" s="10">
        <v>0</v>
      </c>
      <c r="AH33" s="11">
        <v>13</v>
      </c>
      <c r="AI33" s="12"/>
      <c r="AJ33" s="17"/>
      <c r="AK33" s="13"/>
      <c r="AL33" s="13"/>
      <c r="AM33" s="13"/>
      <c r="AN33" s="14"/>
      <c r="AO33" s="9"/>
      <c r="AP33" s="16"/>
      <c r="AQ33" s="10"/>
      <c r="AR33" s="10"/>
      <c r="AS33" s="10"/>
      <c r="AT33" s="11"/>
      <c r="AU33" s="12"/>
      <c r="AV33" s="17"/>
      <c r="AW33" s="13"/>
      <c r="AX33" s="13"/>
      <c r="AY33" s="13"/>
      <c r="AZ33" s="14"/>
      <c r="BA33" s="9"/>
      <c r="BB33" s="16"/>
      <c r="BC33" s="10"/>
      <c r="BD33" s="10"/>
      <c r="BE33" s="10"/>
      <c r="BF33" s="11"/>
      <c r="BG33" s="12"/>
      <c r="BH33" s="17"/>
      <c r="BI33" s="13"/>
      <c r="BJ33" s="13"/>
      <c r="BK33" s="13"/>
      <c r="BL33" s="14"/>
      <c r="BM33" s="9"/>
      <c r="BN33" s="16"/>
      <c r="BO33" s="10"/>
      <c r="BP33" s="10"/>
      <c r="BQ33" s="10"/>
      <c r="BR33" s="11"/>
      <c r="BS33" s="12"/>
      <c r="BT33" s="17"/>
      <c r="BU33" s="13"/>
      <c r="BV33" s="13"/>
      <c r="BW33" s="13"/>
      <c r="BX33" s="14"/>
      <c r="BY33" s="9"/>
      <c r="BZ33" s="16"/>
      <c r="CA33" s="10"/>
      <c r="CB33" s="10"/>
      <c r="CC33" s="10"/>
      <c r="CD33" s="11"/>
      <c r="CE33" s="12"/>
      <c r="CF33" s="17"/>
      <c r="CG33" s="13"/>
      <c r="CH33" s="13"/>
      <c r="CI33" s="13"/>
      <c r="CJ33" s="14"/>
      <c r="CK33" s="9"/>
      <c r="CL33" s="16"/>
      <c r="CM33" s="10"/>
      <c r="CN33" s="10"/>
      <c r="CO33" s="10"/>
      <c r="CP33" s="11"/>
      <c r="CQ33" s="12"/>
      <c r="CR33" s="17"/>
      <c r="CS33" s="13"/>
      <c r="CT33" s="13"/>
      <c r="CU33" s="13"/>
      <c r="CV33" s="14"/>
      <c r="CW33" s="9"/>
      <c r="CX33" s="16"/>
      <c r="CY33" s="10"/>
      <c r="CZ33" s="10"/>
      <c r="DA33" s="10"/>
      <c r="DB33" s="11"/>
      <c r="DC33" s="12"/>
      <c r="DD33" s="17"/>
      <c r="DE33" s="13"/>
      <c r="DF33" s="13"/>
      <c r="DG33" s="13"/>
      <c r="DH33" s="14"/>
      <c r="DI33" s="8">
        <f t="shared" si="0"/>
        <v>48</v>
      </c>
      <c r="DJ33" s="8">
        <f t="shared" si="1"/>
        <v>52</v>
      </c>
      <c r="DK33" s="8">
        <f t="shared" si="2"/>
        <v>41</v>
      </c>
      <c r="DL33" s="8">
        <f t="shared" si="3"/>
        <v>32</v>
      </c>
      <c r="DM33" s="8">
        <f t="shared" si="4"/>
        <v>52</v>
      </c>
      <c r="DN33" s="8">
        <f t="shared" si="5"/>
        <v>41</v>
      </c>
      <c r="DO33" s="15">
        <f t="shared" si="6"/>
        <v>12.066070768663948</v>
      </c>
      <c r="DP33" s="15" t="str">
        <f t="shared" si="7"/>
        <v>OK - No Upgrade</v>
      </c>
      <c r="DQ33" s="15" t="str">
        <f t="shared" si="8"/>
        <v>Need to Balance</v>
      </c>
    </row>
    <row r="34" spans="1:121" ht="15.75" customHeight="1" x14ac:dyDescent="0.25">
      <c r="A34" s="8" t="s">
        <v>38</v>
      </c>
      <c r="B34" s="8" t="s">
        <v>385</v>
      </c>
      <c r="C34" s="8" t="s">
        <v>124</v>
      </c>
      <c r="D34" s="8" t="s">
        <v>447</v>
      </c>
      <c r="E34" s="8" t="s">
        <v>448</v>
      </c>
      <c r="F34" s="8" t="s">
        <v>43</v>
      </c>
      <c r="G34" s="8" t="s">
        <v>44</v>
      </c>
      <c r="H34" s="8">
        <v>315</v>
      </c>
      <c r="I34" s="8" t="s">
        <v>450</v>
      </c>
      <c r="J34" s="8">
        <v>2</v>
      </c>
      <c r="K34" s="8">
        <v>248</v>
      </c>
      <c r="L34" s="8">
        <v>247</v>
      </c>
      <c r="M34" s="8">
        <v>249</v>
      </c>
      <c r="N34" s="8">
        <v>428</v>
      </c>
      <c r="O34" s="8">
        <v>431</v>
      </c>
      <c r="P34" s="8">
        <v>429</v>
      </c>
      <c r="Q34" s="9" t="s">
        <v>47</v>
      </c>
      <c r="R34" s="16"/>
      <c r="S34" s="10">
        <v>38</v>
      </c>
      <c r="T34" s="10">
        <v>19</v>
      </c>
      <c r="U34" s="10">
        <v>23</v>
      </c>
      <c r="V34" s="11">
        <v>17</v>
      </c>
      <c r="W34" s="12" t="s">
        <v>47</v>
      </c>
      <c r="X34" s="17"/>
      <c r="Y34" s="13">
        <v>0</v>
      </c>
      <c r="Z34" s="13">
        <v>12</v>
      </c>
      <c r="AA34" s="13">
        <v>12</v>
      </c>
      <c r="AB34" s="14">
        <v>9</v>
      </c>
      <c r="AC34" s="9" t="s">
        <v>47</v>
      </c>
      <c r="AD34" s="16"/>
      <c r="AE34" s="10">
        <v>8</v>
      </c>
      <c r="AF34" s="10">
        <v>14</v>
      </c>
      <c r="AG34" s="10">
        <v>15</v>
      </c>
      <c r="AH34" s="11">
        <v>5</v>
      </c>
      <c r="AI34" s="12"/>
      <c r="AJ34" s="17"/>
      <c r="AK34" s="13"/>
      <c r="AL34" s="13"/>
      <c r="AM34" s="13"/>
      <c r="AN34" s="14"/>
      <c r="AO34" s="9"/>
      <c r="AP34" s="16"/>
      <c r="AQ34" s="10"/>
      <c r="AR34" s="10"/>
      <c r="AS34" s="10"/>
      <c r="AT34" s="11"/>
      <c r="AU34" s="12"/>
      <c r="AV34" s="17"/>
      <c r="AW34" s="13"/>
      <c r="AX34" s="13"/>
      <c r="AY34" s="13"/>
      <c r="AZ34" s="14"/>
      <c r="BA34" s="9"/>
      <c r="BB34" s="16"/>
      <c r="BC34" s="10"/>
      <c r="BD34" s="10"/>
      <c r="BE34" s="10"/>
      <c r="BF34" s="11"/>
      <c r="BG34" s="12"/>
      <c r="BH34" s="17"/>
      <c r="BI34" s="13"/>
      <c r="BJ34" s="13"/>
      <c r="BK34" s="13"/>
      <c r="BL34" s="14"/>
      <c r="BM34" s="9"/>
      <c r="BN34" s="16"/>
      <c r="BO34" s="10"/>
      <c r="BP34" s="10"/>
      <c r="BQ34" s="10"/>
      <c r="BR34" s="11"/>
      <c r="BS34" s="12"/>
      <c r="BT34" s="17"/>
      <c r="BU34" s="13"/>
      <c r="BV34" s="13"/>
      <c r="BW34" s="13"/>
      <c r="BX34" s="14"/>
      <c r="BY34" s="9"/>
      <c r="BZ34" s="16"/>
      <c r="CA34" s="10"/>
      <c r="CB34" s="10"/>
      <c r="CC34" s="10"/>
      <c r="CD34" s="11"/>
      <c r="CE34" s="12"/>
      <c r="CF34" s="17"/>
      <c r="CG34" s="13"/>
      <c r="CH34" s="13"/>
      <c r="CI34" s="13"/>
      <c r="CJ34" s="14"/>
      <c r="CK34" s="9"/>
      <c r="CL34" s="16"/>
      <c r="CM34" s="10"/>
      <c r="CN34" s="10"/>
      <c r="CO34" s="10"/>
      <c r="CP34" s="11"/>
      <c r="CQ34" s="12"/>
      <c r="CR34" s="17"/>
      <c r="CS34" s="13"/>
      <c r="CT34" s="13"/>
      <c r="CU34" s="13"/>
      <c r="CV34" s="14"/>
      <c r="CW34" s="9"/>
      <c r="CX34" s="16"/>
      <c r="CY34" s="10"/>
      <c r="CZ34" s="10"/>
      <c r="DA34" s="10"/>
      <c r="DB34" s="11"/>
      <c r="DC34" s="12"/>
      <c r="DD34" s="17"/>
      <c r="DE34" s="13"/>
      <c r="DF34" s="13"/>
      <c r="DG34" s="13"/>
      <c r="DH34" s="14"/>
      <c r="DI34" s="8">
        <f t="shared" si="0"/>
        <v>46</v>
      </c>
      <c r="DJ34" s="8">
        <f t="shared" si="1"/>
        <v>45</v>
      </c>
      <c r="DK34" s="8">
        <f t="shared" si="2"/>
        <v>50</v>
      </c>
      <c r="DL34" s="8">
        <f t="shared" si="3"/>
        <v>31</v>
      </c>
      <c r="DM34" s="8">
        <f t="shared" si="4"/>
        <v>50</v>
      </c>
      <c r="DN34" s="8">
        <f t="shared" si="5"/>
        <v>45</v>
      </c>
      <c r="DO34" s="15">
        <f t="shared" si="6"/>
        <v>11.766948343483801</v>
      </c>
      <c r="DP34" s="15" t="str">
        <f t="shared" si="7"/>
        <v>OK - No Upgrade</v>
      </c>
      <c r="DQ34" s="15" t="str">
        <f t="shared" si="8"/>
        <v>OK - Balanced</v>
      </c>
    </row>
    <row r="35" spans="1:121" ht="15.75" customHeight="1" x14ac:dyDescent="0.25">
      <c r="A35" s="8" t="s">
        <v>38</v>
      </c>
      <c r="B35" s="8" t="s">
        <v>385</v>
      </c>
      <c r="C35" s="8" t="s">
        <v>124</v>
      </c>
      <c r="D35" s="8" t="s">
        <v>451</v>
      </c>
      <c r="E35" s="8" t="s">
        <v>452</v>
      </c>
      <c r="F35" s="8" t="s">
        <v>56</v>
      </c>
      <c r="G35" s="8" t="s">
        <v>44</v>
      </c>
      <c r="H35" s="8">
        <v>1000</v>
      </c>
      <c r="I35" s="8" t="s">
        <v>453</v>
      </c>
      <c r="J35" s="8">
        <v>1</v>
      </c>
      <c r="K35" s="8">
        <v>244</v>
      </c>
      <c r="L35" s="8">
        <v>243</v>
      </c>
      <c r="M35" s="8">
        <v>246</v>
      </c>
      <c r="N35" s="8">
        <v>421</v>
      </c>
      <c r="O35" s="8">
        <v>426</v>
      </c>
      <c r="P35" s="8">
        <v>424</v>
      </c>
      <c r="Q35" s="9"/>
      <c r="R35" s="16"/>
      <c r="S35" s="10"/>
      <c r="T35" s="10"/>
      <c r="U35" s="10"/>
      <c r="V35" s="11"/>
      <c r="W35" s="12" t="s">
        <v>47</v>
      </c>
      <c r="X35" s="17"/>
      <c r="Y35" s="13">
        <v>28</v>
      </c>
      <c r="Z35" s="13">
        <v>24</v>
      </c>
      <c r="AA35" s="13">
        <v>39</v>
      </c>
      <c r="AB35" s="14">
        <v>11</v>
      </c>
      <c r="AC35" s="9" t="s">
        <v>47</v>
      </c>
      <c r="AD35" s="16"/>
      <c r="AE35" s="10">
        <v>60</v>
      </c>
      <c r="AF35" s="10">
        <v>27</v>
      </c>
      <c r="AG35" s="10">
        <v>55</v>
      </c>
      <c r="AH35" s="11">
        <v>15</v>
      </c>
      <c r="AI35" s="12" t="s">
        <v>47</v>
      </c>
      <c r="AJ35" s="17"/>
      <c r="AK35" s="13">
        <v>129</v>
      </c>
      <c r="AL35" s="13">
        <v>79</v>
      </c>
      <c r="AM35" s="13">
        <v>57</v>
      </c>
      <c r="AN35" s="14">
        <v>52</v>
      </c>
      <c r="AO35" s="9" t="s">
        <v>47</v>
      </c>
      <c r="AP35" s="16"/>
      <c r="AQ35" s="10">
        <v>45</v>
      </c>
      <c r="AR35" s="10">
        <v>37</v>
      </c>
      <c r="AS35" s="10">
        <v>39</v>
      </c>
      <c r="AT35" s="11">
        <v>5</v>
      </c>
      <c r="AU35" s="12"/>
      <c r="AV35" s="17"/>
      <c r="AW35" s="13"/>
      <c r="AX35" s="13"/>
      <c r="AY35" s="13"/>
      <c r="AZ35" s="14"/>
      <c r="BA35" s="9"/>
      <c r="BB35" s="16"/>
      <c r="BC35" s="10"/>
      <c r="BD35" s="10"/>
      <c r="BE35" s="10"/>
      <c r="BF35" s="11"/>
      <c r="BG35" s="12"/>
      <c r="BH35" s="17"/>
      <c r="BI35" s="13"/>
      <c r="BJ35" s="13"/>
      <c r="BK35" s="13"/>
      <c r="BL35" s="14"/>
      <c r="BM35" s="9"/>
      <c r="BN35" s="16"/>
      <c r="BO35" s="10"/>
      <c r="BP35" s="10"/>
      <c r="BQ35" s="10"/>
      <c r="BR35" s="11"/>
      <c r="BS35" s="12"/>
      <c r="BT35" s="17"/>
      <c r="BU35" s="13"/>
      <c r="BV35" s="13"/>
      <c r="BW35" s="13"/>
      <c r="BX35" s="14"/>
      <c r="BY35" s="9"/>
      <c r="BZ35" s="16"/>
      <c r="CA35" s="10"/>
      <c r="CB35" s="10"/>
      <c r="CC35" s="10"/>
      <c r="CD35" s="11"/>
      <c r="CE35" s="12"/>
      <c r="CF35" s="17"/>
      <c r="CG35" s="13"/>
      <c r="CH35" s="13"/>
      <c r="CI35" s="13"/>
      <c r="CJ35" s="14"/>
      <c r="CK35" s="9"/>
      <c r="CL35" s="16"/>
      <c r="CM35" s="10"/>
      <c r="CN35" s="10"/>
      <c r="CO35" s="10"/>
      <c r="CP35" s="11"/>
      <c r="CQ35" s="12"/>
      <c r="CR35" s="17"/>
      <c r="CS35" s="13"/>
      <c r="CT35" s="13"/>
      <c r="CU35" s="13"/>
      <c r="CV35" s="14"/>
      <c r="CW35" s="9"/>
      <c r="CX35" s="16"/>
      <c r="CY35" s="10"/>
      <c r="CZ35" s="10"/>
      <c r="DA35" s="10"/>
      <c r="DB35" s="11"/>
      <c r="DC35" s="12"/>
      <c r="DD35" s="17"/>
      <c r="DE35" s="13"/>
      <c r="DF35" s="13"/>
      <c r="DG35" s="13"/>
      <c r="DH35" s="14"/>
      <c r="DI35" s="8">
        <f t="shared" si="0"/>
        <v>262</v>
      </c>
      <c r="DJ35" s="8">
        <f t="shared" si="1"/>
        <v>167</v>
      </c>
      <c r="DK35" s="8">
        <f t="shared" si="2"/>
        <v>190</v>
      </c>
      <c r="DL35" s="8">
        <f t="shared" si="3"/>
        <v>83</v>
      </c>
      <c r="DM35" s="8">
        <f t="shared" si="4"/>
        <v>262</v>
      </c>
      <c r="DN35" s="8">
        <f t="shared" si="5"/>
        <v>167</v>
      </c>
      <c r="DO35" s="15">
        <f t="shared" si="6"/>
        <v>19.104866817646229</v>
      </c>
      <c r="DP35" s="15" t="str">
        <f t="shared" si="7"/>
        <v>OK - No Upgrade</v>
      </c>
      <c r="DQ35" s="15" t="str">
        <f t="shared" si="8"/>
        <v>Need to Balance</v>
      </c>
    </row>
    <row r="36" spans="1:121" ht="15.75" customHeight="1" x14ac:dyDescent="0.25">
      <c r="A36" s="8" t="s">
        <v>38</v>
      </c>
      <c r="B36" s="8" t="s">
        <v>385</v>
      </c>
      <c r="C36" s="8" t="s">
        <v>124</v>
      </c>
      <c r="D36" s="8" t="s">
        <v>451</v>
      </c>
      <c r="E36" s="8" t="s">
        <v>452</v>
      </c>
      <c r="F36" s="8" t="s">
        <v>56</v>
      </c>
      <c r="G36" s="8" t="s">
        <v>44</v>
      </c>
      <c r="H36" s="8">
        <v>1000</v>
      </c>
      <c r="I36" s="8" t="s">
        <v>454</v>
      </c>
      <c r="J36" s="8">
        <v>2</v>
      </c>
      <c r="K36" s="8">
        <v>248</v>
      </c>
      <c r="L36" s="8">
        <v>247</v>
      </c>
      <c r="M36" s="8">
        <v>248</v>
      </c>
      <c r="N36" s="8">
        <v>428</v>
      </c>
      <c r="O36" s="8">
        <v>430</v>
      </c>
      <c r="P36" s="8">
        <v>429</v>
      </c>
      <c r="Q36" s="9"/>
      <c r="R36" s="16"/>
      <c r="S36" s="10"/>
      <c r="T36" s="10"/>
      <c r="U36" s="10"/>
      <c r="V36" s="11"/>
      <c r="W36" s="12" t="s">
        <v>47</v>
      </c>
      <c r="X36" s="17"/>
      <c r="Y36" s="13">
        <v>30</v>
      </c>
      <c r="Z36" s="13">
        <v>52</v>
      </c>
      <c r="AA36" s="13">
        <v>44</v>
      </c>
      <c r="AB36" s="14">
        <v>8</v>
      </c>
      <c r="AC36" s="9" t="s">
        <v>47</v>
      </c>
      <c r="AD36" s="16"/>
      <c r="AE36" s="10">
        <v>49</v>
      </c>
      <c r="AF36" s="10">
        <v>11</v>
      </c>
      <c r="AG36" s="10">
        <v>39</v>
      </c>
      <c r="AH36" s="11">
        <v>25</v>
      </c>
      <c r="AI36" s="12" t="s">
        <v>47</v>
      </c>
      <c r="AJ36" s="17"/>
      <c r="AK36" s="13">
        <v>35</v>
      </c>
      <c r="AL36" s="13">
        <v>75</v>
      </c>
      <c r="AM36" s="13">
        <v>53</v>
      </c>
      <c r="AN36" s="14">
        <v>28</v>
      </c>
      <c r="AO36" s="9" t="s">
        <v>47</v>
      </c>
      <c r="AP36" s="16"/>
      <c r="AQ36" s="10">
        <v>43</v>
      </c>
      <c r="AR36" s="10">
        <v>37</v>
      </c>
      <c r="AS36" s="10">
        <v>33</v>
      </c>
      <c r="AT36" s="11">
        <v>8</v>
      </c>
      <c r="AU36" s="12"/>
      <c r="AV36" s="17"/>
      <c r="AW36" s="13"/>
      <c r="AX36" s="13"/>
      <c r="AY36" s="13"/>
      <c r="AZ36" s="14"/>
      <c r="BA36" s="9"/>
      <c r="BB36" s="16"/>
      <c r="BC36" s="10"/>
      <c r="BD36" s="10"/>
      <c r="BE36" s="10"/>
      <c r="BF36" s="11"/>
      <c r="BG36" s="12"/>
      <c r="BH36" s="17"/>
      <c r="BI36" s="13"/>
      <c r="BJ36" s="13"/>
      <c r="BK36" s="13"/>
      <c r="BL36" s="14"/>
      <c r="BM36" s="9"/>
      <c r="BN36" s="16"/>
      <c r="BO36" s="10"/>
      <c r="BP36" s="10"/>
      <c r="BQ36" s="10"/>
      <c r="BR36" s="11"/>
      <c r="BS36" s="12"/>
      <c r="BT36" s="17"/>
      <c r="BU36" s="13"/>
      <c r="BV36" s="13"/>
      <c r="BW36" s="13"/>
      <c r="BX36" s="14"/>
      <c r="BY36" s="9"/>
      <c r="BZ36" s="16"/>
      <c r="CA36" s="10"/>
      <c r="CB36" s="10"/>
      <c r="CC36" s="10"/>
      <c r="CD36" s="11"/>
      <c r="CE36" s="12"/>
      <c r="CF36" s="17"/>
      <c r="CG36" s="13"/>
      <c r="CH36" s="13"/>
      <c r="CI36" s="13"/>
      <c r="CJ36" s="14"/>
      <c r="CK36" s="9"/>
      <c r="CL36" s="16"/>
      <c r="CM36" s="10"/>
      <c r="CN36" s="10"/>
      <c r="CO36" s="10"/>
      <c r="CP36" s="11"/>
      <c r="CQ36" s="12"/>
      <c r="CR36" s="17"/>
      <c r="CS36" s="13"/>
      <c r="CT36" s="13"/>
      <c r="CU36" s="13"/>
      <c r="CV36" s="14"/>
      <c r="CW36" s="9"/>
      <c r="CX36" s="16"/>
      <c r="CY36" s="10"/>
      <c r="CZ36" s="10"/>
      <c r="DA36" s="10"/>
      <c r="DB36" s="11"/>
      <c r="DC36" s="12"/>
      <c r="DD36" s="17"/>
      <c r="DE36" s="13"/>
      <c r="DF36" s="13"/>
      <c r="DG36" s="13"/>
      <c r="DH36" s="14"/>
      <c r="DI36" s="8">
        <f t="shared" ref="DI36:DI67" si="9">SUM(S36,Y36,AE36,AK36,AQ36,AW36,BC36,BI36,BO36,BU36,CA36,CG36,CM36,CS36,CY36,DE36)</f>
        <v>157</v>
      </c>
      <c r="DJ36" s="8">
        <f t="shared" ref="DJ36:DJ67" si="10">SUM(T36,Z36,AF36,AL36,AR36,AX36,BD36,BJ36,BP36,BV36,CB36,CH36,CN36,CT36,CZ36,DF36)</f>
        <v>175</v>
      </c>
      <c r="DK36" s="8">
        <f t="shared" ref="DK36:DK67" si="11">SUM(U36,AA36,AG36,AM36,AS36,AY36,BE36,BK36,BQ36,BW36,CC36,CI36,CO36,CU36,DA36,DG36)</f>
        <v>169</v>
      </c>
      <c r="DL36" s="8">
        <f t="shared" ref="DL36:DL67" si="12">SUM(V36,AB36,AH36,AN36,AT36,AZ36,BF36,BL36,BR36,BX36,CD36,CJ36,CP36,CV36,DB36,DH36)</f>
        <v>69</v>
      </c>
      <c r="DM36" s="8">
        <f t="shared" ref="DM36:DM67" si="13">MAX(DI36:DK36)</f>
        <v>175</v>
      </c>
      <c r="DN36" s="8">
        <f t="shared" ref="DN36:DN67" si="14">MIN(DI36:DK36)</f>
        <v>157</v>
      </c>
      <c r="DO36" s="15">
        <f t="shared" ref="DO36:DO67" si="15">IF(H36&gt;0,(DM36*SQRT(3)*IF(N36&gt;0,N36,IF(O36&gt;0,O36,IF(P36&gt;0,P36,415)))/(H36*1000))*100,0)</f>
        <v>12.97306054869089</v>
      </c>
      <c r="DP36" s="15" t="str">
        <f t="shared" ref="DP36:DP67" si="16">IF(DO36&gt;70,"Upgrade","OK - No Upgrade")</f>
        <v>OK - No Upgrade</v>
      </c>
      <c r="DQ36" s="15" t="str">
        <f t="shared" ref="DQ36:DQ67" si="17">IF(IF(AVERAGE(DI36:DK36)&gt;0,((DM36-AVERAGE(DI36:DK36))/AVERAGE(DI36:DK36))*100,0)&gt;10,"Need to Balance","OK - Balanced")</f>
        <v>OK - Balanced</v>
      </c>
    </row>
    <row r="37" spans="1:121" ht="15.75" customHeight="1" x14ac:dyDescent="0.25">
      <c r="A37" s="8" t="s">
        <v>38</v>
      </c>
      <c r="B37" s="8" t="s">
        <v>385</v>
      </c>
      <c r="C37" s="8" t="s">
        <v>124</v>
      </c>
      <c r="D37" s="8" t="s">
        <v>455</v>
      </c>
      <c r="E37" s="8" t="s">
        <v>456</v>
      </c>
      <c r="F37" s="8" t="s">
        <v>56</v>
      </c>
      <c r="G37" s="8" t="s">
        <v>44</v>
      </c>
      <c r="H37" s="8">
        <v>1000</v>
      </c>
      <c r="I37" s="8" t="s">
        <v>457</v>
      </c>
      <c r="J37" s="8">
        <v>1</v>
      </c>
      <c r="K37" s="8">
        <v>245</v>
      </c>
      <c r="L37" s="8">
        <v>244</v>
      </c>
      <c r="M37" s="8">
        <v>246</v>
      </c>
      <c r="N37" s="8">
        <v>421</v>
      </c>
      <c r="O37" s="8">
        <v>428</v>
      </c>
      <c r="P37" s="8">
        <v>426</v>
      </c>
      <c r="Q37" s="9" t="s">
        <v>47</v>
      </c>
      <c r="R37" s="16"/>
      <c r="S37" s="10">
        <v>17</v>
      </c>
      <c r="T37" s="10">
        <v>17</v>
      </c>
      <c r="U37" s="10">
        <v>38</v>
      </c>
      <c r="V37" s="11">
        <v>18</v>
      </c>
      <c r="W37" s="12" t="s">
        <v>47</v>
      </c>
      <c r="X37" s="17"/>
      <c r="Y37" s="13">
        <v>110</v>
      </c>
      <c r="Z37" s="13">
        <v>68</v>
      </c>
      <c r="AA37" s="13">
        <v>128</v>
      </c>
      <c r="AB37" s="14">
        <v>74</v>
      </c>
      <c r="AC37" s="9" t="s">
        <v>47</v>
      </c>
      <c r="AD37" s="16"/>
      <c r="AE37" s="10">
        <v>49</v>
      </c>
      <c r="AF37" s="10">
        <v>35</v>
      </c>
      <c r="AG37" s="10">
        <v>42</v>
      </c>
      <c r="AH37" s="11">
        <v>19</v>
      </c>
      <c r="AI37" s="12" t="s">
        <v>47</v>
      </c>
      <c r="AJ37" s="17"/>
      <c r="AK37" s="13">
        <v>92</v>
      </c>
      <c r="AL37" s="13">
        <v>48</v>
      </c>
      <c r="AM37" s="13">
        <v>83</v>
      </c>
      <c r="AN37" s="14">
        <v>41</v>
      </c>
      <c r="AO37" s="9"/>
      <c r="AP37" s="16"/>
      <c r="AQ37" s="10"/>
      <c r="AR37" s="10"/>
      <c r="AS37" s="10"/>
      <c r="AT37" s="11"/>
      <c r="AU37" s="12"/>
      <c r="AV37" s="17"/>
      <c r="AW37" s="13"/>
      <c r="AX37" s="13"/>
      <c r="AY37" s="13"/>
      <c r="AZ37" s="14"/>
      <c r="BA37" s="9"/>
      <c r="BB37" s="16"/>
      <c r="BC37" s="10"/>
      <c r="BD37" s="10"/>
      <c r="BE37" s="10"/>
      <c r="BF37" s="11"/>
      <c r="BG37" s="12"/>
      <c r="BH37" s="17"/>
      <c r="BI37" s="13"/>
      <c r="BJ37" s="13"/>
      <c r="BK37" s="13"/>
      <c r="BL37" s="14"/>
      <c r="BM37" s="9"/>
      <c r="BN37" s="16"/>
      <c r="BO37" s="10"/>
      <c r="BP37" s="10"/>
      <c r="BQ37" s="10"/>
      <c r="BR37" s="11"/>
      <c r="BS37" s="12"/>
      <c r="BT37" s="17"/>
      <c r="BU37" s="13"/>
      <c r="BV37" s="13"/>
      <c r="BW37" s="13"/>
      <c r="BX37" s="14"/>
      <c r="BY37" s="9"/>
      <c r="BZ37" s="16"/>
      <c r="CA37" s="10"/>
      <c r="CB37" s="10"/>
      <c r="CC37" s="10"/>
      <c r="CD37" s="11"/>
      <c r="CE37" s="12"/>
      <c r="CF37" s="17"/>
      <c r="CG37" s="13"/>
      <c r="CH37" s="13"/>
      <c r="CI37" s="13"/>
      <c r="CJ37" s="14"/>
      <c r="CK37" s="9"/>
      <c r="CL37" s="16"/>
      <c r="CM37" s="10"/>
      <c r="CN37" s="10"/>
      <c r="CO37" s="10"/>
      <c r="CP37" s="11"/>
      <c r="CQ37" s="12"/>
      <c r="CR37" s="17"/>
      <c r="CS37" s="13"/>
      <c r="CT37" s="13"/>
      <c r="CU37" s="13"/>
      <c r="CV37" s="14"/>
      <c r="CW37" s="9"/>
      <c r="CX37" s="16"/>
      <c r="CY37" s="10"/>
      <c r="CZ37" s="10"/>
      <c r="DA37" s="10"/>
      <c r="DB37" s="11"/>
      <c r="DC37" s="12"/>
      <c r="DD37" s="17"/>
      <c r="DE37" s="13"/>
      <c r="DF37" s="13"/>
      <c r="DG37" s="13"/>
      <c r="DH37" s="14"/>
      <c r="DI37" s="8">
        <f t="shared" si="9"/>
        <v>268</v>
      </c>
      <c r="DJ37" s="8">
        <f t="shared" si="10"/>
        <v>168</v>
      </c>
      <c r="DK37" s="8">
        <f t="shared" si="11"/>
        <v>291</v>
      </c>
      <c r="DL37" s="8">
        <f t="shared" si="12"/>
        <v>152</v>
      </c>
      <c r="DM37" s="8">
        <f t="shared" si="13"/>
        <v>291</v>
      </c>
      <c r="DN37" s="8">
        <f t="shared" si="14"/>
        <v>168</v>
      </c>
      <c r="DO37" s="15">
        <f t="shared" si="15"/>
        <v>21.21952764860707</v>
      </c>
      <c r="DP37" s="15" t="str">
        <f t="shared" si="16"/>
        <v>OK - No Upgrade</v>
      </c>
      <c r="DQ37" s="15" t="str">
        <f t="shared" si="17"/>
        <v>Need to Balance</v>
      </c>
    </row>
    <row r="38" spans="1:121" ht="15.75" customHeight="1" x14ac:dyDescent="0.25">
      <c r="A38" s="8" t="s">
        <v>38</v>
      </c>
      <c r="B38" s="8" t="s">
        <v>385</v>
      </c>
      <c r="C38" s="8" t="s">
        <v>124</v>
      </c>
      <c r="D38" s="8" t="s">
        <v>455</v>
      </c>
      <c r="E38" s="8" t="s">
        <v>456</v>
      </c>
      <c r="F38" s="8" t="s">
        <v>56</v>
      </c>
      <c r="G38" s="8" t="s">
        <v>44</v>
      </c>
      <c r="H38" s="8">
        <v>1000</v>
      </c>
      <c r="I38" s="8" t="s">
        <v>458</v>
      </c>
      <c r="J38" s="8">
        <v>2</v>
      </c>
      <c r="K38" s="8">
        <v>247</v>
      </c>
      <c r="L38" s="8">
        <v>247</v>
      </c>
      <c r="M38" s="8">
        <v>248</v>
      </c>
      <c r="N38" s="8">
        <v>427</v>
      </c>
      <c r="O38" s="8">
        <v>431</v>
      </c>
      <c r="P38" s="8">
        <v>428</v>
      </c>
      <c r="Q38" s="9" t="s">
        <v>47</v>
      </c>
      <c r="R38" s="16"/>
      <c r="S38" s="10">
        <v>33</v>
      </c>
      <c r="T38" s="10">
        <v>42</v>
      </c>
      <c r="U38" s="10">
        <v>17</v>
      </c>
      <c r="V38" s="11">
        <v>20</v>
      </c>
      <c r="W38" s="12" t="s">
        <v>47</v>
      </c>
      <c r="X38" s="17"/>
      <c r="Y38" s="13">
        <v>108</v>
      </c>
      <c r="Z38" s="13">
        <v>27</v>
      </c>
      <c r="AA38" s="13">
        <v>72</v>
      </c>
      <c r="AB38" s="14">
        <v>83</v>
      </c>
      <c r="AC38" s="9" t="s">
        <v>47</v>
      </c>
      <c r="AD38" s="16"/>
      <c r="AE38" s="10">
        <v>29</v>
      </c>
      <c r="AF38" s="10">
        <v>59</v>
      </c>
      <c r="AG38" s="10">
        <v>26</v>
      </c>
      <c r="AH38" s="11">
        <v>30</v>
      </c>
      <c r="AI38" s="12" t="s">
        <v>47</v>
      </c>
      <c r="AJ38" s="17"/>
      <c r="AK38" s="13">
        <v>108</v>
      </c>
      <c r="AL38" s="13">
        <v>106</v>
      </c>
      <c r="AM38" s="13">
        <v>118</v>
      </c>
      <c r="AN38" s="14">
        <v>32</v>
      </c>
      <c r="AO38" s="9"/>
      <c r="AP38" s="16"/>
      <c r="AQ38" s="10"/>
      <c r="AR38" s="10"/>
      <c r="AS38" s="10"/>
      <c r="AT38" s="11"/>
      <c r="AU38" s="12"/>
      <c r="AV38" s="17"/>
      <c r="AW38" s="13"/>
      <c r="AX38" s="13"/>
      <c r="AY38" s="13"/>
      <c r="AZ38" s="14"/>
      <c r="BA38" s="9"/>
      <c r="BB38" s="16"/>
      <c r="BC38" s="10"/>
      <c r="BD38" s="10"/>
      <c r="BE38" s="10"/>
      <c r="BF38" s="11"/>
      <c r="BG38" s="12"/>
      <c r="BH38" s="17"/>
      <c r="BI38" s="13"/>
      <c r="BJ38" s="13"/>
      <c r="BK38" s="13"/>
      <c r="BL38" s="14"/>
      <c r="BM38" s="9"/>
      <c r="BN38" s="16"/>
      <c r="BO38" s="10"/>
      <c r="BP38" s="10"/>
      <c r="BQ38" s="10"/>
      <c r="BR38" s="11"/>
      <c r="BS38" s="12"/>
      <c r="BT38" s="17"/>
      <c r="BU38" s="13"/>
      <c r="BV38" s="13"/>
      <c r="BW38" s="13"/>
      <c r="BX38" s="14"/>
      <c r="BY38" s="9"/>
      <c r="BZ38" s="16"/>
      <c r="CA38" s="10"/>
      <c r="CB38" s="10"/>
      <c r="CC38" s="10"/>
      <c r="CD38" s="11"/>
      <c r="CE38" s="12"/>
      <c r="CF38" s="17"/>
      <c r="CG38" s="13"/>
      <c r="CH38" s="13"/>
      <c r="CI38" s="13"/>
      <c r="CJ38" s="14"/>
      <c r="CK38" s="9"/>
      <c r="CL38" s="16"/>
      <c r="CM38" s="10"/>
      <c r="CN38" s="10"/>
      <c r="CO38" s="10"/>
      <c r="CP38" s="11"/>
      <c r="CQ38" s="12"/>
      <c r="CR38" s="17"/>
      <c r="CS38" s="13"/>
      <c r="CT38" s="13"/>
      <c r="CU38" s="13"/>
      <c r="CV38" s="14"/>
      <c r="CW38" s="9"/>
      <c r="CX38" s="16"/>
      <c r="CY38" s="10"/>
      <c r="CZ38" s="10"/>
      <c r="DA38" s="10"/>
      <c r="DB38" s="11"/>
      <c r="DC38" s="12"/>
      <c r="DD38" s="17"/>
      <c r="DE38" s="13"/>
      <c r="DF38" s="13"/>
      <c r="DG38" s="13"/>
      <c r="DH38" s="14"/>
      <c r="DI38" s="8">
        <f t="shared" si="9"/>
        <v>278</v>
      </c>
      <c r="DJ38" s="8">
        <f t="shared" si="10"/>
        <v>234</v>
      </c>
      <c r="DK38" s="8">
        <f t="shared" si="11"/>
        <v>233</v>
      </c>
      <c r="DL38" s="8">
        <f t="shared" si="12"/>
        <v>165</v>
      </c>
      <c r="DM38" s="8">
        <f t="shared" si="13"/>
        <v>278</v>
      </c>
      <c r="DN38" s="8">
        <f t="shared" si="14"/>
        <v>233</v>
      </c>
      <c r="DO38" s="15">
        <f t="shared" si="15"/>
        <v>20.560482316327118</v>
      </c>
      <c r="DP38" s="15" t="str">
        <f t="shared" si="16"/>
        <v>OK - No Upgrade</v>
      </c>
      <c r="DQ38" s="15" t="str">
        <f t="shared" si="17"/>
        <v>Need to Balance</v>
      </c>
    </row>
    <row r="39" spans="1:121" ht="15.75" customHeight="1" x14ac:dyDescent="0.25">
      <c r="A39" s="8" t="s">
        <v>38</v>
      </c>
      <c r="B39" s="8" t="s">
        <v>385</v>
      </c>
      <c r="C39" s="8" t="s">
        <v>124</v>
      </c>
      <c r="D39" s="8" t="s">
        <v>459</v>
      </c>
      <c r="E39" s="8" t="s">
        <v>460</v>
      </c>
      <c r="F39" s="8" t="s">
        <v>43</v>
      </c>
      <c r="G39" s="8" t="s">
        <v>44</v>
      </c>
      <c r="H39" s="8">
        <v>315</v>
      </c>
      <c r="I39" s="8" t="s">
        <v>73</v>
      </c>
      <c r="J39" s="8">
        <v>1</v>
      </c>
      <c r="K39" s="8">
        <v>244</v>
      </c>
      <c r="L39" s="8">
        <v>242</v>
      </c>
      <c r="M39" s="8">
        <v>245</v>
      </c>
      <c r="N39" s="8">
        <v>428</v>
      </c>
      <c r="O39" s="8">
        <v>425</v>
      </c>
      <c r="P39" s="8">
        <v>429</v>
      </c>
      <c r="Q39" s="9" t="s">
        <v>334</v>
      </c>
      <c r="R39" s="16"/>
      <c r="S39" s="10">
        <v>10</v>
      </c>
      <c r="T39" s="10">
        <v>0</v>
      </c>
      <c r="U39" s="10">
        <v>2</v>
      </c>
      <c r="V39" s="11">
        <v>9</v>
      </c>
      <c r="W39" s="12" t="s">
        <v>47</v>
      </c>
      <c r="X39" s="17"/>
      <c r="Y39" s="13">
        <v>14</v>
      </c>
      <c r="Z39" s="13">
        <v>0</v>
      </c>
      <c r="AA39" s="13">
        <v>2</v>
      </c>
      <c r="AB39" s="14">
        <v>11</v>
      </c>
      <c r="AC39" s="9"/>
      <c r="AD39" s="16"/>
      <c r="AE39" s="10"/>
      <c r="AF39" s="10"/>
      <c r="AG39" s="10"/>
      <c r="AH39" s="11"/>
      <c r="AI39" s="12"/>
      <c r="AJ39" s="17"/>
      <c r="AK39" s="13"/>
      <c r="AL39" s="13"/>
      <c r="AM39" s="13"/>
      <c r="AN39" s="14"/>
      <c r="AO39" s="9"/>
      <c r="AP39" s="16"/>
      <c r="AQ39" s="10"/>
      <c r="AR39" s="10"/>
      <c r="AS39" s="10"/>
      <c r="AT39" s="11"/>
      <c r="AU39" s="12"/>
      <c r="AV39" s="17"/>
      <c r="AW39" s="13"/>
      <c r="AX39" s="13"/>
      <c r="AY39" s="13"/>
      <c r="AZ39" s="14"/>
      <c r="BA39" s="9"/>
      <c r="BB39" s="16"/>
      <c r="BC39" s="10"/>
      <c r="BD39" s="10"/>
      <c r="BE39" s="10"/>
      <c r="BF39" s="11"/>
      <c r="BG39" s="12"/>
      <c r="BH39" s="17"/>
      <c r="BI39" s="13"/>
      <c r="BJ39" s="13"/>
      <c r="BK39" s="13"/>
      <c r="BL39" s="14"/>
      <c r="BM39" s="9"/>
      <c r="BN39" s="16"/>
      <c r="BO39" s="10"/>
      <c r="BP39" s="10"/>
      <c r="BQ39" s="10"/>
      <c r="BR39" s="11"/>
      <c r="BS39" s="12"/>
      <c r="BT39" s="17"/>
      <c r="BU39" s="13"/>
      <c r="BV39" s="13"/>
      <c r="BW39" s="13"/>
      <c r="BX39" s="14"/>
      <c r="BY39" s="9"/>
      <c r="BZ39" s="16"/>
      <c r="CA39" s="10"/>
      <c r="CB39" s="10"/>
      <c r="CC39" s="10"/>
      <c r="CD39" s="11"/>
      <c r="CE39" s="12"/>
      <c r="CF39" s="17"/>
      <c r="CG39" s="13"/>
      <c r="CH39" s="13"/>
      <c r="CI39" s="13"/>
      <c r="CJ39" s="14"/>
      <c r="CK39" s="9"/>
      <c r="CL39" s="16"/>
      <c r="CM39" s="10"/>
      <c r="CN39" s="10"/>
      <c r="CO39" s="10"/>
      <c r="CP39" s="11"/>
      <c r="CQ39" s="12"/>
      <c r="CR39" s="17"/>
      <c r="CS39" s="13"/>
      <c r="CT39" s="13"/>
      <c r="CU39" s="13"/>
      <c r="CV39" s="14"/>
      <c r="CW39" s="9"/>
      <c r="CX39" s="16"/>
      <c r="CY39" s="10"/>
      <c r="CZ39" s="10"/>
      <c r="DA39" s="10"/>
      <c r="DB39" s="11"/>
      <c r="DC39" s="12"/>
      <c r="DD39" s="17"/>
      <c r="DE39" s="13"/>
      <c r="DF39" s="13"/>
      <c r="DG39" s="13"/>
      <c r="DH39" s="14"/>
      <c r="DI39" s="8">
        <f t="shared" si="9"/>
        <v>24</v>
      </c>
      <c r="DJ39" s="8">
        <f t="shared" si="10"/>
        <v>0</v>
      </c>
      <c r="DK39" s="8">
        <f t="shared" si="11"/>
        <v>4</v>
      </c>
      <c r="DL39" s="8">
        <f t="shared" si="12"/>
        <v>20</v>
      </c>
      <c r="DM39" s="8">
        <f t="shared" si="13"/>
        <v>24</v>
      </c>
      <c r="DN39" s="8">
        <f t="shared" si="14"/>
        <v>0</v>
      </c>
      <c r="DO39" s="15">
        <f t="shared" si="15"/>
        <v>5.6481352048722249</v>
      </c>
      <c r="DP39" s="15" t="str">
        <f t="shared" si="16"/>
        <v>OK - No Upgrade</v>
      </c>
      <c r="DQ39" s="15" t="str">
        <f t="shared" si="17"/>
        <v>Need to Balance</v>
      </c>
    </row>
    <row r="40" spans="1:121" ht="15.75" customHeight="1" x14ac:dyDescent="0.25">
      <c r="A40" s="8" t="s">
        <v>38</v>
      </c>
      <c r="B40" s="8" t="s">
        <v>385</v>
      </c>
      <c r="C40" s="8" t="s">
        <v>124</v>
      </c>
      <c r="D40" s="8" t="s">
        <v>459</v>
      </c>
      <c r="E40" s="8" t="s">
        <v>460</v>
      </c>
      <c r="F40" s="8" t="s">
        <v>43</v>
      </c>
      <c r="G40" s="8" t="s">
        <v>44</v>
      </c>
      <c r="H40" s="8">
        <v>315</v>
      </c>
      <c r="I40" s="8" t="s">
        <v>461</v>
      </c>
      <c r="J40" s="8">
        <v>2</v>
      </c>
      <c r="K40" s="8">
        <v>247</v>
      </c>
      <c r="L40" s="8">
        <v>249</v>
      </c>
      <c r="M40" s="8">
        <v>248</v>
      </c>
      <c r="N40" s="8">
        <v>430</v>
      </c>
      <c r="O40" s="8">
        <v>428</v>
      </c>
      <c r="P40" s="8">
        <v>432</v>
      </c>
      <c r="Q40" s="9" t="s">
        <v>334</v>
      </c>
      <c r="R40" s="16"/>
      <c r="S40" s="10">
        <v>3</v>
      </c>
      <c r="T40" s="10">
        <v>1</v>
      </c>
      <c r="U40" s="10">
        <v>3</v>
      </c>
      <c r="V40" s="11">
        <v>3</v>
      </c>
      <c r="W40" s="12" t="s">
        <v>47</v>
      </c>
      <c r="X40" s="17"/>
      <c r="Y40" s="13">
        <v>28</v>
      </c>
      <c r="Z40" s="13">
        <v>0</v>
      </c>
      <c r="AA40" s="13">
        <v>2</v>
      </c>
      <c r="AB40" s="14">
        <v>22</v>
      </c>
      <c r="AC40" s="9"/>
      <c r="AD40" s="16"/>
      <c r="AE40" s="10"/>
      <c r="AF40" s="10"/>
      <c r="AG40" s="10"/>
      <c r="AH40" s="11"/>
      <c r="AI40" s="12"/>
      <c r="AJ40" s="17"/>
      <c r="AK40" s="13"/>
      <c r="AL40" s="13"/>
      <c r="AM40" s="13"/>
      <c r="AN40" s="14"/>
      <c r="AO40" s="9"/>
      <c r="AP40" s="16"/>
      <c r="AQ40" s="10"/>
      <c r="AR40" s="10"/>
      <c r="AS40" s="10"/>
      <c r="AT40" s="11"/>
      <c r="AU40" s="12"/>
      <c r="AV40" s="17"/>
      <c r="AW40" s="13"/>
      <c r="AX40" s="13"/>
      <c r="AY40" s="13"/>
      <c r="AZ40" s="14"/>
      <c r="BA40" s="9"/>
      <c r="BB40" s="16"/>
      <c r="BC40" s="10"/>
      <c r="BD40" s="10"/>
      <c r="BE40" s="10"/>
      <c r="BF40" s="11"/>
      <c r="BG40" s="12"/>
      <c r="BH40" s="17"/>
      <c r="BI40" s="13"/>
      <c r="BJ40" s="13"/>
      <c r="BK40" s="13"/>
      <c r="BL40" s="14"/>
      <c r="BM40" s="9"/>
      <c r="BN40" s="16"/>
      <c r="BO40" s="10"/>
      <c r="BP40" s="10"/>
      <c r="BQ40" s="10"/>
      <c r="BR40" s="11"/>
      <c r="BS40" s="12"/>
      <c r="BT40" s="17"/>
      <c r="BU40" s="13"/>
      <c r="BV40" s="13"/>
      <c r="BW40" s="13"/>
      <c r="BX40" s="14"/>
      <c r="BY40" s="9"/>
      <c r="BZ40" s="16"/>
      <c r="CA40" s="10"/>
      <c r="CB40" s="10"/>
      <c r="CC40" s="10"/>
      <c r="CD40" s="11"/>
      <c r="CE40" s="12"/>
      <c r="CF40" s="17"/>
      <c r="CG40" s="13"/>
      <c r="CH40" s="13"/>
      <c r="CI40" s="13"/>
      <c r="CJ40" s="14"/>
      <c r="CK40" s="9"/>
      <c r="CL40" s="16"/>
      <c r="CM40" s="10"/>
      <c r="CN40" s="10"/>
      <c r="CO40" s="10"/>
      <c r="CP40" s="11"/>
      <c r="CQ40" s="12"/>
      <c r="CR40" s="17"/>
      <c r="CS40" s="13"/>
      <c r="CT40" s="13"/>
      <c r="CU40" s="13"/>
      <c r="CV40" s="14"/>
      <c r="CW40" s="9"/>
      <c r="CX40" s="16"/>
      <c r="CY40" s="10"/>
      <c r="CZ40" s="10"/>
      <c r="DA40" s="10"/>
      <c r="DB40" s="11"/>
      <c r="DC40" s="12"/>
      <c r="DD40" s="17"/>
      <c r="DE40" s="13"/>
      <c r="DF40" s="13"/>
      <c r="DG40" s="13"/>
      <c r="DH40" s="14"/>
      <c r="DI40" s="8">
        <f t="shared" si="9"/>
        <v>31</v>
      </c>
      <c r="DJ40" s="8">
        <f t="shared" si="10"/>
        <v>1</v>
      </c>
      <c r="DK40" s="8">
        <f t="shared" si="11"/>
        <v>5</v>
      </c>
      <c r="DL40" s="8">
        <f t="shared" si="12"/>
        <v>25</v>
      </c>
      <c r="DM40" s="8">
        <f t="shared" si="13"/>
        <v>31</v>
      </c>
      <c r="DN40" s="8">
        <f t="shared" si="14"/>
        <v>1</v>
      </c>
      <c r="DO40" s="15">
        <f t="shared" si="15"/>
        <v>7.3295991317121061</v>
      </c>
      <c r="DP40" s="15" t="str">
        <f t="shared" si="16"/>
        <v>OK - No Upgrade</v>
      </c>
      <c r="DQ40" s="15" t="str">
        <f t="shared" si="17"/>
        <v>Need to Balance</v>
      </c>
    </row>
    <row r="41" spans="1:121" ht="15.75" customHeight="1" x14ac:dyDescent="0.25">
      <c r="A41" s="8" t="s">
        <v>38</v>
      </c>
      <c r="B41" s="8" t="s">
        <v>385</v>
      </c>
      <c r="C41" s="8" t="s">
        <v>265</v>
      </c>
      <c r="D41" s="8" t="s">
        <v>462</v>
      </c>
      <c r="E41" s="8" t="s">
        <v>463</v>
      </c>
      <c r="F41" s="8" t="s">
        <v>56</v>
      </c>
      <c r="G41" s="8"/>
      <c r="H41" s="8">
        <v>1000</v>
      </c>
      <c r="I41" s="8" t="s">
        <v>464</v>
      </c>
      <c r="J41" s="8">
        <v>1</v>
      </c>
      <c r="K41" s="8">
        <v>244</v>
      </c>
      <c r="L41" s="8">
        <v>243</v>
      </c>
      <c r="M41" s="8">
        <v>246</v>
      </c>
      <c r="N41" s="8">
        <v>420</v>
      </c>
      <c r="O41" s="8">
        <v>426</v>
      </c>
      <c r="P41" s="8">
        <v>423</v>
      </c>
      <c r="Q41" s="9" t="s">
        <v>47</v>
      </c>
      <c r="R41" s="16"/>
      <c r="S41" s="10">
        <v>28</v>
      </c>
      <c r="T41" s="10">
        <v>31</v>
      </c>
      <c r="U41" s="10">
        <v>26</v>
      </c>
      <c r="V41" s="11">
        <v>12</v>
      </c>
      <c r="W41" s="12" t="s">
        <v>47</v>
      </c>
      <c r="X41" s="17"/>
      <c r="Y41" s="13">
        <v>65</v>
      </c>
      <c r="Z41" s="13">
        <v>75</v>
      </c>
      <c r="AA41" s="13">
        <v>97</v>
      </c>
      <c r="AB41" s="14">
        <v>28</v>
      </c>
      <c r="AC41" s="9" t="s">
        <v>47</v>
      </c>
      <c r="AD41" s="16"/>
      <c r="AE41" s="10">
        <v>62</v>
      </c>
      <c r="AF41" s="10">
        <v>6</v>
      </c>
      <c r="AG41" s="10">
        <v>48</v>
      </c>
      <c r="AH41" s="11">
        <v>55</v>
      </c>
      <c r="AI41" s="12" t="s">
        <v>47</v>
      </c>
      <c r="AJ41" s="17"/>
      <c r="AK41" s="13">
        <v>38</v>
      </c>
      <c r="AL41" s="13">
        <v>60</v>
      </c>
      <c r="AM41" s="13">
        <v>20</v>
      </c>
      <c r="AN41" s="14">
        <v>30</v>
      </c>
      <c r="AO41" s="9" t="s">
        <v>47</v>
      </c>
      <c r="AP41" s="16"/>
      <c r="AQ41" s="10">
        <v>185</v>
      </c>
      <c r="AR41" s="10">
        <v>195</v>
      </c>
      <c r="AS41" s="10">
        <v>132</v>
      </c>
      <c r="AT41" s="11">
        <v>55</v>
      </c>
      <c r="AU41" s="12"/>
      <c r="AV41" s="17"/>
      <c r="AW41" s="13"/>
      <c r="AX41" s="13"/>
      <c r="AY41" s="13"/>
      <c r="AZ41" s="14"/>
      <c r="BA41" s="9"/>
      <c r="BB41" s="16"/>
      <c r="BC41" s="10"/>
      <c r="BD41" s="10"/>
      <c r="BE41" s="10"/>
      <c r="BF41" s="11"/>
      <c r="BG41" s="12"/>
      <c r="BH41" s="17"/>
      <c r="BI41" s="13"/>
      <c r="BJ41" s="13"/>
      <c r="BK41" s="13"/>
      <c r="BL41" s="14"/>
      <c r="BM41" s="9"/>
      <c r="BN41" s="16"/>
      <c r="BO41" s="10"/>
      <c r="BP41" s="10"/>
      <c r="BQ41" s="10"/>
      <c r="BR41" s="11"/>
      <c r="BS41" s="12"/>
      <c r="BT41" s="17"/>
      <c r="BU41" s="13"/>
      <c r="BV41" s="13"/>
      <c r="BW41" s="13"/>
      <c r="BX41" s="14"/>
      <c r="BY41" s="9"/>
      <c r="BZ41" s="16"/>
      <c r="CA41" s="10"/>
      <c r="CB41" s="10"/>
      <c r="CC41" s="10"/>
      <c r="CD41" s="11"/>
      <c r="CE41" s="12"/>
      <c r="CF41" s="17"/>
      <c r="CG41" s="13"/>
      <c r="CH41" s="13"/>
      <c r="CI41" s="13"/>
      <c r="CJ41" s="14"/>
      <c r="CK41" s="9"/>
      <c r="CL41" s="16"/>
      <c r="CM41" s="10"/>
      <c r="CN41" s="10"/>
      <c r="CO41" s="10"/>
      <c r="CP41" s="11"/>
      <c r="CQ41" s="12"/>
      <c r="CR41" s="17"/>
      <c r="CS41" s="13"/>
      <c r="CT41" s="13"/>
      <c r="CU41" s="13"/>
      <c r="CV41" s="14"/>
      <c r="CW41" s="9"/>
      <c r="CX41" s="16"/>
      <c r="CY41" s="10"/>
      <c r="CZ41" s="10"/>
      <c r="DA41" s="10"/>
      <c r="DB41" s="11"/>
      <c r="DC41" s="12"/>
      <c r="DD41" s="17"/>
      <c r="DE41" s="13"/>
      <c r="DF41" s="13"/>
      <c r="DG41" s="13"/>
      <c r="DH41" s="14"/>
      <c r="DI41" s="8">
        <f t="shared" si="9"/>
        <v>378</v>
      </c>
      <c r="DJ41" s="8">
        <f t="shared" si="10"/>
        <v>367</v>
      </c>
      <c r="DK41" s="8">
        <f t="shared" si="11"/>
        <v>323</v>
      </c>
      <c r="DL41" s="8">
        <f t="shared" si="12"/>
        <v>180</v>
      </c>
      <c r="DM41" s="8">
        <f t="shared" si="13"/>
        <v>378</v>
      </c>
      <c r="DN41" s="8">
        <f t="shared" si="14"/>
        <v>323</v>
      </c>
      <c r="DO41" s="15">
        <f t="shared" si="15"/>
        <v>27.498038620963495</v>
      </c>
      <c r="DP41" s="15" t="str">
        <f t="shared" si="16"/>
        <v>OK - No Upgrade</v>
      </c>
      <c r="DQ41" s="15" t="str">
        <f t="shared" si="17"/>
        <v>OK - Balanced</v>
      </c>
    </row>
    <row r="42" spans="1:121" ht="15.75" customHeight="1" x14ac:dyDescent="0.25">
      <c r="A42" s="8" t="s">
        <v>38</v>
      </c>
      <c r="B42" s="8" t="s">
        <v>385</v>
      </c>
      <c r="C42" s="8" t="s">
        <v>265</v>
      </c>
      <c r="D42" s="8" t="s">
        <v>462</v>
      </c>
      <c r="E42" s="8" t="s">
        <v>463</v>
      </c>
      <c r="F42" s="8" t="s">
        <v>56</v>
      </c>
      <c r="G42" s="8" t="s">
        <v>44</v>
      </c>
      <c r="H42" s="8">
        <v>1000</v>
      </c>
      <c r="I42" s="8" t="s">
        <v>465</v>
      </c>
      <c r="J42" s="8">
        <v>2</v>
      </c>
      <c r="K42" s="8">
        <v>245</v>
      </c>
      <c r="L42" s="8">
        <v>243</v>
      </c>
      <c r="M42" s="8">
        <v>245</v>
      </c>
      <c r="N42" s="8">
        <v>423</v>
      </c>
      <c r="O42" s="8">
        <v>424</v>
      </c>
      <c r="P42" s="8">
        <v>430</v>
      </c>
      <c r="Q42" s="9" t="s">
        <v>47</v>
      </c>
      <c r="R42" s="16"/>
      <c r="S42" s="10">
        <v>8</v>
      </c>
      <c r="T42" s="10">
        <v>5</v>
      </c>
      <c r="U42" s="10">
        <v>7</v>
      </c>
      <c r="V42" s="11">
        <v>6</v>
      </c>
      <c r="W42" s="12" t="s">
        <v>47</v>
      </c>
      <c r="X42" s="17"/>
      <c r="Y42" s="13">
        <v>58</v>
      </c>
      <c r="Z42" s="13">
        <v>49</v>
      </c>
      <c r="AA42" s="13">
        <v>68</v>
      </c>
      <c r="AB42" s="14">
        <v>18</v>
      </c>
      <c r="AC42" s="9" t="s">
        <v>47</v>
      </c>
      <c r="AD42" s="16"/>
      <c r="AE42" s="10">
        <v>84</v>
      </c>
      <c r="AF42" s="10">
        <v>48</v>
      </c>
      <c r="AG42" s="10">
        <v>68</v>
      </c>
      <c r="AH42" s="11">
        <v>33</v>
      </c>
      <c r="AI42" s="12" t="s">
        <v>47</v>
      </c>
      <c r="AJ42" s="17"/>
      <c r="AK42" s="13">
        <v>72</v>
      </c>
      <c r="AL42" s="13">
        <v>38</v>
      </c>
      <c r="AM42" s="13">
        <v>25</v>
      </c>
      <c r="AN42" s="14">
        <v>39</v>
      </c>
      <c r="AO42" s="9" t="s">
        <v>47</v>
      </c>
      <c r="AP42" s="16"/>
      <c r="AQ42" s="10">
        <v>154</v>
      </c>
      <c r="AR42" s="10">
        <v>206</v>
      </c>
      <c r="AS42" s="10">
        <v>197</v>
      </c>
      <c r="AT42" s="11">
        <v>32</v>
      </c>
      <c r="AU42" s="12"/>
      <c r="AV42" s="17"/>
      <c r="AW42" s="13"/>
      <c r="AX42" s="13"/>
      <c r="AY42" s="13"/>
      <c r="AZ42" s="14"/>
      <c r="BA42" s="9"/>
      <c r="BB42" s="16"/>
      <c r="BC42" s="10"/>
      <c r="BD42" s="10"/>
      <c r="BE42" s="10"/>
      <c r="BF42" s="11"/>
      <c r="BG42" s="12"/>
      <c r="BH42" s="17"/>
      <c r="BI42" s="13"/>
      <c r="BJ42" s="13"/>
      <c r="BK42" s="13"/>
      <c r="BL42" s="14"/>
      <c r="BM42" s="9"/>
      <c r="BN42" s="16"/>
      <c r="BO42" s="10"/>
      <c r="BP42" s="10"/>
      <c r="BQ42" s="10"/>
      <c r="BR42" s="11"/>
      <c r="BS42" s="12"/>
      <c r="BT42" s="17"/>
      <c r="BU42" s="13"/>
      <c r="BV42" s="13"/>
      <c r="BW42" s="13"/>
      <c r="BX42" s="14"/>
      <c r="BY42" s="9"/>
      <c r="BZ42" s="16"/>
      <c r="CA42" s="10"/>
      <c r="CB42" s="10"/>
      <c r="CC42" s="10"/>
      <c r="CD42" s="11"/>
      <c r="CE42" s="12"/>
      <c r="CF42" s="17"/>
      <c r="CG42" s="13"/>
      <c r="CH42" s="13"/>
      <c r="CI42" s="13"/>
      <c r="CJ42" s="14"/>
      <c r="CK42" s="9"/>
      <c r="CL42" s="16"/>
      <c r="CM42" s="10"/>
      <c r="CN42" s="10"/>
      <c r="CO42" s="10"/>
      <c r="CP42" s="11"/>
      <c r="CQ42" s="12"/>
      <c r="CR42" s="17"/>
      <c r="CS42" s="13"/>
      <c r="CT42" s="13"/>
      <c r="CU42" s="13"/>
      <c r="CV42" s="14"/>
      <c r="CW42" s="9"/>
      <c r="CX42" s="16"/>
      <c r="CY42" s="10"/>
      <c r="CZ42" s="10"/>
      <c r="DA42" s="10"/>
      <c r="DB42" s="11"/>
      <c r="DC42" s="12"/>
      <c r="DD42" s="17"/>
      <c r="DE42" s="13"/>
      <c r="DF42" s="13"/>
      <c r="DG42" s="13"/>
      <c r="DH42" s="14"/>
      <c r="DI42" s="8">
        <f t="shared" si="9"/>
        <v>376</v>
      </c>
      <c r="DJ42" s="8">
        <f t="shared" si="10"/>
        <v>346</v>
      </c>
      <c r="DK42" s="8">
        <f t="shared" si="11"/>
        <v>365</v>
      </c>
      <c r="DL42" s="8">
        <f t="shared" si="12"/>
        <v>128</v>
      </c>
      <c r="DM42" s="8">
        <f t="shared" si="13"/>
        <v>376</v>
      </c>
      <c r="DN42" s="8">
        <f t="shared" si="14"/>
        <v>346</v>
      </c>
      <c r="DO42" s="15">
        <f t="shared" si="15"/>
        <v>27.547921684221482</v>
      </c>
      <c r="DP42" s="15" t="str">
        <f t="shared" si="16"/>
        <v>OK - No Upgrade</v>
      </c>
      <c r="DQ42" s="15" t="str">
        <f t="shared" si="17"/>
        <v>OK - Balanced</v>
      </c>
    </row>
    <row r="43" spans="1:121" ht="15.75" customHeight="1" x14ac:dyDescent="0.25">
      <c r="A43" s="8" t="s">
        <v>38</v>
      </c>
      <c r="B43" s="8" t="s">
        <v>385</v>
      </c>
      <c r="C43" s="8" t="s">
        <v>265</v>
      </c>
      <c r="D43" s="8" t="s">
        <v>466</v>
      </c>
      <c r="E43" s="8" t="s">
        <v>467</v>
      </c>
      <c r="F43" s="8" t="s">
        <v>56</v>
      </c>
      <c r="G43" s="8" t="s">
        <v>44</v>
      </c>
      <c r="H43" s="8">
        <v>1000</v>
      </c>
      <c r="I43" s="8" t="s">
        <v>468</v>
      </c>
      <c r="J43" s="8">
        <v>1</v>
      </c>
      <c r="K43" s="8">
        <v>251</v>
      </c>
      <c r="L43" s="8">
        <v>250</v>
      </c>
      <c r="M43" s="8">
        <v>254</v>
      </c>
      <c r="N43" s="8">
        <v>434</v>
      </c>
      <c r="O43" s="8">
        <v>439</v>
      </c>
      <c r="P43" s="8">
        <v>438</v>
      </c>
      <c r="Q43" s="9"/>
      <c r="R43" s="16"/>
      <c r="S43" s="10"/>
      <c r="T43" s="10"/>
      <c r="U43" s="10"/>
      <c r="V43" s="11"/>
      <c r="W43" s="12"/>
      <c r="X43" s="17"/>
      <c r="Y43" s="13"/>
      <c r="Z43" s="13"/>
      <c r="AA43" s="13"/>
      <c r="AB43" s="14"/>
      <c r="AC43" s="9" t="s">
        <v>70</v>
      </c>
      <c r="AD43" s="16"/>
      <c r="AE43" s="10">
        <v>21</v>
      </c>
      <c r="AF43" s="10">
        <v>46</v>
      </c>
      <c r="AG43" s="10">
        <v>41</v>
      </c>
      <c r="AH43" s="11">
        <v>17</v>
      </c>
      <c r="AI43" s="12" t="s">
        <v>70</v>
      </c>
      <c r="AJ43" s="17"/>
      <c r="AK43" s="13">
        <v>30</v>
      </c>
      <c r="AL43" s="13">
        <v>31</v>
      </c>
      <c r="AM43" s="13">
        <v>14</v>
      </c>
      <c r="AN43" s="14">
        <v>14</v>
      </c>
      <c r="AO43" s="9"/>
      <c r="AP43" s="16"/>
      <c r="AQ43" s="10"/>
      <c r="AR43" s="10"/>
      <c r="AS43" s="10"/>
      <c r="AT43" s="11"/>
      <c r="AU43" s="12" t="s">
        <v>47</v>
      </c>
      <c r="AV43" s="17"/>
      <c r="AW43" s="13">
        <v>87</v>
      </c>
      <c r="AX43" s="13">
        <v>103</v>
      </c>
      <c r="AY43" s="13">
        <v>99</v>
      </c>
      <c r="AZ43" s="14">
        <v>33</v>
      </c>
      <c r="BA43" s="9"/>
      <c r="BB43" s="16"/>
      <c r="BC43" s="10"/>
      <c r="BD43" s="10"/>
      <c r="BE43" s="10"/>
      <c r="BF43" s="11"/>
      <c r="BG43" s="12"/>
      <c r="BH43" s="17"/>
      <c r="BI43" s="13"/>
      <c r="BJ43" s="13"/>
      <c r="BK43" s="13"/>
      <c r="BL43" s="14"/>
      <c r="BM43" s="9"/>
      <c r="BN43" s="16"/>
      <c r="BO43" s="10"/>
      <c r="BP43" s="10"/>
      <c r="BQ43" s="10"/>
      <c r="BR43" s="11"/>
      <c r="BS43" s="12"/>
      <c r="BT43" s="17"/>
      <c r="BU43" s="13"/>
      <c r="BV43" s="13"/>
      <c r="BW43" s="13"/>
      <c r="BX43" s="14"/>
      <c r="BY43" s="9"/>
      <c r="BZ43" s="16"/>
      <c r="CA43" s="10"/>
      <c r="CB43" s="10"/>
      <c r="CC43" s="10"/>
      <c r="CD43" s="11"/>
      <c r="CE43" s="12"/>
      <c r="CF43" s="17"/>
      <c r="CG43" s="13"/>
      <c r="CH43" s="13"/>
      <c r="CI43" s="13"/>
      <c r="CJ43" s="14"/>
      <c r="CK43" s="9"/>
      <c r="CL43" s="16"/>
      <c r="CM43" s="10"/>
      <c r="CN43" s="10"/>
      <c r="CO43" s="10"/>
      <c r="CP43" s="11"/>
      <c r="CQ43" s="12"/>
      <c r="CR43" s="17"/>
      <c r="CS43" s="13"/>
      <c r="CT43" s="13"/>
      <c r="CU43" s="13"/>
      <c r="CV43" s="14"/>
      <c r="CW43" s="9"/>
      <c r="CX43" s="16"/>
      <c r="CY43" s="10"/>
      <c r="CZ43" s="10"/>
      <c r="DA43" s="10"/>
      <c r="DB43" s="11"/>
      <c r="DC43" s="12"/>
      <c r="DD43" s="17"/>
      <c r="DE43" s="13"/>
      <c r="DF43" s="13"/>
      <c r="DG43" s="13"/>
      <c r="DH43" s="14"/>
      <c r="DI43" s="8">
        <f t="shared" si="9"/>
        <v>138</v>
      </c>
      <c r="DJ43" s="8">
        <f t="shared" si="10"/>
        <v>180</v>
      </c>
      <c r="DK43" s="8">
        <f t="shared" si="11"/>
        <v>154</v>
      </c>
      <c r="DL43" s="8">
        <f t="shared" si="12"/>
        <v>64</v>
      </c>
      <c r="DM43" s="8">
        <f t="shared" si="13"/>
        <v>180</v>
      </c>
      <c r="DN43" s="8">
        <f t="shared" si="14"/>
        <v>138</v>
      </c>
      <c r="DO43" s="15">
        <f t="shared" si="15"/>
        <v>13.530780908728071</v>
      </c>
      <c r="DP43" s="15" t="str">
        <f t="shared" si="16"/>
        <v>OK - No Upgrade</v>
      </c>
      <c r="DQ43" s="15" t="str">
        <f t="shared" si="17"/>
        <v>Need to Balance</v>
      </c>
    </row>
    <row r="44" spans="1:121" ht="15.75" customHeight="1" x14ac:dyDescent="0.25">
      <c r="A44" s="8" t="s">
        <v>38</v>
      </c>
      <c r="B44" s="8" t="s">
        <v>385</v>
      </c>
      <c r="C44" s="8" t="s">
        <v>265</v>
      </c>
      <c r="D44" s="8" t="s">
        <v>466</v>
      </c>
      <c r="E44" s="8" t="s">
        <v>467</v>
      </c>
      <c r="F44" s="8" t="s">
        <v>56</v>
      </c>
      <c r="G44" s="8" t="s">
        <v>469</v>
      </c>
      <c r="H44" s="8">
        <v>1000</v>
      </c>
      <c r="I44" s="8" t="s">
        <v>470</v>
      </c>
      <c r="J44" s="8">
        <v>2</v>
      </c>
      <c r="K44" s="8">
        <v>251</v>
      </c>
      <c r="L44" s="8">
        <v>250</v>
      </c>
      <c r="M44" s="8">
        <v>251</v>
      </c>
      <c r="N44" s="8">
        <v>435</v>
      </c>
      <c r="O44" s="8">
        <v>435</v>
      </c>
      <c r="P44" s="8">
        <v>434</v>
      </c>
      <c r="Q44" s="9"/>
      <c r="R44" s="16"/>
      <c r="S44" s="10"/>
      <c r="T44" s="10"/>
      <c r="U44" s="10"/>
      <c r="V44" s="11"/>
      <c r="W44" s="12"/>
      <c r="X44" s="17"/>
      <c r="Y44" s="13"/>
      <c r="Z44" s="13"/>
      <c r="AA44" s="13"/>
      <c r="AB44" s="14"/>
      <c r="AC44" s="9" t="s">
        <v>70</v>
      </c>
      <c r="AD44" s="16"/>
      <c r="AE44" s="10">
        <v>40</v>
      </c>
      <c r="AF44" s="10">
        <v>68</v>
      </c>
      <c r="AG44" s="10">
        <v>71</v>
      </c>
      <c r="AH44" s="11">
        <v>42</v>
      </c>
      <c r="AI44" s="12" t="s">
        <v>70</v>
      </c>
      <c r="AJ44" s="17"/>
      <c r="AK44" s="13">
        <v>63</v>
      </c>
      <c r="AL44" s="13">
        <v>28</v>
      </c>
      <c r="AM44" s="13">
        <v>69</v>
      </c>
      <c r="AN44" s="14">
        <v>38</v>
      </c>
      <c r="AO44" s="9"/>
      <c r="AP44" s="16"/>
      <c r="AQ44" s="10"/>
      <c r="AR44" s="10"/>
      <c r="AS44" s="10"/>
      <c r="AT44" s="11"/>
      <c r="AU44" s="12" t="s">
        <v>47</v>
      </c>
      <c r="AV44" s="17"/>
      <c r="AW44" s="13">
        <v>85</v>
      </c>
      <c r="AX44" s="13">
        <v>120</v>
      </c>
      <c r="AY44" s="13">
        <v>124</v>
      </c>
      <c r="AZ44" s="14">
        <v>32</v>
      </c>
      <c r="BA44" s="9"/>
      <c r="BB44" s="16"/>
      <c r="BC44" s="10"/>
      <c r="BD44" s="10"/>
      <c r="BE44" s="10"/>
      <c r="BF44" s="11"/>
      <c r="BG44" s="12"/>
      <c r="BH44" s="17"/>
      <c r="BI44" s="13"/>
      <c r="BJ44" s="13"/>
      <c r="BK44" s="13"/>
      <c r="BL44" s="14"/>
      <c r="BM44" s="9"/>
      <c r="BN44" s="16"/>
      <c r="BO44" s="10"/>
      <c r="BP44" s="10"/>
      <c r="BQ44" s="10"/>
      <c r="BR44" s="11"/>
      <c r="BS44" s="12"/>
      <c r="BT44" s="17"/>
      <c r="BU44" s="13"/>
      <c r="BV44" s="13"/>
      <c r="BW44" s="13"/>
      <c r="BX44" s="14"/>
      <c r="BY44" s="9"/>
      <c r="BZ44" s="16"/>
      <c r="CA44" s="10"/>
      <c r="CB44" s="10"/>
      <c r="CC44" s="10"/>
      <c r="CD44" s="11"/>
      <c r="CE44" s="12"/>
      <c r="CF44" s="17"/>
      <c r="CG44" s="13"/>
      <c r="CH44" s="13"/>
      <c r="CI44" s="13"/>
      <c r="CJ44" s="14"/>
      <c r="CK44" s="9"/>
      <c r="CL44" s="16"/>
      <c r="CM44" s="10"/>
      <c r="CN44" s="10"/>
      <c r="CO44" s="10"/>
      <c r="CP44" s="11"/>
      <c r="CQ44" s="12"/>
      <c r="CR44" s="17"/>
      <c r="CS44" s="13"/>
      <c r="CT44" s="13"/>
      <c r="CU44" s="13"/>
      <c r="CV44" s="14"/>
      <c r="CW44" s="9"/>
      <c r="CX44" s="16"/>
      <c r="CY44" s="10"/>
      <c r="CZ44" s="10"/>
      <c r="DA44" s="10"/>
      <c r="DB44" s="11"/>
      <c r="DC44" s="12"/>
      <c r="DD44" s="17"/>
      <c r="DE44" s="13"/>
      <c r="DF44" s="13"/>
      <c r="DG44" s="13"/>
      <c r="DH44" s="14"/>
      <c r="DI44" s="8">
        <f t="shared" si="9"/>
        <v>188</v>
      </c>
      <c r="DJ44" s="8">
        <f t="shared" si="10"/>
        <v>216</v>
      </c>
      <c r="DK44" s="8">
        <f t="shared" si="11"/>
        <v>264</v>
      </c>
      <c r="DL44" s="8">
        <f t="shared" si="12"/>
        <v>112</v>
      </c>
      <c r="DM44" s="8">
        <f t="shared" si="13"/>
        <v>264</v>
      </c>
      <c r="DN44" s="8">
        <f t="shared" si="14"/>
        <v>188</v>
      </c>
      <c r="DO44" s="15">
        <f t="shared" si="15"/>
        <v>19.890871474120981</v>
      </c>
      <c r="DP44" s="15" t="str">
        <f t="shared" si="16"/>
        <v>OK - No Upgrade</v>
      </c>
      <c r="DQ44" s="15" t="str">
        <f t="shared" si="17"/>
        <v>Need to Balance</v>
      </c>
    </row>
    <row r="45" spans="1:121" ht="15.75" customHeight="1" x14ac:dyDescent="0.25">
      <c r="A45" s="8" t="s">
        <v>38</v>
      </c>
      <c r="B45" s="8" t="s">
        <v>385</v>
      </c>
      <c r="C45" s="8" t="s">
        <v>265</v>
      </c>
      <c r="D45" s="8" t="s">
        <v>471</v>
      </c>
      <c r="E45" s="8" t="s">
        <v>472</v>
      </c>
      <c r="F45" s="8" t="s">
        <v>56</v>
      </c>
      <c r="G45" s="8" t="s">
        <v>44</v>
      </c>
      <c r="H45" s="8">
        <v>1000</v>
      </c>
      <c r="I45" s="8" t="s">
        <v>473</v>
      </c>
      <c r="J45" s="8">
        <v>1</v>
      </c>
      <c r="K45" s="8">
        <v>244</v>
      </c>
      <c r="L45" s="8">
        <v>245</v>
      </c>
      <c r="M45" s="8">
        <v>247</v>
      </c>
      <c r="N45" s="8">
        <v>422</v>
      </c>
      <c r="O45" s="8">
        <v>427</v>
      </c>
      <c r="P45" s="8">
        <v>427</v>
      </c>
      <c r="Q45" s="9"/>
      <c r="R45" s="16"/>
      <c r="S45" s="10"/>
      <c r="T45" s="10"/>
      <c r="U45" s="10"/>
      <c r="V45" s="11"/>
      <c r="W45" s="12"/>
      <c r="X45" s="17"/>
      <c r="Y45" s="13"/>
      <c r="Z45" s="13"/>
      <c r="AA45" s="13"/>
      <c r="AB45" s="14"/>
      <c r="AC45" s="9"/>
      <c r="AD45" s="16"/>
      <c r="AE45" s="10">
        <v>18</v>
      </c>
      <c r="AF45" s="10">
        <v>57</v>
      </c>
      <c r="AG45" s="10">
        <v>50</v>
      </c>
      <c r="AH45" s="11">
        <v>25</v>
      </c>
      <c r="AI45" s="12" t="s">
        <v>46</v>
      </c>
      <c r="AJ45" s="17"/>
      <c r="AK45" s="13">
        <v>90</v>
      </c>
      <c r="AL45" s="13">
        <v>92</v>
      </c>
      <c r="AM45" s="13">
        <v>104</v>
      </c>
      <c r="AN45" s="14">
        <v>23</v>
      </c>
      <c r="AO45" s="9" t="s">
        <v>46</v>
      </c>
      <c r="AP45" s="16"/>
      <c r="AQ45" s="10">
        <v>210</v>
      </c>
      <c r="AR45" s="10">
        <v>143</v>
      </c>
      <c r="AS45" s="10">
        <v>108</v>
      </c>
      <c r="AT45" s="11">
        <v>110</v>
      </c>
      <c r="AU45" s="12" t="s">
        <v>46</v>
      </c>
      <c r="AV45" s="17"/>
      <c r="AW45" s="13">
        <v>70</v>
      </c>
      <c r="AX45" s="13">
        <v>41</v>
      </c>
      <c r="AY45" s="13">
        <v>69</v>
      </c>
      <c r="AZ45" s="14">
        <v>31</v>
      </c>
      <c r="BA45" s="9" t="s">
        <v>47</v>
      </c>
      <c r="BB45" s="16"/>
      <c r="BC45" s="10">
        <v>44</v>
      </c>
      <c r="BD45" s="10">
        <v>58</v>
      </c>
      <c r="BE45" s="10">
        <v>18</v>
      </c>
      <c r="BF45" s="11">
        <v>37</v>
      </c>
      <c r="BG45" s="12" t="s">
        <v>47</v>
      </c>
      <c r="BH45" s="17"/>
      <c r="BI45" s="13">
        <v>58</v>
      </c>
      <c r="BJ45" s="13">
        <v>67</v>
      </c>
      <c r="BK45" s="13">
        <v>87</v>
      </c>
      <c r="BL45" s="14">
        <v>15</v>
      </c>
      <c r="BM45" s="9"/>
      <c r="BN45" s="16"/>
      <c r="BO45" s="10"/>
      <c r="BP45" s="10"/>
      <c r="BQ45" s="10"/>
      <c r="BR45" s="11"/>
      <c r="BS45" s="12"/>
      <c r="BT45" s="17"/>
      <c r="BU45" s="13"/>
      <c r="BV45" s="13"/>
      <c r="BW45" s="13"/>
      <c r="BX45" s="14"/>
      <c r="BY45" s="9"/>
      <c r="BZ45" s="16"/>
      <c r="CA45" s="10"/>
      <c r="CB45" s="10"/>
      <c r="CC45" s="10"/>
      <c r="CD45" s="11"/>
      <c r="CE45" s="12"/>
      <c r="CF45" s="17"/>
      <c r="CG45" s="13"/>
      <c r="CH45" s="13"/>
      <c r="CI45" s="13"/>
      <c r="CJ45" s="14"/>
      <c r="CK45" s="9"/>
      <c r="CL45" s="16"/>
      <c r="CM45" s="10"/>
      <c r="CN45" s="10"/>
      <c r="CO45" s="10"/>
      <c r="CP45" s="11"/>
      <c r="CQ45" s="12"/>
      <c r="CR45" s="17"/>
      <c r="CS45" s="13"/>
      <c r="CT45" s="13"/>
      <c r="CU45" s="13"/>
      <c r="CV45" s="14"/>
      <c r="CW45" s="9"/>
      <c r="CX45" s="16"/>
      <c r="CY45" s="10"/>
      <c r="CZ45" s="10"/>
      <c r="DA45" s="10"/>
      <c r="DB45" s="11"/>
      <c r="DC45" s="12"/>
      <c r="DD45" s="17"/>
      <c r="DE45" s="13"/>
      <c r="DF45" s="13"/>
      <c r="DG45" s="13"/>
      <c r="DH45" s="14"/>
      <c r="DI45" s="8">
        <f t="shared" si="9"/>
        <v>490</v>
      </c>
      <c r="DJ45" s="8">
        <f t="shared" si="10"/>
        <v>458</v>
      </c>
      <c r="DK45" s="8">
        <f t="shared" si="11"/>
        <v>436</v>
      </c>
      <c r="DL45" s="8">
        <f t="shared" si="12"/>
        <v>241</v>
      </c>
      <c r="DM45" s="8">
        <f t="shared" si="13"/>
        <v>490</v>
      </c>
      <c r="DN45" s="8">
        <f t="shared" si="14"/>
        <v>436</v>
      </c>
      <c r="DO45" s="15">
        <f t="shared" si="15"/>
        <v>35.815346598909244</v>
      </c>
      <c r="DP45" s="15" t="str">
        <f t="shared" si="16"/>
        <v>OK - No Upgrade</v>
      </c>
      <c r="DQ45" s="15" t="str">
        <f t="shared" si="17"/>
        <v>OK - Balanced</v>
      </c>
    </row>
    <row r="46" spans="1:121" ht="15.75" customHeight="1" x14ac:dyDescent="0.25">
      <c r="A46" s="8" t="s">
        <v>38</v>
      </c>
      <c r="B46" s="8" t="s">
        <v>385</v>
      </c>
      <c r="C46" s="8" t="s">
        <v>265</v>
      </c>
      <c r="D46" s="8" t="s">
        <v>471</v>
      </c>
      <c r="E46" s="8" t="s">
        <v>472</v>
      </c>
      <c r="F46" s="8" t="s">
        <v>56</v>
      </c>
      <c r="G46" s="8" t="s">
        <v>44</v>
      </c>
      <c r="H46" s="8">
        <v>1000</v>
      </c>
      <c r="I46" s="8" t="s">
        <v>474</v>
      </c>
      <c r="J46" s="8">
        <v>2</v>
      </c>
      <c r="K46" s="8">
        <v>244</v>
      </c>
      <c r="L46" s="8">
        <v>243</v>
      </c>
      <c r="M46" s="8">
        <v>245</v>
      </c>
      <c r="N46" s="8">
        <v>421</v>
      </c>
      <c r="O46" s="8">
        <v>425</v>
      </c>
      <c r="P46" s="8">
        <v>423</v>
      </c>
      <c r="Q46" s="9"/>
      <c r="R46" s="16"/>
      <c r="S46" s="10"/>
      <c r="T46" s="10"/>
      <c r="U46" s="10"/>
      <c r="V46" s="11"/>
      <c r="W46" s="12"/>
      <c r="X46" s="17"/>
      <c r="Y46" s="13"/>
      <c r="Z46" s="13"/>
      <c r="AA46" s="13"/>
      <c r="AB46" s="14"/>
      <c r="AC46" s="9" t="s">
        <v>47</v>
      </c>
      <c r="AD46" s="16"/>
      <c r="AE46" s="10">
        <v>22</v>
      </c>
      <c r="AF46" s="10">
        <v>25</v>
      </c>
      <c r="AG46" s="10">
        <v>42</v>
      </c>
      <c r="AH46" s="11">
        <v>17</v>
      </c>
      <c r="AI46" s="12" t="s">
        <v>46</v>
      </c>
      <c r="AJ46" s="17"/>
      <c r="AK46" s="13">
        <v>181</v>
      </c>
      <c r="AL46" s="13">
        <v>158</v>
      </c>
      <c r="AM46" s="13">
        <v>133</v>
      </c>
      <c r="AN46" s="14">
        <v>54</v>
      </c>
      <c r="AO46" s="9" t="s">
        <v>46</v>
      </c>
      <c r="AP46" s="16"/>
      <c r="AQ46" s="10">
        <v>114</v>
      </c>
      <c r="AR46" s="10">
        <v>146</v>
      </c>
      <c r="AS46" s="10">
        <v>69</v>
      </c>
      <c r="AT46" s="11">
        <v>85</v>
      </c>
      <c r="AU46" s="12" t="s">
        <v>46</v>
      </c>
      <c r="AV46" s="17"/>
      <c r="AW46" s="13">
        <v>125</v>
      </c>
      <c r="AX46" s="13">
        <v>64</v>
      </c>
      <c r="AY46" s="13">
        <v>76</v>
      </c>
      <c r="AZ46" s="14">
        <v>42</v>
      </c>
      <c r="BA46" s="9" t="s">
        <v>46</v>
      </c>
      <c r="BB46" s="16"/>
      <c r="BC46" s="10">
        <v>35</v>
      </c>
      <c r="BD46" s="10">
        <v>29</v>
      </c>
      <c r="BE46" s="10">
        <v>15</v>
      </c>
      <c r="BF46" s="11">
        <v>17</v>
      </c>
      <c r="BG46" s="12" t="s">
        <v>47</v>
      </c>
      <c r="BH46" s="17"/>
      <c r="BI46" s="13">
        <v>73</v>
      </c>
      <c r="BJ46" s="13">
        <v>80</v>
      </c>
      <c r="BK46" s="13">
        <v>106</v>
      </c>
      <c r="BL46" s="14">
        <v>27</v>
      </c>
      <c r="BM46" s="9"/>
      <c r="BN46" s="16"/>
      <c r="BO46" s="10"/>
      <c r="BP46" s="10"/>
      <c r="BQ46" s="10"/>
      <c r="BR46" s="11"/>
      <c r="BS46" s="12"/>
      <c r="BT46" s="17"/>
      <c r="BU46" s="13"/>
      <c r="BV46" s="13"/>
      <c r="BW46" s="13"/>
      <c r="BX46" s="14"/>
      <c r="BY46" s="9"/>
      <c r="BZ46" s="16"/>
      <c r="CA46" s="10"/>
      <c r="CB46" s="10"/>
      <c r="CC46" s="10"/>
      <c r="CD46" s="11"/>
      <c r="CE46" s="12"/>
      <c r="CF46" s="17"/>
      <c r="CG46" s="13"/>
      <c r="CH46" s="13"/>
      <c r="CI46" s="13"/>
      <c r="CJ46" s="14"/>
      <c r="CK46" s="9"/>
      <c r="CL46" s="16"/>
      <c r="CM46" s="10"/>
      <c r="CN46" s="10"/>
      <c r="CO46" s="10"/>
      <c r="CP46" s="11"/>
      <c r="CQ46" s="12"/>
      <c r="CR46" s="17"/>
      <c r="CS46" s="13"/>
      <c r="CT46" s="13"/>
      <c r="CU46" s="13"/>
      <c r="CV46" s="14"/>
      <c r="CW46" s="9"/>
      <c r="CX46" s="16"/>
      <c r="CY46" s="10"/>
      <c r="CZ46" s="10"/>
      <c r="DA46" s="10"/>
      <c r="DB46" s="11"/>
      <c r="DC46" s="12"/>
      <c r="DD46" s="17"/>
      <c r="DE46" s="13"/>
      <c r="DF46" s="13"/>
      <c r="DG46" s="13"/>
      <c r="DH46" s="14"/>
      <c r="DI46" s="8">
        <f t="shared" si="9"/>
        <v>550</v>
      </c>
      <c r="DJ46" s="8">
        <f t="shared" si="10"/>
        <v>502</v>
      </c>
      <c r="DK46" s="8">
        <f t="shared" si="11"/>
        <v>441</v>
      </c>
      <c r="DL46" s="8">
        <f t="shared" si="12"/>
        <v>242</v>
      </c>
      <c r="DM46" s="8">
        <f t="shared" si="13"/>
        <v>550</v>
      </c>
      <c r="DN46" s="8">
        <f t="shared" si="14"/>
        <v>441</v>
      </c>
      <c r="DO46" s="15">
        <f t="shared" si="15"/>
        <v>40.105636449257354</v>
      </c>
      <c r="DP46" s="15" t="str">
        <f t="shared" si="16"/>
        <v>OK - No Upgrade</v>
      </c>
      <c r="DQ46" s="15" t="str">
        <f t="shared" si="17"/>
        <v>Need to Balance</v>
      </c>
    </row>
    <row r="47" spans="1:121" ht="15.75" customHeight="1" x14ac:dyDescent="0.25">
      <c r="A47" s="8" t="s">
        <v>38</v>
      </c>
      <c r="B47" s="8" t="s">
        <v>385</v>
      </c>
      <c r="C47" s="8" t="s">
        <v>265</v>
      </c>
      <c r="D47" s="8" t="s">
        <v>475</v>
      </c>
      <c r="E47" s="8" t="s">
        <v>476</v>
      </c>
      <c r="F47" s="8" t="s">
        <v>43</v>
      </c>
      <c r="G47" s="8" t="s">
        <v>44</v>
      </c>
      <c r="H47" s="8">
        <v>315</v>
      </c>
      <c r="I47" s="8" t="s">
        <v>477</v>
      </c>
      <c r="J47" s="8">
        <v>1</v>
      </c>
      <c r="K47" s="8">
        <v>243</v>
      </c>
      <c r="L47" s="8">
        <v>244</v>
      </c>
      <c r="M47" s="8">
        <v>246</v>
      </c>
      <c r="N47" s="8">
        <v>421</v>
      </c>
      <c r="O47" s="8">
        <v>426</v>
      </c>
      <c r="P47" s="8">
        <v>425</v>
      </c>
      <c r="Q47" s="9" t="s">
        <v>46</v>
      </c>
      <c r="R47" s="16"/>
      <c r="S47" s="10">
        <v>71</v>
      </c>
      <c r="T47" s="10">
        <v>76</v>
      </c>
      <c r="U47" s="10">
        <v>29</v>
      </c>
      <c r="V47" s="11">
        <v>55</v>
      </c>
      <c r="W47" s="12" t="s">
        <v>47</v>
      </c>
      <c r="X47" s="17"/>
      <c r="Y47" s="13">
        <v>155</v>
      </c>
      <c r="Z47" s="13">
        <v>102</v>
      </c>
      <c r="AA47" s="13">
        <v>169</v>
      </c>
      <c r="AB47" s="14">
        <v>72</v>
      </c>
      <c r="AC47" s="9"/>
      <c r="AD47" s="16"/>
      <c r="AE47" s="10"/>
      <c r="AF47" s="10"/>
      <c r="AG47" s="10"/>
      <c r="AH47" s="11"/>
      <c r="AI47" s="12"/>
      <c r="AJ47" s="17"/>
      <c r="AK47" s="13"/>
      <c r="AL47" s="13"/>
      <c r="AM47" s="13"/>
      <c r="AN47" s="14"/>
      <c r="AO47" s="9"/>
      <c r="AP47" s="16"/>
      <c r="AQ47" s="10"/>
      <c r="AR47" s="10"/>
      <c r="AS47" s="10"/>
      <c r="AT47" s="11"/>
      <c r="AU47" s="12"/>
      <c r="AV47" s="17"/>
      <c r="AW47" s="13"/>
      <c r="AX47" s="13"/>
      <c r="AY47" s="13"/>
      <c r="AZ47" s="14"/>
      <c r="BA47" s="9"/>
      <c r="BB47" s="16"/>
      <c r="BC47" s="10"/>
      <c r="BD47" s="10"/>
      <c r="BE47" s="10"/>
      <c r="BF47" s="11"/>
      <c r="BG47" s="12"/>
      <c r="BH47" s="17"/>
      <c r="BI47" s="13"/>
      <c r="BJ47" s="13"/>
      <c r="BK47" s="13"/>
      <c r="BL47" s="14"/>
      <c r="BM47" s="9"/>
      <c r="BN47" s="16"/>
      <c r="BO47" s="10"/>
      <c r="BP47" s="10"/>
      <c r="BQ47" s="10"/>
      <c r="BR47" s="11"/>
      <c r="BS47" s="12"/>
      <c r="BT47" s="17"/>
      <c r="BU47" s="13"/>
      <c r="BV47" s="13"/>
      <c r="BW47" s="13"/>
      <c r="BX47" s="14"/>
      <c r="BY47" s="9"/>
      <c r="BZ47" s="16"/>
      <c r="CA47" s="10"/>
      <c r="CB47" s="10"/>
      <c r="CC47" s="10"/>
      <c r="CD47" s="11"/>
      <c r="CE47" s="12"/>
      <c r="CF47" s="17"/>
      <c r="CG47" s="13"/>
      <c r="CH47" s="13"/>
      <c r="CI47" s="13"/>
      <c r="CJ47" s="14"/>
      <c r="CK47" s="9"/>
      <c r="CL47" s="16"/>
      <c r="CM47" s="10"/>
      <c r="CN47" s="10"/>
      <c r="CO47" s="10"/>
      <c r="CP47" s="11"/>
      <c r="CQ47" s="12"/>
      <c r="CR47" s="17"/>
      <c r="CS47" s="13"/>
      <c r="CT47" s="13"/>
      <c r="CU47" s="13"/>
      <c r="CV47" s="14"/>
      <c r="CW47" s="9"/>
      <c r="CX47" s="16"/>
      <c r="CY47" s="10"/>
      <c r="CZ47" s="10"/>
      <c r="DA47" s="10"/>
      <c r="DB47" s="11"/>
      <c r="DC47" s="12"/>
      <c r="DD47" s="17"/>
      <c r="DE47" s="13"/>
      <c r="DF47" s="13"/>
      <c r="DG47" s="13"/>
      <c r="DH47" s="14"/>
      <c r="DI47" s="8">
        <f t="shared" si="9"/>
        <v>226</v>
      </c>
      <c r="DJ47" s="8">
        <f t="shared" si="10"/>
        <v>178</v>
      </c>
      <c r="DK47" s="8">
        <f t="shared" si="11"/>
        <v>198</v>
      </c>
      <c r="DL47" s="8">
        <f t="shared" si="12"/>
        <v>127</v>
      </c>
      <c r="DM47" s="8">
        <f t="shared" si="13"/>
        <v>226</v>
      </c>
      <c r="DN47" s="8">
        <f t="shared" si="14"/>
        <v>178</v>
      </c>
      <c r="DO47" s="15">
        <f t="shared" si="15"/>
        <v>52.316732106967748</v>
      </c>
      <c r="DP47" s="15" t="str">
        <f t="shared" si="16"/>
        <v>OK - No Upgrade</v>
      </c>
      <c r="DQ47" s="15" t="str">
        <f t="shared" si="17"/>
        <v>Need to Balance</v>
      </c>
    </row>
    <row r="48" spans="1:121" ht="15.75" customHeight="1" x14ac:dyDescent="0.25">
      <c r="A48" s="8" t="s">
        <v>38</v>
      </c>
      <c r="B48" s="8" t="s">
        <v>385</v>
      </c>
      <c r="C48" s="8" t="s">
        <v>265</v>
      </c>
      <c r="D48" s="8" t="s">
        <v>475</v>
      </c>
      <c r="E48" s="8" t="s">
        <v>476</v>
      </c>
      <c r="F48" s="8" t="s">
        <v>43</v>
      </c>
      <c r="G48" s="8" t="s">
        <v>44</v>
      </c>
      <c r="H48" s="8">
        <v>315</v>
      </c>
      <c r="I48" s="8" t="s">
        <v>478</v>
      </c>
      <c r="J48" s="8">
        <v>2</v>
      </c>
      <c r="K48" s="8">
        <v>242</v>
      </c>
      <c r="L48" s="8">
        <v>243</v>
      </c>
      <c r="M48" s="8">
        <v>244</v>
      </c>
      <c r="N48" s="8">
        <v>420</v>
      </c>
      <c r="O48" s="8">
        <v>422</v>
      </c>
      <c r="P48" s="8">
        <v>420</v>
      </c>
      <c r="Q48" s="9" t="s">
        <v>46</v>
      </c>
      <c r="R48" s="16"/>
      <c r="S48" s="10">
        <v>58</v>
      </c>
      <c r="T48" s="10">
        <v>73</v>
      </c>
      <c r="U48" s="10">
        <v>53</v>
      </c>
      <c r="V48" s="11">
        <v>21</v>
      </c>
      <c r="W48" s="12" t="s">
        <v>47</v>
      </c>
      <c r="X48" s="17"/>
      <c r="Y48" s="13">
        <v>129</v>
      </c>
      <c r="Z48" s="13">
        <v>106</v>
      </c>
      <c r="AA48" s="13">
        <v>125</v>
      </c>
      <c r="AB48" s="14">
        <v>30</v>
      </c>
      <c r="AC48" s="9"/>
      <c r="AD48" s="16"/>
      <c r="AE48" s="10"/>
      <c r="AF48" s="10"/>
      <c r="AG48" s="10"/>
      <c r="AH48" s="11"/>
      <c r="AI48" s="12"/>
      <c r="AJ48" s="17"/>
      <c r="AK48" s="13"/>
      <c r="AL48" s="13"/>
      <c r="AM48" s="13"/>
      <c r="AN48" s="14"/>
      <c r="AO48" s="9"/>
      <c r="AP48" s="16"/>
      <c r="AQ48" s="10"/>
      <c r="AR48" s="10"/>
      <c r="AS48" s="10"/>
      <c r="AT48" s="11"/>
      <c r="AU48" s="12"/>
      <c r="AV48" s="17"/>
      <c r="AW48" s="13"/>
      <c r="AX48" s="13"/>
      <c r="AY48" s="13"/>
      <c r="AZ48" s="14"/>
      <c r="BA48" s="9"/>
      <c r="BB48" s="16"/>
      <c r="BC48" s="10"/>
      <c r="BD48" s="10"/>
      <c r="BE48" s="10"/>
      <c r="BF48" s="11"/>
      <c r="BG48" s="12"/>
      <c r="BH48" s="17"/>
      <c r="BI48" s="13"/>
      <c r="BJ48" s="13"/>
      <c r="BK48" s="13"/>
      <c r="BL48" s="14"/>
      <c r="BM48" s="9"/>
      <c r="BN48" s="16"/>
      <c r="BO48" s="10"/>
      <c r="BP48" s="10"/>
      <c r="BQ48" s="10"/>
      <c r="BR48" s="11"/>
      <c r="BS48" s="12"/>
      <c r="BT48" s="17"/>
      <c r="BU48" s="13"/>
      <c r="BV48" s="13"/>
      <c r="BW48" s="13"/>
      <c r="BX48" s="14"/>
      <c r="BY48" s="9"/>
      <c r="BZ48" s="16"/>
      <c r="CA48" s="10"/>
      <c r="CB48" s="10"/>
      <c r="CC48" s="10"/>
      <c r="CD48" s="11"/>
      <c r="CE48" s="12"/>
      <c r="CF48" s="17"/>
      <c r="CG48" s="13"/>
      <c r="CH48" s="13"/>
      <c r="CI48" s="13"/>
      <c r="CJ48" s="14"/>
      <c r="CK48" s="9"/>
      <c r="CL48" s="16"/>
      <c r="CM48" s="10"/>
      <c r="CN48" s="10"/>
      <c r="CO48" s="10"/>
      <c r="CP48" s="11"/>
      <c r="CQ48" s="12"/>
      <c r="CR48" s="17"/>
      <c r="CS48" s="13"/>
      <c r="CT48" s="13"/>
      <c r="CU48" s="13"/>
      <c r="CV48" s="14"/>
      <c r="CW48" s="9"/>
      <c r="CX48" s="16"/>
      <c r="CY48" s="10"/>
      <c r="CZ48" s="10"/>
      <c r="DA48" s="10"/>
      <c r="DB48" s="11"/>
      <c r="DC48" s="12"/>
      <c r="DD48" s="17"/>
      <c r="DE48" s="13"/>
      <c r="DF48" s="13"/>
      <c r="DG48" s="13"/>
      <c r="DH48" s="14"/>
      <c r="DI48" s="8">
        <f t="shared" si="9"/>
        <v>187</v>
      </c>
      <c r="DJ48" s="8">
        <f t="shared" si="10"/>
        <v>179</v>
      </c>
      <c r="DK48" s="8">
        <f t="shared" si="11"/>
        <v>178</v>
      </c>
      <c r="DL48" s="8">
        <f t="shared" si="12"/>
        <v>51</v>
      </c>
      <c r="DM48" s="8">
        <f t="shared" si="13"/>
        <v>187</v>
      </c>
      <c r="DN48" s="8">
        <f t="shared" si="14"/>
        <v>178</v>
      </c>
      <c r="DO48" s="15">
        <f t="shared" si="15"/>
        <v>43.185800135384007</v>
      </c>
      <c r="DP48" s="15" t="str">
        <f t="shared" si="16"/>
        <v>OK - No Upgrade</v>
      </c>
      <c r="DQ48" s="15" t="str">
        <f t="shared" si="17"/>
        <v>OK - Balanced</v>
      </c>
    </row>
    <row r="49" spans="1:121" ht="15.75" customHeight="1" x14ac:dyDescent="0.25">
      <c r="A49" s="8" t="s">
        <v>38</v>
      </c>
      <c r="B49" s="8" t="s">
        <v>385</v>
      </c>
      <c r="C49" s="8" t="s">
        <v>265</v>
      </c>
      <c r="D49" s="8" t="s">
        <v>479</v>
      </c>
      <c r="E49" s="8" t="s">
        <v>480</v>
      </c>
      <c r="F49" s="8" t="s">
        <v>56</v>
      </c>
      <c r="G49" s="8" t="s">
        <v>44</v>
      </c>
      <c r="H49" s="8">
        <v>1000</v>
      </c>
      <c r="I49" s="8" t="s">
        <v>481</v>
      </c>
      <c r="J49" s="8">
        <v>1</v>
      </c>
      <c r="K49" s="8">
        <v>247</v>
      </c>
      <c r="L49" s="8">
        <v>247</v>
      </c>
      <c r="M49" s="8">
        <v>249</v>
      </c>
      <c r="N49" s="8">
        <v>428</v>
      </c>
      <c r="O49" s="8">
        <v>433</v>
      </c>
      <c r="P49" s="8">
        <v>432</v>
      </c>
      <c r="Q49" s="9"/>
      <c r="R49" s="16"/>
      <c r="S49" s="10"/>
      <c r="T49" s="10"/>
      <c r="U49" s="10"/>
      <c r="V49" s="11"/>
      <c r="W49" s="12" t="s">
        <v>47</v>
      </c>
      <c r="X49" s="17"/>
      <c r="Y49" s="13">
        <v>98</v>
      </c>
      <c r="Z49" s="13">
        <v>78</v>
      </c>
      <c r="AA49" s="13">
        <v>105</v>
      </c>
      <c r="AB49" s="14">
        <v>40</v>
      </c>
      <c r="AC49" s="9" t="s">
        <v>47</v>
      </c>
      <c r="AD49" s="16"/>
      <c r="AE49" s="10">
        <v>67</v>
      </c>
      <c r="AF49" s="10">
        <v>60</v>
      </c>
      <c r="AG49" s="10">
        <v>102</v>
      </c>
      <c r="AH49" s="11">
        <v>41</v>
      </c>
      <c r="AI49" s="12" t="s">
        <v>47</v>
      </c>
      <c r="AJ49" s="17"/>
      <c r="AK49" s="13">
        <v>112</v>
      </c>
      <c r="AL49" s="13">
        <v>26</v>
      </c>
      <c r="AM49" s="13">
        <v>81</v>
      </c>
      <c r="AN49" s="14">
        <v>91</v>
      </c>
      <c r="AO49" s="9"/>
      <c r="AP49" s="16"/>
      <c r="AQ49" s="10"/>
      <c r="AR49" s="10"/>
      <c r="AS49" s="10"/>
      <c r="AT49" s="11"/>
      <c r="AU49" s="12" t="s">
        <v>47</v>
      </c>
      <c r="AV49" s="17"/>
      <c r="AW49" s="13">
        <v>114</v>
      </c>
      <c r="AX49" s="13">
        <v>144</v>
      </c>
      <c r="AY49" s="13">
        <v>115</v>
      </c>
      <c r="AZ49" s="14">
        <v>25</v>
      </c>
      <c r="BA49" s="9"/>
      <c r="BB49" s="16"/>
      <c r="BC49" s="10"/>
      <c r="BD49" s="10"/>
      <c r="BE49" s="10"/>
      <c r="BF49" s="11"/>
      <c r="BG49" s="12"/>
      <c r="BH49" s="17"/>
      <c r="BI49" s="13"/>
      <c r="BJ49" s="13"/>
      <c r="BK49" s="13"/>
      <c r="BL49" s="14"/>
      <c r="BM49" s="9"/>
      <c r="BN49" s="16"/>
      <c r="BO49" s="10"/>
      <c r="BP49" s="10"/>
      <c r="BQ49" s="10"/>
      <c r="BR49" s="11"/>
      <c r="BS49" s="12"/>
      <c r="BT49" s="17"/>
      <c r="BU49" s="13"/>
      <c r="BV49" s="13"/>
      <c r="BW49" s="13"/>
      <c r="BX49" s="14"/>
      <c r="BY49" s="9"/>
      <c r="BZ49" s="16"/>
      <c r="CA49" s="10"/>
      <c r="CB49" s="10"/>
      <c r="CC49" s="10"/>
      <c r="CD49" s="11"/>
      <c r="CE49" s="12"/>
      <c r="CF49" s="17"/>
      <c r="CG49" s="13"/>
      <c r="CH49" s="13"/>
      <c r="CI49" s="13"/>
      <c r="CJ49" s="14"/>
      <c r="CK49" s="9"/>
      <c r="CL49" s="16"/>
      <c r="CM49" s="10"/>
      <c r="CN49" s="10"/>
      <c r="CO49" s="10"/>
      <c r="CP49" s="11"/>
      <c r="CQ49" s="12"/>
      <c r="CR49" s="17"/>
      <c r="CS49" s="13"/>
      <c r="CT49" s="13"/>
      <c r="CU49" s="13"/>
      <c r="CV49" s="14"/>
      <c r="CW49" s="9"/>
      <c r="CX49" s="16"/>
      <c r="CY49" s="10"/>
      <c r="CZ49" s="10"/>
      <c r="DA49" s="10"/>
      <c r="DB49" s="11"/>
      <c r="DC49" s="12"/>
      <c r="DD49" s="17"/>
      <c r="DE49" s="13"/>
      <c r="DF49" s="13"/>
      <c r="DG49" s="13"/>
      <c r="DH49" s="14"/>
      <c r="DI49" s="8">
        <f t="shared" si="9"/>
        <v>391</v>
      </c>
      <c r="DJ49" s="8">
        <f t="shared" si="10"/>
        <v>308</v>
      </c>
      <c r="DK49" s="8">
        <f t="shared" si="11"/>
        <v>403</v>
      </c>
      <c r="DL49" s="8">
        <f t="shared" si="12"/>
        <v>197</v>
      </c>
      <c r="DM49" s="8">
        <f t="shared" si="13"/>
        <v>403</v>
      </c>
      <c r="DN49" s="8">
        <f t="shared" si="14"/>
        <v>308</v>
      </c>
      <c r="DO49" s="15">
        <f t="shared" si="15"/>
        <v>29.875105149271025</v>
      </c>
      <c r="DP49" s="15" t="str">
        <f t="shared" si="16"/>
        <v>OK - No Upgrade</v>
      </c>
      <c r="DQ49" s="15" t="str">
        <f t="shared" si="17"/>
        <v>OK - Balanced</v>
      </c>
    </row>
    <row r="50" spans="1:121" ht="15.75" customHeight="1" x14ac:dyDescent="0.25">
      <c r="A50" s="8" t="s">
        <v>38</v>
      </c>
      <c r="B50" s="8" t="s">
        <v>385</v>
      </c>
      <c r="C50" s="8" t="s">
        <v>265</v>
      </c>
      <c r="D50" s="8" t="s">
        <v>479</v>
      </c>
      <c r="E50" s="8" t="s">
        <v>480</v>
      </c>
      <c r="F50" s="8" t="s">
        <v>56</v>
      </c>
      <c r="G50" s="8" t="s">
        <v>44</v>
      </c>
      <c r="H50" s="8">
        <v>1000</v>
      </c>
      <c r="I50" s="8" t="s">
        <v>482</v>
      </c>
      <c r="J50" s="8">
        <v>2</v>
      </c>
      <c r="K50" s="8">
        <v>247</v>
      </c>
      <c r="L50" s="8">
        <v>246</v>
      </c>
      <c r="M50" s="8">
        <v>248</v>
      </c>
      <c r="N50" s="8">
        <v>429</v>
      </c>
      <c r="O50" s="8">
        <v>430</v>
      </c>
      <c r="P50" s="8">
        <v>428</v>
      </c>
      <c r="Q50" s="9"/>
      <c r="R50" s="16"/>
      <c r="S50" s="10"/>
      <c r="T50" s="10"/>
      <c r="U50" s="10"/>
      <c r="V50" s="11"/>
      <c r="W50" s="12" t="s">
        <v>47</v>
      </c>
      <c r="X50" s="17"/>
      <c r="Y50" s="13">
        <v>105</v>
      </c>
      <c r="Z50" s="13">
        <v>70</v>
      </c>
      <c r="AA50" s="13">
        <v>126</v>
      </c>
      <c r="AB50" s="14">
        <v>66</v>
      </c>
      <c r="AC50" s="9" t="s">
        <v>47</v>
      </c>
      <c r="AD50" s="16"/>
      <c r="AE50" s="10">
        <v>29</v>
      </c>
      <c r="AF50" s="10">
        <v>57</v>
      </c>
      <c r="AG50" s="10">
        <v>63</v>
      </c>
      <c r="AH50" s="11">
        <v>35</v>
      </c>
      <c r="AI50" s="12" t="s">
        <v>47</v>
      </c>
      <c r="AJ50" s="17"/>
      <c r="AK50" s="13">
        <v>34</v>
      </c>
      <c r="AL50" s="13">
        <v>18</v>
      </c>
      <c r="AM50" s="13">
        <v>86</v>
      </c>
      <c r="AN50" s="14">
        <v>56</v>
      </c>
      <c r="AO50" s="9"/>
      <c r="AP50" s="16"/>
      <c r="AQ50" s="10"/>
      <c r="AR50" s="10"/>
      <c r="AS50" s="10"/>
      <c r="AT50" s="11"/>
      <c r="AU50" s="12" t="s">
        <v>47</v>
      </c>
      <c r="AV50" s="17"/>
      <c r="AW50" s="13">
        <v>102</v>
      </c>
      <c r="AX50" s="13">
        <v>95</v>
      </c>
      <c r="AY50" s="13">
        <v>106</v>
      </c>
      <c r="AZ50" s="14">
        <v>17</v>
      </c>
      <c r="BA50" s="9"/>
      <c r="BB50" s="16"/>
      <c r="BC50" s="10"/>
      <c r="BD50" s="10"/>
      <c r="BE50" s="10"/>
      <c r="BF50" s="11"/>
      <c r="BG50" s="12"/>
      <c r="BH50" s="17"/>
      <c r="BI50" s="13"/>
      <c r="BJ50" s="13"/>
      <c r="BK50" s="13"/>
      <c r="BL50" s="14"/>
      <c r="BM50" s="9"/>
      <c r="BN50" s="16"/>
      <c r="BO50" s="10"/>
      <c r="BP50" s="10"/>
      <c r="BQ50" s="10"/>
      <c r="BR50" s="11"/>
      <c r="BS50" s="12"/>
      <c r="BT50" s="17"/>
      <c r="BU50" s="13"/>
      <c r="BV50" s="13"/>
      <c r="BW50" s="13"/>
      <c r="BX50" s="14"/>
      <c r="BY50" s="9"/>
      <c r="BZ50" s="16"/>
      <c r="CA50" s="10"/>
      <c r="CB50" s="10"/>
      <c r="CC50" s="10"/>
      <c r="CD50" s="11"/>
      <c r="CE50" s="12"/>
      <c r="CF50" s="17"/>
      <c r="CG50" s="13"/>
      <c r="CH50" s="13"/>
      <c r="CI50" s="13"/>
      <c r="CJ50" s="14"/>
      <c r="CK50" s="9"/>
      <c r="CL50" s="16"/>
      <c r="CM50" s="10"/>
      <c r="CN50" s="10"/>
      <c r="CO50" s="10"/>
      <c r="CP50" s="11"/>
      <c r="CQ50" s="12"/>
      <c r="CR50" s="17"/>
      <c r="CS50" s="13"/>
      <c r="CT50" s="13"/>
      <c r="CU50" s="13"/>
      <c r="CV50" s="14"/>
      <c r="CW50" s="9"/>
      <c r="CX50" s="16"/>
      <c r="CY50" s="10"/>
      <c r="CZ50" s="10"/>
      <c r="DA50" s="10"/>
      <c r="DB50" s="11"/>
      <c r="DC50" s="12"/>
      <c r="DD50" s="17"/>
      <c r="DE50" s="13"/>
      <c r="DF50" s="13"/>
      <c r="DG50" s="13"/>
      <c r="DH50" s="14"/>
      <c r="DI50" s="8">
        <f t="shared" si="9"/>
        <v>270</v>
      </c>
      <c r="DJ50" s="8">
        <f t="shared" si="10"/>
        <v>240</v>
      </c>
      <c r="DK50" s="8">
        <f t="shared" si="11"/>
        <v>381</v>
      </c>
      <c r="DL50" s="8">
        <f t="shared" si="12"/>
        <v>174</v>
      </c>
      <c r="DM50" s="8">
        <f t="shared" si="13"/>
        <v>381</v>
      </c>
      <c r="DN50" s="8">
        <f t="shared" si="14"/>
        <v>240</v>
      </c>
      <c r="DO50" s="15">
        <f t="shared" si="15"/>
        <v>28.310197244632541</v>
      </c>
      <c r="DP50" s="15" t="str">
        <f t="shared" si="16"/>
        <v>OK - No Upgrade</v>
      </c>
      <c r="DQ50" s="15" t="str">
        <f t="shared" si="17"/>
        <v>Need to Balance</v>
      </c>
    </row>
    <row r="51" spans="1:121" ht="15.75" customHeight="1" x14ac:dyDescent="0.25">
      <c r="A51" s="8" t="s">
        <v>38</v>
      </c>
      <c r="B51" s="8" t="s">
        <v>385</v>
      </c>
      <c r="C51" s="8" t="s">
        <v>265</v>
      </c>
      <c r="D51" s="8" t="s">
        <v>483</v>
      </c>
      <c r="E51" s="8" t="s">
        <v>484</v>
      </c>
      <c r="F51" s="8" t="s">
        <v>56</v>
      </c>
      <c r="G51" s="8"/>
      <c r="H51" s="8">
        <v>1000</v>
      </c>
      <c r="I51" s="8" t="s">
        <v>485</v>
      </c>
      <c r="J51" s="8">
        <v>1</v>
      </c>
      <c r="K51" s="8">
        <v>246</v>
      </c>
      <c r="L51" s="8">
        <v>246</v>
      </c>
      <c r="M51" s="8">
        <v>249</v>
      </c>
      <c r="N51" s="8">
        <v>426</v>
      </c>
      <c r="O51" s="8">
        <v>431</v>
      </c>
      <c r="P51" s="8">
        <v>429</v>
      </c>
      <c r="Q51" s="9" t="s">
        <v>47</v>
      </c>
      <c r="R51" s="16"/>
      <c r="S51" s="10"/>
      <c r="T51" s="10"/>
      <c r="U51" s="10"/>
      <c r="V51" s="11"/>
      <c r="W51" s="12" t="s">
        <v>47</v>
      </c>
      <c r="X51" s="17"/>
      <c r="Y51" s="13">
        <v>93</v>
      </c>
      <c r="Z51" s="13">
        <v>79</v>
      </c>
      <c r="AA51" s="13">
        <v>46</v>
      </c>
      <c r="AB51" s="14">
        <v>47</v>
      </c>
      <c r="AC51" s="9" t="s">
        <v>47</v>
      </c>
      <c r="AD51" s="16"/>
      <c r="AE51" s="10">
        <v>122</v>
      </c>
      <c r="AF51" s="10">
        <v>100</v>
      </c>
      <c r="AG51" s="10">
        <v>76</v>
      </c>
      <c r="AH51" s="11">
        <v>40</v>
      </c>
      <c r="AI51" s="12" t="s">
        <v>47</v>
      </c>
      <c r="AJ51" s="17"/>
      <c r="AK51" s="13">
        <v>87</v>
      </c>
      <c r="AL51" s="13">
        <v>66</v>
      </c>
      <c r="AM51" s="13">
        <v>62</v>
      </c>
      <c r="AN51" s="14">
        <v>29</v>
      </c>
      <c r="AO51" s="9" t="s">
        <v>47</v>
      </c>
      <c r="AP51" s="16"/>
      <c r="AQ51" s="10">
        <v>68</v>
      </c>
      <c r="AR51" s="10">
        <v>82</v>
      </c>
      <c r="AS51" s="10">
        <v>99</v>
      </c>
      <c r="AT51" s="11">
        <v>33</v>
      </c>
      <c r="AU51" s="12" t="s">
        <v>47</v>
      </c>
      <c r="AV51" s="17"/>
      <c r="AW51" s="13">
        <v>32</v>
      </c>
      <c r="AX51" s="13">
        <v>82</v>
      </c>
      <c r="AY51" s="13">
        <v>26</v>
      </c>
      <c r="AZ51" s="14">
        <v>54</v>
      </c>
      <c r="BA51" s="9" t="s">
        <v>47</v>
      </c>
      <c r="BB51" s="16"/>
      <c r="BC51" s="10">
        <v>50</v>
      </c>
      <c r="BD51" s="10">
        <v>26</v>
      </c>
      <c r="BE51" s="10">
        <v>84</v>
      </c>
      <c r="BF51" s="11">
        <v>49</v>
      </c>
      <c r="BG51" s="12" t="s">
        <v>47</v>
      </c>
      <c r="BH51" s="17"/>
      <c r="BI51" s="13">
        <v>46</v>
      </c>
      <c r="BJ51" s="13">
        <v>125</v>
      </c>
      <c r="BK51" s="13">
        <v>62</v>
      </c>
      <c r="BL51" s="14">
        <v>64</v>
      </c>
      <c r="BM51" s="9"/>
      <c r="BN51" s="16"/>
      <c r="BO51" s="10"/>
      <c r="BP51" s="10"/>
      <c r="BQ51" s="10"/>
      <c r="BR51" s="11"/>
      <c r="BS51" s="12"/>
      <c r="BT51" s="17"/>
      <c r="BU51" s="13"/>
      <c r="BV51" s="13"/>
      <c r="BW51" s="13"/>
      <c r="BX51" s="14"/>
      <c r="BY51" s="9"/>
      <c r="BZ51" s="16"/>
      <c r="CA51" s="10"/>
      <c r="CB51" s="10"/>
      <c r="CC51" s="10"/>
      <c r="CD51" s="11"/>
      <c r="CE51" s="12"/>
      <c r="CF51" s="17"/>
      <c r="CG51" s="13"/>
      <c r="CH51" s="13"/>
      <c r="CI51" s="13"/>
      <c r="CJ51" s="14"/>
      <c r="CK51" s="9"/>
      <c r="CL51" s="16"/>
      <c r="CM51" s="10"/>
      <c r="CN51" s="10"/>
      <c r="CO51" s="10"/>
      <c r="CP51" s="11"/>
      <c r="CQ51" s="12"/>
      <c r="CR51" s="17"/>
      <c r="CS51" s="13"/>
      <c r="CT51" s="13"/>
      <c r="CU51" s="13"/>
      <c r="CV51" s="14"/>
      <c r="CW51" s="9"/>
      <c r="CX51" s="16"/>
      <c r="CY51" s="10"/>
      <c r="CZ51" s="10"/>
      <c r="DA51" s="10"/>
      <c r="DB51" s="11"/>
      <c r="DC51" s="12"/>
      <c r="DD51" s="17"/>
      <c r="DE51" s="13"/>
      <c r="DF51" s="13"/>
      <c r="DG51" s="13"/>
      <c r="DH51" s="14"/>
      <c r="DI51" s="8">
        <f t="shared" si="9"/>
        <v>498</v>
      </c>
      <c r="DJ51" s="8">
        <f t="shared" si="10"/>
        <v>560</v>
      </c>
      <c r="DK51" s="8">
        <f t="shared" si="11"/>
        <v>455</v>
      </c>
      <c r="DL51" s="8">
        <f t="shared" si="12"/>
        <v>316</v>
      </c>
      <c r="DM51" s="8">
        <f t="shared" si="13"/>
        <v>560</v>
      </c>
      <c r="DN51" s="8">
        <f t="shared" si="14"/>
        <v>455</v>
      </c>
      <c r="DO51" s="15">
        <f t="shared" si="15"/>
        <v>41.31980406536313</v>
      </c>
      <c r="DP51" s="15" t="str">
        <f t="shared" si="16"/>
        <v>OK - No Upgrade</v>
      </c>
      <c r="DQ51" s="15" t="str">
        <f t="shared" si="17"/>
        <v>Need to Balance</v>
      </c>
    </row>
    <row r="52" spans="1:121" ht="15.75" customHeight="1" x14ac:dyDescent="0.25">
      <c r="A52" s="8" t="s">
        <v>38</v>
      </c>
      <c r="B52" s="8" t="s">
        <v>385</v>
      </c>
      <c r="C52" s="8" t="s">
        <v>265</v>
      </c>
      <c r="D52" s="8" t="s">
        <v>483</v>
      </c>
      <c r="E52" s="8" t="s">
        <v>484</v>
      </c>
      <c r="F52" s="8" t="s">
        <v>56</v>
      </c>
      <c r="G52" s="8" t="s">
        <v>44</v>
      </c>
      <c r="H52" s="8">
        <v>1000</v>
      </c>
      <c r="I52" s="8" t="s">
        <v>486</v>
      </c>
      <c r="J52" s="8">
        <v>2</v>
      </c>
      <c r="K52" s="8">
        <v>245</v>
      </c>
      <c r="L52" s="8">
        <v>244</v>
      </c>
      <c r="M52" s="8">
        <v>246</v>
      </c>
      <c r="N52" s="8">
        <v>424</v>
      </c>
      <c r="O52" s="8">
        <v>425</v>
      </c>
      <c r="P52" s="8">
        <v>424</v>
      </c>
      <c r="Q52" s="9"/>
      <c r="R52" s="16"/>
      <c r="S52" s="10"/>
      <c r="T52" s="10"/>
      <c r="U52" s="10"/>
      <c r="V52" s="11"/>
      <c r="W52" s="12" t="s">
        <v>47</v>
      </c>
      <c r="X52" s="17"/>
      <c r="Y52" s="13">
        <v>81</v>
      </c>
      <c r="Z52" s="13">
        <v>31</v>
      </c>
      <c r="AA52" s="13">
        <v>24</v>
      </c>
      <c r="AB52" s="14">
        <v>53</v>
      </c>
      <c r="AC52" s="9" t="s">
        <v>47</v>
      </c>
      <c r="AD52" s="16"/>
      <c r="AE52" s="10">
        <v>72</v>
      </c>
      <c r="AF52" s="10">
        <v>88</v>
      </c>
      <c r="AG52" s="10">
        <v>69</v>
      </c>
      <c r="AH52" s="11">
        <v>22</v>
      </c>
      <c r="AI52" s="12" t="s">
        <v>47</v>
      </c>
      <c r="AJ52" s="17"/>
      <c r="AK52" s="13">
        <v>71</v>
      </c>
      <c r="AL52" s="13">
        <v>64</v>
      </c>
      <c r="AM52" s="13">
        <v>111</v>
      </c>
      <c r="AN52" s="14">
        <v>39</v>
      </c>
      <c r="AO52" s="9" t="s">
        <v>47</v>
      </c>
      <c r="AP52" s="16"/>
      <c r="AQ52" s="10">
        <v>63</v>
      </c>
      <c r="AR52" s="10">
        <v>76</v>
      </c>
      <c r="AS52" s="10">
        <v>42</v>
      </c>
      <c r="AT52" s="11">
        <v>20</v>
      </c>
      <c r="AU52" s="12" t="s">
        <v>47</v>
      </c>
      <c r="AV52" s="17"/>
      <c r="AW52" s="13">
        <v>44</v>
      </c>
      <c r="AX52" s="13">
        <v>58</v>
      </c>
      <c r="AY52" s="13">
        <v>60</v>
      </c>
      <c r="AZ52" s="14">
        <v>24</v>
      </c>
      <c r="BA52" s="9" t="s">
        <v>47</v>
      </c>
      <c r="BB52" s="16"/>
      <c r="BC52" s="10">
        <v>58</v>
      </c>
      <c r="BD52" s="10">
        <v>48</v>
      </c>
      <c r="BE52" s="10">
        <v>56</v>
      </c>
      <c r="BF52" s="11">
        <v>25</v>
      </c>
      <c r="BG52" s="12" t="s">
        <v>47</v>
      </c>
      <c r="BH52" s="17"/>
      <c r="BI52" s="13">
        <v>40</v>
      </c>
      <c r="BJ52" s="13">
        <v>71</v>
      </c>
      <c r="BK52" s="13">
        <v>44</v>
      </c>
      <c r="BL52" s="14">
        <v>24</v>
      </c>
      <c r="BM52" s="9"/>
      <c r="BN52" s="16"/>
      <c r="BO52" s="10"/>
      <c r="BP52" s="10"/>
      <c r="BQ52" s="10"/>
      <c r="BR52" s="11"/>
      <c r="BS52" s="12"/>
      <c r="BT52" s="17"/>
      <c r="BU52" s="13"/>
      <c r="BV52" s="13"/>
      <c r="BW52" s="13"/>
      <c r="BX52" s="14"/>
      <c r="BY52" s="9"/>
      <c r="BZ52" s="16"/>
      <c r="CA52" s="10"/>
      <c r="CB52" s="10"/>
      <c r="CC52" s="10"/>
      <c r="CD52" s="11"/>
      <c r="CE52" s="12"/>
      <c r="CF52" s="17"/>
      <c r="CG52" s="13"/>
      <c r="CH52" s="13"/>
      <c r="CI52" s="13"/>
      <c r="CJ52" s="14"/>
      <c r="CK52" s="9"/>
      <c r="CL52" s="16"/>
      <c r="CM52" s="10"/>
      <c r="CN52" s="10"/>
      <c r="CO52" s="10"/>
      <c r="CP52" s="11"/>
      <c r="CQ52" s="12"/>
      <c r="CR52" s="17"/>
      <c r="CS52" s="13"/>
      <c r="CT52" s="13"/>
      <c r="CU52" s="13"/>
      <c r="CV52" s="14"/>
      <c r="CW52" s="9"/>
      <c r="CX52" s="16"/>
      <c r="CY52" s="10"/>
      <c r="CZ52" s="10"/>
      <c r="DA52" s="10"/>
      <c r="DB52" s="11"/>
      <c r="DC52" s="12"/>
      <c r="DD52" s="17"/>
      <c r="DE52" s="13"/>
      <c r="DF52" s="13"/>
      <c r="DG52" s="13"/>
      <c r="DH52" s="14"/>
      <c r="DI52" s="8">
        <f t="shared" si="9"/>
        <v>429</v>
      </c>
      <c r="DJ52" s="8">
        <f t="shared" si="10"/>
        <v>436</v>
      </c>
      <c r="DK52" s="8">
        <f t="shared" si="11"/>
        <v>406</v>
      </c>
      <c r="DL52" s="8">
        <f t="shared" si="12"/>
        <v>207</v>
      </c>
      <c r="DM52" s="8">
        <f t="shared" si="13"/>
        <v>436</v>
      </c>
      <c r="DN52" s="8">
        <f t="shared" si="14"/>
        <v>406</v>
      </c>
      <c r="DO52" s="15">
        <f t="shared" si="15"/>
        <v>32.019384049041285</v>
      </c>
      <c r="DP52" s="15" t="str">
        <f t="shared" si="16"/>
        <v>OK - No Upgrade</v>
      </c>
      <c r="DQ52" s="15" t="str">
        <f t="shared" si="17"/>
        <v>OK - Balanced</v>
      </c>
    </row>
    <row r="53" spans="1:121" ht="15.75" customHeight="1" x14ac:dyDescent="0.25">
      <c r="A53" s="8" t="s">
        <v>38</v>
      </c>
      <c r="B53" s="8" t="s">
        <v>385</v>
      </c>
      <c r="C53" s="8" t="s">
        <v>124</v>
      </c>
      <c r="D53" s="8" t="s">
        <v>487</v>
      </c>
      <c r="E53" s="8" t="s">
        <v>488</v>
      </c>
      <c r="F53" s="8" t="s">
        <v>43</v>
      </c>
      <c r="G53" s="8"/>
      <c r="H53" s="8">
        <v>100</v>
      </c>
      <c r="I53" s="8" t="s">
        <v>489</v>
      </c>
      <c r="J53" s="8">
        <v>1</v>
      </c>
      <c r="K53" s="8">
        <v>244</v>
      </c>
      <c r="L53" s="8">
        <v>243</v>
      </c>
      <c r="M53" s="8">
        <v>245</v>
      </c>
      <c r="N53" s="8">
        <v>422</v>
      </c>
      <c r="O53" s="8">
        <v>425</v>
      </c>
      <c r="P53" s="8">
        <v>424</v>
      </c>
      <c r="Q53" s="9" t="s">
        <v>47</v>
      </c>
      <c r="R53" s="16"/>
      <c r="S53" s="10">
        <v>0</v>
      </c>
      <c r="T53" s="10">
        <v>0</v>
      </c>
      <c r="U53" s="10">
        <v>0</v>
      </c>
      <c r="V53" s="11">
        <v>0</v>
      </c>
      <c r="W53" s="12"/>
      <c r="X53" s="17"/>
      <c r="Y53" s="13"/>
      <c r="Z53" s="13"/>
      <c r="AA53" s="13"/>
      <c r="AB53" s="14"/>
      <c r="AC53" s="9"/>
      <c r="AD53" s="16"/>
      <c r="AE53" s="10"/>
      <c r="AF53" s="10"/>
      <c r="AG53" s="10"/>
      <c r="AH53" s="11"/>
      <c r="AI53" s="12"/>
      <c r="AJ53" s="17"/>
      <c r="AK53" s="13"/>
      <c r="AL53" s="13"/>
      <c r="AM53" s="13"/>
      <c r="AN53" s="14"/>
      <c r="AO53" s="9"/>
      <c r="AP53" s="16"/>
      <c r="AQ53" s="10"/>
      <c r="AR53" s="10"/>
      <c r="AS53" s="10"/>
      <c r="AT53" s="11"/>
      <c r="AU53" s="12"/>
      <c r="AV53" s="17"/>
      <c r="AW53" s="13"/>
      <c r="AX53" s="13"/>
      <c r="AY53" s="13"/>
      <c r="AZ53" s="14"/>
      <c r="BA53" s="9"/>
      <c r="BB53" s="16"/>
      <c r="BC53" s="10"/>
      <c r="BD53" s="10"/>
      <c r="BE53" s="10"/>
      <c r="BF53" s="11"/>
      <c r="BG53" s="12"/>
      <c r="BH53" s="17"/>
      <c r="BI53" s="13"/>
      <c r="BJ53" s="13"/>
      <c r="BK53" s="13"/>
      <c r="BL53" s="14"/>
      <c r="BM53" s="9"/>
      <c r="BN53" s="16"/>
      <c r="BO53" s="10"/>
      <c r="BP53" s="10"/>
      <c r="BQ53" s="10"/>
      <c r="BR53" s="11"/>
      <c r="BS53" s="12"/>
      <c r="BT53" s="17"/>
      <c r="BU53" s="13"/>
      <c r="BV53" s="13"/>
      <c r="BW53" s="13"/>
      <c r="BX53" s="14"/>
      <c r="BY53" s="9"/>
      <c r="BZ53" s="16"/>
      <c r="CA53" s="10"/>
      <c r="CB53" s="10"/>
      <c r="CC53" s="10"/>
      <c r="CD53" s="11"/>
      <c r="CE53" s="12"/>
      <c r="CF53" s="17"/>
      <c r="CG53" s="13"/>
      <c r="CH53" s="13"/>
      <c r="CI53" s="13"/>
      <c r="CJ53" s="14"/>
      <c r="CK53" s="9"/>
      <c r="CL53" s="16"/>
      <c r="CM53" s="10"/>
      <c r="CN53" s="10"/>
      <c r="CO53" s="10"/>
      <c r="CP53" s="11"/>
      <c r="CQ53" s="12"/>
      <c r="CR53" s="17"/>
      <c r="CS53" s="13"/>
      <c r="CT53" s="13"/>
      <c r="CU53" s="13"/>
      <c r="CV53" s="14"/>
      <c r="CW53" s="9"/>
      <c r="CX53" s="16"/>
      <c r="CY53" s="10"/>
      <c r="CZ53" s="10"/>
      <c r="DA53" s="10"/>
      <c r="DB53" s="11"/>
      <c r="DC53" s="12"/>
      <c r="DD53" s="17"/>
      <c r="DE53" s="13"/>
      <c r="DF53" s="13"/>
      <c r="DG53" s="13"/>
      <c r="DH53" s="14"/>
      <c r="DI53" s="8">
        <f t="shared" si="9"/>
        <v>0</v>
      </c>
      <c r="DJ53" s="8">
        <f t="shared" si="10"/>
        <v>0</v>
      </c>
      <c r="DK53" s="8">
        <f t="shared" si="11"/>
        <v>0</v>
      </c>
      <c r="DL53" s="8">
        <f t="shared" si="12"/>
        <v>0</v>
      </c>
      <c r="DM53" s="8">
        <f t="shared" si="13"/>
        <v>0</v>
      </c>
      <c r="DN53" s="8">
        <f t="shared" si="14"/>
        <v>0</v>
      </c>
      <c r="DO53" s="15">
        <f t="shared" si="15"/>
        <v>0</v>
      </c>
      <c r="DP53" s="15" t="str">
        <f t="shared" si="16"/>
        <v>OK - No Upgrade</v>
      </c>
      <c r="DQ53" s="15" t="str">
        <f t="shared" si="17"/>
        <v>OK - Balanced</v>
      </c>
    </row>
    <row r="54" spans="1:121" ht="15.75" customHeight="1" x14ac:dyDescent="0.25">
      <c r="A54" s="8" t="s">
        <v>38</v>
      </c>
      <c r="B54" s="8" t="s">
        <v>385</v>
      </c>
      <c r="C54" s="8" t="s">
        <v>124</v>
      </c>
      <c r="D54" s="8" t="s">
        <v>487</v>
      </c>
      <c r="E54" s="8" t="s">
        <v>488</v>
      </c>
      <c r="F54" s="8" t="s">
        <v>43</v>
      </c>
      <c r="G54" s="8" t="s">
        <v>44</v>
      </c>
      <c r="H54" s="8">
        <v>100</v>
      </c>
      <c r="I54" s="8" t="s">
        <v>490</v>
      </c>
      <c r="J54" s="8">
        <v>2</v>
      </c>
      <c r="K54" s="8">
        <v>250</v>
      </c>
      <c r="L54" s="8">
        <v>248</v>
      </c>
      <c r="M54" s="8">
        <v>251</v>
      </c>
      <c r="N54" s="8">
        <v>432</v>
      </c>
      <c r="O54" s="8">
        <v>435</v>
      </c>
      <c r="P54" s="8">
        <v>433</v>
      </c>
      <c r="Q54" s="9" t="s">
        <v>47</v>
      </c>
      <c r="R54" s="16"/>
      <c r="S54" s="10">
        <v>0</v>
      </c>
      <c r="T54" s="10">
        <v>0</v>
      </c>
      <c r="U54" s="10">
        <v>0</v>
      </c>
      <c r="V54" s="11">
        <v>0</v>
      </c>
      <c r="W54" s="12"/>
      <c r="X54" s="17"/>
      <c r="Y54" s="13"/>
      <c r="Z54" s="13"/>
      <c r="AA54" s="13"/>
      <c r="AB54" s="14"/>
      <c r="AC54" s="9"/>
      <c r="AD54" s="16"/>
      <c r="AE54" s="10"/>
      <c r="AF54" s="10"/>
      <c r="AG54" s="10"/>
      <c r="AH54" s="11"/>
      <c r="AI54" s="12"/>
      <c r="AJ54" s="17"/>
      <c r="AK54" s="13"/>
      <c r="AL54" s="13"/>
      <c r="AM54" s="13"/>
      <c r="AN54" s="14"/>
      <c r="AO54" s="9"/>
      <c r="AP54" s="16"/>
      <c r="AQ54" s="10"/>
      <c r="AR54" s="10"/>
      <c r="AS54" s="10"/>
      <c r="AT54" s="11"/>
      <c r="AU54" s="12"/>
      <c r="AV54" s="17"/>
      <c r="AW54" s="13"/>
      <c r="AX54" s="13"/>
      <c r="AY54" s="13"/>
      <c r="AZ54" s="14"/>
      <c r="BA54" s="9"/>
      <c r="BB54" s="16"/>
      <c r="BC54" s="10"/>
      <c r="BD54" s="10"/>
      <c r="BE54" s="10"/>
      <c r="BF54" s="11"/>
      <c r="BG54" s="12"/>
      <c r="BH54" s="17"/>
      <c r="BI54" s="13"/>
      <c r="BJ54" s="13"/>
      <c r="BK54" s="13"/>
      <c r="BL54" s="14"/>
      <c r="BM54" s="9"/>
      <c r="BN54" s="16"/>
      <c r="BO54" s="10"/>
      <c r="BP54" s="10"/>
      <c r="BQ54" s="10"/>
      <c r="BR54" s="11"/>
      <c r="BS54" s="12"/>
      <c r="BT54" s="17"/>
      <c r="BU54" s="13"/>
      <c r="BV54" s="13"/>
      <c r="BW54" s="13"/>
      <c r="BX54" s="14"/>
      <c r="BY54" s="9"/>
      <c r="BZ54" s="16"/>
      <c r="CA54" s="10"/>
      <c r="CB54" s="10"/>
      <c r="CC54" s="10"/>
      <c r="CD54" s="11"/>
      <c r="CE54" s="12"/>
      <c r="CF54" s="17"/>
      <c r="CG54" s="13"/>
      <c r="CH54" s="13"/>
      <c r="CI54" s="13"/>
      <c r="CJ54" s="14"/>
      <c r="CK54" s="9"/>
      <c r="CL54" s="16"/>
      <c r="CM54" s="10"/>
      <c r="CN54" s="10"/>
      <c r="CO54" s="10"/>
      <c r="CP54" s="11"/>
      <c r="CQ54" s="12"/>
      <c r="CR54" s="17"/>
      <c r="CS54" s="13"/>
      <c r="CT54" s="13"/>
      <c r="CU54" s="13"/>
      <c r="CV54" s="14"/>
      <c r="CW54" s="9"/>
      <c r="CX54" s="16"/>
      <c r="CY54" s="10"/>
      <c r="CZ54" s="10"/>
      <c r="DA54" s="10"/>
      <c r="DB54" s="11"/>
      <c r="DC54" s="12"/>
      <c r="DD54" s="17"/>
      <c r="DE54" s="13"/>
      <c r="DF54" s="13"/>
      <c r="DG54" s="13"/>
      <c r="DH54" s="14"/>
      <c r="DI54" s="8">
        <f t="shared" si="9"/>
        <v>0</v>
      </c>
      <c r="DJ54" s="8">
        <f t="shared" si="10"/>
        <v>0</v>
      </c>
      <c r="DK54" s="8">
        <f t="shared" si="11"/>
        <v>0</v>
      </c>
      <c r="DL54" s="8">
        <f t="shared" si="12"/>
        <v>0</v>
      </c>
      <c r="DM54" s="8">
        <f t="shared" si="13"/>
        <v>0</v>
      </c>
      <c r="DN54" s="8">
        <f t="shared" si="14"/>
        <v>0</v>
      </c>
      <c r="DO54" s="15">
        <f t="shared" si="15"/>
        <v>0</v>
      </c>
      <c r="DP54" s="15" t="str">
        <f t="shared" si="16"/>
        <v>OK - No Upgrade</v>
      </c>
      <c r="DQ54" s="15" t="str">
        <f t="shared" si="17"/>
        <v>OK - Balanced</v>
      </c>
    </row>
    <row r="55" spans="1:121" ht="15.75" customHeight="1" x14ac:dyDescent="0.25">
      <c r="A55" s="8" t="s">
        <v>38</v>
      </c>
      <c r="B55" s="8" t="s">
        <v>385</v>
      </c>
      <c r="C55" s="8" t="s">
        <v>124</v>
      </c>
      <c r="D55" s="8" t="s">
        <v>491</v>
      </c>
      <c r="E55" s="8" t="s">
        <v>492</v>
      </c>
      <c r="F55" s="8" t="s">
        <v>43</v>
      </c>
      <c r="G55" s="8"/>
      <c r="H55" s="8">
        <v>315</v>
      </c>
      <c r="I55" s="8" t="s">
        <v>493</v>
      </c>
      <c r="J55" s="8">
        <v>1</v>
      </c>
      <c r="K55" s="8">
        <v>244</v>
      </c>
      <c r="L55" s="8">
        <v>243</v>
      </c>
      <c r="M55" s="8">
        <v>246</v>
      </c>
      <c r="N55" s="8">
        <v>422</v>
      </c>
      <c r="O55" s="8">
        <v>426</v>
      </c>
      <c r="P55" s="8">
        <v>425</v>
      </c>
      <c r="Q55" s="9" t="s">
        <v>47</v>
      </c>
      <c r="R55" s="16"/>
      <c r="S55" s="10">
        <v>0</v>
      </c>
      <c r="T55" s="10">
        <v>0</v>
      </c>
      <c r="U55" s="10">
        <v>0</v>
      </c>
      <c r="V55" s="11">
        <v>0</v>
      </c>
      <c r="W55" s="12" t="s">
        <v>47</v>
      </c>
      <c r="X55" s="17"/>
      <c r="Y55" s="13">
        <v>0</v>
      </c>
      <c r="Z55" s="13">
        <v>0</v>
      </c>
      <c r="AA55" s="13">
        <v>0</v>
      </c>
      <c r="AB55" s="14">
        <v>0</v>
      </c>
      <c r="AC55" s="9"/>
      <c r="AD55" s="16"/>
      <c r="AE55" s="10"/>
      <c r="AF55" s="10"/>
      <c r="AG55" s="10"/>
      <c r="AH55" s="11"/>
      <c r="AI55" s="12"/>
      <c r="AJ55" s="17"/>
      <c r="AK55" s="13"/>
      <c r="AL55" s="13"/>
      <c r="AM55" s="13"/>
      <c r="AN55" s="14"/>
      <c r="AO55" s="9"/>
      <c r="AP55" s="16"/>
      <c r="AQ55" s="10"/>
      <c r="AR55" s="10"/>
      <c r="AS55" s="10"/>
      <c r="AT55" s="11"/>
      <c r="AU55" s="12"/>
      <c r="AV55" s="17"/>
      <c r="AW55" s="13"/>
      <c r="AX55" s="13"/>
      <c r="AY55" s="13"/>
      <c r="AZ55" s="14"/>
      <c r="BA55" s="9"/>
      <c r="BB55" s="16"/>
      <c r="BC55" s="10"/>
      <c r="BD55" s="10"/>
      <c r="BE55" s="10"/>
      <c r="BF55" s="11"/>
      <c r="BG55" s="12"/>
      <c r="BH55" s="17"/>
      <c r="BI55" s="13"/>
      <c r="BJ55" s="13"/>
      <c r="BK55" s="13"/>
      <c r="BL55" s="14"/>
      <c r="BM55" s="9"/>
      <c r="BN55" s="16"/>
      <c r="BO55" s="10"/>
      <c r="BP55" s="10"/>
      <c r="BQ55" s="10"/>
      <c r="BR55" s="11"/>
      <c r="BS55" s="12"/>
      <c r="BT55" s="17"/>
      <c r="BU55" s="13"/>
      <c r="BV55" s="13"/>
      <c r="BW55" s="13"/>
      <c r="BX55" s="14"/>
      <c r="BY55" s="9"/>
      <c r="BZ55" s="16"/>
      <c r="CA55" s="10"/>
      <c r="CB55" s="10"/>
      <c r="CC55" s="10"/>
      <c r="CD55" s="11"/>
      <c r="CE55" s="12"/>
      <c r="CF55" s="17"/>
      <c r="CG55" s="13"/>
      <c r="CH55" s="13"/>
      <c r="CI55" s="13"/>
      <c r="CJ55" s="14"/>
      <c r="CK55" s="9"/>
      <c r="CL55" s="16"/>
      <c r="CM55" s="10"/>
      <c r="CN55" s="10"/>
      <c r="CO55" s="10"/>
      <c r="CP55" s="11"/>
      <c r="CQ55" s="12"/>
      <c r="CR55" s="17"/>
      <c r="CS55" s="13"/>
      <c r="CT55" s="13"/>
      <c r="CU55" s="13"/>
      <c r="CV55" s="14"/>
      <c r="CW55" s="9"/>
      <c r="CX55" s="16"/>
      <c r="CY55" s="10"/>
      <c r="CZ55" s="10"/>
      <c r="DA55" s="10"/>
      <c r="DB55" s="11"/>
      <c r="DC55" s="12"/>
      <c r="DD55" s="17"/>
      <c r="DE55" s="13"/>
      <c r="DF55" s="13"/>
      <c r="DG55" s="13"/>
      <c r="DH55" s="14"/>
      <c r="DI55" s="8">
        <f t="shared" si="9"/>
        <v>0</v>
      </c>
      <c r="DJ55" s="8">
        <f t="shared" si="10"/>
        <v>0</v>
      </c>
      <c r="DK55" s="8">
        <f t="shared" si="11"/>
        <v>0</v>
      </c>
      <c r="DL55" s="8">
        <f t="shared" si="12"/>
        <v>0</v>
      </c>
      <c r="DM55" s="8">
        <f t="shared" si="13"/>
        <v>0</v>
      </c>
      <c r="DN55" s="8">
        <f t="shared" si="14"/>
        <v>0</v>
      </c>
      <c r="DO55" s="15">
        <f t="shared" si="15"/>
        <v>0</v>
      </c>
      <c r="DP55" s="15" t="str">
        <f t="shared" si="16"/>
        <v>OK - No Upgrade</v>
      </c>
      <c r="DQ55" s="15" t="str">
        <f t="shared" si="17"/>
        <v>OK - Balanced</v>
      </c>
    </row>
    <row r="56" spans="1:121" ht="15.75" customHeight="1" x14ac:dyDescent="0.25">
      <c r="A56" s="8" t="s">
        <v>38</v>
      </c>
      <c r="B56" s="8" t="s">
        <v>385</v>
      </c>
      <c r="C56" s="8" t="s">
        <v>124</v>
      </c>
      <c r="D56" s="8" t="s">
        <v>491</v>
      </c>
      <c r="E56" s="8" t="s">
        <v>492</v>
      </c>
      <c r="F56" s="8" t="s">
        <v>43</v>
      </c>
      <c r="G56" s="8" t="s">
        <v>44</v>
      </c>
      <c r="H56" s="8">
        <v>315</v>
      </c>
      <c r="I56" s="8" t="s">
        <v>494</v>
      </c>
      <c r="J56" s="8">
        <v>2</v>
      </c>
      <c r="K56" s="8">
        <v>250</v>
      </c>
      <c r="L56" s="8">
        <v>249</v>
      </c>
      <c r="M56" s="8">
        <v>252</v>
      </c>
      <c r="N56" s="8">
        <v>432</v>
      </c>
      <c r="O56" s="8">
        <v>437</v>
      </c>
      <c r="P56" s="8">
        <v>434</v>
      </c>
      <c r="Q56" s="9" t="s">
        <v>47</v>
      </c>
      <c r="R56" s="16"/>
      <c r="S56" s="10">
        <v>0</v>
      </c>
      <c r="T56" s="10">
        <v>0</v>
      </c>
      <c r="U56" s="10">
        <v>0</v>
      </c>
      <c r="V56" s="11">
        <v>0</v>
      </c>
      <c r="W56" s="12" t="s">
        <v>47</v>
      </c>
      <c r="X56" s="17"/>
      <c r="Y56" s="13">
        <v>0</v>
      </c>
      <c r="Z56" s="13">
        <v>0</v>
      </c>
      <c r="AA56" s="13">
        <v>0</v>
      </c>
      <c r="AB56" s="14">
        <v>0</v>
      </c>
      <c r="AC56" s="9"/>
      <c r="AD56" s="16"/>
      <c r="AE56" s="10"/>
      <c r="AF56" s="10"/>
      <c r="AG56" s="10"/>
      <c r="AH56" s="11"/>
      <c r="AI56" s="12"/>
      <c r="AJ56" s="17"/>
      <c r="AK56" s="13"/>
      <c r="AL56" s="13"/>
      <c r="AM56" s="13"/>
      <c r="AN56" s="14"/>
      <c r="AO56" s="9"/>
      <c r="AP56" s="16"/>
      <c r="AQ56" s="10"/>
      <c r="AR56" s="10"/>
      <c r="AS56" s="10"/>
      <c r="AT56" s="11"/>
      <c r="AU56" s="12"/>
      <c r="AV56" s="17"/>
      <c r="AW56" s="13"/>
      <c r="AX56" s="13"/>
      <c r="AY56" s="13"/>
      <c r="AZ56" s="14"/>
      <c r="BA56" s="9"/>
      <c r="BB56" s="16"/>
      <c r="BC56" s="10"/>
      <c r="BD56" s="10"/>
      <c r="BE56" s="10"/>
      <c r="BF56" s="11"/>
      <c r="BG56" s="12"/>
      <c r="BH56" s="17"/>
      <c r="BI56" s="13"/>
      <c r="BJ56" s="13"/>
      <c r="BK56" s="13"/>
      <c r="BL56" s="14"/>
      <c r="BM56" s="9"/>
      <c r="BN56" s="16"/>
      <c r="BO56" s="10"/>
      <c r="BP56" s="10"/>
      <c r="BQ56" s="10"/>
      <c r="BR56" s="11"/>
      <c r="BS56" s="12"/>
      <c r="BT56" s="17"/>
      <c r="BU56" s="13"/>
      <c r="BV56" s="13"/>
      <c r="BW56" s="13"/>
      <c r="BX56" s="14"/>
      <c r="BY56" s="9"/>
      <c r="BZ56" s="16"/>
      <c r="CA56" s="10"/>
      <c r="CB56" s="10"/>
      <c r="CC56" s="10"/>
      <c r="CD56" s="11"/>
      <c r="CE56" s="12"/>
      <c r="CF56" s="17"/>
      <c r="CG56" s="13"/>
      <c r="CH56" s="13"/>
      <c r="CI56" s="13"/>
      <c r="CJ56" s="14"/>
      <c r="CK56" s="9"/>
      <c r="CL56" s="16"/>
      <c r="CM56" s="10"/>
      <c r="CN56" s="10"/>
      <c r="CO56" s="10"/>
      <c r="CP56" s="11"/>
      <c r="CQ56" s="12"/>
      <c r="CR56" s="17"/>
      <c r="CS56" s="13"/>
      <c r="CT56" s="13"/>
      <c r="CU56" s="13"/>
      <c r="CV56" s="14"/>
      <c r="CW56" s="9"/>
      <c r="CX56" s="16"/>
      <c r="CY56" s="10"/>
      <c r="CZ56" s="10"/>
      <c r="DA56" s="10"/>
      <c r="DB56" s="11"/>
      <c r="DC56" s="12"/>
      <c r="DD56" s="17"/>
      <c r="DE56" s="13"/>
      <c r="DF56" s="13"/>
      <c r="DG56" s="13"/>
      <c r="DH56" s="14"/>
      <c r="DI56" s="8">
        <f t="shared" si="9"/>
        <v>0</v>
      </c>
      <c r="DJ56" s="8">
        <f t="shared" si="10"/>
        <v>0</v>
      </c>
      <c r="DK56" s="8">
        <f t="shared" si="11"/>
        <v>0</v>
      </c>
      <c r="DL56" s="8">
        <f t="shared" si="12"/>
        <v>0</v>
      </c>
      <c r="DM56" s="8">
        <f t="shared" si="13"/>
        <v>0</v>
      </c>
      <c r="DN56" s="8">
        <f t="shared" si="14"/>
        <v>0</v>
      </c>
      <c r="DO56" s="15">
        <f t="shared" si="15"/>
        <v>0</v>
      </c>
      <c r="DP56" s="15" t="str">
        <f t="shared" si="16"/>
        <v>OK - No Upgrade</v>
      </c>
      <c r="DQ56" s="15" t="str">
        <f t="shared" si="17"/>
        <v>OK - Balanced</v>
      </c>
    </row>
    <row r="57" spans="1:121" ht="15.75" customHeight="1" x14ac:dyDescent="0.25">
      <c r="A57" s="8" t="s">
        <v>38</v>
      </c>
      <c r="B57" s="8" t="s">
        <v>385</v>
      </c>
      <c r="C57" s="8" t="s">
        <v>124</v>
      </c>
      <c r="D57" s="8" t="s">
        <v>495</v>
      </c>
      <c r="E57" s="8" t="s">
        <v>496</v>
      </c>
      <c r="F57" s="8" t="s">
        <v>43</v>
      </c>
      <c r="G57" s="8"/>
      <c r="H57" s="8">
        <v>100</v>
      </c>
      <c r="I57" s="8" t="s">
        <v>497</v>
      </c>
      <c r="J57" s="8">
        <v>1</v>
      </c>
      <c r="K57" s="8">
        <v>242</v>
      </c>
      <c r="L57" s="8">
        <v>242</v>
      </c>
      <c r="M57" s="8">
        <v>244</v>
      </c>
      <c r="N57" s="8">
        <v>417</v>
      </c>
      <c r="O57" s="8">
        <v>426</v>
      </c>
      <c r="P57" s="8">
        <v>421</v>
      </c>
      <c r="Q57" s="9" t="s">
        <v>47</v>
      </c>
      <c r="R57" s="16"/>
      <c r="S57" s="10">
        <v>24</v>
      </c>
      <c r="T57" s="10">
        <v>9</v>
      </c>
      <c r="U57" s="10">
        <v>1</v>
      </c>
      <c r="V57" s="11">
        <v>13</v>
      </c>
      <c r="W57" s="12"/>
      <c r="X57" s="17"/>
      <c r="Y57" s="13"/>
      <c r="Z57" s="13"/>
      <c r="AA57" s="13"/>
      <c r="AB57" s="14"/>
      <c r="AC57" s="9"/>
      <c r="AD57" s="16"/>
      <c r="AE57" s="10"/>
      <c r="AF57" s="10"/>
      <c r="AG57" s="10"/>
      <c r="AH57" s="11"/>
      <c r="AI57" s="12"/>
      <c r="AJ57" s="17"/>
      <c r="AK57" s="13"/>
      <c r="AL57" s="13"/>
      <c r="AM57" s="13"/>
      <c r="AN57" s="14"/>
      <c r="AO57" s="9"/>
      <c r="AP57" s="16"/>
      <c r="AQ57" s="10"/>
      <c r="AR57" s="10"/>
      <c r="AS57" s="10"/>
      <c r="AT57" s="11"/>
      <c r="AU57" s="12"/>
      <c r="AV57" s="17"/>
      <c r="AW57" s="13"/>
      <c r="AX57" s="13"/>
      <c r="AY57" s="13"/>
      <c r="AZ57" s="14"/>
      <c r="BA57" s="9"/>
      <c r="BB57" s="16"/>
      <c r="BC57" s="10"/>
      <c r="BD57" s="10"/>
      <c r="BE57" s="10"/>
      <c r="BF57" s="11"/>
      <c r="BG57" s="12"/>
      <c r="BH57" s="17"/>
      <c r="BI57" s="13"/>
      <c r="BJ57" s="13"/>
      <c r="BK57" s="13"/>
      <c r="BL57" s="14"/>
      <c r="BM57" s="9"/>
      <c r="BN57" s="16"/>
      <c r="BO57" s="10"/>
      <c r="BP57" s="10"/>
      <c r="BQ57" s="10"/>
      <c r="BR57" s="11"/>
      <c r="BS57" s="12"/>
      <c r="BT57" s="17"/>
      <c r="BU57" s="13"/>
      <c r="BV57" s="13"/>
      <c r="BW57" s="13"/>
      <c r="BX57" s="14"/>
      <c r="BY57" s="9"/>
      <c r="BZ57" s="16"/>
      <c r="CA57" s="10"/>
      <c r="CB57" s="10"/>
      <c r="CC57" s="10"/>
      <c r="CD57" s="11"/>
      <c r="CE57" s="12"/>
      <c r="CF57" s="17"/>
      <c r="CG57" s="13"/>
      <c r="CH57" s="13"/>
      <c r="CI57" s="13"/>
      <c r="CJ57" s="14"/>
      <c r="CK57" s="9"/>
      <c r="CL57" s="16"/>
      <c r="CM57" s="10"/>
      <c r="CN57" s="10"/>
      <c r="CO57" s="10"/>
      <c r="CP57" s="11"/>
      <c r="CQ57" s="12"/>
      <c r="CR57" s="17"/>
      <c r="CS57" s="13"/>
      <c r="CT57" s="13"/>
      <c r="CU57" s="13"/>
      <c r="CV57" s="14"/>
      <c r="CW57" s="9"/>
      <c r="CX57" s="16"/>
      <c r="CY57" s="10"/>
      <c r="CZ57" s="10"/>
      <c r="DA57" s="10"/>
      <c r="DB57" s="11"/>
      <c r="DC57" s="12"/>
      <c r="DD57" s="17"/>
      <c r="DE57" s="13"/>
      <c r="DF57" s="13"/>
      <c r="DG57" s="13"/>
      <c r="DH57" s="14"/>
      <c r="DI57" s="8">
        <f t="shared" si="9"/>
        <v>24</v>
      </c>
      <c r="DJ57" s="8">
        <f t="shared" si="10"/>
        <v>9</v>
      </c>
      <c r="DK57" s="8">
        <f t="shared" si="11"/>
        <v>1</v>
      </c>
      <c r="DL57" s="8">
        <f t="shared" si="12"/>
        <v>13</v>
      </c>
      <c r="DM57" s="8">
        <f t="shared" si="13"/>
        <v>24</v>
      </c>
      <c r="DN57" s="8">
        <f t="shared" si="14"/>
        <v>1</v>
      </c>
      <c r="DO57" s="15">
        <f t="shared" si="15"/>
        <v>17.334364482149326</v>
      </c>
      <c r="DP57" s="15" t="str">
        <f t="shared" si="16"/>
        <v>OK - No Upgrade</v>
      </c>
      <c r="DQ57" s="15" t="str">
        <f t="shared" si="17"/>
        <v>Need to Balance</v>
      </c>
    </row>
    <row r="58" spans="1:121" ht="15.75" customHeight="1" x14ac:dyDescent="0.25">
      <c r="A58" s="8" t="s">
        <v>38</v>
      </c>
      <c r="B58" s="8" t="s">
        <v>385</v>
      </c>
      <c r="C58" s="8" t="s">
        <v>124</v>
      </c>
      <c r="D58" s="8" t="s">
        <v>495</v>
      </c>
      <c r="E58" s="8" t="s">
        <v>496</v>
      </c>
      <c r="F58" s="8" t="s">
        <v>43</v>
      </c>
      <c r="G58" s="8" t="s">
        <v>44</v>
      </c>
      <c r="H58" s="8">
        <v>100</v>
      </c>
      <c r="I58" s="8" t="s">
        <v>498</v>
      </c>
      <c r="J58" s="8">
        <v>2</v>
      </c>
      <c r="K58" s="8">
        <v>249</v>
      </c>
      <c r="L58" s="8">
        <v>249</v>
      </c>
      <c r="M58" s="8">
        <v>251</v>
      </c>
      <c r="N58" s="8">
        <v>431</v>
      </c>
      <c r="O58" s="8">
        <v>436</v>
      </c>
      <c r="P58" s="8">
        <v>433</v>
      </c>
      <c r="Q58" s="9" t="s">
        <v>47</v>
      </c>
      <c r="R58" s="16"/>
      <c r="S58" s="10">
        <v>13</v>
      </c>
      <c r="T58" s="10">
        <v>0</v>
      </c>
      <c r="U58" s="10">
        <v>0</v>
      </c>
      <c r="V58" s="11">
        <v>9</v>
      </c>
      <c r="W58" s="12"/>
      <c r="X58" s="17"/>
      <c r="Y58" s="13"/>
      <c r="Z58" s="13"/>
      <c r="AA58" s="13"/>
      <c r="AB58" s="14"/>
      <c r="AC58" s="9"/>
      <c r="AD58" s="16"/>
      <c r="AE58" s="10"/>
      <c r="AF58" s="10"/>
      <c r="AG58" s="10"/>
      <c r="AH58" s="11"/>
      <c r="AI58" s="12"/>
      <c r="AJ58" s="17"/>
      <c r="AK58" s="13"/>
      <c r="AL58" s="13"/>
      <c r="AM58" s="13"/>
      <c r="AN58" s="14"/>
      <c r="AO58" s="9"/>
      <c r="AP58" s="16"/>
      <c r="AQ58" s="10"/>
      <c r="AR58" s="10"/>
      <c r="AS58" s="10"/>
      <c r="AT58" s="11"/>
      <c r="AU58" s="12"/>
      <c r="AV58" s="17"/>
      <c r="AW58" s="13"/>
      <c r="AX58" s="13"/>
      <c r="AY58" s="13"/>
      <c r="AZ58" s="14"/>
      <c r="BA58" s="9"/>
      <c r="BB58" s="16"/>
      <c r="BC58" s="10"/>
      <c r="BD58" s="10"/>
      <c r="BE58" s="10"/>
      <c r="BF58" s="11"/>
      <c r="BG58" s="12"/>
      <c r="BH58" s="17"/>
      <c r="BI58" s="13"/>
      <c r="BJ58" s="13"/>
      <c r="BK58" s="13"/>
      <c r="BL58" s="14"/>
      <c r="BM58" s="9"/>
      <c r="BN58" s="16"/>
      <c r="BO58" s="10"/>
      <c r="BP58" s="10"/>
      <c r="BQ58" s="10"/>
      <c r="BR58" s="11"/>
      <c r="BS58" s="12"/>
      <c r="BT58" s="17"/>
      <c r="BU58" s="13"/>
      <c r="BV58" s="13"/>
      <c r="BW58" s="13"/>
      <c r="BX58" s="14"/>
      <c r="BY58" s="9"/>
      <c r="BZ58" s="16"/>
      <c r="CA58" s="10"/>
      <c r="CB58" s="10"/>
      <c r="CC58" s="10"/>
      <c r="CD58" s="11"/>
      <c r="CE58" s="12"/>
      <c r="CF58" s="17"/>
      <c r="CG58" s="13"/>
      <c r="CH58" s="13"/>
      <c r="CI58" s="13"/>
      <c r="CJ58" s="14"/>
      <c r="CK58" s="9"/>
      <c r="CL58" s="16"/>
      <c r="CM58" s="10"/>
      <c r="CN58" s="10"/>
      <c r="CO58" s="10"/>
      <c r="CP58" s="11"/>
      <c r="CQ58" s="12"/>
      <c r="CR58" s="17"/>
      <c r="CS58" s="13"/>
      <c r="CT58" s="13"/>
      <c r="CU58" s="13"/>
      <c r="CV58" s="14"/>
      <c r="CW58" s="9"/>
      <c r="CX58" s="16"/>
      <c r="CY58" s="10"/>
      <c r="CZ58" s="10"/>
      <c r="DA58" s="10"/>
      <c r="DB58" s="11"/>
      <c r="DC58" s="12"/>
      <c r="DD58" s="17"/>
      <c r="DE58" s="13"/>
      <c r="DF58" s="13"/>
      <c r="DG58" s="13"/>
      <c r="DH58" s="14"/>
      <c r="DI58" s="8">
        <f t="shared" si="9"/>
        <v>13</v>
      </c>
      <c r="DJ58" s="8">
        <f t="shared" si="10"/>
        <v>0</v>
      </c>
      <c r="DK58" s="8">
        <f t="shared" si="11"/>
        <v>0</v>
      </c>
      <c r="DL58" s="8">
        <f t="shared" si="12"/>
        <v>9</v>
      </c>
      <c r="DM58" s="8">
        <f t="shared" si="13"/>
        <v>13</v>
      </c>
      <c r="DN58" s="8">
        <f t="shared" si="14"/>
        <v>0</v>
      </c>
      <c r="DO58" s="15">
        <f t="shared" si="15"/>
        <v>9.7046806748084169</v>
      </c>
      <c r="DP58" s="15" t="str">
        <f t="shared" si="16"/>
        <v>OK - No Upgrade</v>
      </c>
      <c r="DQ58" s="15" t="str">
        <f t="shared" si="17"/>
        <v>Need to Balance</v>
      </c>
    </row>
    <row r="59" spans="1:121" ht="15.75" customHeight="1" x14ac:dyDescent="0.25">
      <c r="A59" s="8" t="s">
        <v>38</v>
      </c>
      <c r="B59" s="8" t="s">
        <v>385</v>
      </c>
      <c r="C59" s="8" t="s">
        <v>124</v>
      </c>
      <c r="D59" s="8" t="s">
        <v>499</v>
      </c>
      <c r="E59" s="8" t="s">
        <v>235</v>
      </c>
      <c r="F59" s="8" t="s">
        <v>43</v>
      </c>
      <c r="G59" s="8"/>
      <c r="H59" s="8">
        <v>315</v>
      </c>
      <c r="I59" s="8" t="s">
        <v>184</v>
      </c>
      <c r="J59" s="8">
        <v>1</v>
      </c>
      <c r="K59" s="8">
        <v>243</v>
      </c>
      <c r="L59" s="8">
        <v>245</v>
      </c>
      <c r="M59" s="8">
        <v>243</v>
      </c>
      <c r="N59" s="8">
        <v>423</v>
      </c>
      <c r="O59" s="8">
        <v>421</v>
      </c>
      <c r="P59" s="8">
        <v>426</v>
      </c>
      <c r="Q59" s="9" t="s">
        <v>47</v>
      </c>
      <c r="R59" s="16"/>
      <c r="S59" s="10">
        <v>41</v>
      </c>
      <c r="T59" s="10">
        <v>24</v>
      </c>
      <c r="U59" s="10">
        <v>46</v>
      </c>
      <c r="V59" s="11">
        <v>21</v>
      </c>
      <c r="W59" s="12" t="s">
        <v>47</v>
      </c>
      <c r="X59" s="17"/>
      <c r="Y59" s="13">
        <v>0</v>
      </c>
      <c r="Z59" s="13">
        <v>1</v>
      </c>
      <c r="AA59" s="13">
        <v>0</v>
      </c>
      <c r="AB59" s="14">
        <v>1</v>
      </c>
      <c r="AC59" s="9"/>
      <c r="AD59" s="16"/>
      <c r="AE59" s="10"/>
      <c r="AF59" s="10"/>
      <c r="AG59" s="10"/>
      <c r="AH59" s="11"/>
      <c r="AI59" s="12"/>
      <c r="AJ59" s="17"/>
      <c r="AK59" s="13"/>
      <c r="AL59" s="13"/>
      <c r="AM59" s="13"/>
      <c r="AN59" s="14"/>
      <c r="AO59" s="9"/>
      <c r="AP59" s="16"/>
      <c r="AQ59" s="10"/>
      <c r="AR59" s="10"/>
      <c r="AS59" s="10"/>
      <c r="AT59" s="11"/>
      <c r="AU59" s="12"/>
      <c r="AV59" s="17"/>
      <c r="AW59" s="13"/>
      <c r="AX59" s="13"/>
      <c r="AY59" s="13"/>
      <c r="AZ59" s="14"/>
      <c r="BA59" s="9"/>
      <c r="BB59" s="16"/>
      <c r="BC59" s="10"/>
      <c r="BD59" s="10"/>
      <c r="BE59" s="10"/>
      <c r="BF59" s="11"/>
      <c r="BG59" s="12"/>
      <c r="BH59" s="17"/>
      <c r="BI59" s="13"/>
      <c r="BJ59" s="13"/>
      <c r="BK59" s="13"/>
      <c r="BL59" s="14"/>
      <c r="BM59" s="9"/>
      <c r="BN59" s="16"/>
      <c r="BO59" s="10"/>
      <c r="BP59" s="10"/>
      <c r="BQ59" s="10"/>
      <c r="BR59" s="11"/>
      <c r="BS59" s="12"/>
      <c r="BT59" s="17"/>
      <c r="BU59" s="13"/>
      <c r="BV59" s="13"/>
      <c r="BW59" s="13"/>
      <c r="BX59" s="14"/>
      <c r="BY59" s="9"/>
      <c r="BZ59" s="16"/>
      <c r="CA59" s="10"/>
      <c r="CB59" s="10"/>
      <c r="CC59" s="10"/>
      <c r="CD59" s="11"/>
      <c r="CE59" s="12"/>
      <c r="CF59" s="17"/>
      <c r="CG59" s="13"/>
      <c r="CH59" s="13"/>
      <c r="CI59" s="13"/>
      <c r="CJ59" s="14"/>
      <c r="CK59" s="9"/>
      <c r="CL59" s="16"/>
      <c r="CM59" s="10"/>
      <c r="CN59" s="10"/>
      <c r="CO59" s="10"/>
      <c r="CP59" s="11"/>
      <c r="CQ59" s="12"/>
      <c r="CR59" s="17"/>
      <c r="CS59" s="13"/>
      <c r="CT59" s="13"/>
      <c r="CU59" s="13"/>
      <c r="CV59" s="14"/>
      <c r="CW59" s="9"/>
      <c r="CX59" s="16"/>
      <c r="CY59" s="10"/>
      <c r="CZ59" s="10"/>
      <c r="DA59" s="10"/>
      <c r="DB59" s="11"/>
      <c r="DC59" s="12"/>
      <c r="DD59" s="17"/>
      <c r="DE59" s="13"/>
      <c r="DF59" s="13"/>
      <c r="DG59" s="13"/>
      <c r="DH59" s="14"/>
      <c r="DI59" s="8">
        <f t="shared" si="9"/>
        <v>41</v>
      </c>
      <c r="DJ59" s="8">
        <f t="shared" si="10"/>
        <v>25</v>
      </c>
      <c r="DK59" s="8">
        <f t="shared" si="11"/>
        <v>46</v>
      </c>
      <c r="DL59" s="8">
        <f t="shared" si="12"/>
        <v>22</v>
      </c>
      <c r="DM59" s="8">
        <f t="shared" si="13"/>
        <v>46</v>
      </c>
      <c r="DN59" s="8">
        <f t="shared" si="14"/>
        <v>25</v>
      </c>
      <c r="DO59" s="15">
        <f t="shared" si="15"/>
        <v>10.699125274182606</v>
      </c>
      <c r="DP59" s="15" t="str">
        <f t="shared" si="16"/>
        <v>OK - No Upgrade</v>
      </c>
      <c r="DQ59" s="15" t="str">
        <f t="shared" si="17"/>
        <v>Need to Balance</v>
      </c>
    </row>
    <row r="60" spans="1:121" ht="15.75" customHeight="1" x14ac:dyDescent="0.25">
      <c r="A60" s="8" t="s">
        <v>38</v>
      </c>
      <c r="B60" s="8" t="s">
        <v>385</v>
      </c>
      <c r="C60" s="8" t="s">
        <v>124</v>
      </c>
      <c r="D60" s="8" t="s">
        <v>499</v>
      </c>
      <c r="E60" s="8" t="s">
        <v>235</v>
      </c>
      <c r="F60" s="8" t="s">
        <v>43</v>
      </c>
      <c r="G60" s="8" t="s">
        <v>44</v>
      </c>
      <c r="H60" s="8">
        <v>315</v>
      </c>
      <c r="I60" s="8" t="s">
        <v>500</v>
      </c>
      <c r="J60" s="8">
        <v>2</v>
      </c>
      <c r="K60" s="8">
        <v>250</v>
      </c>
      <c r="L60" s="8">
        <v>252</v>
      </c>
      <c r="M60" s="8">
        <v>251</v>
      </c>
      <c r="N60" s="8">
        <v>435</v>
      </c>
      <c r="O60" s="8">
        <v>435</v>
      </c>
      <c r="P60" s="8">
        <v>435</v>
      </c>
      <c r="Q60" s="9" t="s">
        <v>47</v>
      </c>
      <c r="R60" s="16"/>
      <c r="S60" s="10">
        <v>3</v>
      </c>
      <c r="T60" s="10">
        <v>15</v>
      </c>
      <c r="U60" s="10">
        <v>13</v>
      </c>
      <c r="V60" s="11">
        <v>10</v>
      </c>
      <c r="W60" s="12" t="s">
        <v>47</v>
      </c>
      <c r="X60" s="17"/>
      <c r="Y60" s="13">
        <v>0</v>
      </c>
      <c r="Z60" s="13">
        <v>15</v>
      </c>
      <c r="AA60" s="13">
        <v>0</v>
      </c>
      <c r="AB60" s="14">
        <v>15</v>
      </c>
      <c r="AC60" s="9"/>
      <c r="AD60" s="16"/>
      <c r="AE60" s="10"/>
      <c r="AF60" s="10"/>
      <c r="AG60" s="10"/>
      <c r="AH60" s="11"/>
      <c r="AI60" s="12"/>
      <c r="AJ60" s="17"/>
      <c r="AK60" s="13"/>
      <c r="AL60" s="13"/>
      <c r="AM60" s="13"/>
      <c r="AN60" s="14"/>
      <c r="AO60" s="9"/>
      <c r="AP60" s="16"/>
      <c r="AQ60" s="10"/>
      <c r="AR60" s="10"/>
      <c r="AS60" s="10"/>
      <c r="AT60" s="11"/>
      <c r="AU60" s="12"/>
      <c r="AV60" s="17"/>
      <c r="AW60" s="13"/>
      <c r="AX60" s="13"/>
      <c r="AY60" s="13"/>
      <c r="AZ60" s="14"/>
      <c r="BA60" s="9"/>
      <c r="BB60" s="16"/>
      <c r="BC60" s="10"/>
      <c r="BD60" s="10"/>
      <c r="BE60" s="10"/>
      <c r="BF60" s="11"/>
      <c r="BG60" s="12"/>
      <c r="BH60" s="17"/>
      <c r="BI60" s="13"/>
      <c r="BJ60" s="13"/>
      <c r="BK60" s="13"/>
      <c r="BL60" s="14"/>
      <c r="BM60" s="9"/>
      <c r="BN60" s="16"/>
      <c r="BO60" s="10"/>
      <c r="BP60" s="10"/>
      <c r="BQ60" s="10"/>
      <c r="BR60" s="11"/>
      <c r="BS60" s="12"/>
      <c r="BT60" s="17"/>
      <c r="BU60" s="13"/>
      <c r="BV60" s="13"/>
      <c r="BW60" s="13"/>
      <c r="BX60" s="14"/>
      <c r="BY60" s="9"/>
      <c r="BZ60" s="16"/>
      <c r="CA60" s="10"/>
      <c r="CB60" s="10"/>
      <c r="CC60" s="10"/>
      <c r="CD60" s="11"/>
      <c r="CE60" s="12"/>
      <c r="CF60" s="17"/>
      <c r="CG60" s="13"/>
      <c r="CH60" s="13"/>
      <c r="CI60" s="13"/>
      <c r="CJ60" s="14"/>
      <c r="CK60" s="9"/>
      <c r="CL60" s="16"/>
      <c r="CM60" s="10"/>
      <c r="CN60" s="10"/>
      <c r="CO60" s="10"/>
      <c r="CP60" s="11"/>
      <c r="CQ60" s="12"/>
      <c r="CR60" s="17"/>
      <c r="CS60" s="13"/>
      <c r="CT60" s="13"/>
      <c r="CU60" s="13"/>
      <c r="CV60" s="14"/>
      <c r="CW60" s="9"/>
      <c r="CX60" s="16"/>
      <c r="CY60" s="10"/>
      <c r="CZ60" s="10"/>
      <c r="DA60" s="10"/>
      <c r="DB60" s="11"/>
      <c r="DC60" s="12"/>
      <c r="DD60" s="17"/>
      <c r="DE60" s="13"/>
      <c r="DF60" s="13"/>
      <c r="DG60" s="13"/>
      <c r="DH60" s="14"/>
      <c r="DI60" s="8">
        <f t="shared" si="9"/>
        <v>3</v>
      </c>
      <c r="DJ60" s="8">
        <f t="shared" si="10"/>
        <v>30</v>
      </c>
      <c r="DK60" s="8">
        <f t="shared" si="11"/>
        <v>13</v>
      </c>
      <c r="DL60" s="8">
        <f t="shared" si="12"/>
        <v>25</v>
      </c>
      <c r="DM60" s="8">
        <f t="shared" si="13"/>
        <v>30</v>
      </c>
      <c r="DN60" s="8">
        <f t="shared" si="14"/>
        <v>3</v>
      </c>
      <c r="DO60" s="15">
        <f t="shared" si="15"/>
        <v>7.1756390599282058</v>
      </c>
      <c r="DP60" s="15" t="str">
        <f t="shared" si="16"/>
        <v>OK - No Upgrade</v>
      </c>
      <c r="DQ60" s="15" t="str">
        <f t="shared" si="17"/>
        <v>Need to Balance</v>
      </c>
    </row>
    <row r="61" spans="1:121" ht="15.75" customHeight="1" x14ac:dyDescent="0.25">
      <c r="A61" s="8" t="s">
        <v>38</v>
      </c>
      <c r="B61" s="8" t="s">
        <v>385</v>
      </c>
      <c r="C61" s="8" t="s">
        <v>124</v>
      </c>
      <c r="D61" s="8" t="s">
        <v>501</v>
      </c>
      <c r="E61" s="8" t="s">
        <v>68</v>
      </c>
      <c r="F61" s="8" t="s">
        <v>56</v>
      </c>
      <c r="G61" s="8"/>
      <c r="H61" s="8">
        <v>500</v>
      </c>
      <c r="I61" s="8" t="s">
        <v>502</v>
      </c>
      <c r="J61" s="8">
        <v>1</v>
      </c>
      <c r="K61" s="8">
        <v>244</v>
      </c>
      <c r="L61" s="8">
        <v>245</v>
      </c>
      <c r="M61" s="8">
        <v>243</v>
      </c>
      <c r="N61" s="8">
        <v>424</v>
      </c>
      <c r="O61" s="8">
        <v>422</v>
      </c>
      <c r="P61" s="8">
        <v>425</v>
      </c>
      <c r="Q61" s="9" t="s">
        <v>47</v>
      </c>
      <c r="R61" s="16"/>
      <c r="S61" s="10">
        <v>24</v>
      </c>
      <c r="T61" s="10">
        <v>30</v>
      </c>
      <c r="U61" s="10">
        <v>52</v>
      </c>
      <c r="V61" s="11">
        <v>27</v>
      </c>
      <c r="W61" s="12" t="s">
        <v>47</v>
      </c>
      <c r="X61" s="17"/>
      <c r="Y61" s="13">
        <v>0</v>
      </c>
      <c r="Z61" s="13">
        <v>0</v>
      </c>
      <c r="AA61" s="13">
        <v>0</v>
      </c>
      <c r="AB61" s="14">
        <v>0</v>
      </c>
      <c r="AC61" s="9" t="s">
        <v>70</v>
      </c>
      <c r="AD61" s="16"/>
      <c r="AE61" s="10">
        <v>0</v>
      </c>
      <c r="AF61" s="10">
        <v>0</v>
      </c>
      <c r="AG61" s="10">
        <v>0</v>
      </c>
      <c r="AH61" s="11">
        <v>0</v>
      </c>
      <c r="AI61" s="12"/>
      <c r="AJ61" s="17"/>
      <c r="AK61" s="13"/>
      <c r="AL61" s="13"/>
      <c r="AM61" s="13"/>
      <c r="AN61" s="14"/>
      <c r="AO61" s="9"/>
      <c r="AP61" s="16"/>
      <c r="AQ61" s="10"/>
      <c r="AR61" s="10"/>
      <c r="AS61" s="10"/>
      <c r="AT61" s="11"/>
      <c r="AU61" s="12"/>
      <c r="AV61" s="17"/>
      <c r="AW61" s="13"/>
      <c r="AX61" s="13"/>
      <c r="AY61" s="13"/>
      <c r="AZ61" s="14"/>
      <c r="BA61" s="9"/>
      <c r="BB61" s="16"/>
      <c r="BC61" s="10"/>
      <c r="BD61" s="10"/>
      <c r="BE61" s="10"/>
      <c r="BF61" s="11"/>
      <c r="BG61" s="12"/>
      <c r="BH61" s="17"/>
      <c r="BI61" s="13"/>
      <c r="BJ61" s="13"/>
      <c r="BK61" s="13"/>
      <c r="BL61" s="14"/>
      <c r="BM61" s="9"/>
      <c r="BN61" s="16"/>
      <c r="BO61" s="10"/>
      <c r="BP61" s="10"/>
      <c r="BQ61" s="10"/>
      <c r="BR61" s="11"/>
      <c r="BS61" s="12"/>
      <c r="BT61" s="17"/>
      <c r="BU61" s="13"/>
      <c r="BV61" s="13"/>
      <c r="BW61" s="13"/>
      <c r="BX61" s="14"/>
      <c r="BY61" s="9"/>
      <c r="BZ61" s="16"/>
      <c r="CA61" s="10"/>
      <c r="CB61" s="10"/>
      <c r="CC61" s="10"/>
      <c r="CD61" s="11"/>
      <c r="CE61" s="12"/>
      <c r="CF61" s="17"/>
      <c r="CG61" s="13"/>
      <c r="CH61" s="13"/>
      <c r="CI61" s="13"/>
      <c r="CJ61" s="14"/>
      <c r="CK61" s="9"/>
      <c r="CL61" s="16"/>
      <c r="CM61" s="10"/>
      <c r="CN61" s="10"/>
      <c r="CO61" s="10"/>
      <c r="CP61" s="11"/>
      <c r="CQ61" s="12"/>
      <c r="CR61" s="17"/>
      <c r="CS61" s="13"/>
      <c r="CT61" s="13"/>
      <c r="CU61" s="13"/>
      <c r="CV61" s="14"/>
      <c r="CW61" s="9"/>
      <c r="CX61" s="16"/>
      <c r="CY61" s="10"/>
      <c r="CZ61" s="10"/>
      <c r="DA61" s="10"/>
      <c r="DB61" s="11"/>
      <c r="DC61" s="12"/>
      <c r="DD61" s="17"/>
      <c r="DE61" s="13"/>
      <c r="DF61" s="13"/>
      <c r="DG61" s="13"/>
      <c r="DH61" s="14"/>
      <c r="DI61" s="8">
        <f t="shared" si="9"/>
        <v>24</v>
      </c>
      <c r="DJ61" s="8">
        <f t="shared" si="10"/>
        <v>30</v>
      </c>
      <c r="DK61" s="8">
        <f t="shared" si="11"/>
        <v>52</v>
      </c>
      <c r="DL61" s="8">
        <f t="shared" si="12"/>
        <v>27</v>
      </c>
      <c r="DM61" s="8">
        <f t="shared" si="13"/>
        <v>52</v>
      </c>
      <c r="DN61" s="8">
        <f t="shared" si="14"/>
        <v>24</v>
      </c>
      <c r="DO61" s="15">
        <f t="shared" si="15"/>
        <v>7.6376512410557211</v>
      </c>
      <c r="DP61" s="15" t="str">
        <f t="shared" si="16"/>
        <v>OK - No Upgrade</v>
      </c>
      <c r="DQ61" s="15" t="str">
        <f t="shared" si="17"/>
        <v>Need to Balance</v>
      </c>
    </row>
    <row r="62" spans="1:121" ht="15.75" customHeight="1" x14ac:dyDescent="0.25">
      <c r="A62" s="8" t="s">
        <v>38</v>
      </c>
      <c r="B62" s="8" t="s">
        <v>385</v>
      </c>
      <c r="C62" s="8" t="s">
        <v>124</v>
      </c>
      <c r="D62" s="8" t="s">
        <v>501</v>
      </c>
      <c r="E62" s="8" t="s">
        <v>68</v>
      </c>
      <c r="F62" s="8" t="s">
        <v>56</v>
      </c>
      <c r="G62" s="8" t="s">
        <v>44</v>
      </c>
      <c r="H62" s="8">
        <v>500</v>
      </c>
      <c r="I62" s="8" t="s">
        <v>503</v>
      </c>
      <c r="J62" s="8">
        <v>2</v>
      </c>
      <c r="K62" s="8">
        <v>249</v>
      </c>
      <c r="L62" s="8">
        <v>251</v>
      </c>
      <c r="M62" s="8">
        <v>250</v>
      </c>
      <c r="N62" s="8">
        <v>434</v>
      </c>
      <c r="O62" s="8">
        <v>433</v>
      </c>
      <c r="P62" s="8">
        <v>435</v>
      </c>
      <c r="Q62" s="9" t="s">
        <v>47</v>
      </c>
      <c r="R62" s="16"/>
      <c r="S62" s="10">
        <v>52</v>
      </c>
      <c r="T62" s="10">
        <v>20</v>
      </c>
      <c r="U62" s="10">
        <v>56</v>
      </c>
      <c r="V62" s="11">
        <v>26</v>
      </c>
      <c r="W62" s="12" t="s">
        <v>47</v>
      </c>
      <c r="X62" s="17"/>
      <c r="Y62" s="13">
        <v>0</v>
      </c>
      <c r="Z62" s="13">
        <v>0</v>
      </c>
      <c r="AA62" s="13">
        <v>0</v>
      </c>
      <c r="AB62" s="14">
        <v>0</v>
      </c>
      <c r="AC62" s="9" t="s">
        <v>47</v>
      </c>
      <c r="AD62" s="16"/>
      <c r="AE62" s="10">
        <v>0</v>
      </c>
      <c r="AF62" s="10">
        <v>0</v>
      </c>
      <c r="AG62" s="10">
        <v>0</v>
      </c>
      <c r="AH62" s="11">
        <v>0</v>
      </c>
      <c r="AI62" s="12"/>
      <c r="AJ62" s="17"/>
      <c r="AK62" s="13"/>
      <c r="AL62" s="13"/>
      <c r="AM62" s="13"/>
      <c r="AN62" s="14"/>
      <c r="AO62" s="9"/>
      <c r="AP62" s="16"/>
      <c r="AQ62" s="10"/>
      <c r="AR62" s="10"/>
      <c r="AS62" s="10"/>
      <c r="AT62" s="11"/>
      <c r="AU62" s="12"/>
      <c r="AV62" s="17"/>
      <c r="AW62" s="13"/>
      <c r="AX62" s="13"/>
      <c r="AY62" s="13"/>
      <c r="AZ62" s="14"/>
      <c r="BA62" s="9"/>
      <c r="BB62" s="16"/>
      <c r="BC62" s="10"/>
      <c r="BD62" s="10"/>
      <c r="BE62" s="10"/>
      <c r="BF62" s="11"/>
      <c r="BG62" s="12"/>
      <c r="BH62" s="17"/>
      <c r="BI62" s="13"/>
      <c r="BJ62" s="13"/>
      <c r="BK62" s="13"/>
      <c r="BL62" s="14"/>
      <c r="BM62" s="9"/>
      <c r="BN62" s="16"/>
      <c r="BO62" s="10"/>
      <c r="BP62" s="10"/>
      <c r="BQ62" s="10"/>
      <c r="BR62" s="11"/>
      <c r="BS62" s="12"/>
      <c r="BT62" s="17"/>
      <c r="BU62" s="13"/>
      <c r="BV62" s="13"/>
      <c r="BW62" s="13"/>
      <c r="BX62" s="14"/>
      <c r="BY62" s="9"/>
      <c r="BZ62" s="16"/>
      <c r="CA62" s="10"/>
      <c r="CB62" s="10"/>
      <c r="CC62" s="10"/>
      <c r="CD62" s="11"/>
      <c r="CE62" s="12"/>
      <c r="CF62" s="17"/>
      <c r="CG62" s="13"/>
      <c r="CH62" s="13"/>
      <c r="CI62" s="13"/>
      <c r="CJ62" s="14"/>
      <c r="CK62" s="9"/>
      <c r="CL62" s="16"/>
      <c r="CM62" s="10"/>
      <c r="CN62" s="10"/>
      <c r="CO62" s="10"/>
      <c r="CP62" s="11"/>
      <c r="CQ62" s="12"/>
      <c r="CR62" s="17"/>
      <c r="CS62" s="13"/>
      <c r="CT62" s="13"/>
      <c r="CU62" s="13"/>
      <c r="CV62" s="14"/>
      <c r="CW62" s="9"/>
      <c r="CX62" s="16"/>
      <c r="CY62" s="10"/>
      <c r="CZ62" s="10"/>
      <c r="DA62" s="10"/>
      <c r="DB62" s="11"/>
      <c r="DC62" s="12"/>
      <c r="DD62" s="17"/>
      <c r="DE62" s="13"/>
      <c r="DF62" s="13"/>
      <c r="DG62" s="13"/>
      <c r="DH62" s="14"/>
      <c r="DI62" s="8">
        <f t="shared" si="9"/>
        <v>52</v>
      </c>
      <c r="DJ62" s="8">
        <f t="shared" si="10"/>
        <v>20</v>
      </c>
      <c r="DK62" s="8">
        <f t="shared" si="11"/>
        <v>56</v>
      </c>
      <c r="DL62" s="8">
        <f t="shared" si="12"/>
        <v>26</v>
      </c>
      <c r="DM62" s="8">
        <f t="shared" si="13"/>
        <v>56</v>
      </c>
      <c r="DN62" s="8">
        <f t="shared" si="14"/>
        <v>20</v>
      </c>
      <c r="DO62" s="15">
        <f t="shared" si="15"/>
        <v>8.4191525654307995</v>
      </c>
      <c r="DP62" s="15" t="str">
        <f t="shared" si="16"/>
        <v>OK - No Upgrade</v>
      </c>
      <c r="DQ62" s="15" t="str">
        <f t="shared" si="17"/>
        <v>Need to Balance</v>
      </c>
    </row>
    <row r="63" spans="1:121" ht="15.75" customHeight="1" x14ac:dyDescent="0.25">
      <c r="A63" s="8" t="s">
        <v>38</v>
      </c>
      <c r="B63" s="8" t="s">
        <v>385</v>
      </c>
      <c r="C63" s="8" t="s">
        <v>124</v>
      </c>
      <c r="D63" s="8" t="s">
        <v>504</v>
      </c>
      <c r="E63" s="8" t="s">
        <v>505</v>
      </c>
      <c r="F63" s="8" t="s">
        <v>56</v>
      </c>
      <c r="G63" s="8"/>
      <c r="H63" s="8">
        <v>1000</v>
      </c>
      <c r="I63" s="8" t="s">
        <v>506</v>
      </c>
      <c r="J63" s="8">
        <v>1</v>
      </c>
      <c r="K63" s="8">
        <v>242</v>
      </c>
      <c r="L63" s="8">
        <v>241</v>
      </c>
      <c r="M63" s="8">
        <v>244</v>
      </c>
      <c r="N63" s="8">
        <v>420</v>
      </c>
      <c r="O63" s="8">
        <v>423</v>
      </c>
      <c r="P63" s="8">
        <v>421</v>
      </c>
      <c r="Q63" s="9" t="s">
        <v>47</v>
      </c>
      <c r="R63" s="16"/>
      <c r="S63" s="10">
        <v>67</v>
      </c>
      <c r="T63" s="10">
        <v>54</v>
      </c>
      <c r="U63" s="10">
        <v>77</v>
      </c>
      <c r="V63" s="11">
        <v>15</v>
      </c>
      <c r="W63" s="12" t="s">
        <v>47</v>
      </c>
      <c r="X63" s="17"/>
      <c r="Y63" s="13">
        <v>0</v>
      </c>
      <c r="Z63" s="13">
        <v>0</v>
      </c>
      <c r="AA63" s="13">
        <v>0</v>
      </c>
      <c r="AB63" s="14">
        <v>0</v>
      </c>
      <c r="AC63" s="9" t="s">
        <v>47</v>
      </c>
      <c r="AD63" s="16"/>
      <c r="AE63" s="10">
        <v>45</v>
      </c>
      <c r="AF63" s="10">
        <v>47</v>
      </c>
      <c r="AG63" s="10">
        <v>56</v>
      </c>
      <c r="AH63" s="11">
        <v>13</v>
      </c>
      <c r="AI63" s="12" t="s">
        <v>47</v>
      </c>
      <c r="AJ63" s="17"/>
      <c r="AK63" s="13">
        <v>26</v>
      </c>
      <c r="AL63" s="13">
        <v>0</v>
      </c>
      <c r="AM63" s="13">
        <v>13</v>
      </c>
      <c r="AN63" s="14">
        <v>16</v>
      </c>
      <c r="AO63" s="9" t="s">
        <v>47</v>
      </c>
      <c r="AP63" s="16"/>
      <c r="AQ63" s="10">
        <v>74</v>
      </c>
      <c r="AR63" s="10">
        <v>114</v>
      </c>
      <c r="AS63" s="10">
        <v>106</v>
      </c>
      <c r="AT63" s="11">
        <v>63</v>
      </c>
      <c r="AU63" s="12" t="s">
        <v>47</v>
      </c>
      <c r="AV63" s="17"/>
      <c r="AW63" s="13">
        <v>18</v>
      </c>
      <c r="AX63" s="13">
        <v>13</v>
      </c>
      <c r="AY63" s="13">
        <v>20</v>
      </c>
      <c r="AZ63" s="14">
        <v>14</v>
      </c>
      <c r="BA63" s="9"/>
      <c r="BB63" s="16"/>
      <c r="BC63" s="10"/>
      <c r="BD63" s="10"/>
      <c r="BE63" s="10"/>
      <c r="BF63" s="11"/>
      <c r="BG63" s="12"/>
      <c r="BH63" s="17"/>
      <c r="BI63" s="13"/>
      <c r="BJ63" s="13"/>
      <c r="BK63" s="13"/>
      <c r="BL63" s="14"/>
      <c r="BM63" s="9"/>
      <c r="BN63" s="16"/>
      <c r="BO63" s="10"/>
      <c r="BP63" s="10"/>
      <c r="BQ63" s="10"/>
      <c r="BR63" s="11"/>
      <c r="BS63" s="12"/>
      <c r="BT63" s="17"/>
      <c r="BU63" s="13"/>
      <c r="BV63" s="13"/>
      <c r="BW63" s="13"/>
      <c r="BX63" s="14"/>
      <c r="BY63" s="9"/>
      <c r="BZ63" s="16"/>
      <c r="CA63" s="10"/>
      <c r="CB63" s="10"/>
      <c r="CC63" s="10"/>
      <c r="CD63" s="11"/>
      <c r="CE63" s="12"/>
      <c r="CF63" s="17"/>
      <c r="CG63" s="13"/>
      <c r="CH63" s="13"/>
      <c r="CI63" s="13"/>
      <c r="CJ63" s="14"/>
      <c r="CK63" s="9"/>
      <c r="CL63" s="16"/>
      <c r="CM63" s="10"/>
      <c r="CN63" s="10"/>
      <c r="CO63" s="10"/>
      <c r="CP63" s="11"/>
      <c r="CQ63" s="12"/>
      <c r="CR63" s="17"/>
      <c r="CS63" s="13"/>
      <c r="CT63" s="13"/>
      <c r="CU63" s="13"/>
      <c r="CV63" s="14"/>
      <c r="CW63" s="9"/>
      <c r="CX63" s="16"/>
      <c r="CY63" s="10"/>
      <c r="CZ63" s="10"/>
      <c r="DA63" s="10"/>
      <c r="DB63" s="11"/>
      <c r="DC63" s="12"/>
      <c r="DD63" s="17"/>
      <c r="DE63" s="13"/>
      <c r="DF63" s="13"/>
      <c r="DG63" s="13"/>
      <c r="DH63" s="14"/>
      <c r="DI63" s="8">
        <f t="shared" si="9"/>
        <v>230</v>
      </c>
      <c r="DJ63" s="8">
        <f t="shared" si="10"/>
        <v>228</v>
      </c>
      <c r="DK63" s="8">
        <f t="shared" si="11"/>
        <v>272</v>
      </c>
      <c r="DL63" s="8">
        <f t="shared" si="12"/>
        <v>121</v>
      </c>
      <c r="DM63" s="8">
        <f t="shared" si="13"/>
        <v>272</v>
      </c>
      <c r="DN63" s="8">
        <f t="shared" si="14"/>
        <v>228</v>
      </c>
      <c r="DO63" s="15">
        <f t="shared" si="15"/>
        <v>19.786948425666854</v>
      </c>
      <c r="DP63" s="15" t="str">
        <f t="shared" si="16"/>
        <v>OK - No Upgrade</v>
      </c>
      <c r="DQ63" s="15" t="str">
        <f t="shared" si="17"/>
        <v>Need to Balance</v>
      </c>
    </row>
    <row r="64" spans="1:121" ht="15.75" customHeight="1" x14ac:dyDescent="0.25">
      <c r="A64" s="8" t="s">
        <v>38</v>
      </c>
      <c r="B64" s="8" t="s">
        <v>385</v>
      </c>
      <c r="C64" s="8" t="s">
        <v>124</v>
      </c>
      <c r="D64" s="8" t="s">
        <v>504</v>
      </c>
      <c r="E64" s="8" t="s">
        <v>505</v>
      </c>
      <c r="F64" s="8" t="s">
        <v>56</v>
      </c>
      <c r="G64" s="8" t="s">
        <v>44</v>
      </c>
      <c r="H64" s="8">
        <v>1000</v>
      </c>
      <c r="I64" s="8" t="s">
        <v>507</v>
      </c>
      <c r="J64" s="8">
        <v>2</v>
      </c>
      <c r="K64" s="8">
        <v>249</v>
      </c>
      <c r="L64" s="8">
        <v>248</v>
      </c>
      <c r="M64" s="8">
        <v>251</v>
      </c>
      <c r="N64" s="8">
        <v>431</v>
      </c>
      <c r="O64" s="8">
        <v>434</v>
      </c>
      <c r="P64" s="8">
        <v>432</v>
      </c>
      <c r="Q64" s="9" t="s">
        <v>47</v>
      </c>
      <c r="R64" s="16"/>
      <c r="S64" s="10">
        <v>34</v>
      </c>
      <c r="T64" s="10">
        <v>36</v>
      </c>
      <c r="U64" s="10">
        <v>22</v>
      </c>
      <c r="V64" s="11">
        <v>13</v>
      </c>
      <c r="W64" s="12" t="s">
        <v>47</v>
      </c>
      <c r="X64" s="17"/>
      <c r="Y64" s="13">
        <v>8</v>
      </c>
      <c r="Z64" s="13">
        <v>7</v>
      </c>
      <c r="AA64" s="13">
        <v>7</v>
      </c>
      <c r="AB64" s="14">
        <v>3</v>
      </c>
      <c r="AC64" s="9" t="s">
        <v>47</v>
      </c>
      <c r="AD64" s="16"/>
      <c r="AE64" s="10">
        <v>17</v>
      </c>
      <c r="AF64" s="10">
        <v>47</v>
      </c>
      <c r="AG64" s="10">
        <v>3</v>
      </c>
      <c r="AH64" s="11">
        <v>23</v>
      </c>
      <c r="AI64" s="12" t="s">
        <v>47</v>
      </c>
      <c r="AJ64" s="17"/>
      <c r="AK64" s="13">
        <v>16</v>
      </c>
      <c r="AL64" s="13">
        <v>0</v>
      </c>
      <c r="AM64" s="13">
        <v>12</v>
      </c>
      <c r="AN64" s="14">
        <v>7</v>
      </c>
      <c r="AO64" s="9" t="s">
        <v>47</v>
      </c>
      <c r="AP64" s="16"/>
      <c r="AQ64" s="10">
        <v>57</v>
      </c>
      <c r="AR64" s="10">
        <v>29</v>
      </c>
      <c r="AS64" s="10">
        <v>43</v>
      </c>
      <c r="AT64" s="11">
        <v>27</v>
      </c>
      <c r="AU64" s="12" t="s">
        <v>47</v>
      </c>
      <c r="AV64" s="17"/>
      <c r="AW64" s="13">
        <v>21</v>
      </c>
      <c r="AX64" s="13">
        <v>4</v>
      </c>
      <c r="AY64" s="13">
        <v>53</v>
      </c>
      <c r="AZ64" s="14">
        <v>61</v>
      </c>
      <c r="BA64" s="9"/>
      <c r="BB64" s="16"/>
      <c r="BC64" s="10"/>
      <c r="BD64" s="10"/>
      <c r="BE64" s="10"/>
      <c r="BF64" s="11"/>
      <c r="BG64" s="12"/>
      <c r="BH64" s="17"/>
      <c r="BI64" s="13"/>
      <c r="BJ64" s="13"/>
      <c r="BK64" s="13"/>
      <c r="BL64" s="14"/>
      <c r="BM64" s="9"/>
      <c r="BN64" s="16"/>
      <c r="BO64" s="10"/>
      <c r="BP64" s="10"/>
      <c r="BQ64" s="10"/>
      <c r="BR64" s="11"/>
      <c r="BS64" s="12"/>
      <c r="BT64" s="17"/>
      <c r="BU64" s="13"/>
      <c r="BV64" s="13"/>
      <c r="BW64" s="13"/>
      <c r="BX64" s="14"/>
      <c r="BY64" s="9"/>
      <c r="BZ64" s="16"/>
      <c r="CA64" s="10"/>
      <c r="CB64" s="10"/>
      <c r="CC64" s="10"/>
      <c r="CD64" s="11"/>
      <c r="CE64" s="12"/>
      <c r="CF64" s="17"/>
      <c r="CG64" s="13"/>
      <c r="CH64" s="13"/>
      <c r="CI64" s="13"/>
      <c r="CJ64" s="14"/>
      <c r="CK64" s="9"/>
      <c r="CL64" s="16"/>
      <c r="CM64" s="10"/>
      <c r="CN64" s="10"/>
      <c r="CO64" s="10"/>
      <c r="CP64" s="11"/>
      <c r="CQ64" s="12"/>
      <c r="CR64" s="17"/>
      <c r="CS64" s="13"/>
      <c r="CT64" s="13"/>
      <c r="CU64" s="13"/>
      <c r="CV64" s="14"/>
      <c r="CW64" s="9"/>
      <c r="CX64" s="16"/>
      <c r="CY64" s="10"/>
      <c r="CZ64" s="10"/>
      <c r="DA64" s="10"/>
      <c r="DB64" s="11"/>
      <c r="DC64" s="12"/>
      <c r="DD64" s="17"/>
      <c r="DE64" s="13"/>
      <c r="DF64" s="13"/>
      <c r="DG64" s="13"/>
      <c r="DH64" s="14"/>
      <c r="DI64" s="8">
        <f t="shared" si="9"/>
        <v>153</v>
      </c>
      <c r="DJ64" s="8">
        <f t="shared" si="10"/>
        <v>123</v>
      </c>
      <c r="DK64" s="8">
        <f t="shared" si="11"/>
        <v>140</v>
      </c>
      <c r="DL64" s="8">
        <f t="shared" si="12"/>
        <v>134</v>
      </c>
      <c r="DM64" s="8">
        <f t="shared" si="13"/>
        <v>153</v>
      </c>
      <c r="DN64" s="8">
        <f t="shared" si="14"/>
        <v>123</v>
      </c>
      <c r="DO64" s="15">
        <f t="shared" si="15"/>
        <v>11.42166264035145</v>
      </c>
      <c r="DP64" s="15" t="str">
        <f t="shared" si="16"/>
        <v>OK - No Upgrade</v>
      </c>
      <c r="DQ64" s="15" t="str">
        <f t="shared" si="17"/>
        <v>Need to Balance</v>
      </c>
    </row>
    <row r="65" spans="1:121" ht="15.75" customHeight="1" x14ac:dyDescent="0.25">
      <c r="A65" s="8" t="s">
        <v>38</v>
      </c>
      <c r="B65" s="8" t="s">
        <v>385</v>
      </c>
      <c r="C65" s="8" t="s">
        <v>124</v>
      </c>
      <c r="D65" s="8" t="s">
        <v>508</v>
      </c>
      <c r="E65" s="8" t="s">
        <v>509</v>
      </c>
      <c r="F65" s="8" t="s">
        <v>56</v>
      </c>
      <c r="G65" s="8"/>
      <c r="H65" s="8">
        <v>1000</v>
      </c>
      <c r="I65" s="8" t="s">
        <v>510</v>
      </c>
      <c r="J65" s="8">
        <v>1</v>
      </c>
      <c r="K65" s="8">
        <v>242</v>
      </c>
      <c r="L65" s="8">
        <v>245</v>
      </c>
      <c r="M65" s="8">
        <v>244</v>
      </c>
      <c r="N65" s="8">
        <v>424</v>
      </c>
      <c r="O65" s="8">
        <v>421</v>
      </c>
      <c r="P65" s="8">
        <v>426</v>
      </c>
      <c r="Q65" s="9" t="s">
        <v>47</v>
      </c>
      <c r="R65" s="16"/>
      <c r="S65" s="10">
        <v>0</v>
      </c>
      <c r="T65" s="10">
        <v>0</v>
      </c>
      <c r="U65" s="10">
        <v>0</v>
      </c>
      <c r="V65" s="11">
        <v>0</v>
      </c>
      <c r="W65" s="12" t="s">
        <v>47</v>
      </c>
      <c r="X65" s="17"/>
      <c r="Y65" s="13">
        <v>0</v>
      </c>
      <c r="Z65" s="13">
        <v>0</v>
      </c>
      <c r="AA65" s="13">
        <v>0</v>
      </c>
      <c r="AB65" s="14">
        <v>0</v>
      </c>
      <c r="AC65" s="9" t="s">
        <v>47</v>
      </c>
      <c r="AD65" s="16"/>
      <c r="AE65" s="10">
        <v>0</v>
      </c>
      <c r="AF65" s="10">
        <v>0</v>
      </c>
      <c r="AG65" s="10">
        <v>0</v>
      </c>
      <c r="AH65" s="11">
        <v>0</v>
      </c>
      <c r="AI65" s="12" t="s">
        <v>47</v>
      </c>
      <c r="AJ65" s="17"/>
      <c r="AK65" s="13">
        <v>0</v>
      </c>
      <c r="AL65" s="13">
        <v>0</v>
      </c>
      <c r="AM65" s="13">
        <v>0</v>
      </c>
      <c r="AN65" s="14">
        <v>0</v>
      </c>
      <c r="AO65" s="9" t="s">
        <v>47</v>
      </c>
      <c r="AP65" s="16"/>
      <c r="AQ65" s="10">
        <v>0</v>
      </c>
      <c r="AR65" s="10">
        <v>0</v>
      </c>
      <c r="AS65" s="10">
        <v>0</v>
      </c>
      <c r="AT65" s="11">
        <v>0</v>
      </c>
      <c r="AU65" s="12"/>
      <c r="AV65" s="17"/>
      <c r="AW65" s="13"/>
      <c r="AX65" s="13"/>
      <c r="AY65" s="13"/>
      <c r="AZ65" s="14"/>
      <c r="BA65" s="9"/>
      <c r="BB65" s="16"/>
      <c r="BC65" s="10"/>
      <c r="BD65" s="10"/>
      <c r="BE65" s="10"/>
      <c r="BF65" s="11"/>
      <c r="BG65" s="12"/>
      <c r="BH65" s="17"/>
      <c r="BI65" s="13"/>
      <c r="BJ65" s="13"/>
      <c r="BK65" s="13"/>
      <c r="BL65" s="14"/>
      <c r="BM65" s="9"/>
      <c r="BN65" s="16"/>
      <c r="BO65" s="10"/>
      <c r="BP65" s="10"/>
      <c r="BQ65" s="10"/>
      <c r="BR65" s="11"/>
      <c r="BS65" s="12"/>
      <c r="BT65" s="17"/>
      <c r="BU65" s="13"/>
      <c r="BV65" s="13"/>
      <c r="BW65" s="13"/>
      <c r="BX65" s="14"/>
      <c r="BY65" s="9"/>
      <c r="BZ65" s="16"/>
      <c r="CA65" s="10"/>
      <c r="CB65" s="10"/>
      <c r="CC65" s="10"/>
      <c r="CD65" s="11"/>
      <c r="CE65" s="12"/>
      <c r="CF65" s="17"/>
      <c r="CG65" s="13"/>
      <c r="CH65" s="13"/>
      <c r="CI65" s="13"/>
      <c r="CJ65" s="14"/>
      <c r="CK65" s="9"/>
      <c r="CL65" s="16"/>
      <c r="CM65" s="10"/>
      <c r="CN65" s="10"/>
      <c r="CO65" s="10"/>
      <c r="CP65" s="11"/>
      <c r="CQ65" s="12"/>
      <c r="CR65" s="17"/>
      <c r="CS65" s="13"/>
      <c r="CT65" s="13"/>
      <c r="CU65" s="13"/>
      <c r="CV65" s="14"/>
      <c r="CW65" s="9"/>
      <c r="CX65" s="16"/>
      <c r="CY65" s="10"/>
      <c r="CZ65" s="10"/>
      <c r="DA65" s="10"/>
      <c r="DB65" s="11"/>
      <c r="DC65" s="12"/>
      <c r="DD65" s="17"/>
      <c r="DE65" s="13"/>
      <c r="DF65" s="13"/>
      <c r="DG65" s="13"/>
      <c r="DH65" s="14"/>
      <c r="DI65" s="8">
        <f t="shared" si="9"/>
        <v>0</v>
      </c>
      <c r="DJ65" s="8">
        <f t="shared" si="10"/>
        <v>0</v>
      </c>
      <c r="DK65" s="8">
        <f t="shared" si="11"/>
        <v>0</v>
      </c>
      <c r="DL65" s="8">
        <f t="shared" si="12"/>
        <v>0</v>
      </c>
      <c r="DM65" s="8">
        <f t="shared" si="13"/>
        <v>0</v>
      </c>
      <c r="DN65" s="8">
        <f t="shared" si="14"/>
        <v>0</v>
      </c>
      <c r="DO65" s="15">
        <f t="shared" si="15"/>
        <v>0</v>
      </c>
      <c r="DP65" s="15" t="str">
        <f t="shared" si="16"/>
        <v>OK - No Upgrade</v>
      </c>
      <c r="DQ65" s="15" t="str">
        <f t="shared" si="17"/>
        <v>OK - Balanced</v>
      </c>
    </row>
    <row r="66" spans="1:121" ht="15.75" customHeight="1" x14ac:dyDescent="0.25">
      <c r="A66" s="8" t="s">
        <v>38</v>
      </c>
      <c r="B66" s="8" t="s">
        <v>385</v>
      </c>
      <c r="C66" s="8" t="s">
        <v>124</v>
      </c>
      <c r="D66" s="8" t="s">
        <v>508</v>
      </c>
      <c r="E66" s="8" t="s">
        <v>509</v>
      </c>
      <c r="F66" s="8" t="s">
        <v>56</v>
      </c>
      <c r="G66" s="8"/>
      <c r="H66" s="8">
        <v>1000</v>
      </c>
      <c r="I66" s="8" t="s">
        <v>511</v>
      </c>
      <c r="J66" s="8">
        <v>2</v>
      </c>
      <c r="K66" s="8">
        <v>248</v>
      </c>
      <c r="L66" s="8">
        <v>251</v>
      </c>
      <c r="M66" s="8">
        <v>249</v>
      </c>
      <c r="N66" s="8">
        <v>433</v>
      </c>
      <c r="O66" s="8">
        <v>429</v>
      </c>
      <c r="P66" s="8">
        <v>434</v>
      </c>
      <c r="Q66" s="9" t="s">
        <v>47</v>
      </c>
      <c r="R66" s="16"/>
      <c r="S66" s="10">
        <v>0</v>
      </c>
      <c r="T66" s="10">
        <v>0</v>
      </c>
      <c r="U66" s="10">
        <v>0</v>
      </c>
      <c r="V66" s="11">
        <v>0</v>
      </c>
      <c r="W66" s="12" t="s">
        <v>47</v>
      </c>
      <c r="X66" s="17"/>
      <c r="Y66" s="13">
        <v>0</v>
      </c>
      <c r="Z66" s="13">
        <v>0</v>
      </c>
      <c r="AA66" s="13">
        <v>0</v>
      </c>
      <c r="AB66" s="14">
        <v>0</v>
      </c>
      <c r="AC66" s="9" t="s">
        <v>47</v>
      </c>
      <c r="AD66" s="16"/>
      <c r="AE66" s="10">
        <v>0</v>
      </c>
      <c r="AF66" s="10">
        <v>0</v>
      </c>
      <c r="AG66" s="10">
        <v>0</v>
      </c>
      <c r="AH66" s="11">
        <v>0</v>
      </c>
      <c r="AI66" s="12" t="s">
        <v>47</v>
      </c>
      <c r="AJ66" s="17"/>
      <c r="AK66" s="13">
        <v>0</v>
      </c>
      <c r="AL66" s="13">
        <v>0</v>
      </c>
      <c r="AM66" s="13">
        <v>0</v>
      </c>
      <c r="AN66" s="14">
        <v>0</v>
      </c>
      <c r="AO66" s="9" t="s">
        <v>47</v>
      </c>
      <c r="AP66" s="16"/>
      <c r="AQ66" s="10">
        <v>0</v>
      </c>
      <c r="AR66" s="10">
        <v>0</v>
      </c>
      <c r="AS66" s="10">
        <v>0</v>
      </c>
      <c r="AT66" s="11">
        <v>0</v>
      </c>
      <c r="AU66" s="12"/>
      <c r="AV66" s="17"/>
      <c r="AW66" s="13"/>
      <c r="AX66" s="13"/>
      <c r="AY66" s="13"/>
      <c r="AZ66" s="14"/>
      <c r="BA66" s="9"/>
      <c r="BB66" s="16"/>
      <c r="BC66" s="10"/>
      <c r="BD66" s="10"/>
      <c r="BE66" s="10"/>
      <c r="BF66" s="11"/>
      <c r="BG66" s="12"/>
      <c r="BH66" s="17"/>
      <c r="BI66" s="13"/>
      <c r="BJ66" s="13"/>
      <c r="BK66" s="13"/>
      <c r="BL66" s="14"/>
      <c r="BM66" s="9"/>
      <c r="BN66" s="16"/>
      <c r="BO66" s="10"/>
      <c r="BP66" s="10"/>
      <c r="BQ66" s="10"/>
      <c r="BR66" s="11"/>
      <c r="BS66" s="12"/>
      <c r="BT66" s="17"/>
      <c r="BU66" s="13"/>
      <c r="BV66" s="13"/>
      <c r="BW66" s="13"/>
      <c r="BX66" s="14"/>
      <c r="BY66" s="9"/>
      <c r="BZ66" s="16"/>
      <c r="CA66" s="10"/>
      <c r="CB66" s="10"/>
      <c r="CC66" s="10"/>
      <c r="CD66" s="11"/>
      <c r="CE66" s="12"/>
      <c r="CF66" s="17"/>
      <c r="CG66" s="13"/>
      <c r="CH66" s="13"/>
      <c r="CI66" s="13"/>
      <c r="CJ66" s="14"/>
      <c r="CK66" s="9"/>
      <c r="CL66" s="16"/>
      <c r="CM66" s="10"/>
      <c r="CN66" s="10"/>
      <c r="CO66" s="10"/>
      <c r="CP66" s="11"/>
      <c r="CQ66" s="12"/>
      <c r="CR66" s="17"/>
      <c r="CS66" s="13"/>
      <c r="CT66" s="13"/>
      <c r="CU66" s="13"/>
      <c r="CV66" s="14"/>
      <c r="CW66" s="9"/>
      <c r="CX66" s="16"/>
      <c r="CY66" s="10"/>
      <c r="CZ66" s="10"/>
      <c r="DA66" s="10"/>
      <c r="DB66" s="11"/>
      <c r="DC66" s="12"/>
      <c r="DD66" s="17"/>
      <c r="DE66" s="13"/>
      <c r="DF66" s="13"/>
      <c r="DG66" s="13"/>
      <c r="DH66" s="14"/>
      <c r="DI66" s="8">
        <f t="shared" si="9"/>
        <v>0</v>
      </c>
      <c r="DJ66" s="8">
        <f t="shared" si="10"/>
        <v>0</v>
      </c>
      <c r="DK66" s="8">
        <f t="shared" si="11"/>
        <v>0</v>
      </c>
      <c r="DL66" s="8">
        <f t="shared" si="12"/>
        <v>0</v>
      </c>
      <c r="DM66" s="8">
        <f t="shared" si="13"/>
        <v>0</v>
      </c>
      <c r="DN66" s="8">
        <f t="shared" si="14"/>
        <v>0</v>
      </c>
      <c r="DO66" s="15">
        <f t="shared" si="15"/>
        <v>0</v>
      </c>
      <c r="DP66" s="15" t="str">
        <f t="shared" si="16"/>
        <v>OK - No Upgrade</v>
      </c>
      <c r="DQ66" s="15" t="str">
        <f t="shared" si="17"/>
        <v>OK - Balanced</v>
      </c>
    </row>
    <row r="67" spans="1:121" ht="15.75" customHeight="1" x14ac:dyDescent="0.25">
      <c r="A67" s="8" t="s">
        <v>38</v>
      </c>
      <c r="B67" s="8" t="s">
        <v>385</v>
      </c>
      <c r="C67" s="8" t="s">
        <v>512</v>
      </c>
      <c r="D67" s="8" t="s">
        <v>513</v>
      </c>
      <c r="E67" s="8" t="s">
        <v>514</v>
      </c>
      <c r="F67" s="8" t="s">
        <v>56</v>
      </c>
      <c r="G67" s="8"/>
      <c r="H67" s="8">
        <v>1000</v>
      </c>
      <c r="I67" s="8" t="s">
        <v>515</v>
      </c>
      <c r="J67" s="8">
        <v>1</v>
      </c>
      <c r="K67" s="8">
        <v>247</v>
      </c>
      <c r="L67" s="8">
        <v>247</v>
      </c>
      <c r="M67" s="8">
        <v>243</v>
      </c>
      <c r="N67" s="8">
        <v>430</v>
      </c>
      <c r="O67" s="8">
        <v>423</v>
      </c>
      <c r="P67" s="8">
        <v>425</v>
      </c>
      <c r="Q67" s="9" t="s">
        <v>47</v>
      </c>
      <c r="R67" s="16"/>
      <c r="S67" s="10">
        <v>75</v>
      </c>
      <c r="T67" s="10">
        <v>40</v>
      </c>
      <c r="U67" s="10">
        <v>98</v>
      </c>
      <c r="V67" s="11">
        <v>28</v>
      </c>
      <c r="W67" s="12" t="s">
        <v>47</v>
      </c>
      <c r="X67" s="17"/>
      <c r="Y67" s="13">
        <v>82</v>
      </c>
      <c r="Z67" s="13">
        <v>30</v>
      </c>
      <c r="AA67" s="13">
        <v>102</v>
      </c>
      <c r="AB67" s="14">
        <v>57</v>
      </c>
      <c r="AC67" s="9" t="s">
        <v>47</v>
      </c>
      <c r="AD67" s="16"/>
      <c r="AE67" s="10">
        <v>102</v>
      </c>
      <c r="AF67" s="10">
        <v>92</v>
      </c>
      <c r="AG67" s="10">
        <v>91</v>
      </c>
      <c r="AH67" s="11">
        <v>20</v>
      </c>
      <c r="AI67" s="12" t="s">
        <v>47</v>
      </c>
      <c r="AJ67" s="17"/>
      <c r="AK67" s="13">
        <v>43</v>
      </c>
      <c r="AL67" s="13">
        <v>29</v>
      </c>
      <c r="AM67" s="13">
        <v>16</v>
      </c>
      <c r="AN67" s="14">
        <v>15</v>
      </c>
      <c r="AO67" s="9" t="s">
        <v>70</v>
      </c>
      <c r="AP67" s="16"/>
      <c r="AQ67" s="10">
        <v>138</v>
      </c>
      <c r="AR67" s="10">
        <v>148</v>
      </c>
      <c r="AS67" s="10">
        <v>259</v>
      </c>
      <c r="AT67" s="11">
        <v>106</v>
      </c>
      <c r="AU67" s="12" t="s">
        <v>47</v>
      </c>
      <c r="AV67" s="17"/>
      <c r="AW67" s="13">
        <v>77</v>
      </c>
      <c r="AX67" s="13">
        <v>118</v>
      </c>
      <c r="AY67" s="13">
        <v>128</v>
      </c>
      <c r="AZ67" s="14">
        <v>53</v>
      </c>
      <c r="BA67" s="9"/>
      <c r="BB67" s="16"/>
      <c r="BC67" s="10"/>
      <c r="BD67" s="10"/>
      <c r="BE67" s="10"/>
      <c r="BF67" s="11"/>
      <c r="BG67" s="12"/>
      <c r="BH67" s="17"/>
      <c r="BI67" s="13"/>
      <c r="BJ67" s="13"/>
      <c r="BK67" s="13"/>
      <c r="BL67" s="14"/>
      <c r="BM67" s="9"/>
      <c r="BN67" s="16"/>
      <c r="BO67" s="10"/>
      <c r="BP67" s="10"/>
      <c r="BQ67" s="10"/>
      <c r="BR67" s="11"/>
      <c r="BS67" s="12"/>
      <c r="BT67" s="17"/>
      <c r="BU67" s="13"/>
      <c r="BV67" s="13"/>
      <c r="BW67" s="13"/>
      <c r="BX67" s="14"/>
      <c r="BY67" s="9"/>
      <c r="BZ67" s="16"/>
      <c r="CA67" s="10"/>
      <c r="CB67" s="10"/>
      <c r="CC67" s="10"/>
      <c r="CD67" s="11"/>
      <c r="CE67" s="12"/>
      <c r="CF67" s="17"/>
      <c r="CG67" s="13"/>
      <c r="CH67" s="13"/>
      <c r="CI67" s="13"/>
      <c r="CJ67" s="14"/>
      <c r="CK67" s="9"/>
      <c r="CL67" s="16"/>
      <c r="CM67" s="10"/>
      <c r="CN67" s="10"/>
      <c r="CO67" s="10"/>
      <c r="CP67" s="11"/>
      <c r="CQ67" s="12"/>
      <c r="CR67" s="17"/>
      <c r="CS67" s="13"/>
      <c r="CT67" s="13"/>
      <c r="CU67" s="13"/>
      <c r="CV67" s="14"/>
      <c r="CW67" s="9"/>
      <c r="CX67" s="16"/>
      <c r="CY67" s="10"/>
      <c r="CZ67" s="10"/>
      <c r="DA67" s="10"/>
      <c r="DB67" s="11"/>
      <c r="DC67" s="12"/>
      <c r="DD67" s="17"/>
      <c r="DE67" s="13"/>
      <c r="DF67" s="13"/>
      <c r="DG67" s="13"/>
      <c r="DH67" s="14"/>
      <c r="DI67" s="8">
        <f t="shared" si="9"/>
        <v>517</v>
      </c>
      <c r="DJ67" s="8">
        <f t="shared" si="10"/>
        <v>457</v>
      </c>
      <c r="DK67" s="8">
        <f t="shared" si="11"/>
        <v>694</v>
      </c>
      <c r="DL67" s="8">
        <f t="shared" si="12"/>
        <v>279</v>
      </c>
      <c r="DM67" s="8">
        <f t="shared" si="13"/>
        <v>694</v>
      </c>
      <c r="DN67" s="8">
        <f t="shared" si="14"/>
        <v>457</v>
      </c>
      <c r="DO67" s="15">
        <f t="shared" si="15"/>
        <v>51.687860199470435</v>
      </c>
      <c r="DP67" s="15" t="str">
        <f t="shared" si="16"/>
        <v>OK - No Upgrade</v>
      </c>
      <c r="DQ67" s="15" t="str">
        <f t="shared" si="17"/>
        <v>Need to Balance</v>
      </c>
    </row>
    <row r="68" spans="1:121" ht="15.75" customHeight="1" x14ac:dyDescent="0.25">
      <c r="A68" s="8" t="s">
        <v>38</v>
      </c>
      <c r="B68" s="8" t="s">
        <v>385</v>
      </c>
      <c r="C68" s="8" t="s">
        <v>512</v>
      </c>
      <c r="D68" s="8" t="s">
        <v>513</v>
      </c>
      <c r="E68" s="8" t="s">
        <v>514</v>
      </c>
      <c r="F68" s="8" t="s">
        <v>56</v>
      </c>
      <c r="G68" s="8" t="s">
        <v>44</v>
      </c>
      <c r="H68" s="8">
        <v>1000</v>
      </c>
      <c r="I68" s="8" t="s">
        <v>516</v>
      </c>
      <c r="J68" s="8">
        <v>2</v>
      </c>
      <c r="K68" s="8">
        <v>247</v>
      </c>
      <c r="L68" s="8">
        <v>247</v>
      </c>
      <c r="M68" s="8">
        <v>245</v>
      </c>
      <c r="N68" s="8">
        <v>429</v>
      </c>
      <c r="O68" s="8">
        <v>428</v>
      </c>
      <c r="P68" s="8">
        <v>427</v>
      </c>
      <c r="Q68" s="9" t="s">
        <v>47</v>
      </c>
      <c r="R68" s="16"/>
      <c r="S68" s="10">
        <v>39</v>
      </c>
      <c r="T68" s="10">
        <v>59</v>
      </c>
      <c r="U68" s="10">
        <v>32</v>
      </c>
      <c r="V68" s="11">
        <v>31</v>
      </c>
      <c r="W68" s="12" t="s">
        <v>47</v>
      </c>
      <c r="X68" s="17"/>
      <c r="Y68" s="13">
        <v>119</v>
      </c>
      <c r="Z68" s="13">
        <v>56</v>
      </c>
      <c r="AA68" s="13">
        <v>70</v>
      </c>
      <c r="AB68" s="14">
        <v>30</v>
      </c>
      <c r="AC68" s="9" t="s">
        <v>47</v>
      </c>
      <c r="AD68" s="16"/>
      <c r="AE68" s="10">
        <v>101</v>
      </c>
      <c r="AF68" s="10">
        <v>63</v>
      </c>
      <c r="AG68" s="10">
        <v>75</v>
      </c>
      <c r="AH68" s="11">
        <v>10</v>
      </c>
      <c r="AI68" s="12" t="s">
        <v>47</v>
      </c>
      <c r="AJ68" s="17"/>
      <c r="AK68" s="13">
        <v>0</v>
      </c>
      <c r="AL68" s="13">
        <v>63</v>
      </c>
      <c r="AM68" s="13">
        <v>3</v>
      </c>
      <c r="AN68" s="14">
        <v>40</v>
      </c>
      <c r="AO68" s="9" t="s">
        <v>70</v>
      </c>
      <c r="AP68" s="16"/>
      <c r="AQ68" s="10">
        <v>131</v>
      </c>
      <c r="AR68" s="10">
        <v>123</v>
      </c>
      <c r="AS68" s="10">
        <v>164</v>
      </c>
      <c r="AT68" s="11">
        <v>40</v>
      </c>
      <c r="AU68" s="12" t="s">
        <v>47</v>
      </c>
      <c r="AV68" s="17"/>
      <c r="AW68" s="13">
        <v>75</v>
      </c>
      <c r="AX68" s="13">
        <v>129</v>
      </c>
      <c r="AY68" s="13">
        <v>108</v>
      </c>
      <c r="AZ68" s="14">
        <v>46</v>
      </c>
      <c r="BA68" s="9"/>
      <c r="BB68" s="16"/>
      <c r="BC68" s="10"/>
      <c r="BD68" s="10"/>
      <c r="BE68" s="10"/>
      <c r="BF68" s="11"/>
      <c r="BG68" s="12"/>
      <c r="BH68" s="17"/>
      <c r="BI68" s="13"/>
      <c r="BJ68" s="13"/>
      <c r="BK68" s="13"/>
      <c r="BL68" s="14"/>
      <c r="BM68" s="9"/>
      <c r="BN68" s="16"/>
      <c r="BO68" s="10"/>
      <c r="BP68" s="10"/>
      <c r="BQ68" s="10"/>
      <c r="BR68" s="11"/>
      <c r="BS68" s="12"/>
      <c r="BT68" s="17"/>
      <c r="BU68" s="13"/>
      <c r="BV68" s="13"/>
      <c r="BW68" s="13"/>
      <c r="BX68" s="14"/>
      <c r="BY68" s="9"/>
      <c r="BZ68" s="16"/>
      <c r="CA68" s="10"/>
      <c r="CB68" s="10"/>
      <c r="CC68" s="10"/>
      <c r="CD68" s="11"/>
      <c r="CE68" s="12"/>
      <c r="CF68" s="17"/>
      <c r="CG68" s="13"/>
      <c r="CH68" s="13"/>
      <c r="CI68" s="13"/>
      <c r="CJ68" s="14"/>
      <c r="CK68" s="9"/>
      <c r="CL68" s="16"/>
      <c r="CM68" s="10"/>
      <c r="CN68" s="10"/>
      <c r="CO68" s="10"/>
      <c r="CP68" s="11"/>
      <c r="CQ68" s="12"/>
      <c r="CR68" s="17"/>
      <c r="CS68" s="13"/>
      <c r="CT68" s="13"/>
      <c r="CU68" s="13"/>
      <c r="CV68" s="14"/>
      <c r="CW68" s="9"/>
      <c r="CX68" s="16"/>
      <c r="CY68" s="10"/>
      <c r="CZ68" s="10"/>
      <c r="DA68" s="10"/>
      <c r="DB68" s="11"/>
      <c r="DC68" s="12"/>
      <c r="DD68" s="17"/>
      <c r="DE68" s="13"/>
      <c r="DF68" s="13"/>
      <c r="DG68" s="13"/>
      <c r="DH68" s="14"/>
      <c r="DI68" s="8">
        <f t="shared" ref="DI68:DI99" si="18">SUM(S68,Y68,AE68,AK68,AQ68,AW68,BC68,BI68,BO68,BU68,CA68,CG68,CM68,CS68,CY68,DE68)</f>
        <v>465</v>
      </c>
      <c r="DJ68" s="8">
        <f t="shared" ref="DJ68:DJ99" si="19">SUM(T68,Z68,AF68,AL68,AR68,AX68,BD68,BJ68,BP68,BV68,CB68,CH68,CN68,CT68,CZ68,DF68)</f>
        <v>493</v>
      </c>
      <c r="DK68" s="8">
        <f t="shared" ref="DK68:DK99" si="20">SUM(U68,AA68,AG68,AM68,AS68,AY68,BE68,BK68,BQ68,BW68,CC68,CI68,CO68,CU68,DA68,DG68)</f>
        <v>452</v>
      </c>
      <c r="DL68" s="8">
        <f t="shared" ref="DL68:DL99" si="21">SUM(V68,AB68,AH68,AN68,AT68,AZ68,BF68,BL68,BR68,BX68,CD68,CJ68,CP68,CV68,DB68,DH68)</f>
        <v>197</v>
      </c>
      <c r="DM68" s="8">
        <f t="shared" ref="DM68:DM99" si="22">MAX(DI68:DK68)</f>
        <v>493</v>
      </c>
      <c r="DN68" s="8">
        <f t="shared" ref="DN68:DN99" si="23">MIN(DI68:DK68)</f>
        <v>452</v>
      </c>
      <c r="DO68" s="15">
        <f t="shared" ref="DO68:DO99" si="24">IF(H68&gt;0,(DM68*SQRT(3)*IF(N68&gt;0,N68,IF(O68&gt;0,O68,IF(P68&gt;0,P68,415)))/(H68*1000))*100,0)</f>
        <v>36.632354964839479</v>
      </c>
      <c r="DP68" s="15" t="str">
        <f t="shared" ref="DP68:DP99" si="25">IF(DO68&gt;70,"Upgrade","OK - No Upgrade")</f>
        <v>OK - No Upgrade</v>
      </c>
      <c r="DQ68" s="15" t="str">
        <f t="shared" ref="DQ68:DQ99" si="26">IF(IF(AVERAGE(DI68:DK68)&gt;0,((DM68-AVERAGE(DI68:DK68))/AVERAGE(DI68:DK68))*100,0)&gt;10,"Need to Balance","OK - Balanced")</f>
        <v>OK - Balanced</v>
      </c>
    </row>
    <row r="69" spans="1:121" ht="15.75" customHeight="1" x14ac:dyDescent="0.25">
      <c r="A69" s="8" t="s">
        <v>38</v>
      </c>
      <c r="B69" s="8" t="s">
        <v>385</v>
      </c>
      <c r="C69" s="8" t="s">
        <v>512</v>
      </c>
      <c r="D69" s="8" t="s">
        <v>517</v>
      </c>
      <c r="E69" s="8" t="s">
        <v>518</v>
      </c>
      <c r="F69" s="8" t="s">
        <v>43</v>
      </c>
      <c r="G69" s="8"/>
      <c r="H69" s="8">
        <v>50</v>
      </c>
      <c r="I69" s="8" t="s">
        <v>519</v>
      </c>
      <c r="J69" s="8">
        <v>1</v>
      </c>
      <c r="K69" s="8">
        <v>242</v>
      </c>
      <c r="L69" s="8">
        <v>245</v>
      </c>
      <c r="M69" s="8">
        <v>243</v>
      </c>
      <c r="N69" s="8">
        <v>421</v>
      </c>
      <c r="O69" s="8">
        <v>420</v>
      </c>
      <c r="P69" s="8">
        <v>421</v>
      </c>
      <c r="Q69" s="9" t="s">
        <v>47</v>
      </c>
      <c r="R69" s="16"/>
      <c r="S69" s="10">
        <v>13</v>
      </c>
      <c r="T69" s="10">
        <v>2</v>
      </c>
      <c r="U69" s="10">
        <v>0</v>
      </c>
      <c r="V69" s="11">
        <v>13</v>
      </c>
      <c r="W69" s="12"/>
      <c r="X69" s="17"/>
      <c r="Y69" s="13"/>
      <c r="Z69" s="13"/>
      <c r="AA69" s="13"/>
      <c r="AB69" s="14"/>
      <c r="AC69" s="9"/>
      <c r="AD69" s="16"/>
      <c r="AE69" s="10"/>
      <c r="AF69" s="10"/>
      <c r="AG69" s="10"/>
      <c r="AH69" s="11"/>
      <c r="AI69" s="12"/>
      <c r="AJ69" s="17"/>
      <c r="AK69" s="13"/>
      <c r="AL69" s="13"/>
      <c r="AM69" s="13"/>
      <c r="AN69" s="14"/>
      <c r="AO69" s="9"/>
      <c r="AP69" s="16"/>
      <c r="AQ69" s="10"/>
      <c r="AR69" s="10"/>
      <c r="AS69" s="10"/>
      <c r="AT69" s="11"/>
      <c r="AU69" s="12"/>
      <c r="AV69" s="17"/>
      <c r="AW69" s="13"/>
      <c r="AX69" s="13"/>
      <c r="AY69" s="13"/>
      <c r="AZ69" s="14"/>
      <c r="BA69" s="9"/>
      <c r="BB69" s="16"/>
      <c r="BC69" s="10"/>
      <c r="BD69" s="10"/>
      <c r="BE69" s="10"/>
      <c r="BF69" s="11"/>
      <c r="BG69" s="12"/>
      <c r="BH69" s="17"/>
      <c r="BI69" s="13"/>
      <c r="BJ69" s="13"/>
      <c r="BK69" s="13"/>
      <c r="BL69" s="14"/>
      <c r="BM69" s="9"/>
      <c r="BN69" s="16"/>
      <c r="BO69" s="10"/>
      <c r="BP69" s="10"/>
      <c r="BQ69" s="10"/>
      <c r="BR69" s="11"/>
      <c r="BS69" s="12"/>
      <c r="BT69" s="17"/>
      <c r="BU69" s="13"/>
      <c r="BV69" s="13"/>
      <c r="BW69" s="13"/>
      <c r="BX69" s="14"/>
      <c r="BY69" s="9"/>
      <c r="BZ69" s="16"/>
      <c r="CA69" s="10"/>
      <c r="CB69" s="10"/>
      <c r="CC69" s="10"/>
      <c r="CD69" s="11"/>
      <c r="CE69" s="12"/>
      <c r="CF69" s="17"/>
      <c r="CG69" s="13"/>
      <c r="CH69" s="13"/>
      <c r="CI69" s="13"/>
      <c r="CJ69" s="14"/>
      <c r="CK69" s="9"/>
      <c r="CL69" s="16"/>
      <c r="CM69" s="10"/>
      <c r="CN69" s="10"/>
      <c r="CO69" s="10"/>
      <c r="CP69" s="11"/>
      <c r="CQ69" s="12"/>
      <c r="CR69" s="17"/>
      <c r="CS69" s="13"/>
      <c r="CT69" s="13"/>
      <c r="CU69" s="13"/>
      <c r="CV69" s="14"/>
      <c r="CW69" s="9"/>
      <c r="CX69" s="16"/>
      <c r="CY69" s="10"/>
      <c r="CZ69" s="10"/>
      <c r="DA69" s="10"/>
      <c r="DB69" s="11"/>
      <c r="DC69" s="12"/>
      <c r="DD69" s="17"/>
      <c r="DE69" s="13"/>
      <c r="DF69" s="13"/>
      <c r="DG69" s="13"/>
      <c r="DH69" s="14"/>
      <c r="DI69" s="8">
        <f t="shared" si="18"/>
        <v>13</v>
      </c>
      <c r="DJ69" s="8">
        <f t="shared" si="19"/>
        <v>2</v>
      </c>
      <c r="DK69" s="8">
        <f t="shared" si="20"/>
        <v>0</v>
      </c>
      <c r="DL69" s="8">
        <f t="shared" si="21"/>
        <v>13</v>
      </c>
      <c r="DM69" s="8">
        <f t="shared" si="22"/>
        <v>13</v>
      </c>
      <c r="DN69" s="8">
        <f t="shared" si="23"/>
        <v>0</v>
      </c>
      <c r="DO69" s="15">
        <f t="shared" si="24"/>
        <v>18.959028139648932</v>
      </c>
      <c r="DP69" s="15" t="str">
        <f t="shared" si="25"/>
        <v>OK - No Upgrade</v>
      </c>
      <c r="DQ69" s="15" t="str">
        <f t="shared" si="26"/>
        <v>Need to Balance</v>
      </c>
    </row>
    <row r="70" spans="1:121" ht="15.75" customHeight="1" x14ac:dyDescent="0.25">
      <c r="A70" s="8" t="s">
        <v>38</v>
      </c>
      <c r="B70" s="8" t="s">
        <v>385</v>
      </c>
      <c r="C70" s="8" t="s">
        <v>512</v>
      </c>
      <c r="D70" s="8" t="s">
        <v>517</v>
      </c>
      <c r="E70" s="8" t="s">
        <v>518</v>
      </c>
      <c r="F70" s="8" t="s">
        <v>43</v>
      </c>
      <c r="G70" s="8" t="s">
        <v>44</v>
      </c>
      <c r="H70" s="8">
        <v>50</v>
      </c>
      <c r="I70" s="8" t="s">
        <v>520</v>
      </c>
      <c r="J70" s="8">
        <v>2</v>
      </c>
      <c r="K70" s="8">
        <v>240</v>
      </c>
      <c r="L70" s="8">
        <v>243</v>
      </c>
      <c r="M70" s="8">
        <v>245</v>
      </c>
      <c r="N70" s="8">
        <v>417</v>
      </c>
      <c r="O70" s="8">
        <v>412</v>
      </c>
      <c r="P70" s="8">
        <v>425</v>
      </c>
      <c r="Q70" s="9" t="s">
        <v>47</v>
      </c>
      <c r="R70" s="16"/>
      <c r="S70" s="10">
        <v>48</v>
      </c>
      <c r="T70" s="10">
        <v>18</v>
      </c>
      <c r="U70" s="10">
        <v>3</v>
      </c>
      <c r="V70" s="11">
        <v>37</v>
      </c>
      <c r="W70" s="12"/>
      <c r="X70" s="17"/>
      <c r="Y70" s="13"/>
      <c r="Z70" s="13"/>
      <c r="AA70" s="13"/>
      <c r="AB70" s="14"/>
      <c r="AC70" s="9"/>
      <c r="AD70" s="16"/>
      <c r="AE70" s="10"/>
      <c r="AF70" s="10"/>
      <c r="AG70" s="10"/>
      <c r="AH70" s="11"/>
      <c r="AI70" s="12"/>
      <c r="AJ70" s="17"/>
      <c r="AK70" s="13"/>
      <c r="AL70" s="13"/>
      <c r="AM70" s="13"/>
      <c r="AN70" s="14"/>
      <c r="AO70" s="9"/>
      <c r="AP70" s="16"/>
      <c r="AQ70" s="10"/>
      <c r="AR70" s="10"/>
      <c r="AS70" s="10"/>
      <c r="AT70" s="11"/>
      <c r="AU70" s="12"/>
      <c r="AV70" s="17"/>
      <c r="AW70" s="13"/>
      <c r="AX70" s="13"/>
      <c r="AY70" s="13"/>
      <c r="AZ70" s="14"/>
      <c r="BA70" s="9"/>
      <c r="BB70" s="16"/>
      <c r="BC70" s="10"/>
      <c r="BD70" s="10"/>
      <c r="BE70" s="10"/>
      <c r="BF70" s="11"/>
      <c r="BG70" s="12"/>
      <c r="BH70" s="17"/>
      <c r="BI70" s="13"/>
      <c r="BJ70" s="13"/>
      <c r="BK70" s="13"/>
      <c r="BL70" s="14"/>
      <c r="BM70" s="9"/>
      <c r="BN70" s="16"/>
      <c r="BO70" s="10"/>
      <c r="BP70" s="10"/>
      <c r="BQ70" s="10"/>
      <c r="BR70" s="11"/>
      <c r="BS70" s="12"/>
      <c r="BT70" s="17"/>
      <c r="BU70" s="13"/>
      <c r="BV70" s="13"/>
      <c r="BW70" s="13"/>
      <c r="BX70" s="14"/>
      <c r="BY70" s="9"/>
      <c r="BZ70" s="16"/>
      <c r="CA70" s="10"/>
      <c r="CB70" s="10"/>
      <c r="CC70" s="10"/>
      <c r="CD70" s="11"/>
      <c r="CE70" s="12"/>
      <c r="CF70" s="17"/>
      <c r="CG70" s="13"/>
      <c r="CH70" s="13"/>
      <c r="CI70" s="13"/>
      <c r="CJ70" s="14"/>
      <c r="CK70" s="9"/>
      <c r="CL70" s="16"/>
      <c r="CM70" s="10"/>
      <c r="CN70" s="10"/>
      <c r="CO70" s="10"/>
      <c r="CP70" s="11"/>
      <c r="CQ70" s="12"/>
      <c r="CR70" s="17"/>
      <c r="CS70" s="13"/>
      <c r="CT70" s="13"/>
      <c r="CU70" s="13"/>
      <c r="CV70" s="14"/>
      <c r="CW70" s="9"/>
      <c r="CX70" s="16"/>
      <c r="CY70" s="10"/>
      <c r="CZ70" s="10"/>
      <c r="DA70" s="10"/>
      <c r="DB70" s="11"/>
      <c r="DC70" s="12"/>
      <c r="DD70" s="17"/>
      <c r="DE70" s="13"/>
      <c r="DF70" s="13"/>
      <c r="DG70" s="13"/>
      <c r="DH70" s="14"/>
      <c r="DI70" s="8">
        <f t="shared" si="18"/>
        <v>48</v>
      </c>
      <c r="DJ70" s="8">
        <f t="shared" si="19"/>
        <v>18</v>
      </c>
      <c r="DK70" s="8">
        <f t="shared" si="20"/>
        <v>3</v>
      </c>
      <c r="DL70" s="8">
        <f t="shared" si="21"/>
        <v>37</v>
      </c>
      <c r="DM70" s="8">
        <f t="shared" si="22"/>
        <v>48</v>
      </c>
      <c r="DN70" s="8">
        <f t="shared" si="23"/>
        <v>3</v>
      </c>
      <c r="DO70" s="15">
        <f t="shared" si="24"/>
        <v>69.337457928597303</v>
      </c>
      <c r="DP70" s="15" t="str">
        <f t="shared" si="25"/>
        <v>OK - No Upgrade</v>
      </c>
      <c r="DQ70" s="15" t="str">
        <f t="shared" si="26"/>
        <v>Need to Balance</v>
      </c>
    </row>
    <row r="71" spans="1:121" ht="15.75" customHeight="1" x14ac:dyDescent="0.25">
      <c r="A71" s="8" t="s">
        <v>38</v>
      </c>
      <c r="B71" s="8" t="s">
        <v>385</v>
      </c>
      <c r="C71" s="8" t="s">
        <v>512</v>
      </c>
      <c r="D71" s="8" t="s">
        <v>521</v>
      </c>
      <c r="E71" s="8" t="s">
        <v>522</v>
      </c>
      <c r="F71" s="8" t="s">
        <v>56</v>
      </c>
      <c r="G71" s="8"/>
      <c r="H71" s="8">
        <v>1000</v>
      </c>
      <c r="I71" s="8" t="s">
        <v>523</v>
      </c>
      <c r="J71" s="8">
        <v>1</v>
      </c>
      <c r="K71" s="8">
        <v>241</v>
      </c>
      <c r="L71" s="8">
        <v>243</v>
      </c>
      <c r="M71" s="8">
        <v>242</v>
      </c>
      <c r="N71" s="8">
        <v>420</v>
      </c>
      <c r="O71" s="8">
        <v>418</v>
      </c>
      <c r="P71" s="8">
        <v>422</v>
      </c>
      <c r="Q71" s="9"/>
      <c r="R71" s="16"/>
      <c r="S71" s="10"/>
      <c r="T71" s="10"/>
      <c r="U71" s="10"/>
      <c r="V71" s="11"/>
      <c r="W71" s="12" t="s">
        <v>47</v>
      </c>
      <c r="X71" s="17"/>
      <c r="Y71" s="13">
        <v>63</v>
      </c>
      <c r="Z71" s="13">
        <v>43</v>
      </c>
      <c r="AA71" s="13">
        <v>27</v>
      </c>
      <c r="AB71" s="14">
        <v>30</v>
      </c>
      <c r="AC71" s="9" t="s">
        <v>47</v>
      </c>
      <c r="AD71" s="16"/>
      <c r="AE71" s="10">
        <v>160</v>
      </c>
      <c r="AF71" s="10">
        <v>138</v>
      </c>
      <c r="AG71" s="10">
        <v>114</v>
      </c>
      <c r="AH71" s="11">
        <v>36</v>
      </c>
      <c r="AI71" s="12" t="s">
        <v>47</v>
      </c>
      <c r="AJ71" s="17"/>
      <c r="AK71" s="13">
        <v>27</v>
      </c>
      <c r="AL71" s="13">
        <v>26</v>
      </c>
      <c r="AM71" s="13">
        <v>11</v>
      </c>
      <c r="AN71" s="14">
        <v>23</v>
      </c>
      <c r="AO71" s="9" t="s">
        <v>47</v>
      </c>
      <c r="AP71" s="16"/>
      <c r="AQ71" s="10">
        <v>26</v>
      </c>
      <c r="AR71" s="10">
        <v>61</v>
      </c>
      <c r="AS71" s="10">
        <v>21</v>
      </c>
      <c r="AT71" s="11">
        <v>39</v>
      </c>
      <c r="AU71" s="12" t="s">
        <v>47</v>
      </c>
      <c r="AV71" s="17"/>
      <c r="AW71" s="13">
        <v>121</v>
      </c>
      <c r="AX71" s="13">
        <v>205</v>
      </c>
      <c r="AY71" s="13">
        <v>190</v>
      </c>
      <c r="AZ71" s="14">
        <v>58</v>
      </c>
      <c r="BA71" s="9"/>
      <c r="BB71" s="16"/>
      <c r="BC71" s="10"/>
      <c r="BD71" s="10"/>
      <c r="BE71" s="10"/>
      <c r="BF71" s="11"/>
      <c r="BG71" s="12"/>
      <c r="BH71" s="17"/>
      <c r="BI71" s="13"/>
      <c r="BJ71" s="13"/>
      <c r="BK71" s="13"/>
      <c r="BL71" s="14"/>
      <c r="BM71" s="9"/>
      <c r="BN71" s="16"/>
      <c r="BO71" s="10"/>
      <c r="BP71" s="10"/>
      <c r="BQ71" s="10"/>
      <c r="BR71" s="11"/>
      <c r="BS71" s="12"/>
      <c r="BT71" s="17"/>
      <c r="BU71" s="13"/>
      <c r="BV71" s="13"/>
      <c r="BW71" s="13"/>
      <c r="BX71" s="14"/>
      <c r="BY71" s="9"/>
      <c r="BZ71" s="16"/>
      <c r="CA71" s="10"/>
      <c r="CB71" s="10"/>
      <c r="CC71" s="10"/>
      <c r="CD71" s="11"/>
      <c r="CE71" s="12"/>
      <c r="CF71" s="17"/>
      <c r="CG71" s="13"/>
      <c r="CH71" s="13"/>
      <c r="CI71" s="13"/>
      <c r="CJ71" s="14"/>
      <c r="CK71" s="9"/>
      <c r="CL71" s="16"/>
      <c r="CM71" s="10"/>
      <c r="CN71" s="10"/>
      <c r="CO71" s="10"/>
      <c r="CP71" s="11"/>
      <c r="CQ71" s="12"/>
      <c r="CR71" s="17"/>
      <c r="CS71" s="13"/>
      <c r="CT71" s="13"/>
      <c r="CU71" s="13"/>
      <c r="CV71" s="14"/>
      <c r="CW71" s="9"/>
      <c r="CX71" s="16"/>
      <c r="CY71" s="10"/>
      <c r="CZ71" s="10"/>
      <c r="DA71" s="10"/>
      <c r="DB71" s="11"/>
      <c r="DC71" s="12"/>
      <c r="DD71" s="17"/>
      <c r="DE71" s="13"/>
      <c r="DF71" s="13"/>
      <c r="DG71" s="13"/>
      <c r="DH71" s="14"/>
      <c r="DI71" s="8">
        <f t="shared" si="18"/>
        <v>397</v>
      </c>
      <c r="DJ71" s="8">
        <f t="shared" si="19"/>
        <v>473</v>
      </c>
      <c r="DK71" s="8">
        <f t="shared" si="20"/>
        <v>363</v>
      </c>
      <c r="DL71" s="8">
        <f t="shared" si="21"/>
        <v>186</v>
      </c>
      <c r="DM71" s="8">
        <f t="shared" si="22"/>
        <v>473</v>
      </c>
      <c r="DN71" s="8">
        <f t="shared" si="23"/>
        <v>363</v>
      </c>
      <c r="DO71" s="15">
        <f t="shared" si="24"/>
        <v>34.408921343163314</v>
      </c>
      <c r="DP71" s="15" t="str">
        <f t="shared" si="25"/>
        <v>OK - No Upgrade</v>
      </c>
      <c r="DQ71" s="15" t="str">
        <f t="shared" si="26"/>
        <v>Need to Balance</v>
      </c>
    </row>
    <row r="72" spans="1:121" ht="15.75" customHeight="1" x14ac:dyDescent="0.25">
      <c r="A72" s="8" t="s">
        <v>38</v>
      </c>
      <c r="B72" s="8" t="s">
        <v>385</v>
      </c>
      <c r="C72" s="8" t="s">
        <v>512</v>
      </c>
      <c r="D72" s="8" t="s">
        <v>521</v>
      </c>
      <c r="E72" s="8" t="s">
        <v>522</v>
      </c>
      <c r="F72" s="8" t="s">
        <v>56</v>
      </c>
      <c r="G72" s="8" t="s">
        <v>44</v>
      </c>
      <c r="H72" s="8">
        <v>1000</v>
      </c>
      <c r="I72" s="8" t="s">
        <v>524</v>
      </c>
      <c r="J72" s="8">
        <v>2</v>
      </c>
      <c r="K72" s="8">
        <v>243</v>
      </c>
      <c r="L72" s="8">
        <v>244</v>
      </c>
      <c r="M72" s="8">
        <v>244</v>
      </c>
      <c r="N72" s="8">
        <v>422</v>
      </c>
      <c r="O72" s="8">
        <v>422</v>
      </c>
      <c r="P72" s="8">
        <v>424</v>
      </c>
      <c r="Q72" s="9"/>
      <c r="R72" s="16"/>
      <c r="S72" s="10"/>
      <c r="T72" s="10"/>
      <c r="U72" s="10"/>
      <c r="V72" s="11"/>
      <c r="W72" s="12" t="s">
        <v>47</v>
      </c>
      <c r="X72" s="17"/>
      <c r="Y72" s="13">
        <v>67</v>
      </c>
      <c r="Z72" s="13">
        <v>68</v>
      </c>
      <c r="AA72" s="13">
        <v>41</v>
      </c>
      <c r="AB72" s="14">
        <v>34</v>
      </c>
      <c r="AC72" s="9" t="s">
        <v>47</v>
      </c>
      <c r="AD72" s="16"/>
      <c r="AE72" s="10">
        <v>72</v>
      </c>
      <c r="AF72" s="10">
        <v>65</v>
      </c>
      <c r="AG72" s="10">
        <v>74</v>
      </c>
      <c r="AH72" s="11">
        <v>22</v>
      </c>
      <c r="AI72" s="12" t="s">
        <v>47</v>
      </c>
      <c r="AJ72" s="17"/>
      <c r="AK72" s="13">
        <v>58</v>
      </c>
      <c r="AL72" s="13">
        <v>34</v>
      </c>
      <c r="AM72" s="13">
        <v>24</v>
      </c>
      <c r="AN72" s="14">
        <v>32</v>
      </c>
      <c r="AO72" s="9" t="s">
        <v>47</v>
      </c>
      <c r="AP72" s="16"/>
      <c r="AQ72" s="10">
        <v>33</v>
      </c>
      <c r="AR72" s="10">
        <v>91</v>
      </c>
      <c r="AS72" s="10">
        <v>39</v>
      </c>
      <c r="AT72" s="11">
        <v>52</v>
      </c>
      <c r="AU72" s="12" t="s">
        <v>47</v>
      </c>
      <c r="AV72" s="17"/>
      <c r="AW72" s="13">
        <v>76</v>
      </c>
      <c r="AX72" s="13">
        <v>113</v>
      </c>
      <c r="AY72" s="13">
        <v>124</v>
      </c>
      <c r="AZ72" s="14">
        <v>29</v>
      </c>
      <c r="BA72" s="9"/>
      <c r="BB72" s="16"/>
      <c r="BC72" s="10"/>
      <c r="BD72" s="10"/>
      <c r="BE72" s="10"/>
      <c r="BF72" s="11"/>
      <c r="BG72" s="12"/>
      <c r="BH72" s="17"/>
      <c r="BI72" s="13"/>
      <c r="BJ72" s="13"/>
      <c r="BK72" s="13"/>
      <c r="BL72" s="14"/>
      <c r="BM72" s="9"/>
      <c r="BN72" s="16"/>
      <c r="BO72" s="10"/>
      <c r="BP72" s="10"/>
      <c r="BQ72" s="10"/>
      <c r="BR72" s="11"/>
      <c r="BS72" s="12"/>
      <c r="BT72" s="17"/>
      <c r="BU72" s="13"/>
      <c r="BV72" s="13"/>
      <c r="BW72" s="13"/>
      <c r="BX72" s="14"/>
      <c r="BY72" s="9"/>
      <c r="BZ72" s="16"/>
      <c r="CA72" s="10"/>
      <c r="CB72" s="10"/>
      <c r="CC72" s="10"/>
      <c r="CD72" s="11"/>
      <c r="CE72" s="12"/>
      <c r="CF72" s="17"/>
      <c r="CG72" s="13"/>
      <c r="CH72" s="13"/>
      <c r="CI72" s="13"/>
      <c r="CJ72" s="14"/>
      <c r="CK72" s="9"/>
      <c r="CL72" s="16"/>
      <c r="CM72" s="10"/>
      <c r="CN72" s="10"/>
      <c r="CO72" s="10"/>
      <c r="CP72" s="11"/>
      <c r="CQ72" s="12"/>
      <c r="CR72" s="17"/>
      <c r="CS72" s="13"/>
      <c r="CT72" s="13"/>
      <c r="CU72" s="13"/>
      <c r="CV72" s="14"/>
      <c r="CW72" s="9"/>
      <c r="CX72" s="16"/>
      <c r="CY72" s="10"/>
      <c r="CZ72" s="10"/>
      <c r="DA72" s="10"/>
      <c r="DB72" s="11"/>
      <c r="DC72" s="12"/>
      <c r="DD72" s="17"/>
      <c r="DE72" s="13"/>
      <c r="DF72" s="13"/>
      <c r="DG72" s="13"/>
      <c r="DH72" s="14"/>
      <c r="DI72" s="8">
        <f t="shared" si="18"/>
        <v>306</v>
      </c>
      <c r="DJ72" s="8">
        <f t="shared" si="19"/>
        <v>371</v>
      </c>
      <c r="DK72" s="8">
        <f t="shared" si="20"/>
        <v>302</v>
      </c>
      <c r="DL72" s="8">
        <f t="shared" si="21"/>
        <v>169</v>
      </c>
      <c r="DM72" s="8">
        <f t="shared" si="22"/>
        <v>371</v>
      </c>
      <c r="DN72" s="8">
        <f t="shared" si="23"/>
        <v>302</v>
      </c>
      <c r="DO72" s="15">
        <f t="shared" si="24"/>
        <v>27.117333853459851</v>
      </c>
      <c r="DP72" s="15" t="str">
        <f t="shared" si="25"/>
        <v>OK - No Upgrade</v>
      </c>
      <c r="DQ72" s="15" t="str">
        <f t="shared" si="26"/>
        <v>Need to Balance</v>
      </c>
    </row>
    <row r="73" spans="1:121" ht="15.75" customHeight="1" x14ac:dyDescent="0.25">
      <c r="A73" s="8" t="s">
        <v>38</v>
      </c>
      <c r="B73" s="8" t="s">
        <v>385</v>
      </c>
      <c r="C73" s="8" t="s">
        <v>512</v>
      </c>
      <c r="D73" s="8" t="s">
        <v>525</v>
      </c>
      <c r="E73" s="8" t="s">
        <v>526</v>
      </c>
      <c r="F73" s="8" t="s">
        <v>56</v>
      </c>
      <c r="G73" s="8"/>
      <c r="H73" s="8">
        <v>500</v>
      </c>
      <c r="I73" s="8" t="s">
        <v>527</v>
      </c>
      <c r="J73" s="8">
        <v>1</v>
      </c>
      <c r="K73" s="8">
        <v>243</v>
      </c>
      <c r="L73" s="8">
        <v>242</v>
      </c>
      <c r="M73" s="8">
        <v>244</v>
      </c>
      <c r="N73" s="8">
        <v>419</v>
      </c>
      <c r="O73" s="8">
        <v>421</v>
      </c>
      <c r="P73" s="8">
        <v>421</v>
      </c>
      <c r="Q73" s="9" t="s">
        <v>47</v>
      </c>
      <c r="R73" s="16"/>
      <c r="S73" s="10">
        <v>44</v>
      </c>
      <c r="T73" s="10">
        <v>49</v>
      </c>
      <c r="U73" s="10">
        <v>59</v>
      </c>
      <c r="V73" s="11">
        <v>27</v>
      </c>
      <c r="W73" s="12" t="s">
        <v>47</v>
      </c>
      <c r="X73" s="17"/>
      <c r="Y73" s="13">
        <v>36</v>
      </c>
      <c r="Z73" s="13">
        <v>50</v>
      </c>
      <c r="AA73" s="13">
        <v>26</v>
      </c>
      <c r="AB73" s="14">
        <v>20</v>
      </c>
      <c r="AC73" s="9" t="s">
        <v>47</v>
      </c>
      <c r="AD73" s="16"/>
      <c r="AE73" s="10">
        <v>50</v>
      </c>
      <c r="AF73" s="10">
        <v>49</v>
      </c>
      <c r="AG73" s="10">
        <v>32</v>
      </c>
      <c r="AH73" s="11">
        <v>28</v>
      </c>
      <c r="AI73" s="12"/>
      <c r="AJ73" s="17"/>
      <c r="AK73" s="13"/>
      <c r="AL73" s="13"/>
      <c r="AM73" s="13"/>
      <c r="AN73" s="14"/>
      <c r="AO73" s="9"/>
      <c r="AP73" s="16"/>
      <c r="AQ73" s="10"/>
      <c r="AR73" s="10"/>
      <c r="AS73" s="10"/>
      <c r="AT73" s="11"/>
      <c r="AU73" s="12"/>
      <c r="AV73" s="17"/>
      <c r="AW73" s="13"/>
      <c r="AX73" s="13"/>
      <c r="AY73" s="13"/>
      <c r="AZ73" s="14"/>
      <c r="BA73" s="9"/>
      <c r="BB73" s="16"/>
      <c r="BC73" s="10"/>
      <c r="BD73" s="10"/>
      <c r="BE73" s="10"/>
      <c r="BF73" s="11"/>
      <c r="BG73" s="12"/>
      <c r="BH73" s="17"/>
      <c r="BI73" s="13"/>
      <c r="BJ73" s="13"/>
      <c r="BK73" s="13"/>
      <c r="BL73" s="14"/>
      <c r="BM73" s="9"/>
      <c r="BN73" s="16"/>
      <c r="BO73" s="10"/>
      <c r="BP73" s="10"/>
      <c r="BQ73" s="10"/>
      <c r="BR73" s="11"/>
      <c r="BS73" s="12"/>
      <c r="BT73" s="17"/>
      <c r="BU73" s="13"/>
      <c r="BV73" s="13"/>
      <c r="BW73" s="13"/>
      <c r="BX73" s="14"/>
      <c r="BY73" s="9"/>
      <c r="BZ73" s="16"/>
      <c r="CA73" s="10"/>
      <c r="CB73" s="10"/>
      <c r="CC73" s="10"/>
      <c r="CD73" s="11"/>
      <c r="CE73" s="12"/>
      <c r="CF73" s="17"/>
      <c r="CG73" s="13"/>
      <c r="CH73" s="13"/>
      <c r="CI73" s="13"/>
      <c r="CJ73" s="14"/>
      <c r="CK73" s="9"/>
      <c r="CL73" s="16"/>
      <c r="CM73" s="10"/>
      <c r="CN73" s="10"/>
      <c r="CO73" s="10"/>
      <c r="CP73" s="11"/>
      <c r="CQ73" s="12"/>
      <c r="CR73" s="17"/>
      <c r="CS73" s="13"/>
      <c r="CT73" s="13"/>
      <c r="CU73" s="13"/>
      <c r="CV73" s="14"/>
      <c r="CW73" s="9"/>
      <c r="CX73" s="16"/>
      <c r="CY73" s="10"/>
      <c r="CZ73" s="10"/>
      <c r="DA73" s="10"/>
      <c r="DB73" s="11"/>
      <c r="DC73" s="12"/>
      <c r="DD73" s="17"/>
      <c r="DE73" s="13"/>
      <c r="DF73" s="13"/>
      <c r="DG73" s="13"/>
      <c r="DH73" s="14"/>
      <c r="DI73" s="8">
        <f t="shared" si="18"/>
        <v>130</v>
      </c>
      <c r="DJ73" s="8">
        <f t="shared" si="19"/>
        <v>148</v>
      </c>
      <c r="DK73" s="8">
        <f t="shared" si="20"/>
        <v>117</v>
      </c>
      <c r="DL73" s="8">
        <f t="shared" si="21"/>
        <v>75</v>
      </c>
      <c r="DM73" s="8">
        <f t="shared" si="22"/>
        <v>148</v>
      </c>
      <c r="DN73" s="8">
        <f t="shared" si="23"/>
        <v>117</v>
      </c>
      <c r="DO73" s="15">
        <f t="shared" si="24"/>
        <v>21.48158693579224</v>
      </c>
      <c r="DP73" s="15" t="str">
        <f t="shared" si="25"/>
        <v>OK - No Upgrade</v>
      </c>
      <c r="DQ73" s="15" t="str">
        <f t="shared" si="26"/>
        <v>Need to Balance</v>
      </c>
    </row>
    <row r="74" spans="1:121" ht="15.75" customHeight="1" x14ac:dyDescent="0.25">
      <c r="A74" s="8" t="s">
        <v>38</v>
      </c>
      <c r="B74" s="8" t="s">
        <v>385</v>
      </c>
      <c r="C74" s="8" t="s">
        <v>512</v>
      </c>
      <c r="D74" s="8" t="s">
        <v>525</v>
      </c>
      <c r="E74" s="8" t="s">
        <v>526</v>
      </c>
      <c r="F74" s="8" t="s">
        <v>56</v>
      </c>
      <c r="G74" s="8" t="s">
        <v>44</v>
      </c>
      <c r="H74" s="8">
        <v>500</v>
      </c>
      <c r="I74" s="8" t="s">
        <v>465</v>
      </c>
      <c r="J74" s="8">
        <v>2</v>
      </c>
      <c r="K74" s="8">
        <v>244</v>
      </c>
      <c r="L74" s="8">
        <v>243</v>
      </c>
      <c r="M74" s="8">
        <v>244</v>
      </c>
      <c r="N74" s="8">
        <v>422</v>
      </c>
      <c r="O74" s="8">
        <v>424</v>
      </c>
      <c r="P74" s="8">
        <v>423</v>
      </c>
      <c r="Q74" s="9" t="s">
        <v>47</v>
      </c>
      <c r="R74" s="16"/>
      <c r="S74" s="10">
        <v>54</v>
      </c>
      <c r="T74" s="10">
        <v>62</v>
      </c>
      <c r="U74" s="10">
        <v>81</v>
      </c>
      <c r="V74" s="11">
        <v>25</v>
      </c>
      <c r="W74" s="12" t="s">
        <v>47</v>
      </c>
      <c r="X74" s="17"/>
      <c r="Y74" s="13">
        <v>29</v>
      </c>
      <c r="Z74" s="13">
        <v>32</v>
      </c>
      <c r="AA74" s="13">
        <v>27</v>
      </c>
      <c r="AB74" s="14">
        <v>8</v>
      </c>
      <c r="AC74" s="9" t="s">
        <v>47</v>
      </c>
      <c r="AD74" s="16"/>
      <c r="AE74" s="10">
        <v>83</v>
      </c>
      <c r="AF74" s="10">
        <v>71</v>
      </c>
      <c r="AG74" s="10">
        <v>59</v>
      </c>
      <c r="AH74" s="11">
        <v>45</v>
      </c>
      <c r="AI74" s="12"/>
      <c r="AJ74" s="17"/>
      <c r="AK74" s="13"/>
      <c r="AL74" s="13"/>
      <c r="AM74" s="13"/>
      <c r="AN74" s="14"/>
      <c r="AO74" s="9"/>
      <c r="AP74" s="16"/>
      <c r="AQ74" s="10"/>
      <c r="AR74" s="10"/>
      <c r="AS74" s="10"/>
      <c r="AT74" s="11"/>
      <c r="AU74" s="12"/>
      <c r="AV74" s="17"/>
      <c r="AW74" s="13"/>
      <c r="AX74" s="13"/>
      <c r="AY74" s="13"/>
      <c r="AZ74" s="14"/>
      <c r="BA74" s="9"/>
      <c r="BB74" s="16"/>
      <c r="BC74" s="10"/>
      <c r="BD74" s="10"/>
      <c r="BE74" s="10"/>
      <c r="BF74" s="11"/>
      <c r="BG74" s="12"/>
      <c r="BH74" s="17"/>
      <c r="BI74" s="13"/>
      <c r="BJ74" s="13"/>
      <c r="BK74" s="13"/>
      <c r="BL74" s="14"/>
      <c r="BM74" s="9"/>
      <c r="BN74" s="16"/>
      <c r="BO74" s="10"/>
      <c r="BP74" s="10"/>
      <c r="BQ74" s="10"/>
      <c r="BR74" s="11"/>
      <c r="BS74" s="12"/>
      <c r="BT74" s="17"/>
      <c r="BU74" s="13"/>
      <c r="BV74" s="13"/>
      <c r="BW74" s="13"/>
      <c r="BX74" s="14"/>
      <c r="BY74" s="9"/>
      <c r="BZ74" s="16"/>
      <c r="CA74" s="10"/>
      <c r="CB74" s="10"/>
      <c r="CC74" s="10"/>
      <c r="CD74" s="11"/>
      <c r="CE74" s="12"/>
      <c r="CF74" s="17"/>
      <c r="CG74" s="13"/>
      <c r="CH74" s="13"/>
      <c r="CI74" s="13"/>
      <c r="CJ74" s="14"/>
      <c r="CK74" s="9"/>
      <c r="CL74" s="16"/>
      <c r="CM74" s="10"/>
      <c r="CN74" s="10"/>
      <c r="CO74" s="10"/>
      <c r="CP74" s="11"/>
      <c r="CQ74" s="12"/>
      <c r="CR74" s="17"/>
      <c r="CS74" s="13"/>
      <c r="CT74" s="13"/>
      <c r="CU74" s="13"/>
      <c r="CV74" s="14"/>
      <c r="CW74" s="9"/>
      <c r="CX74" s="16"/>
      <c r="CY74" s="10"/>
      <c r="CZ74" s="10"/>
      <c r="DA74" s="10"/>
      <c r="DB74" s="11"/>
      <c r="DC74" s="12"/>
      <c r="DD74" s="17"/>
      <c r="DE74" s="13"/>
      <c r="DF74" s="13"/>
      <c r="DG74" s="13"/>
      <c r="DH74" s="14"/>
      <c r="DI74" s="8">
        <f t="shared" si="18"/>
        <v>166</v>
      </c>
      <c r="DJ74" s="8">
        <f t="shared" si="19"/>
        <v>165</v>
      </c>
      <c r="DK74" s="8">
        <f t="shared" si="20"/>
        <v>167</v>
      </c>
      <c r="DL74" s="8">
        <f t="shared" si="21"/>
        <v>78</v>
      </c>
      <c r="DM74" s="8">
        <f t="shared" si="22"/>
        <v>167</v>
      </c>
      <c r="DN74" s="8">
        <f t="shared" si="23"/>
        <v>165</v>
      </c>
      <c r="DO74" s="15">
        <f t="shared" si="24"/>
        <v>24.41290972252181</v>
      </c>
      <c r="DP74" s="15" t="str">
        <f t="shared" si="25"/>
        <v>OK - No Upgrade</v>
      </c>
      <c r="DQ74" s="15" t="str">
        <f t="shared" si="26"/>
        <v>OK - Balanced</v>
      </c>
    </row>
    <row r="75" spans="1:121" ht="15.75" customHeight="1" x14ac:dyDescent="0.25">
      <c r="A75" s="8" t="s">
        <v>38</v>
      </c>
      <c r="B75" s="8" t="s">
        <v>385</v>
      </c>
      <c r="C75" s="8" t="s">
        <v>512</v>
      </c>
      <c r="D75" s="8" t="s">
        <v>528</v>
      </c>
      <c r="E75" s="8" t="s">
        <v>529</v>
      </c>
      <c r="F75" s="8" t="s">
        <v>56</v>
      </c>
      <c r="G75" s="8"/>
      <c r="H75" s="8">
        <v>1000</v>
      </c>
      <c r="I75" s="8" t="s">
        <v>530</v>
      </c>
      <c r="J75" s="8">
        <v>1</v>
      </c>
      <c r="K75" s="8">
        <v>243</v>
      </c>
      <c r="L75" s="8">
        <v>243</v>
      </c>
      <c r="M75" s="8">
        <v>245</v>
      </c>
      <c r="N75" s="8">
        <v>419</v>
      </c>
      <c r="O75" s="8">
        <v>424</v>
      </c>
      <c r="P75" s="8">
        <v>424</v>
      </c>
      <c r="Q75" s="9" t="s">
        <v>47</v>
      </c>
      <c r="R75" s="16"/>
      <c r="S75" s="10">
        <v>159</v>
      </c>
      <c r="T75" s="10">
        <v>80</v>
      </c>
      <c r="U75" s="10">
        <v>97</v>
      </c>
      <c r="V75" s="11">
        <v>30</v>
      </c>
      <c r="W75" s="12" t="s">
        <v>47</v>
      </c>
      <c r="X75" s="17"/>
      <c r="Y75" s="13">
        <v>63</v>
      </c>
      <c r="Z75" s="13">
        <v>49</v>
      </c>
      <c r="AA75" s="13">
        <v>83</v>
      </c>
      <c r="AB75" s="14">
        <v>34</v>
      </c>
      <c r="AC75" s="9" t="s">
        <v>46</v>
      </c>
      <c r="AD75" s="16"/>
      <c r="AE75" s="10">
        <v>133</v>
      </c>
      <c r="AF75" s="10">
        <v>101</v>
      </c>
      <c r="AG75" s="10">
        <v>85</v>
      </c>
      <c r="AH75" s="11">
        <v>34</v>
      </c>
      <c r="AI75" s="12" t="s">
        <v>47</v>
      </c>
      <c r="AJ75" s="17"/>
      <c r="AK75" s="13">
        <v>60</v>
      </c>
      <c r="AL75" s="13">
        <v>10</v>
      </c>
      <c r="AM75" s="13">
        <v>43</v>
      </c>
      <c r="AN75" s="14">
        <v>60</v>
      </c>
      <c r="AO75" s="9" t="s">
        <v>47</v>
      </c>
      <c r="AP75" s="16"/>
      <c r="AQ75" s="10">
        <v>40</v>
      </c>
      <c r="AR75" s="10">
        <v>88</v>
      </c>
      <c r="AS75" s="10">
        <v>125</v>
      </c>
      <c r="AT75" s="11">
        <v>47</v>
      </c>
      <c r="AU75" s="12"/>
      <c r="AV75" s="17"/>
      <c r="AW75" s="13"/>
      <c r="AX75" s="13"/>
      <c r="AY75" s="13"/>
      <c r="AZ75" s="14"/>
      <c r="BA75" s="9" t="s">
        <v>46</v>
      </c>
      <c r="BB75" s="16"/>
      <c r="BC75" s="10">
        <v>2</v>
      </c>
      <c r="BD75" s="10">
        <v>0</v>
      </c>
      <c r="BE75" s="10">
        <v>0</v>
      </c>
      <c r="BF75" s="11">
        <v>2</v>
      </c>
      <c r="BG75" s="12"/>
      <c r="BH75" s="17"/>
      <c r="BI75" s="13"/>
      <c r="BJ75" s="13"/>
      <c r="BK75" s="13"/>
      <c r="BL75" s="14"/>
      <c r="BM75" s="9"/>
      <c r="BN75" s="16"/>
      <c r="BO75" s="10"/>
      <c r="BP75" s="10"/>
      <c r="BQ75" s="10"/>
      <c r="BR75" s="11"/>
      <c r="BS75" s="12"/>
      <c r="BT75" s="17"/>
      <c r="BU75" s="13"/>
      <c r="BV75" s="13"/>
      <c r="BW75" s="13"/>
      <c r="BX75" s="14"/>
      <c r="BY75" s="9"/>
      <c r="BZ75" s="16"/>
      <c r="CA75" s="10"/>
      <c r="CB75" s="10"/>
      <c r="CC75" s="10"/>
      <c r="CD75" s="11"/>
      <c r="CE75" s="12"/>
      <c r="CF75" s="17"/>
      <c r="CG75" s="13"/>
      <c r="CH75" s="13"/>
      <c r="CI75" s="13"/>
      <c r="CJ75" s="14"/>
      <c r="CK75" s="9"/>
      <c r="CL75" s="16"/>
      <c r="CM75" s="10"/>
      <c r="CN75" s="10"/>
      <c r="CO75" s="10"/>
      <c r="CP75" s="11"/>
      <c r="CQ75" s="12"/>
      <c r="CR75" s="17"/>
      <c r="CS75" s="13"/>
      <c r="CT75" s="13"/>
      <c r="CU75" s="13"/>
      <c r="CV75" s="14"/>
      <c r="CW75" s="9"/>
      <c r="CX75" s="16"/>
      <c r="CY75" s="10"/>
      <c r="CZ75" s="10"/>
      <c r="DA75" s="10"/>
      <c r="DB75" s="11"/>
      <c r="DC75" s="12"/>
      <c r="DD75" s="17"/>
      <c r="DE75" s="13"/>
      <c r="DF75" s="13"/>
      <c r="DG75" s="13"/>
      <c r="DH75" s="14"/>
      <c r="DI75" s="8">
        <f t="shared" si="18"/>
        <v>457</v>
      </c>
      <c r="DJ75" s="8">
        <f t="shared" si="19"/>
        <v>328</v>
      </c>
      <c r="DK75" s="8">
        <f t="shared" si="20"/>
        <v>433</v>
      </c>
      <c r="DL75" s="8">
        <f t="shared" si="21"/>
        <v>207</v>
      </c>
      <c r="DM75" s="8">
        <f t="shared" si="22"/>
        <v>457</v>
      </c>
      <c r="DN75" s="8">
        <f t="shared" si="23"/>
        <v>328</v>
      </c>
      <c r="DO75" s="15">
        <f t="shared" si="24"/>
        <v>33.165828478571129</v>
      </c>
      <c r="DP75" s="15" t="str">
        <f t="shared" si="25"/>
        <v>OK - No Upgrade</v>
      </c>
      <c r="DQ75" s="15" t="str">
        <f t="shared" si="26"/>
        <v>Need to Balance</v>
      </c>
    </row>
    <row r="76" spans="1:121" ht="15.75" customHeight="1" x14ac:dyDescent="0.25">
      <c r="A76" s="8" t="s">
        <v>38</v>
      </c>
      <c r="B76" s="8" t="s">
        <v>385</v>
      </c>
      <c r="C76" s="8" t="s">
        <v>512</v>
      </c>
      <c r="D76" s="8" t="s">
        <v>528</v>
      </c>
      <c r="E76" s="8" t="s">
        <v>529</v>
      </c>
      <c r="F76" s="8" t="s">
        <v>56</v>
      </c>
      <c r="G76" s="8" t="s">
        <v>44</v>
      </c>
      <c r="H76" s="8">
        <v>1000</v>
      </c>
      <c r="I76" s="8" t="s">
        <v>531</v>
      </c>
      <c r="J76" s="8">
        <v>2</v>
      </c>
      <c r="K76" s="8">
        <v>243</v>
      </c>
      <c r="L76" s="8">
        <v>243</v>
      </c>
      <c r="M76" s="8">
        <v>244</v>
      </c>
      <c r="N76" s="8">
        <v>421</v>
      </c>
      <c r="O76" s="8">
        <v>423</v>
      </c>
      <c r="P76" s="8">
        <v>422</v>
      </c>
      <c r="Q76" s="9" t="s">
        <v>47</v>
      </c>
      <c r="R76" s="16"/>
      <c r="S76" s="10">
        <v>124</v>
      </c>
      <c r="T76" s="10">
        <v>43</v>
      </c>
      <c r="U76" s="10">
        <v>74</v>
      </c>
      <c r="V76" s="11">
        <v>20</v>
      </c>
      <c r="W76" s="12" t="s">
        <v>47</v>
      </c>
      <c r="X76" s="17"/>
      <c r="Y76" s="13">
        <v>53</v>
      </c>
      <c r="Z76" s="13">
        <v>27</v>
      </c>
      <c r="AA76" s="13">
        <v>45</v>
      </c>
      <c r="AB76" s="14">
        <v>27</v>
      </c>
      <c r="AC76" s="9" t="s">
        <v>46</v>
      </c>
      <c r="AD76" s="16"/>
      <c r="AE76" s="10">
        <v>87</v>
      </c>
      <c r="AF76" s="10">
        <v>104</v>
      </c>
      <c r="AG76" s="10">
        <v>86</v>
      </c>
      <c r="AH76" s="11">
        <v>27</v>
      </c>
      <c r="AI76" s="12" t="s">
        <v>47</v>
      </c>
      <c r="AJ76" s="17"/>
      <c r="AK76" s="13">
        <v>25</v>
      </c>
      <c r="AL76" s="13">
        <v>60</v>
      </c>
      <c r="AM76" s="13">
        <v>68</v>
      </c>
      <c r="AN76" s="14">
        <v>25</v>
      </c>
      <c r="AO76" s="9" t="s">
        <v>47</v>
      </c>
      <c r="AP76" s="16"/>
      <c r="AQ76" s="10">
        <v>35</v>
      </c>
      <c r="AR76" s="10">
        <v>32</v>
      </c>
      <c r="AS76" s="10">
        <v>82</v>
      </c>
      <c r="AT76" s="11">
        <v>58</v>
      </c>
      <c r="AU76" s="12"/>
      <c r="AV76" s="17"/>
      <c r="AW76" s="13"/>
      <c r="AX76" s="13"/>
      <c r="AY76" s="13"/>
      <c r="AZ76" s="14"/>
      <c r="BA76" s="9" t="s">
        <v>46</v>
      </c>
      <c r="BB76" s="16"/>
      <c r="BC76" s="10">
        <v>11</v>
      </c>
      <c r="BD76" s="10">
        <v>0</v>
      </c>
      <c r="BE76" s="10">
        <v>1</v>
      </c>
      <c r="BF76" s="11">
        <v>10</v>
      </c>
      <c r="BG76" s="12"/>
      <c r="BH76" s="17"/>
      <c r="BI76" s="13"/>
      <c r="BJ76" s="13"/>
      <c r="BK76" s="13"/>
      <c r="BL76" s="14"/>
      <c r="BM76" s="9"/>
      <c r="BN76" s="16"/>
      <c r="BO76" s="10"/>
      <c r="BP76" s="10"/>
      <c r="BQ76" s="10"/>
      <c r="BR76" s="11"/>
      <c r="BS76" s="12"/>
      <c r="BT76" s="17"/>
      <c r="BU76" s="13"/>
      <c r="BV76" s="13"/>
      <c r="BW76" s="13"/>
      <c r="BX76" s="14"/>
      <c r="BY76" s="9"/>
      <c r="BZ76" s="16"/>
      <c r="CA76" s="10"/>
      <c r="CB76" s="10"/>
      <c r="CC76" s="10"/>
      <c r="CD76" s="11"/>
      <c r="CE76" s="12"/>
      <c r="CF76" s="17"/>
      <c r="CG76" s="13"/>
      <c r="CH76" s="13"/>
      <c r="CI76" s="13"/>
      <c r="CJ76" s="14"/>
      <c r="CK76" s="9"/>
      <c r="CL76" s="16"/>
      <c r="CM76" s="10"/>
      <c r="CN76" s="10"/>
      <c r="CO76" s="10"/>
      <c r="CP76" s="11"/>
      <c r="CQ76" s="12"/>
      <c r="CR76" s="17"/>
      <c r="CS76" s="13"/>
      <c r="CT76" s="13"/>
      <c r="CU76" s="13"/>
      <c r="CV76" s="14"/>
      <c r="CW76" s="9"/>
      <c r="CX76" s="16"/>
      <c r="CY76" s="10"/>
      <c r="CZ76" s="10"/>
      <c r="DA76" s="10"/>
      <c r="DB76" s="11"/>
      <c r="DC76" s="12"/>
      <c r="DD76" s="17"/>
      <c r="DE76" s="13"/>
      <c r="DF76" s="13"/>
      <c r="DG76" s="13"/>
      <c r="DH76" s="14"/>
      <c r="DI76" s="8">
        <f t="shared" si="18"/>
        <v>335</v>
      </c>
      <c r="DJ76" s="8">
        <f t="shared" si="19"/>
        <v>266</v>
      </c>
      <c r="DK76" s="8">
        <f t="shared" si="20"/>
        <v>356</v>
      </c>
      <c r="DL76" s="8">
        <f t="shared" si="21"/>
        <v>167</v>
      </c>
      <c r="DM76" s="8">
        <f t="shared" si="22"/>
        <v>356</v>
      </c>
      <c r="DN76" s="8">
        <f t="shared" si="23"/>
        <v>266</v>
      </c>
      <c r="DO76" s="15">
        <f t="shared" si="24"/>
        <v>25.9592846835193</v>
      </c>
      <c r="DP76" s="15" t="str">
        <f t="shared" si="25"/>
        <v>OK - No Upgrade</v>
      </c>
      <c r="DQ76" s="15" t="str">
        <f t="shared" si="26"/>
        <v>Need to Balance</v>
      </c>
    </row>
    <row r="77" spans="1:121" ht="15.75" customHeight="1" x14ac:dyDescent="0.25">
      <c r="A77" s="8" t="s">
        <v>38</v>
      </c>
      <c r="B77" s="8" t="s">
        <v>385</v>
      </c>
      <c r="C77" s="8" t="s">
        <v>512</v>
      </c>
      <c r="D77" s="8" t="s">
        <v>532</v>
      </c>
      <c r="E77" s="8" t="s">
        <v>533</v>
      </c>
      <c r="F77" s="8" t="s">
        <v>56</v>
      </c>
      <c r="G77" s="8"/>
      <c r="H77" s="8">
        <v>1000</v>
      </c>
      <c r="I77" s="8" t="s">
        <v>534</v>
      </c>
      <c r="J77" s="8">
        <v>1</v>
      </c>
      <c r="K77" s="8">
        <v>245</v>
      </c>
      <c r="L77" s="8">
        <v>243</v>
      </c>
      <c r="M77" s="8">
        <v>242</v>
      </c>
      <c r="N77" s="8">
        <v>424</v>
      </c>
      <c r="O77" s="8">
        <v>421</v>
      </c>
      <c r="P77" s="8">
        <v>419</v>
      </c>
      <c r="Q77" s="9"/>
      <c r="R77" s="16"/>
      <c r="S77" s="10"/>
      <c r="T77" s="10"/>
      <c r="U77" s="10"/>
      <c r="V77" s="11"/>
      <c r="W77" s="12"/>
      <c r="X77" s="17"/>
      <c r="Y77" s="13"/>
      <c r="Z77" s="13"/>
      <c r="AA77" s="13"/>
      <c r="AB77" s="14"/>
      <c r="AC77" s="9"/>
      <c r="AD77" s="16"/>
      <c r="AE77" s="10"/>
      <c r="AF77" s="10"/>
      <c r="AG77" s="10"/>
      <c r="AH77" s="11"/>
      <c r="AI77" s="12"/>
      <c r="AJ77" s="17"/>
      <c r="AK77" s="13"/>
      <c r="AL77" s="13"/>
      <c r="AM77" s="13"/>
      <c r="AN77" s="14"/>
      <c r="AO77" s="9" t="s">
        <v>47</v>
      </c>
      <c r="AP77" s="16"/>
      <c r="AQ77" s="10">
        <v>96</v>
      </c>
      <c r="AR77" s="10">
        <v>127</v>
      </c>
      <c r="AS77" s="10">
        <v>99</v>
      </c>
      <c r="AT77" s="11">
        <v>17</v>
      </c>
      <c r="AU77" s="12" t="s">
        <v>47</v>
      </c>
      <c r="AV77" s="17"/>
      <c r="AW77" s="13">
        <v>131</v>
      </c>
      <c r="AX77" s="13">
        <v>161</v>
      </c>
      <c r="AY77" s="13">
        <v>148</v>
      </c>
      <c r="AZ77" s="14">
        <v>21</v>
      </c>
      <c r="BA77" s="9" t="s">
        <v>46</v>
      </c>
      <c r="BB77" s="16"/>
      <c r="BC77" s="10">
        <v>137</v>
      </c>
      <c r="BD77" s="10">
        <v>131</v>
      </c>
      <c r="BE77" s="10">
        <v>93</v>
      </c>
      <c r="BF77" s="11">
        <v>55</v>
      </c>
      <c r="BG77" s="12" t="s">
        <v>47</v>
      </c>
      <c r="BH77" s="17"/>
      <c r="BI77" s="13">
        <v>61</v>
      </c>
      <c r="BJ77" s="13">
        <v>39</v>
      </c>
      <c r="BK77" s="13">
        <v>105</v>
      </c>
      <c r="BL77" s="14">
        <v>52</v>
      </c>
      <c r="BM77" s="9"/>
      <c r="BN77" s="16"/>
      <c r="BO77" s="10"/>
      <c r="BP77" s="10"/>
      <c r="BQ77" s="10"/>
      <c r="BR77" s="11"/>
      <c r="BS77" s="12"/>
      <c r="BT77" s="17"/>
      <c r="BU77" s="13"/>
      <c r="BV77" s="13"/>
      <c r="BW77" s="13"/>
      <c r="BX77" s="14"/>
      <c r="BY77" s="9"/>
      <c r="BZ77" s="16"/>
      <c r="CA77" s="10"/>
      <c r="CB77" s="10"/>
      <c r="CC77" s="10"/>
      <c r="CD77" s="11"/>
      <c r="CE77" s="12"/>
      <c r="CF77" s="17"/>
      <c r="CG77" s="13"/>
      <c r="CH77" s="13"/>
      <c r="CI77" s="13"/>
      <c r="CJ77" s="14"/>
      <c r="CK77" s="9"/>
      <c r="CL77" s="16"/>
      <c r="CM77" s="10"/>
      <c r="CN77" s="10"/>
      <c r="CO77" s="10"/>
      <c r="CP77" s="11"/>
      <c r="CQ77" s="12"/>
      <c r="CR77" s="17"/>
      <c r="CS77" s="13"/>
      <c r="CT77" s="13"/>
      <c r="CU77" s="13"/>
      <c r="CV77" s="14"/>
      <c r="CW77" s="9"/>
      <c r="CX77" s="16"/>
      <c r="CY77" s="10"/>
      <c r="CZ77" s="10"/>
      <c r="DA77" s="10"/>
      <c r="DB77" s="11"/>
      <c r="DC77" s="12"/>
      <c r="DD77" s="17"/>
      <c r="DE77" s="13"/>
      <c r="DF77" s="13"/>
      <c r="DG77" s="13"/>
      <c r="DH77" s="14"/>
      <c r="DI77" s="8">
        <f t="shared" si="18"/>
        <v>425</v>
      </c>
      <c r="DJ77" s="8">
        <f t="shared" si="19"/>
        <v>458</v>
      </c>
      <c r="DK77" s="8">
        <f t="shared" si="20"/>
        <v>445</v>
      </c>
      <c r="DL77" s="8">
        <f t="shared" si="21"/>
        <v>145</v>
      </c>
      <c r="DM77" s="8">
        <f t="shared" si="22"/>
        <v>458</v>
      </c>
      <c r="DN77" s="8">
        <f t="shared" si="23"/>
        <v>425</v>
      </c>
      <c r="DO77" s="15">
        <f t="shared" si="24"/>
        <v>33.635041042341541</v>
      </c>
      <c r="DP77" s="15" t="str">
        <f t="shared" si="25"/>
        <v>OK - No Upgrade</v>
      </c>
      <c r="DQ77" s="15" t="str">
        <f t="shared" si="26"/>
        <v>OK - Balanced</v>
      </c>
    </row>
    <row r="78" spans="1:121" ht="15.75" customHeight="1" x14ac:dyDescent="0.25">
      <c r="A78" s="8" t="s">
        <v>38</v>
      </c>
      <c r="B78" s="8" t="s">
        <v>385</v>
      </c>
      <c r="C78" s="8" t="s">
        <v>512</v>
      </c>
      <c r="D78" s="8" t="s">
        <v>532</v>
      </c>
      <c r="E78" s="8" t="s">
        <v>533</v>
      </c>
      <c r="F78" s="8" t="s">
        <v>56</v>
      </c>
      <c r="G78" s="8" t="s">
        <v>44</v>
      </c>
      <c r="H78" s="8">
        <v>1000</v>
      </c>
      <c r="I78" s="8" t="s">
        <v>535</v>
      </c>
      <c r="J78" s="8">
        <v>2</v>
      </c>
      <c r="K78" s="8">
        <v>244</v>
      </c>
      <c r="L78" s="8">
        <v>243</v>
      </c>
      <c r="M78" s="8">
        <v>243</v>
      </c>
      <c r="N78" s="8">
        <v>424</v>
      </c>
      <c r="O78" s="8">
        <v>423</v>
      </c>
      <c r="P78" s="8">
        <v>422</v>
      </c>
      <c r="Q78" s="9"/>
      <c r="R78" s="16"/>
      <c r="S78" s="10"/>
      <c r="T78" s="10"/>
      <c r="U78" s="10"/>
      <c r="V78" s="11"/>
      <c r="W78" s="12"/>
      <c r="X78" s="17"/>
      <c r="Y78" s="13"/>
      <c r="Z78" s="13"/>
      <c r="AA78" s="13"/>
      <c r="AB78" s="14"/>
      <c r="AC78" s="9"/>
      <c r="AD78" s="16"/>
      <c r="AE78" s="10"/>
      <c r="AF78" s="10"/>
      <c r="AG78" s="10"/>
      <c r="AH78" s="11"/>
      <c r="AI78" s="12"/>
      <c r="AJ78" s="17"/>
      <c r="AK78" s="13"/>
      <c r="AL78" s="13"/>
      <c r="AM78" s="13"/>
      <c r="AN78" s="14"/>
      <c r="AO78" s="9" t="s">
        <v>47</v>
      </c>
      <c r="AP78" s="16"/>
      <c r="AQ78" s="10">
        <v>74</v>
      </c>
      <c r="AR78" s="10">
        <v>99</v>
      </c>
      <c r="AS78" s="10">
        <v>60</v>
      </c>
      <c r="AT78" s="11">
        <v>15</v>
      </c>
      <c r="AU78" s="12" t="s">
        <v>47</v>
      </c>
      <c r="AV78" s="17"/>
      <c r="AW78" s="13">
        <v>86</v>
      </c>
      <c r="AX78" s="13">
        <v>75</v>
      </c>
      <c r="AY78" s="13">
        <v>122</v>
      </c>
      <c r="AZ78" s="14">
        <v>46</v>
      </c>
      <c r="BA78" s="9" t="s">
        <v>46</v>
      </c>
      <c r="BB78" s="16"/>
      <c r="BC78" s="10">
        <v>89</v>
      </c>
      <c r="BD78" s="10">
        <v>99</v>
      </c>
      <c r="BE78" s="10">
        <v>98</v>
      </c>
      <c r="BF78" s="11">
        <v>29</v>
      </c>
      <c r="BG78" s="12" t="s">
        <v>47</v>
      </c>
      <c r="BH78" s="17"/>
      <c r="BI78" s="13">
        <v>123</v>
      </c>
      <c r="BJ78" s="13">
        <v>125</v>
      </c>
      <c r="BK78" s="13">
        <v>11</v>
      </c>
      <c r="BL78" s="14">
        <v>24</v>
      </c>
      <c r="BM78" s="9"/>
      <c r="BN78" s="16"/>
      <c r="BO78" s="10"/>
      <c r="BP78" s="10"/>
      <c r="BQ78" s="10"/>
      <c r="BR78" s="11"/>
      <c r="BS78" s="12"/>
      <c r="BT78" s="17"/>
      <c r="BU78" s="13"/>
      <c r="BV78" s="13"/>
      <c r="BW78" s="13"/>
      <c r="BX78" s="14"/>
      <c r="BY78" s="9"/>
      <c r="BZ78" s="16"/>
      <c r="CA78" s="10"/>
      <c r="CB78" s="10"/>
      <c r="CC78" s="10"/>
      <c r="CD78" s="11"/>
      <c r="CE78" s="12"/>
      <c r="CF78" s="17"/>
      <c r="CG78" s="13"/>
      <c r="CH78" s="13"/>
      <c r="CI78" s="13"/>
      <c r="CJ78" s="14"/>
      <c r="CK78" s="9"/>
      <c r="CL78" s="16"/>
      <c r="CM78" s="10"/>
      <c r="CN78" s="10"/>
      <c r="CO78" s="10"/>
      <c r="CP78" s="11"/>
      <c r="CQ78" s="12"/>
      <c r="CR78" s="17"/>
      <c r="CS78" s="13"/>
      <c r="CT78" s="13"/>
      <c r="CU78" s="13"/>
      <c r="CV78" s="14"/>
      <c r="CW78" s="9"/>
      <c r="CX78" s="16"/>
      <c r="CY78" s="10"/>
      <c r="CZ78" s="10"/>
      <c r="DA78" s="10"/>
      <c r="DB78" s="11"/>
      <c r="DC78" s="12"/>
      <c r="DD78" s="17"/>
      <c r="DE78" s="13"/>
      <c r="DF78" s="13"/>
      <c r="DG78" s="13"/>
      <c r="DH78" s="14"/>
      <c r="DI78" s="8">
        <f t="shared" si="18"/>
        <v>372</v>
      </c>
      <c r="DJ78" s="8">
        <f t="shared" si="19"/>
        <v>398</v>
      </c>
      <c r="DK78" s="8">
        <f t="shared" si="20"/>
        <v>291</v>
      </c>
      <c r="DL78" s="8">
        <f t="shared" si="21"/>
        <v>114</v>
      </c>
      <c r="DM78" s="8">
        <f t="shared" si="22"/>
        <v>398</v>
      </c>
      <c r="DN78" s="8">
        <f t="shared" si="23"/>
        <v>291</v>
      </c>
      <c r="DO78" s="15">
        <f t="shared" si="24"/>
        <v>29.228703787886317</v>
      </c>
      <c r="DP78" s="15" t="str">
        <f t="shared" si="25"/>
        <v>OK - No Upgrade</v>
      </c>
      <c r="DQ78" s="15" t="str">
        <f t="shared" si="26"/>
        <v>Need to Balance</v>
      </c>
    </row>
    <row r="79" spans="1:121" ht="15.75" customHeight="1" x14ac:dyDescent="0.25">
      <c r="A79" s="8" t="s">
        <v>38</v>
      </c>
      <c r="B79" s="8" t="s">
        <v>385</v>
      </c>
      <c r="C79" s="8" t="s">
        <v>536</v>
      </c>
      <c r="D79" s="8" t="s">
        <v>537</v>
      </c>
      <c r="E79" s="8" t="s">
        <v>538</v>
      </c>
      <c r="F79" s="8" t="s">
        <v>56</v>
      </c>
      <c r="G79" s="8"/>
      <c r="H79" s="8">
        <v>1000</v>
      </c>
      <c r="I79" s="8" t="s">
        <v>539</v>
      </c>
      <c r="J79" s="8">
        <v>1</v>
      </c>
      <c r="K79" s="8">
        <v>245</v>
      </c>
      <c r="L79" s="8">
        <v>245</v>
      </c>
      <c r="M79" s="8">
        <v>246</v>
      </c>
      <c r="N79" s="8">
        <v>423</v>
      </c>
      <c r="O79" s="8">
        <v>428</v>
      </c>
      <c r="P79" s="8">
        <v>426</v>
      </c>
      <c r="Q79" s="9" t="s">
        <v>47</v>
      </c>
      <c r="R79" s="16"/>
      <c r="S79" s="10">
        <v>63</v>
      </c>
      <c r="T79" s="10">
        <v>43</v>
      </c>
      <c r="U79" s="10">
        <v>36</v>
      </c>
      <c r="V79" s="11">
        <v>20</v>
      </c>
      <c r="W79" s="12" t="s">
        <v>47</v>
      </c>
      <c r="X79" s="17"/>
      <c r="Y79" s="13">
        <v>65</v>
      </c>
      <c r="Z79" s="13">
        <v>18</v>
      </c>
      <c r="AA79" s="13">
        <v>28</v>
      </c>
      <c r="AB79" s="14">
        <v>46</v>
      </c>
      <c r="AC79" s="9" t="s">
        <v>47</v>
      </c>
      <c r="AD79" s="16"/>
      <c r="AE79" s="10">
        <v>139</v>
      </c>
      <c r="AF79" s="10">
        <v>56</v>
      </c>
      <c r="AG79" s="10">
        <v>108</v>
      </c>
      <c r="AH79" s="11">
        <v>71</v>
      </c>
      <c r="AI79" s="12" t="s">
        <v>47</v>
      </c>
      <c r="AJ79" s="17"/>
      <c r="AK79" s="13">
        <v>38</v>
      </c>
      <c r="AL79" s="13">
        <v>62</v>
      </c>
      <c r="AM79" s="13">
        <v>130</v>
      </c>
      <c r="AN79" s="14">
        <v>70</v>
      </c>
      <c r="AO79" s="9" t="s">
        <v>47</v>
      </c>
      <c r="AP79" s="16"/>
      <c r="AQ79" s="10">
        <v>3</v>
      </c>
      <c r="AR79" s="10">
        <v>17</v>
      </c>
      <c r="AS79" s="10">
        <v>15</v>
      </c>
      <c r="AT79" s="11">
        <v>12</v>
      </c>
      <c r="AU79" s="12" t="s">
        <v>47</v>
      </c>
      <c r="AV79" s="17"/>
      <c r="AW79" s="13">
        <v>1</v>
      </c>
      <c r="AX79" s="13">
        <v>1</v>
      </c>
      <c r="AY79" s="13">
        <v>0</v>
      </c>
      <c r="AZ79" s="14">
        <v>1</v>
      </c>
      <c r="BA79" s="9"/>
      <c r="BB79" s="16"/>
      <c r="BC79" s="10"/>
      <c r="BD79" s="10"/>
      <c r="BE79" s="10"/>
      <c r="BF79" s="11"/>
      <c r="BG79" s="12"/>
      <c r="BH79" s="17"/>
      <c r="BI79" s="13"/>
      <c r="BJ79" s="13"/>
      <c r="BK79" s="13"/>
      <c r="BL79" s="14"/>
      <c r="BM79" s="9"/>
      <c r="BN79" s="16"/>
      <c r="BO79" s="10"/>
      <c r="BP79" s="10"/>
      <c r="BQ79" s="10"/>
      <c r="BR79" s="11"/>
      <c r="BS79" s="12"/>
      <c r="BT79" s="17"/>
      <c r="BU79" s="13"/>
      <c r="BV79" s="13"/>
      <c r="BW79" s="13"/>
      <c r="BX79" s="14"/>
      <c r="BY79" s="9"/>
      <c r="BZ79" s="16"/>
      <c r="CA79" s="10"/>
      <c r="CB79" s="10"/>
      <c r="CC79" s="10"/>
      <c r="CD79" s="11"/>
      <c r="CE79" s="12"/>
      <c r="CF79" s="17"/>
      <c r="CG79" s="13"/>
      <c r="CH79" s="13"/>
      <c r="CI79" s="13"/>
      <c r="CJ79" s="14"/>
      <c r="CK79" s="9"/>
      <c r="CL79" s="16"/>
      <c r="CM79" s="10"/>
      <c r="CN79" s="10"/>
      <c r="CO79" s="10"/>
      <c r="CP79" s="11"/>
      <c r="CQ79" s="12"/>
      <c r="CR79" s="17"/>
      <c r="CS79" s="13"/>
      <c r="CT79" s="13"/>
      <c r="CU79" s="13"/>
      <c r="CV79" s="14"/>
      <c r="CW79" s="9"/>
      <c r="CX79" s="16"/>
      <c r="CY79" s="10"/>
      <c r="CZ79" s="10"/>
      <c r="DA79" s="10"/>
      <c r="DB79" s="11"/>
      <c r="DC79" s="12"/>
      <c r="DD79" s="17"/>
      <c r="DE79" s="13"/>
      <c r="DF79" s="13"/>
      <c r="DG79" s="13"/>
      <c r="DH79" s="14"/>
      <c r="DI79" s="8">
        <f t="shared" si="18"/>
        <v>309</v>
      </c>
      <c r="DJ79" s="8">
        <f t="shared" si="19"/>
        <v>197</v>
      </c>
      <c r="DK79" s="8">
        <f t="shared" si="20"/>
        <v>317</v>
      </c>
      <c r="DL79" s="8">
        <f t="shared" si="21"/>
        <v>220</v>
      </c>
      <c r="DM79" s="8">
        <f t="shared" si="22"/>
        <v>317</v>
      </c>
      <c r="DN79" s="8">
        <f t="shared" si="23"/>
        <v>197</v>
      </c>
      <c r="DO79" s="15">
        <f t="shared" si="24"/>
        <v>23.225242483771829</v>
      </c>
      <c r="DP79" s="15" t="str">
        <f t="shared" si="25"/>
        <v>OK - No Upgrade</v>
      </c>
      <c r="DQ79" s="15" t="str">
        <f t="shared" si="26"/>
        <v>Need to Balance</v>
      </c>
    </row>
    <row r="80" spans="1:121" ht="15.75" customHeight="1" x14ac:dyDescent="0.25">
      <c r="A80" s="8" t="s">
        <v>38</v>
      </c>
      <c r="B80" s="8" t="s">
        <v>385</v>
      </c>
      <c r="C80" s="8" t="s">
        <v>536</v>
      </c>
      <c r="D80" s="8" t="s">
        <v>537</v>
      </c>
      <c r="E80" s="8" t="s">
        <v>538</v>
      </c>
      <c r="F80" s="8" t="s">
        <v>56</v>
      </c>
      <c r="G80" s="8" t="s">
        <v>44</v>
      </c>
      <c r="H80" s="8">
        <v>1000</v>
      </c>
      <c r="I80" s="8" t="s">
        <v>540</v>
      </c>
      <c r="J80" s="8">
        <v>2</v>
      </c>
      <c r="K80" s="8">
        <v>246</v>
      </c>
      <c r="L80" s="8">
        <v>246</v>
      </c>
      <c r="M80" s="8">
        <v>248</v>
      </c>
      <c r="N80" s="8">
        <v>423</v>
      </c>
      <c r="O80" s="8">
        <v>431</v>
      </c>
      <c r="P80" s="8">
        <v>428</v>
      </c>
      <c r="Q80" s="9" t="s">
        <v>47</v>
      </c>
      <c r="R80" s="16"/>
      <c r="S80" s="10">
        <v>85</v>
      </c>
      <c r="T80" s="10">
        <v>26</v>
      </c>
      <c r="U80" s="10">
        <v>3</v>
      </c>
      <c r="V80" s="11">
        <v>62</v>
      </c>
      <c r="W80" s="12" t="s">
        <v>47</v>
      </c>
      <c r="X80" s="17"/>
      <c r="Y80" s="13">
        <v>98</v>
      </c>
      <c r="Z80" s="13">
        <v>72</v>
      </c>
      <c r="AA80" s="13">
        <v>25</v>
      </c>
      <c r="AB80" s="14">
        <v>68</v>
      </c>
      <c r="AC80" s="9" t="s">
        <v>47</v>
      </c>
      <c r="AD80" s="16"/>
      <c r="AE80" s="10">
        <v>134</v>
      </c>
      <c r="AF80" s="10">
        <v>124</v>
      </c>
      <c r="AG80" s="10">
        <v>159</v>
      </c>
      <c r="AH80" s="11">
        <v>54</v>
      </c>
      <c r="AI80" s="12" t="s">
        <v>47</v>
      </c>
      <c r="AJ80" s="17"/>
      <c r="AK80" s="13">
        <v>54</v>
      </c>
      <c r="AL80" s="13">
        <v>9</v>
      </c>
      <c r="AM80" s="13">
        <v>78</v>
      </c>
      <c r="AN80" s="14">
        <v>83</v>
      </c>
      <c r="AO80" s="9" t="s">
        <v>47</v>
      </c>
      <c r="AP80" s="16"/>
      <c r="AQ80" s="10">
        <v>44</v>
      </c>
      <c r="AR80" s="10">
        <v>49</v>
      </c>
      <c r="AS80" s="10">
        <v>28</v>
      </c>
      <c r="AT80" s="11">
        <v>30</v>
      </c>
      <c r="AU80" s="12" t="s">
        <v>47</v>
      </c>
      <c r="AV80" s="17"/>
      <c r="AW80" s="13">
        <v>58</v>
      </c>
      <c r="AX80" s="13">
        <v>24</v>
      </c>
      <c r="AY80" s="13">
        <v>20</v>
      </c>
      <c r="AZ80" s="14">
        <v>33</v>
      </c>
      <c r="BA80" s="9"/>
      <c r="BB80" s="16"/>
      <c r="BC80" s="10"/>
      <c r="BD80" s="10"/>
      <c r="BE80" s="10"/>
      <c r="BF80" s="11"/>
      <c r="BG80" s="12"/>
      <c r="BH80" s="17"/>
      <c r="BI80" s="13"/>
      <c r="BJ80" s="13"/>
      <c r="BK80" s="13"/>
      <c r="BL80" s="14"/>
      <c r="BM80" s="9"/>
      <c r="BN80" s="16"/>
      <c r="BO80" s="10"/>
      <c r="BP80" s="10"/>
      <c r="BQ80" s="10"/>
      <c r="BR80" s="11"/>
      <c r="BS80" s="12"/>
      <c r="BT80" s="17"/>
      <c r="BU80" s="13"/>
      <c r="BV80" s="13"/>
      <c r="BW80" s="13"/>
      <c r="BX80" s="14"/>
      <c r="BY80" s="9"/>
      <c r="BZ80" s="16"/>
      <c r="CA80" s="10"/>
      <c r="CB80" s="10"/>
      <c r="CC80" s="10"/>
      <c r="CD80" s="11"/>
      <c r="CE80" s="12"/>
      <c r="CF80" s="17"/>
      <c r="CG80" s="13"/>
      <c r="CH80" s="13"/>
      <c r="CI80" s="13"/>
      <c r="CJ80" s="14"/>
      <c r="CK80" s="9"/>
      <c r="CL80" s="16"/>
      <c r="CM80" s="10"/>
      <c r="CN80" s="10"/>
      <c r="CO80" s="10"/>
      <c r="CP80" s="11"/>
      <c r="CQ80" s="12"/>
      <c r="CR80" s="17"/>
      <c r="CS80" s="13"/>
      <c r="CT80" s="13"/>
      <c r="CU80" s="13"/>
      <c r="CV80" s="14"/>
      <c r="CW80" s="9"/>
      <c r="CX80" s="16"/>
      <c r="CY80" s="10"/>
      <c r="CZ80" s="10"/>
      <c r="DA80" s="10"/>
      <c r="DB80" s="11"/>
      <c r="DC80" s="12"/>
      <c r="DD80" s="17"/>
      <c r="DE80" s="13"/>
      <c r="DF80" s="13"/>
      <c r="DG80" s="13"/>
      <c r="DH80" s="14"/>
      <c r="DI80" s="8">
        <f t="shared" si="18"/>
        <v>473</v>
      </c>
      <c r="DJ80" s="8">
        <f t="shared" si="19"/>
        <v>304</v>
      </c>
      <c r="DK80" s="8">
        <f t="shared" si="20"/>
        <v>313</v>
      </c>
      <c r="DL80" s="8">
        <f t="shared" si="21"/>
        <v>330</v>
      </c>
      <c r="DM80" s="8">
        <f t="shared" si="22"/>
        <v>473</v>
      </c>
      <c r="DN80" s="8">
        <f t="shared" si="23"/>
        <v>304</v>
      </c>
      <c r="DO80" s="15">
        <f t="shared" si="24"/>
        <v>34.654699352757333</v>
      </c>
      <c r="DP80" s="15" t="str">
        <f t="shared" si="25"/>
        <v>OK - No Upgrade</v>
      </c>
      <c r="DQ80" s="15" t="str">
        <f t="shared" si="26"/>
        <v>Need to Balance</v>
      </c>
    </row>
    <row r="81" spans="1:121" ht="15.75" customHeight="1" x14ac:dyDescent="0.25">
      <c r="A81" s="8" t="s">
        <v>38</v>
      </c>
      <c r="B81" s="8" t="s">
        <v>385</v>
      </c>
      <c r="C81" s="8" t="s">
        <v>536</v>
      </c>
      <c r="D81" s="8" t="s">
        <v>541</v>
      </c>
      <c r="E81" s="8" t="s">
        <v>542</v>
      </c>
      <c r="F81" s="8" t="s">
        <v>56</v>
      </c>
      <c r="G81" s="8"/>
      <c r="H81" s="8">
        <v>2000</v>
      </c>
      <c r="I81" s="8" t="s">
        <v>543</v>
      </c>
      <c r="J81" s="8">
        <v>1</v>
      </c>
      <c r="K81" s="8">
        <v>246</v>
      </c>
      <c r="L81" s="8">
        <v>246</v>
      </c>
      <c r="M81" s="8">
        <v>248</v>
      </c>
      <c r="N81" s="8">
        <v>425</v>
      </c>
      <c r="O81" s="8">
        <v>430</v>
      </c>
      <c r="P81" s="8">
        <v>406</v>
      </c>
      <c r="Q81" s="9" t="s">
        <v>70</v>
      </c>
      <c r="R81" s="16"/>
      <c r="S81" s="10">
        <v>14</v>
      </c>
      <c r="T81" s="10">
        <v>2</v>
      </c>
      <c r="U81" s="10">
        <v>2</v>
      </c>
      <c r="V81" s="11">
        <v>12</v>
      </c>
      <c r="W81" s="12" t="s">
        <v>70</v>
      </c>
      <c r="X81" s="17"/>
      <c r="Y81" s="13">
        <v>1</v>
      </c>
      <c r="Z81" s="13">
        <v>0</v>
      </c>
      <c r="AA81" s="13">
        <v>0</v>
      </c>
      <c r="AB81" s="14">
        <v>0</v>
      </c>
      <c r="AC81" s="9"/>
      <c r="AD81" s="16"/>
      <c r="AE81" s="10"/>
      <c r="AF81" s="10"/>
      <c r="AG81" s="10"/>
      <c r="AH81" s="11"/>
      <c r="AI81" s="12"/>
      <c r="AJ81" s="17"/>
      <c r="AK81" s="13"/>
      <c r="AL81" s="13"/>
      <c r="AM81" s="13"/>
      <c r="AN81" s="14"/>
      <c r="AO81" s="9"/>
      <c r="AP81" s="16"/>
      <c r="AQ81" s="10"/>
      <c r="AR81" s="10"/>
      <c r="AS81" s="10"/>
      <c r="AT81" s="11"/>
      <c r="AU81" s="12"/>
      <c r="AV81" s="17"/>
      <c r="AW81" s="13"/>
      <c r="AX81" s="13"/>
      <c r="AY81" s="13"/>
      <c r="AZ81" s="14"/>
      <c r="BA81" s="9"/>
      <c r="BB81" s="16"/>
      <c r="BC81" s="10"/>
      <c r="BD81" s="10"/>
      <c r="BE81" s="10"/>
      <c r="BF81" s="11"/>
      <c r="BG81" s="12"/>
      <c r="BH81" s="17"/>
      <c r="BI81" s="13"/>
      <c r="BJ81" s="13"/>
      <c r="BK81" s="13"/>
      <c r="BL81" s="14"/>
      <c r="BM81" s="9" t="s">
        <v>47</v>
      </c>
      <c r="BN81" s="16"/>
      <c r="BO81" s="10">
        <v>19</v>
      </c>
      <c r="BP81" s="10">
        <v>14</v>
      </c>
      <c r="BQ81" s="10">
        <v>44</v>
      </c>
      <c r="BR81" s="11">
        <v>22</v>
      </c>
      <c r="BS81" s="12" t="s">
        <v>47</v>
      </c>
      <c r="BT81" s="17"/>
      <c r="BU81" s="13">
        <v>17</v>
      </c>
      <c r="BV81" s="13">
        <v>12</v>
      </c>
      <c r="BW81" s="13">
        <v>41</v>
      </c>
      <c r="BX81" s="14">
        <v>20</v>
      </c>
      <c r="BY81" s="9" t="s">
        <v>70</v>
      </c>
      <c r="BZ81" s="16"/>
      <c r="CA81" s="10">
        <v>15</v>
      </c>
      <c r="CB81" s="10">
        <v>12</v>
      </c>
      <c r="CC81" s="10">
        <v>0</v>
      </c>
      <c r="CD81" s="11">
        <v>17</v>
      </c>
      <c r="CE81" s="12" t="s">
        <v>70</v>
      </c>
      <c r="CF81" s="17"/>
      <c r="CG81" s="13">
        <v>15</v>
      </c>
      <c r="CH81" s="13">
        <v>2</v>
      </c>
      <c r="CI81" s="13">
        <v>23</v>
      </c>
      <c r="CJ81" s="14">
        <v>14</v>
      </c>
      <c r="CK81" s="9" t="s">
        <v>70</v>
      </c>
      <c r="CL81" s="16"/>
      <c r="CM81" s="10">
        <v>0</v>
      </c>
      <c r="CN81" s="10">
        <v>35</v>
      </c>
      <c r="CO81" s="10">
        <v>50</v>
      </c>
      <c r="CP81" s="11">
        <v>33</v>
      </c>
      <c r="CQ81" s="12" t="s">
        <v>70</v>
      </c>
      <c r="CR81" s="17"/>
      <c r="CS81" s="13">
        <v>29</v>
      </c>
      <c r="CT81" s="13">
        <v>10</v>
      </c>
      <c r="CU81" s="13">
        <v>18</v>
      </c>
      <c r="CV81" s="14">
        <v>15</v>
      </c>
      <c r="CW81" s="9"/>
      <c r="CX81" s="16"/>
      <c r="CY81" s="10"/>
      <c r="CZ81" s="10"/>
      <c r="DA81" s="10"/>
      <c r="DB81" s="11"/>
      <c r="DC81" s="12" t="s">
        <v>70</v>
      </c>
      <c r="DD81" s="17"/>
      <c r="DE81" s="13">
        <v>27</v>
      </c>
      <c r="DF81" s="13">
        <v>32</v>
      </c>
      <c r="DG81" s="13">
        <v>9</v>
      </c>
      <c r="DH81" s="14">
        <v>16</v>
      </c>
      <c r="DI81" s="8">
        <f t="shared" si="18"/>
        <v>137</v>
      </c>
      <c r="DJ81" s="8">
        <f t="shared" si="19"/>
        <v>119</v>
      </c>
      <c r="DK81" s="8">
        <f t="shared" si="20"/>
        <v>187</v>
      </c>
      <c r="DL81" s="8">
        <f t="shared" si="21"/>
        <v>149</v>
      </c>
      <c r="DM81" s="8">
        <f t="shared" si="22"/>
        <v>187</v>
      </c>
      <c r="DN81" s="8">
        <f t="shared" si="23"/>
        <v>119</v>
      </c>
      <c r="DO81" s="15">
        <f t="shared" si="24"/>
        <v>6.8827368965768256</v>
      </c>
      <c r="DP81" s="15" t="str">
        <f t="shared" si="25"/>
        <v>OK - No Upgrade</v>
      </c>
      <c r="DQ81" s="15" t="str">
        <f t="shared" si="26"/>
        <v>Need to Balance</v>
      </c>
    </row>
    <row r="82" spans="1:121" ht="15.75" customHeight="1" x14ac:dyDescent="0.25">
      <c r="A82" s="8" t="s">
        <v>38</v>
      </c>
      <c r="B82" s="8" t="s">
        <v>385</v>
      </c>
      <c r="C82" s="8" t="s">
        <v>536</v>
      </c>
      <c r="D82" s="8" t="s">
        <v>541</v>
      </c>
      <c r="E82" s="8" t="s">
        <v>542</v>
      </c>
      <c r="F82" s="8" t="s">
        <v>56</v>
      </c>
      <c r="G82" s="8" t="s">
        <v>44</v>
      </c>
      <c r="H82" s="8">
        <v>2000</v>
      </c>
      <c r="I82" s="8" t="s">
        <v>544</v>
      </c>
      <c r="J82" s="8">
        <v>2</v>
      </c>
      <c r="K82" s="8">
        <v>248</v>
      </c>
      <c r="L82" s="8">
        <v>247</v>
      </c>
      <c r="M82" s="8">
        <v>249</v>
      </c>
      <c r="N82" s="8">
        <v>428</v>
      </c>
      <c r="O82" s="8">
        <v>431</v>
      </c>
      <c r="P82" s="8">
        <v>430</v>
      </c>
      <c r="Q82" s="9" t="s">
        <v>47</v>
      </c>
      <c r="R82" s="16"/>
      <c r="S82" s="10">
        <v>18</v>
      </c>
      <c r="T82" s="10">
        <v>22</v>
      </c>
      <c r="U82" s="10">
        <v>47</v>
      </c>
      <c r="V82" s="11">
        <v>29</v>
      </c>
      <c r="W82" s="12" t="s">
        <v>47</v>
      </c>
      <c r="X82" s="17"/>
      <c r="Y82" s="13">
        <v>16</v>
      </c>
      <c r="Z82" s="13">
        <v>18</v>
      </c>
      <c r="AA82" s="13">
        <v>35</v>
      </c>
      <c r="AB82" s="14">
        <v>13</v>
      </c>
      <c r="AC82" s="9" t="s">
        <v>70</v>
      </c>
      <c r="AD82" s="16"/>
      <c r="AE82" s="10">
        <v>4</v>
      </c>
      <c r="AF82" s="10">
        <v>19</v>
      </c>
      <c r="AG82" s="10">
        <v>15</v>
      </c>
      <c r="AH82" s="11">
        <v>14</v>
      </c>
      <c r="AI82" s="12" t="s">
        <v>70</v>
      </c>
      <c r="AJ82" s="17"/>
      <c r="AK82" s="13">
        <v>32</v>
      </c>
      <c r="AL82" s="13">
        <v>26</v>
      </c>
      <c r="AM82" s="13">
        <v>46</v>
      </c>
      <c r="AN82" s="14">
        <v>32</v>
      </c>
      <c r="AO82" s="9" t="s">
        <v>70</v>
      </c>
      <c r="AP82" s="16"/>
      <c r="AQ82" s="10">
        <v>5</v>
      </c>
      <c r="AR82" s="10">
        <v>4</v>
      </c>
      <c r="AS82" s="10">
        <v>82</v>
      </c>
      <c r="AT82" s="11">
        <v>69</v>
      </c>
      <c r="AU82" s="12" t="s">
        <v>47</v>
      </c>
      <c r="AV82" s="17"/>
      <c r="AW82" s="13">
        <v>14</v>
      </c>
      <c r="AX82" s="13">
        <v>10</v>
      </c>
      <c r="AY82" s="13">
        <v>13</v>
      </c>
      <c r="AZ82" s="14">
        <v>3</v>
      </c>
      <c r="BA82" s="9"/>
      <c r="BB82" s="16"/>
      <c r="BC82" s="10"/>
      <c r="BD82" s="10"/>
      <c r="BE82" s="10"/>
      <c r="BF82" s="11"/>
      <c r="BG82" s="12" t="s">
        <v>47</v>
      </c>
      <c r="BH82" s="17"/>
      <c r="BI82" s="13">
        <v>44</v>
      </c>
      <c r="BJ82" s="13">
        <v>0</v>
      </c>
      <c r="BK82" s="13">
        <v>1</v>
      </c>
      <c r="BL82" s="14">
        <v>17</v>
      </c>
      <c r="BM82" s="9" t="s">
        <v>70</v>
      </c>
      <c r="BN82" s="16"/>
      <c r="BO82" s="10">
        <v>14</v>
      </c>
      <c r="BP82" s="10">
        <v>2</v>
      </c>
      <c r="BQ82" s="10">
        <v>2</v>
      </c>
      <c r="BR82" s="11">
        <v>9</v>
      </c>
      <c r="BS82" s="12" t="s">
        <v>70</v>
      </c>
      <c r="BT82" s="17"/>
      <c r="BU82" s="13">
        <v>1</v>
      </c>
      <c r="BV82" s="13">
        <v>0</v>
      </c>
      <c r="BW82" s="13">
        <v>0</v>
      </c>
      <c r="BX82" s="14">
        <v>1</v>
      </c>
      <c r="BY82" s="9"/>
      <c r="BZ82" s="16"/>
      <c r="CA82" s="10"/>
      <c r="CB82" s="10"/>
      <c r="CC82" s="10"/>
      <c r="CD82" s="11"/>
      <c r="CE82" s="12"/>
      <c r="CF82" s="17"/>
      <c r="CG82" s="13"/>
      <c r="CH82" s="13"/>
      <c r="CI82" s="13"/>
      <c r="CJ82" s="14"/>
      <c r="CK82" s="9"/>
      <c r="CL82" s="16"/>
      <c r="CM82" s="10"/>
      <c r="CN82" s="10"/>
      <c r="CO82" s="10"/>
      <c r="CP82" s="11"/>
      <c r="CQ82" s="12"/>
      <c r="CR82" s="17"/>
      <c r="CS82" s="13"/>
      <c r="CT82" s="13"/>
      <c r="CU82" s="13"/>
      <c r="CV82" s="14"/>
      <c r="CW82" s="9"/>
      <c r="CX82" s="16"/>
      <c r="CY82" s="10"/>
      <c r="CZ82" s="10"/>
      <c r="DA82" s="10"/>
      <c r="DB82" s="11"/>
      <c r="DC82" s="12"/>
      <c r="DD82" s="17"/>
      <c r="DE82" s="13"/>
      <c r="DF82" s="13"/>
      <c r="DG82" s="13"/>
      <c r="DH82" s="14"/>
      <c r="DI82" s="8">
        <f t="shared" si="18"/>
        <v>148</v>
      </c>
      <c r="DJ82" s="8">
        <f t="shared" si="19"/>
        <v>101</v>
      </c>
      <c r="DK82" s="8">
        <f t="shared" si="20"/>
        <v>241</v>
      </c>
      <c r="DL82" s="8">
        <f t="shared" si="21"/>
        <v>187</v>
      </c>
      <c r="DM82" s="8">
        <f t="shared" si="22"/>
        <v>241</v>
      </c>
      <c r="DN82" s="8">
        <f t="shared" si="23"/>
        <v>101</v>
      </c>
      <c r="DO82" s="15">
        <f t="shared" si="24"/>
        <v>8.9328788349557282</v>
      </c>
      <c r="DP82" s="15" t="str">
        <f t="shared" si="25"/>
        <v>OK - No Upgrade</v>
      </c>
      <c r="DQ82" s="15" t="str">
        <f t="shared" si="26"/>
        <v>Need to Balance</v>
      </c>
    </row>
    <row r="83" spans="1:121" ht="15.75" customHeight="1" x14ac:dyDescent="0.25">
      <c r="A83" s="8" t="s">
        <v>38</v>
      </c>
      <c r="B83" s="8" t="s">
        <v>385</v>
      </c>
      <c r="C83" s="8" t="s">
        <v>536</v>
      </c>
      <c r="D83" s="8" t="s">
        <v>545</v>
      </c>
      <c r="E83" s="8" t="s">
        <v>546</v>
      </c>
      <c r="F83" s="8" t="s">
        <v>56</v>
      </c>
      <c r="G83" s="8"/>
      <c r="H83" s="8">
        <v>1000</v>
      </c>
      <c r="I83" s="8" t="s">
        <v>547</v>
      </c>
      <c r="J83" s="8">
        <v>1</v>
      </c>
      <c r="K83" s="8">
        <v>245</v>
      </c>
      <c r="L83" s="8">
        <v>245</v>
      </c>
      <c r="M83" s="8">
        <v>247</v>
      </c>
      <c r="N83" s="8">
        <v>424</v>
      </c>
      <c r="O83" s="8">
        <v>427</v>
      </c>
      <c r="P83" s="8">
        <v>429</v>
      </c>
      <c r="Q83" s="9" t="s">
        <v>47</v>
      </c>
      <c r="R83" s="16"/>
      <c r="S83" s="10">
        <v>28</v>
      </c>
      <c r="T83" s="10">
        <v>48</v>
      </c>
      <c r="U83" s="10">
        <v>34</v>
      </c>
      <c r="V83" s="11">
        <v>19</v>
      </c>
      <c r="W83" s="12" t="s">
        <v>47</v>
      </c>
      <c r="X83" s="17"/>
      <c r="Y83" s="13">
        <v>74</v>
      </c>
      <c r="Z83" s="13">
        <v>21</v>
      </c>
      <c r="AA83" s="13">
        <v>63</v>
      </c>
      <c r="AB83" s="14">
        <v>58</v>
      </c>
      <c r="AC83" s="9"/>
      <c r="AD83" s="16"/>
      <c r="AE83" s="10"/>
      <c r="AF83" s="10"/>
      <c r="AG83" s="10"/>
      <c r="AH83" s="11"/>
      <c r="AI83" s="12" t="s">
        <v>46</v>
      </c>
      <c r="AJ83" s="17"/>
      <c r="AK83" s="13">
        <v>71</v>
      </c>
      <c r="AL83" s="13">
        <v>56</v>
      </c>
      <c r="AM83" s="13">
        <v>122</v>
      </c>
      <c r="AN83" s="14">
        <v>53</v>
      </c>
      <c r="AO83" s="9" t="s">
        <v>46</v>
      </c>
      <c r="AP83" s="16"/>
      <c r="AQ83" s="10">
        <v>182</v>
      </c>
      <c r="AR83" s="10">
        <v>183</v>
      </c>
      <c r="AS83" s="10">
        <v>174</v>
      </c>
      <c r="AT83" s="11">
        <v>29</v>
      </c>
      <c r="AU83" s="12" t="s">
        <v>47</v>
      </c>
      <c r="AV83" s="17"/>
      <c r="AW83" s="13">
        <v>14</v>
      </c>
      <c r="AX83" s="13">
        <v>11</v>
      </c>
      <c r="AY83" s="13">
        <v>16</v>
      </c>
      <c r="AZ83" s="14">
        <v>6</v>
      </c>
      <c r="BA83" s="9" t="s">
        <v>47</v>
      </c>
      <c r="BB83" s="16"/>
      <c r="BC83" s="10">
        <v>9</v>
      </c>
      <c r="BD83" s="10">
        <v>33</v>
      </c>
      <c r="BE83" s="10">
        <v>54</v>
      </c>
      <c r="BF83" s="11">
        <v>36</v>
      </c>
      <c r="BG83" s="12"/>
      <c r="BH83" s="17"/>
      <c r="BI83" s="13"/>
      <c r="BJ83" s="13"/>
      <c r="BK83" s="13"/>
      <c r="BL83" s="14"/>
      <c r="BM83" s="9"/>
      <c r="BN83" s="16"/>
      <c r="BO83" s="10"/>
      <c r="BP83" s="10"/>
      <c r="BQ83" s="10"/>
      <c r="BR83" s="11"/>
      <c r="BS83" s="12"/>
      <c r="BT83" s="17"/>
      <c r="BU83" s="13"/>
      <c r="BV83" s="13"/>
      <c r="BW83" s="13"/>
      <c r="BX83" s="14"/>
      <c r="BY83" s="9"/>
      <c r="BZ83" s="16"/>
      <c r="CA83" s="10"/>
      <c r="CB83" s="10"/>
      <c r="CC83" s="10"/>
      <c r="CD83" s="11"/>
      <c r="CE83" s="12"/>
      <c r="CF83" s="17"/>
      <c r="CG83" s="13"/>
      <c r="CH83" s="13"/>
      <c r="CI83" s="13"/>
      <c r="CJ83" s="14"/>
      <c r="CK83" s="9"/>
      <c r="CL83" s="16"/>
      <c r="CM83" s="10"/>
      <c r="CN83" s="10"/>
      <c r="CO83" s="10"/>
      <c r="CP83" s="11"/>
      <c r="CQ83" s="12"/>
      <c r="CR83" s="17"/>
      <c r="CS83" s="13"/>
      <c r="CT83" s="13"/>
      <c r="CU83" s="13"/>
      <c r="CV83" s="14"/>
      <c r="CW83" s="9"/>
      <c r="CX83" s="16"/>
      <c r="CY83" s="10"/>
      <c r="CZ83" s="10"/>
      <c r="DA83" s="10"/>
      <c r="DB83" s="11"/>
      <c r="DC83" s="12"/>
      <c r="DD83" s="17"/>
      <c r="DE83" s="13"/>
      <c r="DF83" s="13"/>
      <c r="DG83" s="13"/>
      <c r="DH83" s="14"/>
      <c r="DI83" s="8">
        <f t="shared" si="18"/>
        <v>378</v>
      </c>
      <c r="DJ83" s="8">
        <f t="shared" si="19"/>
        <v>352</v>
      </c>
      <c r="DK83" s="8">
        <f t="shared" si="20"/>
        <v>463</v>
      </c>
      <c r="DL83" s="8">
        <f t="shared" si="21"/>
        <v>201</v>
      </c>
      <c r="DM83" s="8">
        <f t="shared" si="22"/>
        <v>463</v>
      </c>
      <c r="DN83" s="8">
        <f t="shared" si="23"/>
        <v>352</v>
      </c>
      <c r="DO83" s="15">
        <f t="shared" si="24"/>
        <v>34.002235813546143</v>
      </c>
      <c r="DP83" s="15" t="str">
        <f t="shared" si="25"/>
        <v>OK - No Upgrade</v>
      </c>
      <c r="DQ83" s="15" t="str">
        <f t="shared" si="26"/>
        <v>Need to Balance</v>
      </c>
    </row>
    <row r="84" spans="1:121" ht="15.75" customHeight="1" x14ac:dyDescent="0.25">
      <c r="A84" s="8" t="s">
        <v>38</v>
      </c>
      <c r="B84" s="8" t="s">
        <v>385</v>
      </c>
      <c r="C84" s="8" t="s">
        <v>536</v>
      </c>
      <c r="D84" s="8" t="s">
        <v>545</v>
      </c>
      <c r="E84" s="8" t="s">
        <v>546</v>
      </c>
      <c r="F84" s="8" t="s">
        <v>56</v>
      </c>
      <c r="G84" s="8" t="s">
        <v>44</v>
      </c>
      <c r="H84" s="8">
        <v>1000</v>
      </c>
      <c r="I84" s="8" t="s">
        <v>548</v>
      </c>
      <c r="J84" s="8">
        <v>2</v>
      </c>
      <c r="K84" s="8">
        <v>246</v>
      </c>
      <c r="L84" s="8">
        <v>246</v>
      </c>
      <c r="M84" s="8">
        <v>248</v>
      </c>
      <c r="N84" s="8">
        <v>426</v>
      </c>
      <c r="O84" s="8">
        <v>430</v>
      </c>
      <c r="P84" s="8">
        <v>428</v>
      </c>
      <c r="Q84" s="9" t="s">
        <v>47</v>
      </c>
      <c r="R84" s="16"/>
      <c r="S84" s="10">
        <v>112</v>
      </c>
      <c r="T84" s="10">
        <v>58</v>
      </c>
      <c r="U84" s="10">
        <v>77</v>
      </c>
      <c r="V84" s="11">
        <v>57</v>
      </c>
      <c r="W84" s="12" t="s">
        <v>47</v>
      </c>
      <c r="X84" s="17"/>
      <c r="Y84" s="13">
        <v>80</v>
      </c>
      <c r="Z84" s="13">
        <v>60</v>
      </c>
      <c r="AA84" s="13">
        <v>80</v>
      </c>
      <c r="AB84" s="14">
        <v>27</v>
      </c>
      <c r="AC84" s="9"/>
      <c r="AD84" s="16"/>
      <c r="AE84" s="10"/>
      <c r="AF84" s="10"/>
      <c r="AG84" s="10"/>
      <c r="AH84" s="11"/>
      <c r="AI84" s="12" t="s">
        <v>46</v>
      </c>
      <c r="AJ84" s="17"/>
      <c r="AK84" s="13">
        <v>78</v>
      </c>
      <c r="AL84" s="13">
        <v>49</v>
      </c>
      <c r="AM84" s="13">
        <v>71</v>
      </c>
      <c r="AN84" s="14">
        <v>20</v>
      </c>
      <c r="AO84" s="9" t="s">
        <v>46</v>
      </c>
      <c r="AP84" s="16"/>
      <c r="AQ84" s="10">
        <v>99</v>
      </c>
      <c r="AR84" s="10">
        <v>77</v>
      </c>
      <c r="AS84" s="10">
        <v>110</v>
      </c>
      <c r="AT84" s="11">
        <v>49</v>
      </c>
      <c r="AU84" s="12" t="s">
        <v>70</v>
      </c>
      <c r="AV84" s="17"/>
      <c r="AW84" s="13">
        <v>0</v>
      </c>
      <c r="AX84" s="13">
        <v>3</v>
      </c>
      <c r="AY84" s="13">
        <v>3</v>
      </c>
      <c r="AZ84" s="14">
        <v>3</v>
      </c>
      <c r="BA84" s="9" t="s">
        <v>47</v>
      </c>
      <c r="BB84" s="16"/>
      <c r="BC84" s="10">
        <v>39</v>
      </c>
      <c r="BD84" s="10">
        <v>36</v>
      </c>
      <c r="BE84" s="10">
        <v>20</v>
      </c>
      <c r="BF84" s="11">
        <v>15</v>
      </c>
      <c r="BG84" s="12"/>
      <c r="BH84" s="17"/>
      <c r="BI84" s="13"/>
      <c r="BJ84" s="13"/>
      <c r="BK84" s="13"/>
      <c r="BL84" s="14"/>
      <c r="BM84" s="9"/>
      <c r="BN84" s="16"/>
      <c r="BO84" s="10"/>
      <c r="BP84" s="10"/>
      <c r="BQ84" s="10"/>
      <c r="BR84" s="11"/>
      <c r="BS84" s="12"/>
      <c r="BT84" s="17"/>
      <c r="BU84" s="13"/>
      <c r="BV84" s="13"/>
      <c r="BW84" s="13"/>
      <c r="BX84" s="14"/>
      <c r="BY84" s="9"/>
      <c r="BZ84" s="16"/>
      <c r="CA84" s="10"/>
      <c r="CB84" s="10"/>
      <c r="CC84" s="10"/>
      <c r="CD84" s="11"/>
      <c r="CE84" s="12"/>
      <c r="CF84" s="17"/>
      <c r="CG84" s="13"/>
      <c r="CH84" s="13"/>
      <c r="CI84" s="13"/>
      <c r="CJ84" s="14"/>
      <c r="CK84" s="9"/>
      <c r="CL84" s="16"/>
      <c r="CM84" s="10"/>
      <c r="CN84" s="10"/>
      <c r="CO84" s="10"/>
      <c r="CP84" s="11"/>
      <c r="CQ84" s="12"/>
      <c r="CR84" s="17"/>
      <c r="CS84" s="13"/>
      <c r="CT84" s="13"/>
      <c r="CU84" s="13"/>
      <c r="CV84" s="14"/>
      <c r="CW84" s="9"/>
      <c r="CX84" s="16"/>
      <c r="CY84" s="10"/>
      <c r="CZ84" s="10"/>
      <c r="DA84" s="10"/>
      <c r="DB84" s="11"/>
      <c r="DC84" s="12"/>
      <c r="DD84" s="17"/>
      <c r="DE84" s="13"/>
      <c r="DF84" s="13"/>
      <c r="DG84" s="13"/>
      <c r="DH84" s="14"/>
      <c r="DI84" s="8">
        <f t="shared" si="18"/>
        <v>408</v>
      </c>
      <c r="DJ84" s="8">
        <f t="shared" si="19"/>
        <v>283</v>
      </c>
      <c r="DK84" s="8">
        <f t="shared" si="20"/>
        <v>361</v>
      </c>
      <c r="DL84" s="8">
        <f t="shared" si="21"/>
        <v>171</v>
      </c>
      <c r="DM84" s="8">
        <f t="shared" si="22"/>
        <v>408</v>
      </c>
      <c r="DN84" s="8">
        <f t="shared" si="23"/>
        <v>283</v>
      </c>
      <c r="DO84" s="15">
        <f t="shared" si="24"/>
        <v>30.104428676193141</v>
      </c>
      <c r="DP84" s="15" t="str">
        <f t="shared" si="25"/>
        <v>OK - No Upgrade</v>
      </c>
      <c r="DQ84" s="15" t="str">
        <f t="shared" si="26"/>
        <v>Need to Balance</v>
      </c>
    </row>
    <row r="85" spans="1:121" ht="15.75" customHeight="1" x14ac:dyDescent="0.25">
      <c r="A85" s="8" t="s">
        <v>38</v>
      </c>
      <c r="B85" s="8" t="s">
        <v>385</v>
      </c>
      <c r="C85" s="8" t="s">
        <v>536</v>
      </c>
      <c r="D85" s="8" t="s">
        <v>549</v>
      </c>
      <c r="E85" s="8" t="s">
        <v>550</v>
      </c>
      <c r="F85" s="8" t="s">
        <v>56</v>
      </c>
      <c r="G85" s="8"/>
      <c r="H85" s="8">
        <v>1000</v>
      </c>
      <c r="I85" s="8" t="s">
        <v>551</v>
      </c>
      <c r="J85" s="8">
        <v>1</v>
      </c>
      <c r="K85" s="8">
        <v>246</v>
      </c>
      <c r="L85" s="8">
        <v>246</v>
      </c>
      <c r="M85" s="8">
        <v>248</v>
      </c>
      <c r="N85" s="8">
        <v>424</v>
      </c>
      <c r="O85" s="8">
        <v>430</v>
      </c>
      <c r="P85" s="8">
        <v>428</v>
      </c>
      <c r="Q85" s="9"/>
      <c r="R85" s="16"/>
      <c r="S85" s="10"/>
      <c r="T85" s="10"/>
      <c r="U85" s="10"/>
      <c r="V85" s="11"/>
      <c r="W85" s="12"/>
      <c r="X85" s="17"/>
      <c r="Y85" s="13"/>
      <c r="Z85" s="13"/>
      <c r="AA85" s="13"/>
      <c r="AB85" s="14"/>
      <c r="AC85" s="9"/>
      <c r="AD85" s="16"/>
      <c r="AE85" s="10"/>
      <c r="AF85" s="10"/>
      <c r="AG85" s="10"/>
      <c r="AH85" s="11"/>
      <c r="AI85" s="12" t="s">
        <v>46</v>
      </c>
      <c r="AJ85" s="17"/>
      <c r="AK85" s="13">
        <v>74</v>
      </c>
      <c r="AL85" s="13">
        <v>42</v>
      </c>
      <c r="AM85" s="13">
        <v>61</v>
      </c>
      <c r="AN85" s="14">
        <v>31</v>
      </c>
      <c r="AO85" s="9" t="s">
        <v>46</v>
      </c>
      <c r="AP85" s="16"/>
      <c r="AQ85" s="10">
        <v>134</v>
      </c>
      <c r="AR85" s="10">
        <v>66</v>
      </c>
      <c r="AS85" s="10">
        <v>87</v>
      </c>
      <c r="AT85" s="11">
        <v>63</v>
      </c>
      <c r="AU85" s="12" t="s">
        <v>47</v>
      </c>
      <c r="AV85" s="17"/>
      <c r="AW85" s="13">
        <v>0</v>
      </c>
      <c r="AX85" s="13">
        <v>0</v>
      </c>
      <c r="AY85" s="13">
        <v>0</v>
      </c>
      <c r="AZ85" s="14">
        <v>0</v>
      </c>
      <c r="BA85" s="9" t="s">
        <v>70</v>
      </c>
      <c r="BB85" s="16"/>
      <c r="BC85" s="10">
        <v>4</v>
      </c>
      <c r="BD85" s="10">
        <v>15</v>
      </c>
      <c r="BE85" s="10">
        <v>1</v>
      </c>
      <c r="BF85" s="11">
        <v>10</v>
      </c>
      <c r="BG85" s="12" t="s">
        <v>47</v>
      </c>
      <c r="BH85" s="17"/>
      <c r="BI85" s="13">
        <v>0</v>
      </c>
      <c r="BJ85" s="13">
        <v>2</v>
      </c>
      <c r="BK85" s="13">
        <v>1</v>
      </c>
      <c r="BL85" s="14">
        <v>1</v>
      </c>
      <c r="BM85" s="9"/>
      <c r="BN85" s="16"/>
      <c r="BO85" s="10"/>
      <c r="BP85" s="10"/>
      <c r="BQ85" s="10"/>
      <c r="BR85" s="11"/>
      <c r="BS85" s="12"/>
      <c r="BT85" s="17"/>
      <c r="BU85" s="13"/>
      <c r="BV85" s="13"/>
      <c r="BW85" s="13"/>
      <c r="BX85" s="14"/>
      <c r="BY85" s="9"/>
      <c r="BZ85" s="16"/>
      <c r="CA85" s="10"/>
      <c r="CB85" s="10"/>
      <c r="CC85" s="10"/>
      <c r="CD85" s="11"/>
      <c r="CE85" s="12"/>
      <c r="CF85" s="17"/>
      <c r="CG85" s="13"/>
      <c r="CH85" s="13"/>
      <c r="CI85" s="13"/>
      <c r="CJ85" s="14"/>
      <c r="CK85" s="9"/>
      <c r="CL85" s="16"/>
      <c r="CM85" s="10"/>
      <c r="CN85" s="10"/>
      <c r="CO85" s="10"/>
      <c r="CP85" s="11"/>
      <c r="CQ85" s="12"/>
      <c r="CR85" s="17"/>
      <c r="CS85" s="13"/>
      <c r="CT85" s="13"/>
      <c r="CU85" s="13"/>
      <c r="CV85" s="14"/>
      <c r="CW85" s="9"/>
      <c r="CX85" s="16"/>
      <c r="CY85" s="10"/>
      <c r="CZ85" s="10"/>
      <c r="DA85" s="10"/>
      <c r="DB85" s="11"/>
      <c r="DC85" s="12"/>
      <c r="DD85" s="17"/>
      <c r="DE85" s="13"/>
      <c r="DF85" s="13"/>
      <c r="DG85" s="13"/>
      <c r="DH85" s="14"/>
      <c r="DI85" s="8">
        <f t="shared" si="18"/>
        <v>212</v>
      </c>
      <c r="DJ85" s="8">
        <f t="shared" si="19"/>
        <v>125</v>
      </c>
      <c r="DK85" s="8">
        <f t="shared" si="20"/>
        <v>150</v>
      </c>
      <c r="DL85" s="8">
        <f t="shared" si="21"/>
        <v>105</v>
      </c>
      <c r="DM85" s="8">
        <f t="shared" si="22"/>
        <v>212</v>
      </c>
      <c r="DN85" s="8">
        <f t="shared" si="23"/>
        <v>125</v>
      </c>
      <c r="DO85" s="15">
        <f t="shared" si="24"/>
        <v>15.569058299075126</v>
      </c>
      <c r="DP85" s="15" t="str">
        <f t="shared" si="25"/>
        <v>OK - No Upgrade</v>
      </c>
      <c r="DQ85" s="15" t="str">
        <f t="shared" si="26"/>
        <v>Need to Balance</v>
      </c>
    </row>
    <row r="86" spans="1:121" ht="15.75" customHeight="1" x14ac:dyDescent="0.25">
      <c r="A86" s="8" t="s">
        <v>38</v>
      </c>
      <c r="B86" s="8" t="s">
        <v>385</v>
      </c>
      <c r="C86" s="8" t="s">
        <v>536</v>
      </c>
      <c r="D86" s="8" t="s">
        <v>549</v>
      </c>
      <c r="E86" s="8" t="s">
        <v>550</v>
      </c>
      <c r="F86" s="8" t="s">
        <v>56</v>
      </c>
      <c r="G86" s="8" t="s">
        <v>44</v>
      </c>
      <c r="H86" s="8">
        <v>1000</v>
      </c>
      <c r="I86" s="8" t="s">
        <v>552</v>
      </c>
      <c r="J86" s="8">
        <v>2</v>
      </c>
      <c r="K86" s="8">
        <v>247</v>
      </c>
      <c r="L86" s="8">
        <v>248</v>
      </c>
      <c r="M86" s="8">
        <v>247</v>
      </c>
      <c r="N86" s="8">
        <v>438</v>
      </c>
      <c r="O86" s="8">
        <v>430</v>
      </c>
      <c r="P86" s="8">
        <v>433</v>
      </c>
      <c r="Q86" s="9"/>
      <c r="R86" s="16"/>
      <c r="S86" s="10"/>
      <c r="T86" s="10"/>
      <c r="U86" s="10"/>
      <c r="V86" s="11"/>
      <c r="W86" s="12"/>
      <c r="X86" s="17"/>
      <c r="Y86" s="13"/>
      <c r="Z86" s="13"/>
      <c r="AA86" s="13"/>
      <c r="AB86" s="14"/>
      <c r="AC86" s="9"/>
      <c r="AD86" s="16"/>
      <c r="AE86" s="10"/>
      <c r="AF86" s="10"/>
      <c r="AG86" s="10"/>
      <c r="AH86" s="11"/>
      <c r="AI86" s="12" t="s">
        <v>46</v>
      </c>
      <c r="AJ86" s="17"/>
      <c r="AK86" s="13">
        <v>35</v>
      </c>
      <c r="AL86" s="13">
        <v>25</v>
      </c>
      <c r="AM86" s="13">
        <v>34</v>
      </c>
      <c r="AN86" s="14">
        <v>18</v>
      </c>
      <c r="AO86" s="9" t="s">
        <v>46</v>
      </c>
      <c r="AP86" s="16"/>
      <c r="AQ86" s="10">
        <v>375</v>
      </c>
      <c r="AR86" s="10">
        <v>200</v>
      </c>
      <c r="AS86" s="10">
        <v>309</v>
      </c>
      <c r="AT86" s="11">
        <v>141</v>
      </c>
      <c r="AU86" s="12" t="s">
        <v>46</v>
      </c>
      <c r="AV86" s="17"/>
      <c r="AW86" s="13">
        <v>0</v>
      </c>
      <c r="AX86" s="13">
        <v>0</v>
      </c>
      <c r="AY86" s="13">
        <v>0</v>
      </c>
      <c r="AZ86" s="14">
        <v>0</v>
      </c>
      <c r="BA86" s="9" t="s">
        <v>70</v>
      </c>
      <c r="BB86" s="16"/>
      <c r="BC86" s="10">
        <v>2</v>
      </c>
      <c r="BD86" s="10">
        <v>5</v>
      </c>
      <c r="BE86" s="10">
        <v>14</v>
      </c>
      <c r="BF86" s="11">
        <v>11</v>
      </c>
      <c r="BG86" s="12" t="s">
        <v>70</v>
      </c>
      <c r="BH86" s="17"/>
      <c r="BI86" s="13">
        <v>10</v>
      </c>
      <c r="BJ86" s="13">
        <v>1</v>
      </c>
      <c r="BK86" s="13">
        <v>5</v>
      </c>
      <c r="BL86" s="14">
        <v>4</v>
      </c>
      <c r="BM86" s="9"/>
      <c r="BN86" s="16"/>
      <c r="BO86" s="10"/>
      <c r="BP86" s="10"/>
      <c r="BQ86" s="10"/>
      <c r="BR86" s="11"/>
      <c r="BS86" s="12"/>
      <c r="BT86" s="17"/>
      <c r="BU86" s="13"/>
      <c r="BV86" s="13"/>
      <c r="BW86" s="13"/>
      <c r="BX86" s="14"/>
      <c r="BY86" s="9"/>
      <c r="BZ86" s="16"/>
      <c r="CA86" s="10"/>
      <c r="CB86" s="10"/>
      <c r="CC86" s="10"/>
      <c r="CD86" s="11"/>
      <c r="CE86" s="12"/>
      <c r="CF86" s="17"/>
      <c r="CG86" s="13"/>
      <c r="CH86" s="13"/>
      <c r="CI86" s="13"/>
      <c r="CJ86" s="14"/>
      <c r="CK86" s="9"/>
      <c r="CL86" s="16"/>
      <c r="CM86" s="10"/>
      <c r="CN86" s="10"/>
      <c r="CO86" s="10"/>
      <c r="CP86" s="11"/>
      <c r="CQ86" s="12"/>
      <c r="CR86" s="17"/>
      <c r="CS86" s="13"/>
      <c r="CT86" s="13"/>
      <c r="CU86" s="13"/>
      <c r="CV86" s="14"/>
      <c r="CW86" s="9"/>
      <c r="CX86" s="16"/>
      <c r="CY86" s="10"/>
      <c r="CZ86" s="10"/>
      <c r="DA86" s="10"/>
      <c r="DB86" s="11"/>
      <c r="DC86" s="12"/>
      <c r="DD86" s="17"/>
      <c r="DE86" s="13"/>
      <c r="DF86" s="13"/>
      <c r="DG86" s="13"/>
      <c r="DH86" s="14"/>
      <c r="DI86" s="8">
        <f t="shared" si="18"/>
        <v>422</v>
      </c>
      <c r="DJ86" s="8">
        <f t="shared" si="19"/>
        <v>231</v>
      </c>
      <c r="DK86" s="8">
        <f t="shared" si="20"/>
        <v>362</v>
      </c>
      <c r="DL86" s="8">
        <f t="shared" si="21"/>
        <v>174</v>
      </c>
      <c r="DM86" s="8">
        <f t="shared" si="22"/>
        <v>422</v>
      </c>
      <c r="DN86" s="8">
        <f t="shared" si="23"/>
        <v>231</v>
      </c>
      <c r="DO86" s="15">
        <f t="shared" si="24"/>
        <v>32.014534306780092</v>
      </c>
      <c r="DP86" s="15" t="str">
        <f t="shared" si="25"/>
        <v>OK - No Upgrade</v>
      </c>
      <c r="DQ86" s="15" t="str">
        <f t="shared" si="26"/>
        <v>Need to Balance</v>
      </c>
    </row>
    <row r="87" spans="1:121" ht="15.75" customHeight="1" x14ac:dyDescent="0.25">
      <c r="A87" s="8" t="s">
        <v>38</v>
      </c>
      <c r="B87" s="8" t="s">
        <v>385</v>
      </c>
      <c r="C87" s="8" t="s">
        <v>536</v>
      </c>
      <c r="D87" s="8" t="s">
        <v>553</v>
      </c>
      <c r="E87" s="8" t="s">
        <v>554</v>
      </c>
      <c r="F87" s="8" t="s">
        <v>56</v>
      </c>
      <c r="G87" s="8"/>
      <c r="H87" s="8">
        <v>2000</v>
      </c>
      <c r="I87" s="8" t="s">
        <v>555</v>
      </c>
      <c r="J87" s="8">
        <v>1</v>
      </c>
      <c r="K87" s="8">
        <v>245</v>
      </c>
      <c r="L87" s="8">
        <v>245</v>
      </c>
      <c r="M87" s="8">
        <v>248</v>
      </c>
      <c r="N87" s="8">
        <v>424</v>
      </c>
      <c r="O87" s="8">
        <v>429</v>
      </c>
      <c r="P87" s="8">
        <v>429</v>
      </c>
      <c r="Q87" s="9"/>
      <c r="R87" s="16"/>
      <c r="S87" s="10"/>
      <c r="T87" s="10"/>
      <c r="U87" s="10"/>
      <c r="V87" s="11"/>
      <c r="W87" s="12"/>
      <c r="X87" s="17"/>
      <c r="Y87" s="13"/>
      <c r="Z87" s="13"/>
      <c r="AA87" s="13"/>
      <c r="AB87" s="14"/>
      <c r="AC87" s="9"/>
      <c r="AD87" s="16"/>
      <c r="AE87" s="10"/>
      <c r="AF87" s="10"/>
      <c r="AG87" s="10"/>
      <c r="AH87" s="11"/>
      <c r="AI87" s="12"/>
      <c r="AJ87" s="17"/>
      <c r="AK87" s="13"/>
      <c r="AL87" s="13"/>
      <c r="AM87" s="13"/>
      <c r="AN87" s="14"/>
      <c r="AO87" s="9"/>
      <c r="AP87" s="16"/>
      <c r="AQ87" s="10"/>
      <c r="AR87" s="10"/>
      <c r="AS87" s="10"/>
      <c r="AT87" s="11"/>
      <c r="AU87" s="12" t="s">
        <v>70</v>
      </c>
      <c r="AV87" s="17"/>
      <c r="AW87" s="13">
        <v>77</v>
      </c>
      <c r="AX87" s="13">
        <v>87</v>
      </c>
      <c r="AY87" s="13">
        <v>97</v>
      </c>
      <c r="AZ87" s="14">
        <v>20</v>
      </c>
      <c r="BA87" s="9" t="s">
        <v>70</v>
      </c>
      <c r="BB87" s="16"/>
      <c r="BC87" s="10">
        <v>51</v>
      </c>
      <c r="BD87" s="10">
        <v>64</v>
      </c>
      <c r="BE87" s="10">
        <v>67</v>
      </c>
      <c r="BF87" s="11">
        <v>11</v>
      </c>
      <c r="BG87" s="12" t="s">
        <v>70</v>
      </c>
      <c r="BH87" s="17"/>
      <c r="BI87" s="13">
        <v>32</v>
      </c>
      <c r="BJ87" s="13">
        <v>24</v>
      </c>
      <c r="BK87" s="13">
        <v>30</v>
      </c>
      <c r="BL87" s="14">
        <v>8</v>
      </c>
      <c r="BM87" s="9"/>
      <c r="BN87" s="16"/>
      <c r="BO87" s="10"/>
      <c r="BP87" s="10"/>
      <c r="BQ87" s="10"/>
      <c r="BR87" s="11"/>
      <c r="BS87" s="12"/>
      <c r="BT87" s="17"/>
      <c r="BU87" s="13"/>
      <c r="BV87" s="13"/>
      <c r="BW87" s="13"/>
      <c r="BX87" s="14"/>
      <c r="BY87" s="9" t="s">
        <v>47</v>
      </c>
      <c r="BZ87" s="16"/>
      <c r="CA87" s="10">
        <v>23</v>
      </c>
      <c r="CB87" s="10">
        <v>64</v>
      </c>
      <c r="CC87" s="10">
        <v>5</v>
      </c>
      <c r="CD87" s="11">
        <v>67</v>
      </c>
      <c r="CE87" s="12" t="s">
        <v>47</v>
      </c>
      <c r="CF87" s="17"/>
      <c r="CG87" s="13">
        <v>0</v>
      </c>
      <c r="CH87" s="13">
        <v>0</v>
      </c>
      <c r="CI87" s="13">
        <v>0</v>
      </c>
      <c r="CJ87" s="14">
        <v>0</v>
      </c>
      <c r="CK87" s="9" t="s">
        <v>46</v>
      </c>
      <c r="CL87" s="16"/>
      <c r="CM87" s="10">
        <v>52</v>
      </c>
      <c r="CN87" s="10">
        <v>23</v>
      </c>
      <c r="CO87" s="10">
        <v>26</v>
      </c>
      <c r="CP87" s="11">
        <v>24</v>
      </c>
      <c r="CQ87" s="12" t="s">
        <v>47</v>
      </c>
      <c r="CR87" s="17"/>
      <c r="CS87" s="13">
        <v>0</v>
      </c>
      <c r="CT87" s="13">
        <v>14</v>
      </c>
      <c r="CU87" s="13">
        <v>1</v>
      </c>
      <c r="CV87" s="14">
        <v>10</v>
      </c>
      <c r="CW87" s="9" t="s">
        <v>47</v>
      </c>
      <c r="CX87" s="16"/>
      <c r="CY87" s="10">
        <v>51</v>
      </c>
      <c r="CZ87" s="10">
        <v>12</v>
      </c>
      <c r="DA87" s="10">
        <v>8</v>
      </c>
      <c r="DB87" s="11">
        <v>42</v>
      </c>
      <c r="DC87" s="12"/>
      <c r="DD87" s="17"/>
      <c r="DE87" s="13"/>
      <c r="DF87" s="13"/>
      <c r="DG87" s="13"/>
      <c r="DH87" s="14"/>
      <c r="DI87" s="8">
        <f t="shared" si="18"/>
        <v>286</v>
      </c>
      <c r="DJ87" s="8">
        <f t="shared" si="19"/>
        <v>288</v>
      </c>
      <c r="DK87" s="8">
        <f t="shared" si="20"/>
        <v>234</v>
      </c>
      <c r="DL87" s="8">
        <f t="shared" si="21"/>
        <v>182</v>
      </c>
      <c r="DM87" s="8">
        <f t="shared" si="22"/>
        <v>288</v>
      </c>
      <c r="DN87" s="8">
        <f t="shared" si="23"/>
        <v>234</v>
      </c>
      <c r="DO87" s="15">
        <f t="shared" si="24"/>
        <v>10.575209410692537</v>
      </c>
      <c r="DP87" s="15" t="str">
        <f t="shared" si="25"/>
        <v>OK - No Upgrade</v>
      </c>
      <c r="DQ87" s="15" t="str">
        <f t="shared" si="26"/>
        <v>OK - Balanced</v>
      </c>
    </row>
    <row r="88" spans="1:121" ht="15.75" customHeight="1" x14ac:dyDescent="0.25">
      <c r="A88" s="8" t="s">
        <v>38</v>
      </c>
      <c r="B88" s="8" t="s">
        <v>385</v>
      </c>
      <c r="C88" s="8" t="s">
        <v>536</v>
      </c>
      <c r="D88" s="8" t="s">
        <v>553</v>
      </c>
      <c r="E88" s="8" t="s">
        <v>554</v>
      </c>
      <c r="F88" s="8" t="s">
        <v>56</v>
      </c>
      <c r="G88" s="8" t="s">
        <v>44</v>
      </c>
      <c r="H88" s="8">
        <v>2000</v>
      </c>
      <c r="I88" s="8" t="s">
        <v>556</v>
      </c>
      <c r="J88" s="8">
        <v>2</v>
      </c>
      <c r="K88" s="8">
        <v>247</v>
      </c>
      <c r="L88" s="8">
        <v>247</v>
      </c>
      <c r="M88" s="8">
        <v>249</v>
      </c>
      <c r="N88" s="8">
        <v>426</v>
      </c>
      <c r="O88" s="8">
        <v>431</v>
      </c>
      <c r="P88" s="8">
        <v>430</v>
      </c>
      <c r="Q88" s="9"/>
      <c r="R88" s="16"/>
      <c r="S88" s="10"/>
      <c r="T88" s="10"/>
      <c r="U88" s="10"/>
      <c r="V88" s="11"/>
      <c r="W88" s="12"/>
      <c r="X88" s="17"/>
      <c r="Y88" s="13"/>
      <c r="Z88" s="13"/>
      <c r="AA88" s="13"/>
      <c r="AB88" s="14"/>
      <c r="AC88" s="9"/>
      <c r="AD88" s="16"/>
      <c r="AE88" s="10"/>
      <c r="AF88" s="10"/>
      <c r="AG88" s="10"/>
      <c r="AH88" s="11"/>
      <c r="AI88" s="12"/>
      <c r="AJ88" s="17"/>
      <c r="AK88" s="13"/>
      <c r="AL88" s="13"/>
      <c r="AM88" s="13"/>
      <c r="AN88" s="14"/>
      <c r="AO88" s="9"/>
      <c r="AP88" s="16"/>
      <c r="AQ88" s="10"/>
      <c r="AR88" s="10"/>
      <c r="AS88" s="10"/>
      <c r="AT88" s="11"/>
      <c r="AU88" s="12" t="s">
        <v>70</v>
      </c>
      <c r="AV88" s="17"/>
      <c r="AW88" s="13">
        <v>129</v>
      </c>
      <c r="AX88" s="13">
        <v>98</v>
      </c>
      <c r="AY88" s="13">
        <v>134</v>
      </c>
      <c r="AZ88" s="14">
        <v>54</v>
      </c>
      <c r="BA88" s="9" t="s">
        <v>70</v>
      </c>
      <c r="BB88" s="16"/>
      <c r="BC88" s="10">
        <v>24</v>
      </c>
      <c r="BD88" s="10">
        <v>21</v>
      </c>
      <c r="BE88" s="10">
        <v>21</v>
      </c>
      <c r="BF88" s="11">
        <v>11</v>
      </c>
      <c r="BG88" s="12" t="s">
        <v>70</v>
      </c>
      <c r="BH88" s="17"/>
      <c r="BI88" s="13">
        <v>61</v>
      </c>
      <c r="BJ88" s="13">
        <v>83</v>
      </c>
      <c r="BK88" s="13">
        <v>65</v>
      </c>
      <c r="BL88" s="14">
        <v>29</v>
      </c>
      <c r="BM88" s="9"/>
      <c r="BN88" s="16"/>
      <c r="BO88" s="10"/>
      <c r="BP88" s="10"/>
      <c r="BQ88" s="10"/>
      <c r="BR88" s="11"/>
      <c r="BS88" s="12"/>
      <c r="BT88" s="17"/>
      <c r="BU88" s="13"/>
      <c r="BV88" s="13"/>
      <c r="BW88" s="13"/>
      <c r="BX88" s="14"/>
      <c r="BY88" s="9" t="s">
        <v>47</v>
      </c>
      <c r="BZ88" s="16"/>
      <c r="CA88" s="10">
        <v>37</v>
      </c>
      <c r="CB88" s="10">
        <v>24</v>
      </c>
      <c r="CC88" s="10">
        <v>25</v>
      </c>
      <c r="CD88" s="11">
        <v>21</v>
      </c>
      <c r="CE88" s="12" t="s">
        <v>47</v>
      </c>
      <c r="CF88" s="17"/>
      <c r="CG88" s="13">
        <v>23</v>
      </c>
      <c r="CH88" s="13">
        <v>8</v>
      </c>
      <c r="CI88" s="13">
        <v>1</v>
      </c>
      <c r="CJ88" s="14">
        <v>12</v>
      </c>
      <c r="CK88" s="9" t="s">
        <v>46</v>
      </c>
      <c r="CL88" s="16"/>
      <c r="CM88" s="10">
        <v>32</v>
      </c>
      <c r="CN88" s="10">
        <v>13</v>
      </c>
      <c r="CO88" s="10">
        <v>13</v>
      </c>
      <c r="CP88" s="11">
        <v>20</v>
      </c>
      <c r="CQ88" s="12" t="s">
        <v>47</v>
      </c>
      <c r="CR88" s="17"/>
      <c r="CS88" s="13">
        <v>1</v>
      </c>
      <c r="CT88" s="13">
        <v>28</v>
      </c>
      <c r="CU88" s="13">
        <v>1</v>
      </c>
      <c r="CV88" s="14">
        <v>25</v>
      </c>
      <c r="CW88" s="9" t="s">
        <v>47</v>
      </c>
      <c r="CX88" s="16"/>
      <c r="CY88" s="10">
        <v>64</v>
      </c>
      <c r="CZ88" s="10">
        <v>17</v>
      </c>
      <c r="DA88" s="10">
        <v>25</v>
      </c>
      <c r="DB88" s="11">
        <v>34</v>
      </c>
      <c r="DC88" s="12"/>
      <c r="DD88" s="17"/>
      <c r="DE88" s="13"/>
      <c r="DF88" s="13"/>
      <c r="DG88" s="13"/>
      <c r="DH88" s="14"/>
      <c r="DI88" s="8">
        <f t="shared" si="18"/>
        <v>371</v>
      </c>
      <c r="DJ88" s="8">
        <f t="shared" si="19"/>
        <v>292</v>
      </c>
      <c r="DK88" s="8">
        <f t="shared" si="20"/>
        <v>285</v>
      </c>
      <c r="DL88" s="8">
        <f t="shared" si="21"/>
        <v>206</v>
      </c>
      <c r="DM88" s="8">
        <f t="shared" si="22"/>
        <v>371</v>
      </c>
      <c r="DN88" s="8">
        <f t="shared" si="23"/>
        <v>285</v>
      </c>
      <c r="DO88" s="15">
        <f t="shared" si="24"/>
        <v>13.687185096651536</v>
      </c>
      <c r="DP88" s="15" t="str">
        <f t="shared" si="25"/>
        <v>OK - No Upgrade</v>
      </c>
      <c r="DQ88" s="15" t="str">
        <f t="shared" si="26"/>
        <v>Need to Balance</v>
      </c>
    </row>
    <row r="89" spans="1:121" ht="15.75" customHeight="1" x14ac:dyDescent="0.25">
      <c r="A89" s="8" t="s">
        <v>38</v>
      </c>
      <c r="B89" s="8" t="s">
        <v>385</v>
      </c>
      <c r="C89" s="8" t="s">
        <v>536</v>
      </c>
      <c r="D89" s="8" t="s">
        <v>557</v>
      </c>
      <c r="E89" s="8" t="s">
        <v>558</v>
      </c>
      <c r="F89" s="8" t="s">
        <v>56</v>
      </c>
      <c r="G89" s="8"/>
      <c r="H89" s="8">
        <v>1000</v>
      </c>
      <c r="I89" s="8" t="s">
        <v>559</v>
      </c>
      <c r="J89" s="8">
        <v>1</v>
      </c>
      <c r="K89" s="8">
        <v>244</v>
      </c>
      <c r="L89" s="8">
        <v>244</v>
      </c>
      <c r="M89" s="8">
        <v>246</v>
      </c>
      <c r="N89" s="8">
        <v>421</v>
      </c>
      <c r="O89" s="8">
        <v>426</v>
      </c>
      <c r="P89" s="8">
        <v>426</v>
      </c>
      <c r="Q89" s="9"/>
      <c r="R89" s="16"/>
      <c r="S89" s="10"/>
      <c r="T89" s="10"/>
      <c r="U89" s="10"/>
      <c r="V89" s="11"/>
      <c r="W89" s="12"/>
      <c r="X89" s="17"/>
      <c r="Y89" s="13"/>
      <c r="Z89" s="13"/>
      <c r="AA89" s="13"/>
      <c r="AB89" s="14"/>
      <c r="AC89" s="9" t="s">
        <v>70</v>
      </c>
      <c r="AD89" s="16"/>
      <c r="AE89" s="10">
        <v>55</v>
      </c>
      <c r="AF89" s="10">
        <v>64</v>
      </c>
      <c r="AG89" s="10">
        <v>70</v>
      </c>
      <c r="AH89" s="11">
        <v>14</v>
      </c>
      <c r="AI89" s="12" t="s">
        <v>70</v>
      </c>
      <c r="AJ89" s="17"/>
      <c r="AK89" s="13">
        <v>107</v>
      </c>
      <c r="AL89" s="13">
        <v>108</v>
      </c>
      <c r="AM89" s="13">
        <v>66</v>
      </c>
      <c r="AN89" s="14">
        <v>35</v>
      </c>
      <c r="AO89" s="9" t="s">
        <v>70</v>
      </c>
      <c r="AP89" s="16"/>
      <c r="AQ89" s="10">
        <v>134</v>
      </c>
      <c r="AR89" s="10">
        <v>135</v>
      </c>
      <c r="AS89" s="10">
        <v>127</v>
      </c>
      <c r="AT89" s="11">
        <v>44</v>
      </c>
      <c r="AU89" s="12" t="s">
        <v>70</v>
      </c>
      <c r="AV89" s="17"/>
      <c r="AW89" s="13">
        <v>18</v>
      </c>
      <c r="AX89" s="13">
        <v>20</v>
      </c>
      <c r="AY89" s="13">
        <v>54</v>
      </c>
      <c r="AZ89" s="14">
        <v>35</v>
      </c>
      <c r="BA89" s="9" t="s">
        <v>70</v>
      </c>
      <c r="BB89" s="16"/>
      <c r="BC89" s="10">
        <v>74</v>
      </c>
      <c r="BD89" s="10">
        <v>56</v>
      </c>
      <c r="BE89" s="10">
        <v>95</v>
      </c>
      <c r="BF89" s="11">
        <v>30</v>
      </c>
      <c r="BG89" s="12" t="s">
        <v>70</v>
      </c>
      <c r="BH89" s="17"/>
      <c r="BI89" s="13">
        <v>77</v>
      </c>
      <c r="BJ89" s="13">
        <v>85</v>
      </c>
      <c r="BK89" s="13">
        <v>84</v>
      </c>
      <c r="BL89" s="14">
        <v>19</v>
      </c>
      <c r="BM89" s="9"/>
      <c r="BN89" s="16"/>
      <c r="BO89" s="10"/>
      <c r="BP89" s="10"/>
      <c r="BQ89" s="10"/>
      <c r="BR89" s="11"/>
      <c r="BS89" s="12"/>
      <c r="BT89" s="17"/>
      <c r="BU89" s="13"/>
      <c r="BV89" s="13"/>
      <c r="BW89" s="13"/>
      <c r="BX89" s="14"/>
      <c r="BY89" s="9"/>
      <c r="BZ89" s="16"/>
      <c r="CA89" s="10"/>
      <c r="CB89" s="10"/>
      <c r="CC89" s="10"/>
      <c r="CD89" s="11"/>
      <c r="CE89" s="12"/>
      <c r="CF89" s="17"/>
      <c r="CG89" s="13"/>
      <c r="CH89" s="13"/>
      <c r="CI89" s="13"/>
      <c r="CJ89" s="14"/>
      <c r="CK89" s="9"/>
      <c r="CL89" s="16"/>
      <c r="CM89" s="10"/>
      <c r="CN89" s="10"/>
      <c r="CO89" s="10"/>
      <c r="CP89" s="11"/>
      <c r="CQ89" s="12"/>
      <c r="CR89" s="17"/>
      <c r="CS89" s="13"/>
      <c r="CT89" s="13"/>
      <c r="CU89" s="13"/>
      <c r="CV89" s="14"/>
      <c r="CW89" s="9"/>
      <c r="CX89" s="16"/>
      <c r="CY89" s="10"/>
      <c r="CZ89" s="10"/>
      <c r="DA89" s="10"/>
      <c r="DB89" s="11"/>
      <c r="DC89" s="12"/>
      <c r="DD89" s="17"/>
      <c r="DE89" s="13"/>
      <c r="DF89" s="13"/>
      <c r="DG89" s="13"/>
      <c r="DH89" s="14"/>
      <c r="DI89" s="8">
        <f t="shared" si="18"/>
        <v>465</v>
      </c>
      <c r="DJ89" s="8">
        <f t="shared" si="19"/>
        <v>468</v>
      </c>
      <c r="DK89" s="8">
        <f t="shared" si="20"/>
        <v>496</v>
      </c>
      <c r="DL89" s="8">
        <f t="shared" si="21"/>
        <v>177</v>
      </c>
      <c r="DM89" s="8">
        <f t="shared" si="22"/>
        <v>496</v>
      </c>
      <c r="DN89" s="8">
        <f t="shared" si="23"/>
        <v>465</v>
      </c>
      <c r="DO89" s="15">
        <f t="shared" si="24"/>
        <v>36.167992143330267</v>
      </c>
      <c r="DP89" s="15" t="str">
        <f t="shared" si="25"/>
        <v>OK - No Upgrade</v>
      </c>
      <c r="DQ89" s="15" t="str">
        <f t="shared" si="26"/>
        <v>OK - Balanced</v>
      </c>
    </row>
    <row r="90" spans="1:121" ht="15.75" customHeight="1" x14ac:dyDescent="0.25">
      <c r="A90" s="8" t="s">
        <v>38</v>
      </c>
      <c r="B90" s="8" t="s">
        <v>385</v>
      </c>
      <c r="C90" s="8" t="s">
        <v>536</v>
      </c>
      <c r="D90" s="8" t="s">
        <v>557</v>
      </c>
      <c r="E90" s="8" t="s">
        <v>558</v>
      </c>
      <c r="F90" s="8" t="s">
        <v>56</v>
      </c>
      <c r="G90" s="8" t="s">
        <v>44</v>
      </c>
      <c r="H90" s="8">
        <v>1000</v>
      </c>
      <c r="I90" s="8" t="s">
        <v>560</v>
      </c>
      <c r="J90" s="8">
        <v>2</v>
      </c>
      <c r="K90" s="8">
        <v>246</v>
      </c>
      <c r="L90" s="8">
        <v>245</v>
      </c>
      <c r="M90" s="8">
        <v>247</v>
      </c>
      <c r="N90" s="8">
        <v>424</v>
      </c>
      <c r="O90" s="8">
        <v>428</v>
      </c>
      <c r="P90" s="8">
        <v>427</v>
      </c>
      <c r="Q90" s="9"/>
      <c r="R90" s="16"/>
      <c r="S90" s="10"/>
      <c r="T90" s="10"/>
      <c r="U90" s="10"/>
      <c r="V90" s="11"/>
      <c r="W90" s="12"/>
      <c r="X90" s="17"/>
      <c r="Y90" s="13"/>
      <c r="Z90" s="13"/>
      <c r="AA90" s="13"/>
      <c r="AB90" s="14"/>
      <c r="AC90" s="9" t="s">
        <v>70</v>
      </c>
      <c r="AD90" s="16"/>
      <c r="AE90" s="10">
        <v>33</v>
      </c>
      <c r="AF90" s="10">
        <v>80</v>
      </c>
      <c r="AG90" s="10">
        <v>68</v>
      </c>
      <c r="AH90" s="11">
        <v>40</v>
      </c>
      <c r="AI90" s="12" t="s">
        <v>70</v>
      </c>
      <c r="AJ90" s="17"/>
      <c r="AK90" s="13">
        <v>143</v>
      </c>
      <c r="AL90" s="13">
        <v>132</v>
      </c>
      <c r="AM90" s="13">
        <v>83</v>
      </c>
      <c r="AN90" s="14">
        <v>46</v>
      </c>
      <c r="AO90" s="9" t="s">
        <v>70</v>
      </c>
      <c r="AP90" s="16"/>
      <c r="AQ90" s="10">
        <v>92</v>
      </c>
      <c r="AR90" s="10">
        <v>143</v>
      </c>
      <c r="AS90" s="10">
        <v>186</v>
      </c>
      <c r="AT90" s="11">
        <v>55</v>
      </c>
      <c r="AU90" s="12" t="s">
        <v>70</v>
      </c>
      <c r="AV90" s="17"/>
      <c r="AW90" s="13">
        <v>30</v>
      </c>
      <c r="AX90" s="13">
        <v>45</v>
      </c>
      <c r="AY90" s="13">
        <v>45</v>
      </c>
      <c r="AZ90" s="14">
        <v>29</v>
      </c>
      <c r="BA90" s="9" t="s">
        <v>70</v>
      </c>
      <c r="BB90" s="16"/>
      <c r="BC90" s="10">
        <v>74</v>
      </c>
      <c r="BD90" s="10">
        <v>23</v>
      </c>
      <c r="BE90" s="10">
        <v>129</v>
      </c>
      <c r="BF90" s="11">
        <v>94</v>
      </c>
      <c r="BG90" s="12" t="s">
        <v>70</v>
      </c>
      <c r="BH90" s="17"/>
      <c r="BI90" s="13">
        <v>65</v>
      </c>
      <c r="BJ90" s="13">
        <v>82</v>
      </c>
      <c r="BK90" s="13">
        <v>64</v>
      </c>
      <c r="BL90" s="14">
        <v>16</v>
      </c>
      <c r="BM90" s="9"/>
      <c r="BN90" s="16"/>
      <c r="BO90" s="10"/>
      <c r="BP90" s="10"/>
      <c r="BQ90" s="10"/>
      <c r="BR90" s="11"/>
      <c r="BS90" s="12"/>
      <c r="BT90" s="17"/>
      <c r="BU90" s="13"/>
      <c r="BV90" s="13"/>
      <c r="BW90" s="13"/>
      <c r="BX90" s="14"/>
      <c r="BY90" s="9"/>
      <c r="BZ90" s="16"/>
      <c r="CA90" s="10"/>
      <c r="CB90" s="10"/>
      <c r="CC90" s="10"/>
      <c r="CD90" s="11"/>
      <c r="CE90" s="12"/>
      <c r="CF90" s="17"/>
      <c r="CG90" s="13"/>
      <c r="CH90" s="13"/>
      <c r="CI90" s="13"/>
      <c r="CJ90" s="14"/>
      <c r="CK90" s="9"/>
      <c r="CL90" s="16"/>
      <c r="CM90" s="10"/>
      <c r="CN90" s="10"/>
      <c r="CO90" s="10"/>
      <c r="CP90" s="11"/>
      <c r="CQ90" s="12"/>
      <c r="CR90" s="17"/>
      <c r="CS90" s="13"/>
      <c r="CT90" s="13"/>
      <c r="CU90" s="13"/>
      <c r="CV90" s="14"/>
      <c r="CW90" s="9"/>
      <c r="CX90" s="16"/>
      <c r="CY90" s="10"/>
      <c r="CZ90" s="10"/>
      <c r="DA90" s="10"/>
      <c r="DB90" s="11"/>
      <c r="DC90" s="12"/>
      <c r="DD90" s="17"/>
      <c r="DE90" s="13"/>
      <c r="DF90" s="13"/>
      <c r="DG90" s="13"/>
      <c r="DH90" s="14"/>
      <c r="DI90" s="8">
        <f t="shared" si="18"/>
        <v>437</v>
      </c>
      <c r="DJ90" s="8">
        <f t="shared" si="19"/>
        <v>505</v>
      </c>
      <c r="DK90" s="8">
        <f t="shared" si="20"/>
        <v>575</v>
      </c>
      <c r="DL90" s="8">
        <f t="shared" si="21"/>
        <v>280</v>
      </c>
      <c r="DM90" s="8">
        <f t="shared" si="22"/>
        <v>575</v>
      </c>
      <c r="DN90" s="8">
        <f t="shared" si="23"/>
        <v>437</v>
      </c>
      <c r="DO90" s="15">
        <f t="shared" si="24"/>
        <v>42.227398688529227</v>
      </c>
      <c r="DP90" s="15" t="str">
        <f t="shared" si="25"/>
        <v>OK - No Upgrade</v>
      </c>
      <c r="DQ90" s="15" t="str">
        <f t="shared" si="26"/>
        <v>Need to Balance</v>
      </c>
    </row>
    <row r="91" spans="1:121" ht="15.75" customHeight="1" x14ac:dyDescent="0.25">
      <c r="A91" s="8" t="s">
        <v>38</v>
      </c>
      <c r="B91" s="8" t="s">
        <v>385</v>
      </c>
      <c r="C91" s="8" t="s">
        <v>536</v>
      </c>
      <c r="D91" s="8" t="s">
        <v>561</v>
      </c>
      <c r="E91" s="8" t="s">
        <v>562</v>
      </c>
      <c r="F91" s="8" t="s">
        <v>56</v>
      </c>
      <c r="G91" s="8"/>
      <c r="H91" s="8">
        <v>1000</v>
      </c>
      <c r="I91" s="8" t="s">
        <v>563</v>
      </c>
      <c r="J91" s="8">
        <v>1</v>
      </c>
      <c r="K91" s="8">
        <v>244</v>
      </c>
      <c r="L91" s="8">
        <v>244</v>
      </c>
      <c r="M91" s="8">
        <v>247</v>
      </c>
      <c r="N91" s="8">
        <v>423</v>
      </c>
      <c r="O91" s="8">
        <v>428</v>
      </c>
      <c r="P91" s="8">
        <v>426</v>
      </c>
      <c r="Q91" s="9"/>
      <c r="R91" s="16"/>
      <c r="S91" s="10"/>
      <c r="T91" s="10"/>
      <c r="U91" s="10"/>
      <c r="V91" s="11"/>
      <c r="W91" s="12"/>
      <c r="X91" s="17"/>
      <c r="Y91" s="13"/>
      <c r="Z91" s="13"/>
      <c r="AA91" s="13"/>
      <c r="AB91" s="14"/>
      <c r="AC91" s="9" t="s">
        <v>47</v>
      </c>
      <c r="AD91" s="16"/>
      <c r="AE91" s="10">
        <v>70</v>
      </c>
      <c r="AF91" s="10">
        <v>80</v>
      </c>
      <c r="AG91" s="10">
        <v>97</v>
      </c>
      <c r="AH91" s="11">
        <v>21</v>
      </c>
      <c r="AI91" s="12" t="s">
        <v>46</v>
      </c>
      <c r="AJ91" s="17"/>
      <c r="AK91" s="13">
        <v>64</v>
      </c>
      <c r="AL91" s="13">
        <v>95</v>
      </c>
      <c r="AM91" s="13">
        <v>80</v>
      </c>
      <c r="AN91" s="14">
        <v>23</v>
      </c>
      <c r="AO91" s="9" t="s">
        <v>46</v>
      </c>
      <c r="AP91" s="16"/>
      <c r="AQ91" s="10">
        <v>170</v>
      </c>
      <c r="AR91" s="10">
        <v>110</v>
      </c>
      <c r="AS91" s="10">
        <v>96</v>
      </c>
      <c r="AT91" s="11">
        <v>63</v>
      </c>
      <c r="AU91" s="12" t="s">
        <v>46</v>
      </c>
      <c r="AV91" s="17"/>
      <c r="AW91" s="13">
        <v>80</v>
      </c>
      <c r="AX91" s="13">
        <v>52</v>
      </c>
      <c r="AY91" s="13">
        <v>38</v>
      </c>
      <c r="AZ91" s="14">
        <v>45</v>
      </c>
      <c r="BA91" s="9" t="s">
        <v>47</v>
      </c>
      <c r="BB91" s="16"/>
      <c r="BC91" s="10">
        <v>50</v>
      </c>
      <c r="BD91" s="10">
        <v>77</v>
      </c>
      <c r="BE91" s="10">
        <v>75</v>
      </c>
      <c r="BF91" s="11">
        <v>29</v>
      </c>
      <c r="BG91" s="12" t="s">
        <v>47</v>
      </c>
      <c r="BH91" s="17"/>
      <c r="BI91" s="13">
        <v>19</v>
      </c>
      <c r="BJ91" s="13">
        <v>42</v>
      </c>
      <c r="BK91" s="13">
        <v>13</v>
      </c>
      <c r="BL91" s="14">
        <v>27</v>
      </c>
      <c r="BM91" s="9"/>
      <c r="BN91" s="16"/>
      <c r="BO91" s="10"/>
      <c r="BP91" s="10"/>
      <c r="BQ91" s="10"/>
      <c r="BR91" s="11"/>
      <c r="BS91" s="12"/>
      <c r="BT91" s="17"/>
      <c r="BU91" s="13"/>
      <c r="BV91" s="13"/>
      <c r="BW91" s="13"/>
      <c r="BX91" s="14"/>
      <c r="BY91" s="9"/>
      <c r="BZ91" s="16"/>
      <c r="CA91" s="10"/>
      <c r="CB91" s="10"/>
      <c r="CC91" s="10"/>
      <c r="CD91" s="11"/>
      <c r="CE91" s="12"/>
      <c r="CF91" s="17"/>
      <c r="CG91" s="13"/>
      <c r="CH91" s="13"/>
      <c r="CI91" s="13"/>
      <c r="CJ91" s="14"/>
      <c r="CK91" s="9"/>
      <c r="CL91" s="16"/>
      <c r="CM91" s="10"/>
      <c r="CN91" s="10"/>
      <c r="CO91" s="10"/>
      <c r="CP91" s="11"/>
      <c r="CQ91" s="12"/>
      <c r="CR91" s="17"/>
      <c r="CS91" s="13"/>
      <c r="CT91" s="13"/>
      <c r="CU91" s="13"/>
      <c r="CV91" s="14"/>
      <c r="CW91" s="9"/>
      <c r="CX91" s="16"/>
      <c r="CY91" s="10"/>
      <c r="CZ91" s="10"/>
      <c r="DA91" s="10"/>
      <c r="DB91" s="11"/>
      <c r="DC91" s="12"/>
      <c r="DD91" s="17"/>
      <c r="DE91" s="13"/>
      <c r="DF91" s="13"/>
      <c r="DG91" s="13"/>
      <c r="DH91" s="14"/>
      <c r="DI91" s="8">
        <f t="shared" si="18"/>
        <v>453</v>
      </c>
      <c r="DJ91" s="8">
        <f t="shared" si="19"/>
        <v>456</v>
      </c>
      <c r="DK91" s="8">
        <f t="shared" si="20"/>
        <v>399</v>
      </c>
      <c r="DL91" s="8">
        <f t="shared" si="21"/>
        <v>208</v>
      </c>
      <c r="DM91" s="8">
        <f t="shared" si="22"/>
        <v>456</v>
      </c>
      <c r="DN91" s="8">
        <f t="shared" si="23"/>
        <v>399</v>
      </c>
      <c r="DO91" s="15">
        <f t="shared" si="24"/>
        <v>33.409181617034555</v>
      </c>
      <c r="DP91" s="15" t="str">
        <f t="shared" si="25"/>
        <v>OK - No Upgrade</v>
      </c>
      <c r="DQ91" s="15" t="str">
        <f t="shared" si="26"/>
        <v>OK - Balanced</v>
      </c>
    </row>
    <row r="92" spans="1:121" ht="15.75" customHeight="1" x14ac:dyDescent="0.25">
      <c r="A92" s="8" t="s">
        <v>38</v>
      </c>
      <c r="B92" s="8" t="s">
        <v>385</v>
      </c>
      <c r="C92" s="8" t="s">
        <v>536</v>
      </c>
      <c r="D92" s="8" t="s">
        <v>561</v>
      </c>
      <c r="E92" s="8" t="s">
        <v>562</v>
      </c>
      <c r="F92" s="8" t="s">
        <v>56</v>
      </c>
      <c r="G92" s="8" t="s">
        <v>44</v>
      </c>
      <c r="H92" s="8">
        <v>1000</v>
      </c>
      <c r="I92" s="8" t="s">
        <v>564</v>
      </c>
      <c r="J92" s="8">
        <v>2</v>
      </c>
      <c r="K92" s="8">
        <v>246</v>
      </c>
      <c r="L92" s="8">
        <v>245</v>
      </c>
      <c r="M92" s="8">
        <v>248</v>
      </c>
      <c r="N92" s="8">
        <v>426</v>
      </c>
      <c r="O92" s="8">
        <v>429</v>
      </c>
      <c r="P92" s="8">
        <v>426</v>
      </c>
      <c r="Q92" s="9"/>
      <c r="R92" s="16"/>
      <c r="S92" s="10"/>
      <c r="T92" s="10"/>
      <c r="U92" s="10"/>
      <c r="V92" s="11"/>
      <c r="W92" s="12"/>
      <c r="X92" s="17"/>
      <c r="Y92" s="13"/>
      <c r="Z92" s="13"/>
      <c r="AA92" s="13"/>
      <c r="AB92" s="14"/>
      <c r="AC92" s="9" t="s">
        <v>47</v>
      </c>
      <c r="AD92" s="16"/>
      <c r="AE92" s="10">
        <v>59</v>
      </c>
      <c r="AF92" s="10">
        <v>56</v>
      </c>
      <c r="AG92" s="10">
        <v>48</v>
      </c>
      <c r="AH92" s="11">
        <v>16</v>
      </c>
      <c r="AI92" s="12" t="s">
        <v>46</v>
      </c>
      <c r="AJ92" s="17"/>
      <c r="AK92" s="13">
        <v>56</v>
      </c>
      <c r="AL92" s="13">
        <v>75</v>
      </c>
      <c r="AM92" s="13">
        <v>26</v>
      </c>
      <c r="AN92" s="14">
        <v>43</v>
      </c>
      <c r="AO92" s="9" t="s">
        <v>46</v>
      </c>
      <c r="AP92" s="16"/>
      <c r="AQ92" s="10">
        <v>35</v>
      </c>
      <c r="AR92" s="10">
        <v>71</v>
      </c>
      <c r="AS92" s="10">
        <v>77</v>
      </c>
      <c r="AT92" s="11">
        <v>38</v>
      </c>
      <c r="AU92" s="12" t="s">
        <v>46</v>
      </c>
      <c r="AV92" s="17"/>
      <c r="AW92" s="13">
        <v>109</v>
      </c>
      <c r="AX92" s="13">
        <v>104</v>
      </c>
      <c r="AY92" s="13">
        <v>79</v>
      </c>
      <c r="AZ92" s="14">
        <v>47</v>
      </c>
      <c r="BA92" s="9" t="s">
        <v>47</v>
      </c>
      <c r="BB92" s="16"/>
      <c r="BC92" s="10">
        <v>39</v>
      </c>
      <c r="BD92" s="10">
        <v>91</v>
      </c>
      <c r="BE92" s="10">
        <v>70</v>
      </c>
      <c r="BF92" s="11">
        <v>53</v>
      </c>
      <c r="BG92" s="12" t="s">
        <v>47</v>
      </c>
      <c r="BH92" s="17"/>
      <c r="BI92" s="13">
        <v>35</v>
      </c>
      <c r="BJ92" s="13">
        <v>70</v>
      </c>
      <c r="BK92" s="13">
        <v>67</v>
      </c>
      <c r="BL92" s="14">
        <v>18</v>
      </c>
      <c r="BM92" s="9"/>
      <c r="BN92" s="16"/>
      <c r="BO92" s="10"/>
      <c r="BP92" s="10"/>
      <c r="BQ92" s="10"/>
      <c r="BR92" s="11"/>
      <c r="BS92" s="12"/>
      <c r="BT92" s="17"/>
      <c r="BU92" s="13"/>
      <c r="BV92" s="13"/>
      <c r="BW92" s="13"/>
      <c r="BX92" s="14"/>
      <c r="BY92" s="9"/>
      <c r="BZ92" s="16"/>
      <c r="CA92" s="10"/>
      <c r="CB92" s="10"/>
      <c r="CC92" s="10"/>
      <c r="CD92" s="11"/>
      <c r="CE92" s="12"/>
      <c r="CF92" s="17"/>
      <c r="CG92" s="13"/>
      <c r="CH92" s="13"/>
      <c r="CI92" s="13"/>
      <c r="CJ92" s="14"/>
      <c r="CK92" s="9"/>
      <c r="CL92" s="16"/>
      <c r="CM92" s="10"/>
      <c r="CN92" s="10"/>
      <c r="CO92" s="10"/>
      <c r="CP92" s="11"/>
      <c r="CQ92" s="12"/>
      <c r="CR92" s="17"/>
      <c r="CS92" s="13"/>
      <c r="CT92" s="13"/>
      <c r="CU92" s="13"/>
      <c r="CV92" s="14"/>
      <c r="CW92" s="9"/>
      <c r="CX92" s="16"/>
      <c r="CY92" s="10"/>
      <c r="CZ92" s="10"/>
      <c r="DA92" s="10"/>
      <c r="DB92" s="11"/>
      <c r="DC92" s="12"/>
      <c r="DD92" s="17"/>
      <c r="DE92" s="13"/>
      <c r="DF92" s="13"/>
      <c r="DG92" s="13"/>
      <c r="DH92" s="14"/>
      <c r="DI92" s="8">
        <f t="shared" si="18"/>
        <v>333</v>
      </c>
      <c r="DJ92" s="8">
        <f t="shared" si="19"/>
        <v>467</v>
      </c>
      <c r="DK92" s="8">
        <f t="shared" si="20"/>
        <v>367</v>
      </c>
      <c r="DL92" s="8">
        <f t="shared" si="21"/>
        <v>215</v>
      </c>
      <c r="DM92" s="8">
        <f t="shared" si="22"/>
        <v>467</v>
      </c>
      <c r="DN92" s="8">
        <f t="shared" si="23"/>
        <v>333</v>
      </c>
      <c r="DO92" s="15">
        <f t="shared" si="24"/>
        <v>34.457765175936757</v>
      </c>
      <c r="DP92" s="15" t="str">
        <f t="shared" si="25"/>
        <v>OK - No Upgrade</v>
      </c>
      <c r="DQ92" s="15" t="str">
        <f t="shared" si="26"/>
        <v>Need to Balance</v>
      </c>
    </row>
    <row r="93" spans="1:121" ht="15.75" customHeight="1" x14ac:dyDescent="0.25">
      <c r="A93" s="8" t="s">
        <v>38</v>
      </c>
      <c r="B93" s="8" t="s">
        <v>385</v>
      </c>
      <c r="C93" s="8" t="s">
        <v>536</v>
      </c>
      <c r="D93" s="8" t="s">
        <v>565</v>
      </c>
      <c r="E93" s="8" t="s">
        <v>566</v>
      </c>
      <c r="F93" s="8" t="s">
        <v>56</v>
      </c>
      <c r="G93" s="8"/>
      <c r="H93" s="8">
        <v>1000</v>
      </c>
      <c r="I93" s="8" t="s">
        <v>567</v>
      </c>
      <c r="J93" s="8">
        <v>1</v>
      </c>
      <c r="K93" s="8">
        <v>247</v>
      </c>
      <c r="L93" s="8">
        <v>246</v>
      </c>
      <c r="M93" s="8">
        <v>250</v>
      </c>
      <c r="N93" s="8">
        <v>426</v>
      </c>
      <c r="O93" s="8">
        <v>432</v>
      </c>
      <c r="P93" s="8">
        <v>429</v>
      </c>
      <c r="Q93" s="9" t="s">
        <v>47</v>
      </c>
      <c r="R93" s="16"/>
      <c r="S93" s="10">
        <v>53</v>
      </c>
      <c r="T93" s="10">
        <v>58</v>
      </c>
      <c r="U93" s="10">
        <v>34</v>
      </c>
      <c r="V93" s="11">
        <v>27</v>
      </c>
      <c r="W93" s="12" t="s">
        <v>47</v>
      </c>
      <c r="X93" s="17"/>
      <c r="Y93" s="13">
        <v>33</v>
      </c>
      <c r="Z93" s="13">
        <v>108</v>
      </c>
      <c r="AA93" s="13">
        <v>57</v>
      </c>
      <c r="AB93" s="14">
        <v>33</v>
      </c>
      <c r="AC93" s="9" t="s">
        <v>47</v>
      </c>
      <c r="AD93" s="16"/>
      <c r="AE93" s="10">
        <v>87</v>
      </c>
      <c r="AF93" s="10">
        <v>107</v>
      </c>
      <c r="AG93" s="10">
        <v>72</v>
      </c>
      <c r="AH93" s="11">
        <v>40</v>
      </c>
      <c r="AI93" s="12"/>
      <c r="AJ93" s="17"/>
      <c r="AK93" s="13"/>
      <c r="AL93" s="13"/>
      <c r="AM93" s="13"/>
      <c r="AN93" s="14"/>
      <c r="AO93" s="9"/>
      <c r="AP93" s="16"/>
      <c r="AQ93" s="10"/>
      <c r="AR93" s="10"/>
      <c r="AS93" s="10"/>
      <c r="AT93" s="11"/>
      <c r="AU93" s="12"/>
      <c r="AV93" s="17"/>
      <c r="AW93" s="13"/>
      <c r="AX93" s="13"/>
      <c r="AY93" s="13"/>
      <c r="AZ93" s="14"/>
      <c r="BA93" s="9"/>
      <c r="BB93" s="16"/>
      <c r="BC93" s="10"/>
      <c r="BD93" s="10"/>
      <c r="BE93" s="10"/>
      <c r="BF93" s="11"/>
      <c r="BG93" s="12"/>
      <c r="BH93" s="17"/>
      <c r="BI93" s="13"/>
      <c r="BJ93" s="13"/>
      <c r="BK93" s="13"/>
      <c r="BL93" s="14"/>
      <c r="BM93" s="9"/>
      <c r="BN93" s="16"/>
      <c r="BO93" s="10"/>
      <c r="BP93" s="10"/>
      <c r="BQ93" s="10"/>
      <c r="BR93" s="11"/>
      <c r="BS93" s="12"/>
      <c r="BT93" s="17"/>
      <c r="BU93" s="13"/>
      <c r="BV93" s="13"/>
      <c r="BW93" s="13"/>
      <c r="BX93" s="14"/>
      <c r="BY93" s="9"/>
      <c r="BZ93" s="16"/>
      <c r="CA93" s="10"/>
      <c r="CB93" s="10"/>
      <c r="CC93" s="10"/>
      <c r="CD93" s="11"/>
      <c r="CE93" s="12"/>
      <c r="CF93" s="17"/>
      <c r="CG93" s="13"/>
      <c r="CH93" s="13"/>
      <c r="CI93" s="13"/>
      <c r="CJ93" s="14"/>
      <c r="CK93" s="9"/>
      <c r="CL93" s="16"/>
      <c r="CM93" s="10"/>
      <c r="CN93" s="10"/>
      <c r="CO93" s="10"/>
      <c r="CP93" s="11"/>
      <c r="CQ93" s="12"/>
      <c r="CR93" s="17"/>
      <c r="CS93" s="13"/>
      <c r="CT93" s="13"/>
      <c r="CU93" s="13"/>
      <c r="CV93" s="14"/>
      <c r="CW93" s="9"/>
      <c r="CX93" s="16"/>
      <c r="CY93" s="10"/>
      <c r="CZ93" s="10"/>
      <c r="DA93" s="10"/>
      <c r="DB93" s="11"/>
      <c r="DC93" s="12"/>
      <c r="DD93" s="17"/>
      <c r="DE93" s="13"/>
      <c r="DF93" s="13"/>
      <c r="DG93" s="13"/>
      <c r="DH93" s="14"/>
      <c r="DI93" s="8">
        <f t="shared" si="18"/>
        <v>173</v>
      </c>
      <c r="DJ93" s="8">
        <f t="shared" si="19"/>
        <v>273</v>
      </c>
      <c r="DK93" s="8">
        <f t="shared" si="20"/>
        <v>163</v>
      </c>
      <c r="DL93" s="8">
        <f t="shared" si="21"/>
        <v>100</v>
      </c>
      <c r="DM93" s="8">
        <f t="shared" si="22"/>
        <v>273</v>
      </c>
      <c r="DN93" s="8">
        <f t="shared" si="23"/>
        <v>163</v>
      </c>
      <c r="DO93" s="15">
        <f t="shared" si="24"/>
        <v>20.143404481864529</v>
      </c>
      <c r="DP93" s="15" t="str">
        <f t="shared" si="25"/>
        <v>OK - No Upgrade</v>
      </c>
      <c r="DQ93" s="15" t="str">
        <f t="shared" si="26"/>
        <v>Need to Balance</v>
      </c>
    </row>
    <row r="94" spans="1:121" ht="15.75" customHeight="1" x14ac:dyDescent="0.25">
      <c r="A94" s="8" t="s">
        <v>38</v>
      </c>
      <c r="B94" s="8" t="s">
        <v>385</v>
      </c>
      <c r="C94" s="8" t="s">
        <v>536</v>
      </c>
      <c r="D94" s="8" t="s">
        <v>565</v>
      </c>
      <c r="E94" s="8" t="s">
        <v>566</v>
      </c>
      <c r="F94" s="8" t="s">
        <v>56</v>
      </c>
      <c r="G94" s="8" t="s">
        <v>44</v>
      </c>
      <c r="H94" s="8">
        <v>1000</v>
      </c>
      <c r="I94" s="8" t="s">
        <v>568</v>
      </c>
      <c r="J94" s="8">
        <v>2</v>
      </c>
      <c r="K94" s="8">
        <v>248</v>
      </c>
      <c r="L94" s="8">
        <v>247</v>
      </c>
      <c r="M94" s="8">
        <v>250</v>
      </c>
      <c r="N94" s="8">
        <v>428</v>
      </c>
      <c r="O94" s="8">
        <v>433</v>
      </c>
      <c r="P94" s="8">
        <v>430</v>
      </c>
      <c r="Q94" s="9" t="s">
        <v>47</v>
      </c>
      <c r="R94" s="16"/>
      <c r="S94" s="10">
        <v>50</v>
      </c>
      <c r="T94" s="10">
        <v>60</v>
      </c>
      <c r="U94" s="10">
        <v>19</v>
      </c>
      <c r="V94" s="11">
        <v>30</v>
      </c>
      <c r="W94" s="12" t="s">
        <v>47</v>
      </c>
      <c r="X94" s="17"/>
      <c r="Y94" s="13">
        <v>61</v>
      </c>
      <c r="Z94" s="13">
        <v>34</v>
      </c>
      <c r="AA94" s="13">
        <v>33</v>
      </c>
      <c r="AB94" s="14">
        <v>26</v>
      </c>
      <c r="AC94" s="9" t="s">
        <v>47</v>
      </c>
      <c r="AD94" s="16"/>
      <c r="AE94" s="10">
        <v>93</v>
      </c>
      <c r="AF94" s="10">
        <v>106</v>
      </c>
      <c r="AG94" s="10">
        <v>41</v>
      </c>
      <c r="AH94" s="11">
        <v>60</v>
      </c>
      <c r="AI94" s="12"/>
      <c r="AJ94" s="17"/>
      <c r="AK94" s="13"/>
      <c r="AL94" s="13"/>
      <c r="AM94" s="13"/>
      <c r="AN94" s="14"/>
      <c r="AO94" s="9"/>
      <c r="AP94" s="16"/>
      <c r="AQ94" s="10"/>
      <c r="AR94" s="10"/>
      <c r="AS94" s="10"/>
      <c r="AT94" s="11"/>
      <c r="AU94" s="12"/>
      <c r="AV94" s="17"/>
      <c r="AW94" s="13"/>
      <c r="AX94" s="13"/>
      <c r="AY94" s="13"/>
      <c r="AZ94" s="14"/>
      <c r="BA94" s="9"/>
      <c r="BB94" s="16"/>
      <c r="BC94" s="10"/>
      <c r="BD94" s="10"/>
      <c r="BE94" s="10"/>
      <c r="BF94" s="11"/>
      <c r="BG94" s="12"/>
      <c r="BH94" s="17"/>
      <c r="BI94" s="13"/>
      <c r="BJ94" s="13"/>
      <c r="BK94" s="13"/>
      <c r="BL94" s="14"/>
      <c r="BM94" s="9"/>
      <c r="BN94" s="16"/>
      <c r="BO94" s="10"/>
      <c r="BP94" s="10"/>
      <c r="BQ94" s="10"/>
      <c r="BR94" s="11"/>
      <c r="BS94" s="12"/>
      <c r="BT94" s="17"/>
      <c r="BU94" s="13"/>
      <c r="BV94" s="13"/>
      <c r="BW94" s="13"/>
      <c r="BX94" s="14"/>
      <c r="BY94" s="9"/>
      <c r="BZ94" s="16"/>
      <c r="CA94" s="10"/>
      <c r="CB94" s="10"/>
      <c r="CC94" s="10"/>
      <c r="CD94" s="11"/>
      <c r="CE94" s="12"/>
      <c r="CF94" s="17"/>
      <c r="CG94" s="13"/>
      <c r="CH94" s="13"/>
      <c r="CI94" s="13"/>
      <c r="CJ94" s="14"/>
      <c r="CK94" s="9"/>
      <c r="CL94" s="16"/>
      <c r="CM94" s="10"/>
      <c r="CN94" s="10"/>
      <c r="CO94" s="10"/>
      <c r="CP94" s="11"/>
      <c r="CQ94" s="12"/>
      <c r="CR94" s="17"/>
      <c r="CS94" s="13"/>
      <c r="CT94" s="13"/>
      <c r="CU94" s="13"/>
      <c r="CV94" s="14"/>
      <c r="CW94" s="9"/>
      <c r="CX94" s="16"/>
      <c r="CY94" s="10"/>
      <c r="CZ94" s="10"/>
      <c r="DA94" s="10"/>
      <c r="DB94" s="11"/>
      <c r="DC94" s="12"/>
      <c r="DD94" s="17"/>
      <c r="DE94" s="13"/>
      <c r="DF94" s="13"/>
      <c r="DG94" s="13"/>
      <c r="DH94" s="14"/>
      <c r="DI94" s="8">
        <f t="shared" si="18"/>
        <v>204</v>
      </c>
      <c r="DJ94" s="8">
        <f t="shared" si="19"/>
        <v>200</v>
      </c>
      <c r="DK94" s="8">
        <f t="shared" si="20"/>
        <v>93</v>
      </c>
      <c r="DL94" s="8">
        <f t="shared" si="21"/>
        <v>116</v>
      </c>
      <c r="DM94" s="8">
        <f t="shared" si="22"/>
        <v>204</v>
      </c>
      <c r="DN94" s="8">
        <f t="shared" si="23"/>
        <v>93</v>
      </c>
      <c r="DO94" s="15">
        <f t="shared" si="24"/>
        <v>15.12288201104538</v>
      </c>
      <c r="DP94" s="15" t="str">
        <f t="shared" si="25"/>
        <v>OK - No Upgrade</v>
      </c>
      <c r="DQ94" s="15" t="str">
        <f t="shared" si="26"/>
        <v>Need to Balance</v>
      </c>
    </row>
    <row r="95" spans="1:121" ht="15.75" customHeight="1" x14ac:dyDescent="0.25">
      <c r="A95" s="8" t="s">
        <v>38</v>
      </c>
      <c r="B95" s="8" t="s">
        <v>385</v>
      </c>
      <c r="C95" s="8" t="s">
        <v>536</v>
      </c>
      <c r="D95" s="8" t="s">
        <v>569</v>
      </c>
      <c r="E95" s="8" t="s">
        <v>570</v>
      </c>
      <c r="F95" s="8" t="s">
        <v>56</v>
      </c>
      <c r="G95" s="8"/>
      <c r="H95" s="8">
        <v>1000</v>
      </c>
      <c r="I95" s="8" t="s">
        <v>571</v>
      </c>
      <c r="J95" s="8">
        <v>1</v>
      </c>
      <c r="K95" s="8">
        <v>248</v>
      </c>
      <c r="L95" s="8">
        <v>247</v>
      </c>
      <c r="M95" s="8">
        <v>250</v>
      </c>
      <c r="N95" s="8">
        <v>427</v>
      </c>
      <c r="O95" s="8">
        <v>433</v>
      </c>
      <c r="P95" s="8">
        <v>431</v>
      </c>
      <c r="Q95" s="9" t="s">
        <v>47</v>
      </c>
      <c r="R95" s="16"/>
      <c r="S95" s="10">
        <v>27</v>
      </c>
      <c r="T95" s="10">
        <v>63</v>
      </c>
      <c r="U95" s="10">
        <v>53</v>
      </c>
      <c r="V95" s="11">
        <v>24</v>
      </c>
      <c r="W95" s="12" t="s">
        <v>47</v>
      </c>
      <c r="X95" s="17"/>
      <c r="Y95" s="13">
        <v>53</v>
      </c>
      <c r="Z95" s="13">
        <v>53</v>
      </c>
      <c r="AA95" s="13">
        <v>41</v>
      </c>
      <c r="AB95" s="14">
        <v>20</v>
      </c>
      <c r="AC95" s="9" t="s">
        <v>47</v>
      </c>
      <c r="AD95" s="16"/>
      <c r="AE95" s="10">
        <v>44</v>
      </c>
      <c r="AF95" s="10">
        <v>33</v>
      </c>
      <c r="AG95" s="10">
        <v>39</v>
      </c>
      <c r="AH95" s="11">
        <v>15</v>
      </c>
      <c r="AI95" s="12" t="s">
        <v>47</v>
      </c>
      <c r="AJ95" s="17"/>
      <c r="AK95" s="13">
        <v>68</v>
      </c>
      <c r="AL95" s="13">
        <v>40</v>
      </c>
      <c r="AM95" s="13">
        <v>54</v>
      </c>
      <c r="AN95" s="14">
        <v>28</v>
      </c>
      <c r="AO95" s="9"/>
      <c r="AP95" s="16"/>
      <c r="AQ95" s="10"/>
      <c r="AR95" s="10"/>
      <c r="AS95" s="10"/>
      <c r="AT95" s="11"/>
      <c r="AU95" s="12"/>
      <c r="AV95" s="17"/>
      <c r="AW95" s="13"/>
      <c r="AX95" s="13"/>
      <c r="AY95" s="13"/>
      <c r="AZ95" s="14"/>
      <c r="BA95" s="9"/>
      <c r="BB95" s="16"/>
      <c r="BC95" s="10"/>
      <c r="BD95" s="10"/>
      <c r="BE95" s="10"/>
      <c r="BF95" s="11"/>
      <c r="BG95" s="12"/>
      <c r="BH95" s="17"/>
      <c r="BI95" s="13"/>
      <c r="BJ95" s="13"/>
      <c r="BK95" s="13"/>
      <c r="BL95" s="14"/>
      <c r="BM95" s="9"/>
      <c r="BN95" s="16"/>
      <c r="BO95" s="10"/>
      <c r="BP95" s="10"/>
      <c r="BQ95" s="10"/>
      <c r="BR95" s="11"/>
      <c r="BS95" s="12"/>
      <c r="BT95" s="17"/>
      <c r="BU95" s="13"/>
      <c r="BV95" s="13"/>
      <c r="BW95" s="13"/>
      <c r="BX95" s="14"/>
      <c r="BY95" s="9"/>
      <c r="BZ95" s="16"/>
      <c r="CA95" s="10"/>
      <c r="CB95" s="10"/>
      <c r="CC95" s="10"/>
      <c r="CD95" s="11"/>
      <c r="CE95" s="12"/>
      <c r="CF95" s="17"/>
      <c r="CG95" s="13"/>
      <c r="CH95" s="13"/>
      <c r="CI95" s="13"/>
      <c r="CJ95" s="14"/>
      <c r="CK95" s="9"/>
      <c r="CL95" s="16"/>
      <c r="CM95" s="10"/>
      <c r="CN95" s="10"/>
      <c r="CO95" s="10"/>
      <c r="CP95" s="11"/>
      <c r="CQ95" s="12"/>
      <c r="CR95" s="17"/>
      <c r="CS95" s="13"/>
      <c r="CT95" s="13"/>
      <c r="CU95" s="13"/>
      <c r="CV95" s="14"/>
      <c r="CW95" s="9"/>
      <c r="CX95" s="16"/>
      <c r="CY95" s="10"/>
      <c r="CZ95" s="10"/>
      <c r="DA95" s="10"/>
      <c r="DB95" s="11"/>
      <c r="DC95" s="12"/>
      <c r="DD95" s="17"/>
      <c r="DE95" s="13"/>
      <c r="DF95" s="13"/>
      <c r="DG95" s="13"/>
      <c r="DH95" s="14"/>
      <c r="DI95" s="8">
        <f t="shared" si="18"/>
        <v>192</v>
      </c>
      <c r="DJ95" s="8">
        <f t="shared" si="19"/>
        <v>189</v>
      </c>
      <c r="DK95" s="8">
        <f t="shared" si="20"/>
        <v>187</v>
      </c>
      <c r="DL95" s="8">
        <f t="shared" si="21"/>
        <v>87</v>
      </c>
      <c r="DM95" s="8">
        <f t="shared" si="22"/>
        <v>192</v>
      </c>
      <c r="DN95" s="8">
        <f t="shared" si="23"/>
        <v>187</v>
      </c>
      <c r="DO95" s="15">
        <f t="shared" si="24"/>
        <v>14.200045340772682</v>
      </c>
      <c r="DP95" s="15" t="str">
        <f t="shared" si="25"/>
        <v>OK - No Upgrade</v>
      </c>
      <c r="DQ95" s="15" t="str">
        <f t="shared" si="26"/>
        <v>OK - Balanced</v>
      </c>
    </row>
    <row r="96" spans="1:121" ht="15.75" customHeight="1" x14ac:dyDescent="0.25">
      <c r="A96" s="8" t="s">
        <v>38</v>
      </c>
      <c r="B96" s="8" t="s">
        <v>385</v>
      </c>
      <c r="C96" s="8" t="s">
        <v>536</v>
      </c>
      <c r="D96" s="8" t="s">
        <v>569</v>
      </c>
      <c r="E96" s="8" t="s">
        <v>570</v>
      </c>
      <c r="F96" s="8" t="s">
        <v>56</v>
      </c>
      <c r="G96" s="8" t="s">
        <v>44</v>
      </c>
      <c r="H96" s="8">
        <v>1000</v>
      </c>
      <c r="I96" s="8" t="s">
        <v>572</v>
      </c>
      <c r="J96" s="8">
        <v>2</v>
      </c>
      <c r="K96" s="8">
        <v>248</v>
      </c>
      <c r="L96" s="8">
        <v>247</v>
      </c>
      <c r="M96" s="8">
        <v>250</v>
      </c>
      <c r="N96" s="8">
        <v>428</v>
      </c>
      <c r="O96" s="8">
        <v>434</v>
      </c>
      <c r="P96" s="8">
        <v>430</v>
      </c>
      <c r="Q96" s="9" t="s">
        <v>47</v>
      </c>
      <c r="R96" s="16"/>
      <c r="S96" s="10">
        <v>19</v>
      </c>
      <c r="T96" s="10">
        <v>32</v>
      </c>
      <c r="U96" s="10">
        <v>10</v>
      </c>
      <c r="V96" s="11">
        <v>24</v>
      </c>
      <c r="W96" s="12" t="s">
        <v>47</v>
      </c>
      <c r="X96" s="17"/>
      <c r="Y96" s="13">
        <v>35</v>
      </c>
      <c r="Z96" s="13">
        <v>6</v>
      </c>
      <c r="AA96" s="13">
        <v>29</v>
      </c>
      <c r="AB96" s="14">
        <v>33</v>
      </c>
      <c r="AC96" s="9" t="s">
        <v>47</v>
      </c>
      <c r="AD96" s="16"/>
      <c r="AE96" s="10">
        <v>20</v>
      </c>
      <c r="AF96" s="10">
        <v>89</v>
      </c>
      <c r="AG96" s="10">
        <v>37</v>
      </c>
      <c r="AH96" s="11">
        <v>53</v>
      </c>
      <c r="AI96" s="12" t="s">
        <v>47</v>
      </c>
      <c r="AJ96" s="17"/>
      <c r="AK96" s="13">
        <v>161</v>
      </c>
      <c r="AL96" s="13">
        <v>53</v>
      </c>
      <c r="AM96" s="13">
        <v>69</v>
      </c>
      <c r="AN96" s="14">
        <v>87</v>
      </c>
      <c r="AO96" s="9"/>
      <c r="AP96" s="16"/>
      <c r="AQ96" s="10"/>
      <c r="AR96" s="10"/>
      <c r="AS96" s="10"/>
      <c r="AT96" s="11"/>
      <c r="AU96" s="12"/>
      <c r="AV96" s="17"/>
      <c r="AW96" s="13"/>
      <c r="AX96" s="13"/>
      <c r="AY96" s="13"/>
      <c r="AZ96" s="14"/>
      <c r="BA96" s="9"/>
      <c r="BB96" s="16"/>
      <c r="BC96" s="10"/>
      <c r="BD96" s="10"/>
      <c r="BE96" s="10"/>
      <c r="BF96" s="11"/>
      <c r="BG96" s="12"/>
      <c r="BH96" s="17"/>
      <c r="BI96" s="13"/>
      <c r="BJ96" s="13"/>
      <c r="BK96" s="13"/>
      <c r="BL96" s="14"/>
      <c r="BM96" s="9"/>
      <c r="BN96" s="16"/>
      <c r="BO96" s="10"/>
      <c r="BP96" s="10"/>
      <c r="BQ96" s="10"/>
      <c r="BR96" s="11"/>
      <c r="BS96" s="12"/>
      <c r="BT96" s="17"/>
      <c r="BU96" s="13"/>
      <c r="BV96" s="13"/>
      <c r="BW96" s="13"/>
      <c r="BX96" s="14"/>
      <c r="BY96" s="9"/>
      <c r="BZ96" s="16"/>
      <c r="CA96" s="10"/>
      <c r="CB96" s="10"/>
      <c r="CC96" s="10"/>
      <c r="CD96" s="11"/>
      <c r="CE96" s="12"/>
      <c r="CF96" s="17"/>
      <c r="CG96" s="13"/>
      <c r="CH96" s="13"/>
      <c r="CI96" s="13"/>
      <c r="CJ96" s="14"/>
      <c r="CK96" s="9"/>
      <c r="CL96" s="16"/>
      <c r="CM96" s="10"/>
      <c r="CN96" s="10"/>
      <c r="CO96" s="10"/>
      <c r="CP96" s="11"/>
      <c r="CQ96" s="12"/>
      <c r="CR96" s="17"/>
      <c r="CS96" s="13"/>
      <c r="CT96" s="13"/>
      <c r="CU96" s="13"/>
      <c r="CV96" s="14"/>
      <c r="CW96" s="9"/>
      <c r="CX96" s="16"/>
      <c r="CY96" s="10"/>
      <c r="CZ96" s="10"/>
      <c r="DA96" s="10"/>
      <c r="DB96" s="11"/>
      <c r="DC96" s="12"/>
      <c r="DD96" s="17"/>
      <c r="DE96" s="13"/>
      <c r="DF96" s="13"/>
      <c r="DG96" s="13"/>
      <c r="DH96" s="14"/>
      <c r="DI96" s="8">
        <f t="shared" si="18"/>
        <v>235</v>
      </c>
      <c r="DJ96" s="8">
        <f t="shared" si="19"/>
        <v>180</v>
      </c>
      <c r="DK96" s="8">
        <f t="shared" si="20"/>
        <v>145</v>
      </c>
      <c r="DL96" s="8">
        <f t="shared" si="21"/>
        <v>197</v>
      </c>
      <c r="DM96" s="8">
        <f t="shared" si="22"/>
        <v>235</v>
      </c>
      <c r="DN96" s="8">
        <f t="shared" si="23"/>
        <v>145</v>
      </c>
      <c r="DO96" s="15">
        <f t="shared" si="24"/>
        <v>17.420967022527766</v>
      </c>
      <c r="DP96" s="15" t="str">
        <f t="shared" si="25"/>
        <v>OK - No Upgrade</v>
      </c>
      <c r="DQ96" s="15" t="str">
        <f t="shared" si="26"/>
        <v>Need to Balance</v>
      </c>
    </row>
    <row r="97" spans="1:121" ht="15.75" customHeight="1" x14ac:dyDescent="0.25">
      <c r="A97" s="8" t="s">
        <v>38</v>
      </c>
      <c r="B97" s="8" t="s">
        <v>385</v>
      </c>
      <c r="C97" s="8" t="s">
        <v>573</v>
      </c>
      <c r="D97" s="8" t="s">
        <v>574</v>
      </c>
      <c r="E97" s="8" t="s">
        <v>575</v>
      </c>
      <c r="F97" s="8" t="s">
        <v>43</v>
      </c>
      <c r="G97" s="8"/>
      <c r="H97" s="8">
        <v>315</v>
      </c>
      <c r="I97" s="8" t="s">
        <v>576</v>
      </c>
      <c r="J97" s="8">
        <v>1</v>
      </c>
      <c r="K97" s="8">
        <v>243</v>
      </c>
      <c r="L97" s="8">
        <v>242</v>
      </c>
      <c r="M97" s="8">
        <v>244</v>
      </c>
      <c r="N97" s="8">
        <v>419</v>
      </c>
      <c r="O97" s="8">
        <v>423</v>
      </c>
      <c r="P97" s="8">
        <v>422</v>
      </c>
      <c r="Q97" s="9" t="s">
        <v>47</v>
      </c>
      <c r="R97" s="16"/>
      <c r="S97" s="10">
        <v>67</v>
      </c>
      <c r="T97" s="10">
        <v>71</v>
      </c>
      <c r="U97" s="10">
        <v>98</v>
      </c>
      <c r="V97" s="11">
        <v>35</v>
      </c>
      <c r="W97" s="12"/>
      <c r="X97" s="17"/>
      <c r="Y97" s="13"/>
      <c r="Z97" s="13"/>
      <c r="AA97" s="13"/>
      <c r="AB97" s="14"/>
      <c r="AC97" s="9"/>
      <c r="AD97" s="16"/>
      <c r="AE97" s="10"/>
      <c r="AF97" s="10"/>
      <c r="AG97" s="10"/>
      <c r="AH97" s="11"/>
      <c r="AI97" s="12"/>
      <c r="AJ97" s="17"/>
      <c r="AK97" s="13"/>
      <c r="AL97" s="13"/>
      <c r="AM97" s="13"/>
      <c r="AN97" s="14"/>
      <c r="AO97" s="9"/>
      <c r="AP97" s="16"/>
      <c r="AQ97" s="10"/>
      <c r="AR97" s="10"/>
      <c r="AS97" s="10"/>
      <c r="AT97" s="11"/>
      <c r="AU97" s="12"/>
      <c r="AV97" s="17"/>
      <c r="AW97" s="13"/>
      <c r="AX97" s="13"/>
      <c r="AY97" s="13"/>
      <c r="AZ97" s="14"/>
      <c r="BA97" s="9"/>
      <c r="BB97" s="16"/>
      <c r="BC97" s="10"/>
      <c r="BD97" s="10"/>
      <c r="BE97" s="10"/>
      <c r="BF97" s="11"/>
      <c r="BG97" s="12"/>
      <c r="BH97" s="17"/>
      <c r="BI97" s="13"/>
      <c r="BJ97" s="13"/>
      <c r="BK97" s="13"/>
      <c r="BL97" s="14"/>
      <c r="BM97" s="9"/>
      <c r="BN97" s="16"/>
      <c r="BO97" s="10"/>
      <c r="BP97" s="10"/>
      <c r="BQ97" s="10"/>
      <c r="BR97" s="11"/>
      <c r="BS97" s="12"/>
      <c r="BT97" s="17"/>
      <c r="BU97" s="13"/>
      <c r="BV97" s="13"/>
      <c r="BW97" s="13"/>
      <c r="BX97" s="14"/>
      <c r="BY97" s="9"/>
      <c r="BZ97" s="16"/>
      <c r="CA97" s="10"/>
      <c r="CB97" s="10"/>
      <c r="CC97" s="10"/>
      <c r="CD97" s="11"/>
      <c r="CE97" s="12"/>
      <c r="CF97" s="17"/>
      <c r="CG97" s="13"/>
      <c r="CH97" s="13"/>
      <c r="CI97" s="13"/>
      <c r="CJ97" s="14"/>
      <c r="CK97" s="9"/>
      <c r="CL97" s="16"/>
      <c r="CM97" s="10"/>
      <c r="CN97" s="10"/>
      <c r="CO97" s="10"/>
      <c r="CP97" s="11"/>
      <c r="CQ97" s="12"/>
      <c r="CR97" s="17"/>
      <c r="CS97" s="13"/>
      <c r="CT97" s="13"/>
      <c r="CU97" s="13"/>
      <c r="CV97" s="14"/>
      <c r="CW97" s="9"/>
      <c r="CX97" s="16"/>
      <c r="CY97" s="10"/>
      <c r="CZ97" s="10"/>
      <c r="DA97" s="10"/>
      <c r="DB97" s="11"/>
      <c r="DC97" s="12"/>
      <c r="DD97" s="17"/>
      <c r="DE97" s="13"/>
      <c r="DF97" s="13"/>
      <c r="DG97" s="13"/>
      <c r="DH97" s="14"/>
      <c r="DI97" s="8">
        <f t="shared" si="18"/>
        <v>67</v>
      </c>
      <c r="DJ97" s="8">
        <f t="shared" si="19"/>
        <v>71</v>
      </c>
      <c r="DK97" s="8">
        <f t="shared" si="20"/>
        <v>98</v>
      </c>
      <c r="DL97" s="8">
        <f t="shared" si="21"/>
        <v>35</v>
      </c>
      <c r="DM97" s="8">
        <f t="shared" si="22"/>
        <v>98</v>
      </c>
      <c r="DN97" s="8">
        <f t="shared" si="23"/>
        <v>67</v>
      </c>
      <c r="DO97" s="15">
        <f t="shared" si="24"/>
        <v>22.578244527108964</v>
      </c>
      <c r="DP97" s="15" t="str">
        <f t="shared" si="25"/>
        <v>OK - No Upgrade</v>
      </c>
      <c r="DQ97" s="15" t="str">
        <f t="shared" si="26"/>
        <v>Need to Balance</v>
      </c>
    </row>
    <row r="98" spans="1:121" ht="15.75" customHeight="1" x14ac:dyDescent="0.25">
      <c r="A98" s="8" t="s">
        <v>38</v>
      </c>
      <c r="B98" s="8" t="s">
        <v>385</v>
      </c>
      <c r="C98" s="8" t="s">
        <v>573</v>
      </c>
      <c r="D98" s="8" t="s">
        <v>574</v>
      </c>
      <c r="E98" s="8" t="s">
        <v>575</v>
      </c>
      <c r="F98" s="8" t="s">
        <v>43</v>
      </c>
      <c r="G98" s="8" t="s">
        <v>44</v>
      </c>
      <c r="H98" s="8">
        <v>315</v>
      </c>
      <c r="I98" s="8" t="s">
        <v>577</v>
      </c>
      <c r="J98" s="8">
        <v>2</v>
      </c>
      <c r="K98" s="8">
        <v>248</v>
      </c>
      <c r="L98" s="8">
        <v>247</v>
      </c>
      <c r="M98" s="8">
        <v>248</v>
      </c>
      <c r="N98" s="8">
        <v>429</v>
      </c>
      <c r="O98" s="8">
        <v>430</v>
      </c>
      <c r="P98" s="8">
        <v>430</v>
      </c>
      <c r="Q98" s="9" t="s">
        <v>47</v>
      </c>
      <c r="R98" s="16"/>
      <c r="S98" s="10">
        <v>12</v>
      </c>
      <c r="T98" s="10">
        <v>5</v>
      </c>
      <c r="U98" s="10">
        <v>40</v>
      </c>
      <c r="V98" s="11">
        <v>27</v>
      </c>
      <c r="W98" s="12"/>
      <c r="X98" s="17"/>
      <c r="Y98" s="13"/>
      <c r="Z98" s="13"/>
      <c r="AA98" s="13"/>
      <c r="AB98" s="14"/>
      <c r="AC98" s="9"/>
      <c r="AD98" s="16"/>
      <c r="AE98" s="10"/>
      <c r="AF98" s="10"/>
      <c r="AG98" s="10"/>
      <c r="AH98" s="11"/>
      <c r="AI98" s="12"/>
      <c r="AJ98" s="17"/>
      <c r="AK98" s="13"/>
      <c r="AL98" s="13"/>
      <c r="AM98" s="13"/>
      <c r="AN98" s="14"/>
      <c r="AO98" s="9"/>
      <c r="AP98" s="16"/>
      <c r="AQ98" s="10"/>
      <c r="AR98" s="10"/>
      <c r="AS98" s="10"/>
      <c r="AT98" s="11"/>
      <c r="AU98" s="12"/>
      <c r="AV98" s="17"/>
      <c r="AW98" s="13"/>
      <c r="AX98" s="13"/>
      <c r="AY98" s="13"/>
      <c r="AZ98" s="14"/>
      <c r="BA98" s="9"/>
      <c r="BB98" s="16"/>
      <c r="BC98" s="10"/>
      <c r="BD98" s="10"/>
      <c r="BE98" s="10"/>
      <c r="BF98" s="11"/>
      <c r="BG98" s="12"/>
      <c r="BH98" s="17"/>
      <c r="BI98" s="13"/>
      <c r="BJ98" s="13"/>
      <c r="BK98" s="13"/>
      <c r="BL98" s="14"/>
      <c r="BM98" s="9"/>
      <c r="BN98" s="16"/>
      <c r="BO98" s="10"/>
      <c r="BP98" s="10"/>
      <c r="BQ98" s="10"/>
      <c r="BR98" s="11"/>
      <c r="BS98" s="12"/>
      <c r="BT98" s="17"/>
      <c r="BU98" s="13"/>
      <c r="BV98" s="13"/>
      <c r="BW98" s="13"/>
      <c r="BX98" s="14"/>
      <c r="BY98" s="9"/>
      <c r="BZ98" s="16"/>
      <c r="CA98" s="10"/>
      <c r="CB98" s="10"/>
      <c r="CC98" s="10"/>
      <c r="CD98" s="11"/>
      <c r="CE98" s="12"/>
      <c r="CF98" s="17"/>
      <c r="CG98" s="13"/>
      <c r="CH98" s="13"/>
      <c r="CI98" s="13"/>
      <c r="CJ98" s="14"/>
      <c r="CK98" s="9"/>
      <c r="CL98" s="16"/>
      <c r="CM98" s="10"/>
      <c r="CN98" s="10"/>
      <c r="CO98" s="10"/>
      <c r="CP98" s="11"/>
      <c r="CQ98" s="12"/>
      <c r="CR98" s="17"/>
      <c r="CS98" s="13"/>
      <c r="CT98" s="13"/>
      <c r="CU98" s="13"/>
      <c r="CV98" s="14"/>
      <c r="CW98" s="9"/>
      <c r="CX98" s="16"/>
      <c r="CY98" s="10"/>
      <c r="CZ98" s="10"/>
      <c r="DA98" s="10"/>
      <c r="DB98" s="11"/>
      <c r="DC98" s="12"/>
      <c r="DD98" s="17"/>
      <c r="DE98" s="13"/>
      <c r="DF98" s="13"/>
      <c r="DG98" s="13"/>
      <c r="DH98" s="14"/>
      <c r="DI98" s="8">
        <f t="shared" si="18"/>
        <v>12</v>
      </c>
      <c r="DJ98" s="8">
        <f t="shared" si="19"/>
        <v>5</v>
      </c>
      <c r="DK98" s="8">
        <f t="shared" si="20"/>
        <v>40</v>
      </c>
      <c r="DL98" s="8">
        <f t="shared" si="21"/>
        <v>27</v>
      </c>
      <c r="DM98" s="8">
        <f t="shared" si="22"/>
        <v>40</v>
      </c>
      <c r="DN98" s="8">
        <f t="shared" si="23"/>
        <v>5</v>
      </c>
      <c r="DO98" s="15">
        <f t="shared" si="24"/>
        <v>9.4355529707561683</v>
      </c>
      <c r="DP98" s="15" t="str">
        <f t="shared" si="25"/>
        <v>OK - No Upgrade</v>
      </c>
      <c r="DQ98" s="15" t="str">
        <f t="shared" si="26"/>
        <v>Need to Balance</v>
      </c>
    </row>
    <row r="99" spans="1:121" ht="15.75" customHeight="1" x14ac:dyDescent="0.25">
      <c r="A99" s="8" t="s">
        <v>38</v>
      </c>
      <c r="B99" s="8" t="s">
        <v>385</v>
      </c>
      <c r="C99" s="8" t="s">
        <v>573</v>
      </c>
      <c r="D99" s="8" t="s">
        <v>578</v>
      </c>
      <c r="E99" s="8" t="s">
        <v>579</v>
      </c>
      <c r="F99" s="8" t="s">
        <v>43</v>
      </c>
      <c r="G99" s="8"/>
      <c r="H99" s="8">
        <v>315</v>
      </c>
      <c r="I99" s="8" t="s">
        <v>580</v>
      </c>
      <c r="J99" s="8">
        <v>1</v>
      </c>
      <c r="K99" s="8">
        <v>244</v>
      </c>
      <c r="L99" s="8">
        <v>242</v>
      </c>
      <c r="M99" s="8">
        <v>244</v>
      </c>
      <c r="N99" s="8">
        <v>420</v>
      </c>
      <c r="O99" s="8">
        <v>426</v>
      </c>
      <c r="P99" s="8">
        <v>422</v>
      </c>
      <c r="Q99" s="9" t="s">
        <v>46</v>
      </c>
      <c r="R99" s="16"/>
      <c r="S99" s="10">
        <v>64</v>
      </c>
      <c r="T99" s="10">
        <v>92</v>
      </c>
      <c r="U99" s="10">
        <v>79</v>
      </c>
      <c r="V99" s="11">
        <v>13</v>
      </c>
      <c r="W99" s="12" t="s">
        <v>46</v>
      </c>
      <c r="X99" s="17"/>
      <c r="Y99" s="13">
        <v>0</v>
      </c>
      <c r="Z99" s="13">
        <v>9</v>
      </c>
      <c r="AA99" s="13">
        <v>2</v>
      </c>
      <c r="AB99" s="14">
        <v>8</v>
      </c>
      <c r="AC99" s="9"/>
      <c r="AD99" s="16"/>
      <c r="AE99" s="10"/>
      <c r="AF99" s="10"/>
      <c r="AG99" s="10"/>
      <c r="AH99" s="11"/>
      <c r="AI99" s="12"/>
      <c r="AJ99" s="17"/>
      <c r="AK99" s="13"/>
      <c r="AL99" s="13"/>
      <c r="AM99" s="13"/>
      <c r="AN99" s="14"/>
      <c r="AO99" s="9"/>
      <c r="AP99" s="16"/>
      <c r="AQ99" s="10"/>
      <c r="AR99" s="10"/>
      <c r="AS99" s="10"/>
      <c r="AT99" s="11"/>
      <c r="AU99" s="12"/>
      <c r="AV99" s="17"/>
      <c r="AW99" s="13"/>
      <c r="AX99" s="13"/>
      <c r="AY99" s="13"/>
      <c r="AZ99" s="14"/>
      <c r="BA99" s="9"/>
      <c r="BB99" s="16"/>
      <c r="BC99" s="10"/>
      <c r="BD99" s="10"/>
      <c r="BE99" s="10"/>
      <c r="BF99" s="11"/>
      <c r="BG99" s="12"/>
      <c r="BH99" s="17"/>
      <c r="BI99" s="13"/>
      <c r="BJ99" s="13"/>
      <c r="BK99" s="13"/>
      <c r="BL99" s="14"/>
      <c r="BM99" s="9"/>
      <c r="BN99" s="16"/>
      <c r="BO99" s="10"/>
      <c r="BP99" s="10"/>
      <c r="BQ99" s="10"/>
      <c r="BR99" s="11"/>
      <c r="BS99" s="12"/>
      <c r="BT99" s="17"/>
      <c r="BU99" s="13"/>
      <c r="BV99" s="13"/>
      <c r="BW99" s="13"/>
      <c r="BX99" s="14"/>
      <c r="BY99" s="9"/>
      <c r="BZ99" s="16"/>
      <c r="CA99" s="10"/>
      <c r="CB99" s="10"/>
      <c r="CC99" s="10"/>
      <c r="CD99" s="11"/>
      <c r="CE99" s="12"/>
      <c r="CF99" s="17"/>
      <c r="CG99" s="13"/>
      <c r="CH99" s="13"/>
      <c r="CI99" s="13"/>
      <c r="CJ99" s="14"/>
      <c r="CK99" s="9"/>
      <c r="CL99" s="16"/>
      <c r="CM99" s="10"/>
      <c r="CN99" s="10"/>
      <c r="CO99" s="10"/>
      <c r="CP99" s="11"/>
      <c r="CQ99" s="12"/>
      <c r="CR99" s="17"/>
      <c r="CS99" s="13"/>
      <c r="CT99" s="13"/>
      <c r="CU99" s="13"/>
      <c r="CV99" s="14"/>
      <c r="CW99" s="9"/>
      <c r="CX99" s="16"/>
      <c r="CY99" s="10"/>
      <c r="CZ99" s="10"/>
      <c r="DA99" s="10"/>
      <c r="DB99" s="11"/>
      <c r="DC99" s="12"/>
      <c r="DD99" s="17"/>
      <c r="DE99" s="13"/>
      <c r="DF99" s="13"/>
      <c r="DG99" s="13"/>
      <c r="DH99" s="14"/>
      <c r="DI99" s="8">
        <f t="shared" si="18"/>
        <v>64</v>
      </c>
      <c r="DJ99" s="8">
        <f t="shared" si="19"/>
        <v>101</v>
      </c>
      <c r="DK99" s="8">
        <f t="shared" si="20"/>
        <v>81</v>
      </c>
      <c r="DL99" s="8">
        <f t="shared" si="21"/>
        <v>21</v>
      </c>
      <c r="DM99" s="8">
        <f t="shared" si="22"/>
        <v>101</v>
      </c>
      <c r="DN99" s="8">
        <f t="shared" si="23"/>
        <v>64</v>
      </c>
      <c r="DO99" s="15">
        <f t="shared" si="24"/>
        <v>23.324950875260878</v>
      </c>
      <c r="DP99" s="15" t="str">
        <f t="shared" si="25"/>
        <v>OK - No Upgrade</v>
      </c>
      <c r="DQ99" s="15" t="str">
        <f t="shared" si="26"/>
        <v>Need to Balance</v>
      </c>
    </row>
    <row r="100" spans="1:121" ht="15.75" customHeight="1" x14ac:dyDescent="0.25">
      <c r="A100" s="8" t="s">
        <v>38</v>
      </c>
      <c r="B100" s="8" t="s">
        <v>385</v>
      </c>
      <c r="C100" s="8" t="s">
        <v>573</v>
      </c>
      <c r="D100" s="8" t="s">
        <v>578</v>
      </c>
      <c r="E100" s="8" t="s">
        <v>579</v>
      </c>
      <c r="F100" s="8" t="s">
        <v>43</v>
      </c>
      <c r="G100" s="8" t="s">
        <v>44</v>
      </c>
      <c r="H100" s="8">
        <v>315</v>
      </c>
      <c r="I100" s="8" t="s">
        <v>581</v>
      </c>
      <c r="J100" s="8">
        <v>2</v>
      </c>
      <c r="K100" s="8">
        <v>247</v>
      </c>
      <c r="L100" s="8">
        <v>245</v>
      </c>
      <c r="M100" s="8">
        <v>247</v>
      </c>
      <c r="N100" s="8">
        <v>428</v>
      </c>
      <c r="O100" s="8">
        <v>429</v>
      </c>
      <c r="P100" s="8">
        <v>427</v>
      </c>
      <c r="Q100" s="9" t="s">
        <v>46</v>
      </c>
      <c r="R100" s="16"/>
      <c r="S100" s="10">
        <v>15</v>
      </c>
      <c r="T100" s="10">
        <v>69</v>
      </c>
      <c r="U100" s="10">
        <v>69</v>
      </c>
      <c r="V100" s="11">
        <v>16</v>
      </c>
      <c r="W100" s="12" t="s">
        <v>46</v>
      </c>
      <c r="X100" s="17"/>
      <c r="Y100" s="13">
        <v>10</v>
      </c>
      <c r="Z100" s="13">
        <v>0</v>
      </c>
      <c r="AA100" s="13">
        <v>1</v>
      </c>
      <c r="AB100" s="14">
        <v>9</v>
      </c>
      <c r="AC100" s="9"/>
      <c r="AD100" s="16"/>
      <c r="AE100" s="10"/>
      <c r="AF100" s="10"/>
      <c r="AG100" s="10"/>
      <c r="AH100" s="11"/>
      <c r="AI100" s="12"/>
      <c r="AJ100" s="17"/>
      <c r="AK100" s="13"/>
      <c r="AL100" s="13"/>
      <c r="AM100" s="13"/>
      <c r="AN100" s="14"/>
      <c r="AO100" s="9"/>
      <c r="AP100" s="16"/>
      <c r="AQ100" s="10"/>
      <c r="AR100" s="10"/>
      <c r="AS100" s="10"/>
      <c r="AT100" s="11"/>
      <c r="AU100" s="12"/>
      <c r="AV100" s="17"/>
      <c r="AW100" s="13"/>
      <c r="AX100" s="13"/>
      <c r="AY100" s="13"/>
      <c r="AZ100" s="14"/>
      <c r="BA100" s="9"/>
      <c r="BB100" s="16"/>
      <c r="BC100" s="10"/>
      <c r="BD100" s="10"/>
      <c r="BE100" s="10"/>
      <c r="BF100" s="11"/>
      <c r="BG100" s="12"/>
      <c r="BH100" s="17"/>
      <c r="BI100" s="13"/>
      <c r="BJ100" s="13"/>
      <c r="BK100" s="13"/>
      <c r="BL100" s="14"/>
      <c r="BM100" s="9"/>
      <c r="BN100" s="16"/>
      <c r="BO100" s="10"/>
      <c r="BP100" s="10"/>
      <c r="BQ100" s="10"/>
      <c r="BR100" s="11"/>
      <c r="BS100" s="12"/>
      <c r="BT100" s="17"/>
      <c r="BU100" s="13"/>
      <c r="BV100" s="13"/>
      <c r="BW100" s="13"/>
      <c r="BX100" s="14"/>
      <c r="BY100" s="9"/>
      <c r="BZ100" s="16"/>
      <c r="CA100" s="10"/>
      <c r="CB100" s="10"/>
      <c r="CC100" s="10"/>
      <c r="CD100" s="11"/>
      <c r="CE100" s="12"/>
      <c r="CF100" s="17"/>
      <c r="CG100" s="13"/>
      <c r="CH100" s="13"/>
      <c r="CI100" s="13"/>
      <c r="CJ100" s="14"/>
      <c r="CK100" s="9"/>
      <c r="CL100" s="16"/>
      <c r="CM100" s="10"/>
      <c r="CN100" s="10"/>
      <c r="CO100" s="10"/>
      <c r="CP100" s="11"/>
      <c r="CQ100" s="12"/>
      <c r="CR100" s="17"/>
      <c r="CS100" s="13"/>
      <c r="CT100" s="13"/>
      <c r="CU100" s="13"/>
      <c r="CV100" s="14"/>
      <c r="CW100" s="9"/>
      <c r="CX100" s="16"/>
      <c r="CY100" s="10"/>
      <c r="CZ100" s="10"/>
      <c r="DA100" s="10"/>
      <c r="DB100" s="11"/>
      <c r="DC100" s="12"/>
      <c r="DD100" s="17"/>
      <c r="DE100" s="13"/>
      <c r="DF100" s="13"/>
      <c r="DG100" s="13"/>
      <c r="DH100" s="14"/>
      <c r="DI100" s="8">
        <f t="shared" ref="DI100:DI131" si="27">SUM(S100,Y100,AE100,AK100,AQ100,AW100,BC100,BI100,BO100,BU100,CA100,CG100,CM100,CS100,CY100,DE100)</f>
        <v>25</v>
      </c>
      <c r="DJ100" s="8">
        <f t="shared" ref="DJ100:DJ131" si="28">SUM(T100,Z100,AF100,AL100,AR100,AX100,BD100,BJ100,BP100,BV100,CB100,CH100,CN100,CT100,CZ100,DF100)</f>
        <v>69</v>
      </c>
      <c r="DK100" s="8">
        <f t="shared" ref="DK100:DK131" si="29">SUM(U100,AA100,AG100,AM100,AS100,AY100,BE100,BK100,BQ100,BW100,CC100,CI100,CO100,CU100,DA100,DG100)</f>
        <v>70</v>
      </c>
      <c r="DL100" s="8">
        <f t="shared" ref="DL100:DL131" si="30">SUM(V100,AB100,AH100,AN100,AT100,AZ100,BF100,BL100,BR100,BX100,CD100,CJ100,CP100,CV100,DB100,DH100)</f>
        <v>25</v>
      </c>
      <c r="DM100" s="8">
        <f t="shared" ref="DM100:DM131" si="31">MAX(DI100:DK100)</f>
        <v>70</v>
      </c>
      <c r="DN100" s="8">
        <f t="shared" ref="DN100:DN131" si="32">MIN(DI100:DK100)</f>
        <v>25</v>
      </c>
      <c r="DO100" s="15">
        <f t="shared" ref="DO100:DO131" si="33">IF(H100&gt;0,(DM100*SQRT(3)*IF(N100&gt;0,N100,IF(O100&gt;0,O100,IF(P100&gt;0,P100,415)))/(H100*1000))*100,0)</f>
        <v>16.473727680877321</v>
      </c>
      <c r="DP100" s="15" t="str">
        <f t="shared" ref="DP100:DP131" si="34">IF(DO100&gt;70,"Upgrade","OK - No Upgrade")</f>
        <v>OK - No Upgrade</v>
      </c>
      <c r="DQ100" s="15" t="str">
        <f t="shared" ref="DQ100:DQ131" si="35">IF(IF(AVERAGE(DI100:DK100)&gt;0,((DM100-AVERAGE(DI100:DK100))/AVERAGE(DI100:DK100))*100,0)&gt;10,"Need to Balance","OK - Balanced")</f>
        <v>Need to Balance</v>
      </c>
    </row>
    <row r="101" spans="1:121" ht="15.75" customHeight="1" x14ac:dyDescent="0.25">
      <c r="A101" s="8" t="s">
        <v>38</v>
      </c>
      <c r="B101" s="8" t="s">
        <v>385</v>
      </c>
      <c r="C101" s="8" t="s">
        <v>573</v>
      </c>
      <c r="D101" s="8" t="s">
        <v>582</v>
      </c>
      <c r="E101" s="8" t="s">
        <v>583</v>
      </c>
      <c r="F101" s="8" t="s">
        <v>43</v>
      </c>
      <c r="G101" s="8"/>
      <c r="H101" s="8">
        <v>315</v>
      </c>
      <c r="I101" s="8" t="s">
        <v>584</v>
      </c>
      <c r="J101" s="8">
        <v>1</v>
      </c>
      <c r="K101" s="8">
        <v>240</v>
      </c>
      <c r="L101" s="8">
        <v>240</v>
      </c>
      <c r="M101" s="8">
        <v>243</v>
      </c>
      <c r="N101" s="8">
        <v>413</v>
      </c>
      <c r="O101" s="8">
        <v>421</v>
      </c>
      <c r="P101" s="8">
        <v>418</v>
      </c>
      <c r="Q101" s="9" t="s">
        <v>47</v>
      </c>
      <c r="R101" s="16"/>
      <c r="S101" s="10">
        <v>182</v>
      </c>
      <c r="T101" s="10">
        <v>116</v>
      </c>
      <c r="U101" s="10">
        <v>122</v>
      </c>
      <c r="V101" s="11">
        <v>58</v>
      </c>
      <c r="W101" s="12" t="s">
        <v>47</v>
      </c>
      <c r="X101" s="17"/>
      <c r="Y101" s="13">
        <v>91</v>
      </c>
      <c r="Z101" s="13">
        <v>89</v>
      </c>
      <c r="AA101" s="13">
        <v>63</v>
      </c>
      <c r="AB101" s="14">
        <v>21</v>
      </c>
      <c r="AC101" s="9"/>
      <c r="AD101" s="16"/>
      <c r="AE101" s="10"/>
      <c r="AF101" s="10"/>
      <c r="AG101" s="10"/>
      <c r="AH101" s="11"/>
      <c r="AI101" s="12"/>
      <c r="AJ101" s="17"/>
      <c r="AK101" s="13"/>
      <c r="AL101" s="13"/>
      <c r="AM101" s="13"/>
      <c r="AN101" s="14"/>
      <c r="AO101" s="9"/>
      <c r="AP101" s="16"/>
      <c r="AQ101" s="10"/>
      <c r="AR101" s="10"/>
      <c r="AS101" s="10"/>
      <c r="AT101" s="11"/>
      <c r="AU101" s="12"/>
      <c r="AV101" s="17"/>
      <c r="AW101" s="13"/>
      <c r="AX101" s="13"/>
      <c r="AY101" s="13"/>
      <c r="AZ101" s="14"/>
      <c r="BA101" s="9"/>
      <c r="BB101" s="16"/>
      <c r="BC101" s="10"/>
      <c r="BD101" s="10"/>
      <c r="BE101" s="10"/>
      <c r="BF101" s="11"/>
      <c r="BG101" s="12"/>
      <c r="BH101" s="17"/>
      <c r="BI101" s="13"/>
      <c r="BJ101" s="13"/>
      <c r="BK101" s="13"/>
      <c r="BL101" s="14"/>
      <c r="BM101" s="9"/>
      <c r="BN101" s="16"/>
      <c r="BO101" s="10"/>
      <c r="BP101" s="10"/>
      <c r="BQ101" s="10"/>
      <c r="BR101" s="11"/>
      <c r="BS101" s="12"/>
      <c r="BT101" s="17"/>
      <c r="BU101" s="13"/>
      <c r="BV101" s="13"/>
      <c r="BW101" s="13"/>
      <c r="BX101" s="14"/>
      <c r="BY101" s="9"/>
      <c r="BZ101" s="16"/>
      <c r="CA101" s="10"/>
      <c r="CB101" s="10"/>
      <c r="CC101" s="10"/>
      <c r="CD101" s="11"/>
      <c r="CE101" s="12"/>
      <c r="CF101" s="17"/>
      <c r="CG101" s="13"/>
      <c r="CH101" s="13"/>
      <c r="CI101" s="13"/>
      <c r="CJ101" s="14"/>
      <c r="CK101" s="9"/>
      <c r="CL101" s="16"/>
      <c r="CM101" s="10"/>
      <c r="CN101" s="10"/>
      <c r="CO101" s="10"/>
      <c r="CP101" s="11"/>
      <c r="CQ101" s="12"/>
      <c r="CR101" s="17"/>
      <c r="CS101" s="13"/>
      <c r="CT101" s="13"/>
      <c r="CU101" s="13"/>
      <c r="CV101" s="14"/>
      <c r="CW101" s="9"/>
      <c r="CX101" s="16"/>
      <c r="CY101" s="10"/>
      <c r="CZ101" s="10"/>
      <c r="DA101" s="10"/>
      <c r="DB101" s="11"/>
      <c r="DC101" s="12"/>
      <c r="DD101" s="17"/>
      <c r="DE101" s="13"/>
      <c r="DF101" s="13"/>
      <c r="DG101" s="13"/>
      <c r="DH101" s="14"/>
      <c r="DI101" s="8">
        <f t="shared" si="27"/>
        <v>273</v>
      </c>
      <c r="DJ101" s="8">
        <f t="shared" si="28"/>
        <v>205</v>
      </c>
      <c r="DK101" s="8">
        <f t="shared" si="29"/>
        <v>185</v>
      </c>
      <c r="DL101" s="8">
        <f t="shared" si="30"/>
        <v>79</v>
      </c>
      <c r="DM101" s="8">
        <f t="shared" si="31"/>
        <v>273</v>
      </c>
      <c r="DN101" s="8">
        <f t="shared" si="32"/>
        <v>185</v>
      </c>
      <c r="DO101" s="15">
        <f t="shared" si="33"/>
        <v>61.995871905582014</v>
      </c>
      <c r="DP101" s="15" t="str">
        <f t="shared" si="34"/>
        <v>OK - No Upgrade</v>
      </c>
      <c r="DQ101" s="15" t="str">
        <f t="shared" si="35"/>
        <v>Need to Balance</v>
      </c>
    </row>
    <row r="102" spans="1:121" ht="15.75" customHeight="1" x14ac:dyDescent="0.25">
      <c r="A102" s="8" t="s">
        <v>38</v>
      </c>
      <c r="B102" s="8" t="s">
        <v>385</v>
      </c>
      <c r="C102" s="8" t="s">
        <v>573</v>
      </c>
      <c r="D102" s="8" t="s">
        <v>582</v>
      </c>
      <c r="E102" s="8" t="s">
        <v>583</v>
      </c>
      <c r="F102" s="8" t="s">
        <v>43</v>
      </c>
      <c r="G102" s="8" t="s">
        <v>44</v>
      </c>
      <c r="H102" s="8">
        <v>315</v>
      </c>
      <c r="I102" s="8" t="s">
        <v>486</v>
      </c>
      <c r="J102" s="8">
        <v>2</v>
      </c>
      <c r="K102" s="8">
        <v>243</v>
      </c>
      <c r="L102" s="8">
        <v>244</v>
      </c>
      <c r="M102" s="8">
        <v>246</v>
      </c>
      <c r="N102" s="8">
        <v>419</v>
      </c>
      <c r="O102" s="8">
        <v>421</v>
      </c>
      <c r="P102" s="8">
        <v>426</v>
      </c>
      <c r="Q102" s="9" t="s">
        <v>47</v>
      </c>
      <c r="R102" s="16"/>
      <c r="S102" s="10">
        <v>146</v>
      </c>
      <c r="T102" s="10">
        <v>85</v>
      </c>
      <c r="U102" s="10">
        <v>72</v>
      </c>
      <c r="V102" s="11">
        <v>69</v>
      </c>
      <c r="W102" s="12" t="s">
        <v>47</v>
      </c>
      <c r="X102" s="17"/>
      <c r="Y102" s="13">
        <v>125</v>
      </c>
      <c r="Z102" s="13">
        <v>48</v>
      </c>
      <c r="AA102" s="13">
        <v>56</v>
      </c>
      <c r="AB102" s="14">
        <v>74</v>
      </c>
      <c r="AC102" s="9"/>
      <c r="AD102" s="16"/>
      <c r="AE102" s="10"/>
      <c r="AF102" s="10"/>
      <c r="AG102" s="10"/>
      <c r="AH102" s="11"/>
      <c r="AI102" s="12"/>
      <c r="AJ102" s="17"/>
      <c r="AK102" s="13"/>
      <c r="AL102" s="13"/>
      <c r="AM102" s="13"/>
      <c r="AN102" s="14"/>
      <c r="AO102" s="9"/>
      <c r="AP102" s="16"/>
      <c r="AQ102" s="10"/>
      <c r="AR102" s="10"/>
      <c r="AS102" s="10"/>
      <c r="AT102" s="11"/>
      <c r="AU102" s="12"/>
      <c r="AV102" s="17"/>
      <c r="AW102" s="13"/>
      <c r="AX102" s="13"/>
      <c r="AY102" s="13"/>
      <c r="AZ102" s="14"/>
      <c r="BA102" s="9"/>
      <c r="BB102" s="16"/>
      <c r="BC102" s="10"/>
      <c r="BD102" s="10"/>
      <c r="BE102" s="10"/>
      <c r="BF102" s="11"/>
      <c r="BG102" s="12"/>
      <c r="BH102" s="17"/>
      <c r="BI102" s="13"/>
      <c r="BJ102" s="13"/>
      <c r="BK102" s="13"/>
      <c r="BL102" s="14"/>
      <c r="BM102" s="9"/>
      <c r="BN102" s="16"/>
      <c r="BO102" s="10"/>
      <c r="BP102" s="10"/>
      <c r="BQ102" s="10"/>
      <c r="BR102" s="11"/>
      <c r="BS102" s="12"/>
      <c r="BT102" s="17"/>
      <c r="BU102" s="13"/>
      <c r="BV102" s="13"/>
      <c r="BW102" s="13"/>
      <c r="BX102" s="14"/>
      <c r="BY102" s="9"/>
      <c r="BZ102" s="16"/>
      <c r="CA102" s="10"/>
      <c r="CB102" s="10"/>
      <c r="CC102" s="10"/>
      <c r="CD102" s="11"/>
      <c r="CE102" s="12"/>
      <c r="CF102" s="17"/>
      <c r="CG102" s="13"/>
      <c r="CH102" s="13"/>
      <c r="CI102" s="13"/>
      <c r="CJ102" s="14"/>
      <c r="CK102" s="9"/>
      <c r="CL102" s="16"/>
      <c r="CM102" s="10"/>
      <c r="CN102" s="10"/>
      <c r="CO102" s="10"/>
      <c r="CP102" s="11"/>
      <c r="CQ102" s="12"/>
      <c r="CR102" s="17"/>
      <c r="CS102" s="13"/>
      <c r="CT102" s="13"/>
      <c r="CU102" s="13"/>
      <c r="CV102" s="14"/>
      <c r="CW102" s="9"/>
      <c r="CX102" s="16"/>
      <c r="CY102" s="10"/>
      <c r="CZ102" s="10"/>
      <c r="DA102" s="10"/>
      <c r="DB102" s="11"/>
      <c r="DC102" s="12"/>
      <c r="DD102" s="17"/>
      <c r="DE102" s="13"/>
      <c r="DF102" s="13"/>
      <c r="DG102" s="13"/>
      <c r="DH102" s="14"/>
      <c r="DI102" s="8">
        <f t="shared" si="27"/>
        <v>271</v>
      </c>
      <c r="DJ102" s="8">
        <f t="shared" si="28"/>
        <v>133</v>
      </c>
      <c r="DK102" s="8">
        <f t="shared" si="29"/>
        <v>128</v>
      </c>
      <c r="DL102" s="8">
        <f t="shared" si="30"/>
        <v>143</v>
      </c>
      <c r="DM102" s="8">
        <f t="shared" si="31"/>
        <v>271</v>
      </c>
      <c r="DN102" s="8">
        <f t="shared" si="32"/>
        <v>128</v>
      </c>
      <c r="DO102" s="15">
        <f t="shared" si="33"/>
        <v>62.435757824964575</v>
      </c>
      <c r="DP102" s="15" t="str">
        <f t="shared" si="34"/>
        <v>OK - No Upgrade</v>
      </c>
      <c r="DQ102" s="15" t="str">
        <f t="shared" si="35"/>
        <v>Need to Balance</v>
      </c>
    </row>
    <row r="103" spans="1:121" ht="15.75" customHeight="1" x14ac:dyDescent="0.25">
      <c r="A103" s="8" t="s">
        <v>38</v>
      </c>
      <c r="B103" s="8" t="s">
        <v>385</v>
      </c>
      <c r="C103" s="8" t="s">
        <v>389</v>
      </c>
      <c r="D103" s="8"/>
      <c r="E103" s="8" t="s">
        <v>585</v>
      </c>
      <c r="F103" s="8" t="s">
        <v>56</v>
      </c>
      <c r="G103" s="8"/>
      <c r="H103" s="8">
        <v>1000</v>
      </c>
      <c r="I103" s="8" t="s">
        <v>586</v>
      </c>
      <c r="J103" s="8">
        <v>1</v>
      </c>
      <c r="K103" s="8">
        <v>243</v>
      </c>
      <c r="L103" s="8">
        <v>241</v>
      </c>
      <c r="M103" s="8">
        <v>244</v>
      </c>
      <c r="N103" s="8">
        <v>419</v>
      </c>
      <c r="O103" s="8">
        <v>421</v>
      </c>
      <c r="P103" s="8">
        <v>420</v>
      </c>
      <c r="Q103" s="9" t="s">
        <v>46</v>
      </c>
      <c r="R103" s="16"/>
      <c r="S103" s="10">
        <v>24</v>
      </c>
      <c r="T103" s="10">
        <v>11</v>
      </c>
      <c r="U103" s="10">
        <v>70</v>
      </c>
      <c r="V103" s="11">
        <v>55</v>
      </c>
      <c r="W103" s="12" t="s">
        <v>47</v>
      </c>
      <c r="X103" s="17"/>
      <c r="Y103" s="13">
        <v>62</v>
      </c>
      <c r="Z103" s="13">
        <v>42</v>
      </c>
      <c r="AA103" s="13">
        <v>79</v>
      </c>
      <c r="AB103" s="14">
        <v>15</v>
      </c>
      <c r="AC103" s="9" t="s">
        <v>47</v>
      </c>
      <c r="AD103" s="16"/>
      <c r="AE103" s="10">
        <v>85</v>
      </c>
      <c r="AF103" s="10">
        <v>91</v>
      </c>
      <c r="AG103" s="10">
        <v>140</v>
      </c>
      <c r="AH103" s="11">
        <v>56</v>
      </c>
      <c r="AI103" s="12" t="s">
        <v>47</v>
      </c>
      <c r="AJ103" s="17"/>
      <c r="AK103" s="13">
        <v>13</v>
      </c>
      <c r="AL103" s="13">
        <v>16</v>
      </c>
      <c r="AM103" s="13">
        <v>27</v>
      </c>
      <c r="AN103" s="14">
        <v>23</v>
      </c>
      <c r="AO103" s="9"/>
      <c r="AP103" s="16"/>
      <c r="AQ103" s="10"/>
      <c r="AR103" s="10"/>
      <c r="AS103" s="10"/>
      <c r="AT103" s="11"/>
      <c r="AU103" s="12"/>
      <c r="AV103" s="17"/>
      <c r="AW103" s="13"/>
      <c r="AX103" s="13"/>
      <c r="AY103" s="13"/>
      <c r="AZ103" s="14"/>
      <c r="BA103" s="9"/>
      <c r="BB103" s="16"/>
      <c r="BC103" s="10"/>
      <c r="BD103" s="10"/>
      <c r="BE103" s="10"/>
      <c r="BF103" s="11"/>
      <c r="BG103" s="12"/>
      <c r="BH103" s="17"/>
      <c r="BI103" s="13"/>
      <c r="BJ103" s="13"/>
      <c r="BK103" s="13"/>
      <c r="BL103" s="14"/>
      <c r="BM103" s="9"/>
      <c r="BN103" s="16"/>
      <c r="BO103" s="10"/>
      <c r="BP103" s="10"/>
      <c r="BQ103" s="10"/>
      <c r="BR103" s="11"/>
      <c r="BS103" s="12"/>
      <c r="BT103" s="17"/>
      <c r="BU103" s="13"/>
      <c r="BV103" s="13"/>
      <c r="BW103" s="13"/>
      <c r="BX103" s="14"/>
      <c r="BY103" s="9"/>
      <c r="BZ103" s="16"/>
      <c r="CA103" s="10"/>
      <c r="CB103" s="10"/>
      <c r="CC103" s="10"/>
      <c r="CD103" s="11"/>
      <c r="CE103" s="12"/>
      <c r="CF103" s="17"/>
      <c r="CG103" s="13"/>
      <c r="CH103" s="13"/>
      <c r="CI103" s="13"/>
      <c r="CJ103" s="14"/>
      <c r="CK103" s="9"/>
      <c r="CL103" s="16"/>
      <c r="CM103" s="10"/>
      <c r="CN103" s="10"/>
      <c r="CO103" s="10"/>
      <c r="CP103" s="11"/>
      <c r="CQ103" s="12"/>
      <c r="CR103" s="17"/>
      <c r="CS103" s="13"/>
      <c r="CT103" s="13"/>
      <c r="CU103" s="13"/>
      <c r="CV103" s="14"/>
      <c r="CW103" s="9"/>
      <c r="CX103" s="16"/>
      <c r="CY103" s="10"/>
      <c r="CZ103" s="10"/>
      <c r="DA103" s="10"/>
      <c r="DB103" s="11"/>
      <c r="DC103" s="12"/>
      <c r="DD103" s="17"/>
      <c r="DE103" s="13"/>
      <c r="DF103" s="13"/>
      <c r="DG103" s="13"/>
      <c r="DH103" s="14"/>
      <c r="DI103" s="8">
        <f t="shared" si="27"/>
        <v>184</v>
      </c>
      <c r="DJ103" s="8">
        <f t="shared" si="28"/>
        <v>160</v>
      </c>
      <c r="DK103" s="8">
        <f t="shared" si="29"/>
        <v>316</v>
      </c>
      <c r="DL103" s="8">
        <f t="shared" si="30"/>
        <v>149</v>
      </c>
      <c r="DM103" s="8">
        <f t="shared" si="31"/>
        <v>316</v>
      </c>
      <c r="DN103" s="8">
        <f t="shared" si="32"/>
        <v>160</v>
      </c>
      <c r="DO103" s="15">
        <f t="shared" si="33"/>
        <v>22.933045512534964</v>
      </c>
      <c r="DP103" s="15" t="str">
        <f t="shared" si="34"/>
        <v>OK - No Upgrade</v>
      </c>
      <c r="DQ103" s="15" t="str">
        <f t="shared" si="35"/>
        <v>Need to Balance</v>
      </c>
    </row>
    <row r="104" spans="1:121" ht="15.75" customHeight="1" x14ac:dyDescent="0.25">
      <c r="A104" s="8" t="s">
        <v>38</v>
      </c>
      <c r="B104" s="8" t="s">
        <v>385</v>
      </c>
      <c r="C104" s="8" t="s">
        <v>389</v>
      </c>
      <c r="D104" s="8"/>
      <c r="E104" s="8" t="s">
        <v>585</v>
      </c>
      <c r="F104" s="8" t="s">
        <v>56</v>
      </c>
      <c r="G104" s="8" t="s">
        <v>44</v>
      </c>
      <c r="H104" s="8">
        <v>1000</v>
      </c>
      <c r="I104" s="8" t="s">
        <v>587</v>
      </c>
      <c r="J104" s="8">
        <v>2</v>
      </c>
      <c r="K104" s="8">
        <v>248</v>
      </c>
      <c r="L104" s="8">
        <v>246</v>
      </c>
      <c r="M104" s="8">
        <v>248</v>
      </c>
      <c r="N104" s="8">
        <v>427</v>
      </c>
      <c r="O104" s="8">
        <v>431</v>
      </c>
      <c r="P104" s="8">
        <v>429</v>
      </c>
      <c r="Q104" s="9" t="s">
        <v>46</v>
      </c>
      <c r="R104" s="16"/>
      <c r="S104" s="10">
        <v>28</v>
      </c>
      <c r="T104" s="10">
        <v>7</v>
      </c>
      <c r="U104" s="10">
        <v>54</v>
      </c>
      <c r="V104" s="11">
        <v>46</v>
      </c>
      <c r="W104" s="12" t="s">
        <v>47</v>
      </c>
      <c r="X104" s="17"/>
      <c r="Y104" s="13">
        <v>4</v>
      </c>
      <c r="Z104" s="13">
        <v>37</v>
      </c>
      <c r="AA104" s="13">
        <v>22</v>
      </c>
      <c r="AB104" s="14">
        <v>28</v>
      </c>
      <c r="AC104" s="9" t="s">
        <v>47</v>
      </c>
      <c r="AD104" s="16"/>
      <c r="AE104" s="10">
        <v>91</v>
      </c>
      <c r="AF104" s="10">
        <v>108</v>
      </c>
      <c r="AG104" s="10">
        <v>112</v>
      </c>
      <c r="AH104" s="11">
        <v>50</v>
      </c>
      <c r="AI104" s="12" t="s">
        <v>47</v>
      </c>
      <c r="AJ104" s="17"/>
      <c r="AK104" s="13">
        <v>124</v>
      </c>
      <c r="AL104" s="13">
        <v>92</v>
      </c>
      <c r="AM104" s="13">
        <v>73</v>
      </c>
      <c r="AN104" s="14">
        <v>44</v>
      </c>
      <c r="AO104" s="9"/>
      <c r="AP104" s="16"/>
      <c r="AQ104" s="10"/>
      <c r="AR104" s="10"/>
      <c r="AS104" s="10"/>
      <c r="AT104" s="11"/>
      <c r="AU104" s="12"/>
      <c r="AV104" s="17"/>
      <c r="AW104" s="13"/>
      <c r="AX104" s="13"/>
      <c r="AY104" s="13"/>
      <c r="AZ104" s="14"/>
      <c r="BA104" s="9"/>
      <c r="BB104" s="16"/>
      <c r="BC104" s="10"/>
      <c r="BD104" s="10"/>
      <c r="BE104" s="10"/>
      <c r="BF104" s="11"/>
      <c r="BG104" s="12"/>
      <c r="BH104" s="17"/>
      <c r="BI104" s="13"/>
      <c r="BJ104" s="13"/>
      <c r="BK104" s="13"/>
      <c r="BL104" s="14"/>
      <c r="BM104" s="9"/>
      <c r="BN104" s="16"/>
      <c r="BO104" s="10"/>
      <c r="BP104" s="10"/>
      <c r="BQ104" s="10"/>
      <c r="BR104" s="11"/>
      <c r="BS104" s="12"/>
      <c r="BT104" s="17"/>
      <c r="BU104" s="13"/>
      <c r="BV104" s="13"/>
      <c r="BW104" s="13"/>
      <c r="BX104" s="14"/>
      <c r="BY104" s="9"/>
      <c r="BZ104" s="16"/>
      <c r="CA104" s="10"/>
      <c r="CB104" s="10"/>
      <c r="CC104" s="10"/>
      <c r="CD104" s="11"/>
      <c r="CE104" s="12"/>
      <c r="CF104" s="17"/>
      <c r="CG104" s="13"/>
      <c r="CH104" s="13"/>
      <c r="CI104" s="13"/>
      <c r="CJ104" s="14"/>
      <c r="CK104" s="9"/>
      <c r="CL104" s="16"/>
      <c r="CM104" s="10"/>
      <c r="CN104" s="10"/>
      <c r="CO104" s="10"/>
      <c r="CP104" s="11"/>
      <c r="CQ104" s="12"/>
      <c r="CR104" s="17"/>
      <c r="CS104" s="13"/>
      <c r="CT104" s="13"/>
      <c r="CU104" s="13"/>
      <c r="CV104" s="14"/>
      <c r="CW104" s="9"/>
      <c r="CX104" s="16"/>
      <c r="CY104" s="10"/>
      <c r="CZ104" s="10"/>
      <c r="DA104" s="10"/>
      <c r="DB104" s="11"/>
      <c r="DC104" s="12"/>
      <c r="DD104" s="17"/>
      <c r="DE104" s="13"/>
      <c r="DF104" s="13"/>
      <c r="DG104" s="13"/>
      <c r="DH104" s="14"/>
      <c r="DI104" s="8">
        <f t="shared" si="27"/>
        <v>247</v>
      </c>
      <c r="DJ104" s="8">
        <f t="shared" si="28"/>
        <v>244</v>
      </c>
      <c r="DK104" s="8">
        <f t="shared" si="29"/>
        <v>261</v>
      </c>
      <c r="DL104" s="8">
        <f t="shared" si="30"/>
        <v>168</v>
      </c>
      <c r="DM104" s="8">
        <f t="shared" si="31"/>
        <v>261</v>
      </c>
      <c r="DN104" s="8">
        <f t="shared" si="32"/>
        <v>244</v>
      </c>
      <c r="DO104" s="15">
        <f t="shared" si="33"/>
        <v>19.303186635112866</v>
      </c>
      <c r="DP104" s="15" t="str">
        <f t="shared" si="34"/>
        <v>OK - No Upgrade</v>
      </c>
      <c r="DQ104" s="15" t="str">
        <f t="shared" si="35"/>
        <v>OK - Balanced</v>
      </c>
    </row>
    <row r="105" spans="1:121" ht="15.75" customHeight="1" x14ac:dyDescent="0.25">
      <c r="A105" s="8" t="s">
        <v>38</v>
      </c>
      <c r="B105" s="8" t="s">
        <v>385</v>
      </c>
      <c r="C105" s="8" t="s">
        <v>573</v>
      </c>
      <c r="D105" s="8" t="s">
        <v>588</v>
      </c>
      <c r="E105" s="8" t="s">
        <v>589</v>
      </c>
      <c r="F105" s="8" t="s">
        <v>56</v>
      </c>
      <c r="G105" s="8"/>
      <c r="H105" s="8">
        <v>500</v>
      </c>
      <c r="I105" s="8" t="s">
        <v>590</v>
      </c>
      <c r="J105" s="8">
        <v>1</v>
      </c>
      <c r="K105" s="8">
        <v>244</v>
      </c>
      <c r="L105" s="8">
        <v>242</v>
      </c>
      <c r="M105" s="8">
        <v>246</v>
      </c>
      <c r="N105" s="8">
        <v>422</v>
      </c>
      <c r="O105" s="8">
        <v>426</v>
      </c>
      <c r="P105" s="8">
        <v>424</v>
      </c>
      <c r="Q105" s="9" t="s">
        <v>334</v>
      </c>
      <c r="R105" s="16"/>
      <c r="S105" s="10">
        <v>0</v>
      </c>
      <c r="T105" s="10">
        <v>0</v>
      </c>
      <c r="U105" s="10">
        <v>0</v>
      </c>
      <c r="V105" s="11">
        <v>0</v>
      </c>
      <c r="W105" s="12"/>
      <c r="X105" s="17"/>
      <c r="Y105" s="13"/>
      <c r="Z105" s="13"/>
      <c r="AA105" s="13"/>
      <c r="AB105" s="14"/>
      <c r="AC105" s="9"/>
      <c r="AD105" s="16"/>
      <c r="AE105" s="10"/>
      <c r="AF105" s="10"/>
      <c r="AG105" s="10"/>
      <c r="AH105" s="11"/>
      <c r="AI105" s="12"/>
      <c r="AJ105" s="17"/>
      <c r="AK105" s="13"/>
      <c r="AL105" s="13"/>
      <c r="AM105" s="13"/>
      <c r="AN105" s="14"/>
      <c r="AO105" s="9"/>
      <c r="AP105" s="16"/>
      <c r="AQ105" s="10"/>
      <c r="AR105" s="10"/>
      <c r="AS105" s="10"/>
      <c r="AT105" s="11"/>
      <c r="AU105" s="12"/>
      <c r="AV105" s="17"/>
      <c r="AW105" s="13"/>
      <c r="AX105" s="13"/>
      <c r="AY105" s="13"/>
      <c r="AZ105" s="14"/>
      <c r="BA105" s="9"/>
      <c r="BB105" s="16"/>
      <c r="BC105" s="10"/>
      <c r="BD105" s="10"/>
      <c r="BE105" s="10"/>
      <c r="BF105" s="11"/>
      <c r="BG105" s="12"/>
      <c r="BH105" s="17"/>
      <c r="BI105" s="13"/>
      <c r="BJ105" s="13"/>
      <c r="BK105" s="13"/>
      <c r="BL105" s="14"/>
      <c r="BM105" s="9"/>
      <c r="BN105" s="16"/>
      <c r="BO105" s="10"/>
      <c r="BP105" s="10"/>
      <c r="BQ105" s="10"/>
      <c r="BR105" s="11"/>
      <c r="BS105" s="12"/>
      <c r="BT105" s="17"/>
      <c r="BU105" s="13"/>
      <c r="BV105" s="13"/>
      <c r="BW105" s="13"/>
      <c r="BX105" s="14"/>
      <c r="BY105" s="9"/>
      <c r="BZ105" s="16"/>
      <c r="CA105" s="10"/>
      <c r="CB105" s="10"/>
      <c r="CC105" s="10"/>
      <c r="CD105" s="11"/>
      <c r="CE105" s="12"/>
      <c r="CF105" s="17"/>
      <c r="CG105" s="13"/>
      <c r="CH105" s="13"/>
      <c r="CI105" s="13"/>
      <c r="CJ105" s="14"/>
      <c r="CK105" s="9"/>
      <c r="CL105" s="16"/>
      <c r="CM105" s="10"/>
      <c r="CN105" s="10"/>
      <c r="CO105" s="10"/>
      <c r="CP105" s="11"/>
      <c r="CQ105" s="12"/>
      <c r="CR105" s="17"/>
      <c r="CS105" s="13"/>
      <c r="CT105" s="13"/>
      <c r="CU105" s="13"/>
      <c r="CV105" s="14"/>
      <c r="CW105" s="9"/>
      <c r="CX105" s="16"/>
      <c r="CY105" s="10"/>
      <c r="CZ105" s="10"/>
      <c r="DA105" s="10"/>
      <c r="DB105" s="11"/>
      <c r="DC105" s="12"/>
      <c r="DD105" s="17"/>
      <c r="DE105" s="13"/>
      <c r="DF105" s="13"/>
      <c r="DG105" s="13"/>
      <c r="DH105" s="14"/>
      <c r="DI105" s="8">
        <f t="shared" si="27"/>
        <v>0</v>
      </c>
      <c r="DJ105" s="8">
        <f t="shared" si="28"/>
        <v>0</v>
      </c>
      <c r="DK105" s="8">
        <f t="shared" si="29"/>
        <v>0</v>
      </c>
      <c r="DL105" s="8">
        <f t="shared" si="30"/>
        <v>0</v>
      </c>
      <c r="DM105" s="8">
        <f t="shared" si="31"/>
        <v>0</v>
      </c>
      <c r="DN105" s="8">
        <f t="shared" si="32"/>
        <v>0</v>
      </c>
      <c r="DO105" s="15">
        <f t="shared" si="33"/>
        <v>0</v>
      </c>
      <c r="DP105" s="15" t="str">
        <f t="shared" si="34"/>
        <v>OK - No Upgrade</v>
      </c>
      <c r="DQ105" s="15" t="str">
        <f t="shared" si="35"/>
        <v>OK - Balanced</v>
      </c>
    </row>
    <row r="106" spans="1:121" ht="15.75" customHeight="1" x14ac:dyDescent="0.25">
      <c r="A106" s="8" t="s">
        <v>38</v>
      </c>
      <c r="B106" s="8" t="s">
        <v>385</v>
      </c>
      <c r="C106" s="8" t="s">
        <v>573</v>
      </c>
      <c r="D106" s="8" t="s">
        <v>588</v>
      </c>
      <c r="E106" s="8" t="s">
        <v>589</v>
      </c>
      <c r="F106" s="8" t="s">
        <v>56</v>
      </c>
      <c r="G106" s="8" t="s">
        <v>44</v>
      </c>
      <c r="H106" s="8">
        <v>500</v>
      </c>
      <c r="I106" s="8" t="s">
        <v>590</v>
      </c>
      <c r="J106" s="8">
        <v>2</v>
      </c>
      <c r="K106" s="8">
        <v>249</v>
      </c>
      <c r="L106" s="8">
        <v>247</v>
      </c>
      <c r="M106" s="8">
        <v>250</v>
      </c>
      <c r="N106" s="8">
        <v>431</v>
      </c>
      <c r="O106" s="8">
        <v>435</v>
      </c>
      <c r="P106" s="8">
        <v>432</v>
      </c>
      <c r="Q106" s="9" t="s">
        <v>334</v>
      </c>
      <c r="R106" s="16"/>
      <c r="S106" s="10">
        <v>0</v>
      </c>
      <c r="T106" s="10">
        <v>0</v>
      </c>
      <c r="U106" s="10">
        <v>0</v>
      </c>
      <c r="V106" s="11">
        <v>0</v>
      </c>
      <c r="W106" s="12"/>
      <c r="X106" s="17"/>
      <c r="Y106" s="13"/>
      <c r="Z106" s="13"/>
      <c r="AA106" s="13"/>
      <c r="AB106" s="14"/>
      <c r="AC106" s="9"/>
      <c r="AD106" s="16"/>
      <c r="AE106" s="10"/>
      <c r="AF106" s="10"/>
      <c r="AG106" s="10"/>
      <c r="AH106" s="11"/>
      <c r="AI106" s="12"/>
      <c r="AJ106" s="17"/>
      <c r="AK106" s="13"/>
      <c r="AL106" s="13"/>
      <c r="AM106" s="13"/>
      <c r="AN106" s="14"/>
      <c r="AO106" s="9"/>
      <c r="AP106" s="16"/>
      <c r="AQ106" s="10"/>
      <c r="AR106" s="10"/>
      <c r="AS106" s="10"/>
      <c r="AT106" s="11"/>
      <c r="AU106" s="12"/>
      <c r="AV106" s="17"/>
      <c r="AW106" s="13"/>
      <c r="AX106" s="13"/>
      <c r="AY106" s="13"/>
      <c r="AZ106" s="14"/>
      <c r="BA106" s="9"/>
      <c r="BB106" s="16"/>
      <c r="BC106" s="10"/>
      <c r="BD106" s="10"/>
      <c r="BE106" s="10"/>
      <c r="BF106" s="11"/>
      <c r="BG106" s="12"/>
      <c r="BH106" s="17"/>
      <c r="BI106" s="13"/>
      <c r="BJ106" s="13"/>
      <c r="BK106" s="13"/>
      <c r="BL106" s="14"/>
      <c r="BM106" s="9"/>
      <c r="BN106" s="16"/>
      <c r="BO106" s="10"/>
      <c r="BP106" s="10"/>
      <c r="BQ106" s="10"/>
      <c r="BR106" s="11"/>
      <c r="BS106" s="12"/>
      <c r="BT106" s="17"/>
      <c r="BU106" s="13"/>
      <c r="BV106" s="13"/>
      <c r="BW106" s="13"/>
      <c r="BX106" s="14"/>
      <c r="BY106" s="9"/>
      <c r="BZ106" s="16"/>
      <c r="CA106" s="10"/>
      <c r="CB106" s="10"/>
      <c r="CC106" s="10"/>
      <c r="CD106" s="11"/>
      <c r="CE106" s="12"/>
      <c r="CF106" s="17"/>
      <c r="CG106" s="13"/>
      <c r="CH106" s="13"/>
      <c r="CI106" s="13"/>
      <c r="CJ106" s="14"/>
      <c r="CK106" s="9"/>
      <c r="CL106" s="16"/>
      <c r="CM106" s="10"/>
      <c r="CN106" s="10"/>
      <c r="CO106" s="10"/>
      <c r="CP106" s="11"/>
      <c r="CQ106" s="12"/>
      <c r="CR106" s="17"/>
      <c r="CS106" s="13"/>
      <c r="CT106" s="13"/>
      <c r="CU106" s="13"/>
      <c r="CV106" s="14"/>
      <c r="CW106" s="9"/>
      <c r="CX106" s="16"/>
      <c r="CY106" s="10"/>
      <c r="CZ106" s="10"/>
      <c r="DA106" s="10"/>
      <c r="DB106" s="11"/>
      <c r="DC106" s="12"/>
      <c r="DD106" s="17"/>
      <c r="DE106" s="13"/>
      <c r="DF106" s="13"/>
      <c r="DG106" s="13"/>
      <c r="DH106" s="14"/>
      <c r="DI106" s="8">
        <f t="shared" si="27"/>
        <v>0</v>
      </c>
      <c r="DJ106" s="8">
        <f t="shared" si="28"/>
        <v>0</v>
      </c>
      <c r="DK106" s="8">
        <f t="shared" si="29"/>
        <v>0</v>
      </c>
      <c r="DL106" s="8">
        <f t="shared" si="30"/>
        <v>0</v>
      </c>
      <c r="DM106" s="8">
        <f t="shared" si="31"/>
        <v>0</v>
      </c>
      <c r="DN106" s="8">
        <f t="shared" si="32"/>
        <v>0</v>
      </c>
      <c r="DO106" s="15">
        <f t="shared" si="33"/>
        <v>0</v>
      </c>
      <c r="DP106" s="15" t="str">
        <f t="shared" si="34"/>
        <v>OK - No Upgrade</v>
      </c>
      <c r="DQ106" s="15" t="str">
        <f t="shared" si="35"/>
        <v>OK - Balanced</v>
      </c>
    </row>
    <row r="107" spans="1:121" ht="15.75" customHeight="1" x14ac:dyDescent="0.25">
      <c r="A107" s="8" t="s">
        <v>38</v>
      </c>
      <c r="B107" s="8" t="s">
        <v>385</v>
      </c>
      <c r="C107" s="8" t="s">
        <v>389</v>
      </c>
      <c r="D107" s="8"/>
      <c r="E107" s="8" t="s">
        <v>591</v>
      </c>
      <c r="F107" s="8" t="s">
        <v>56</v>
      </c>
      <c r="G107" s="8"/>
      <c r="H107" s="8">
        <v>1000</v>
      </c>
      <c r="I107" s="8" t="s">
        <v>592</v>
      </c>
      <c r="J107" s="8">
        <v>1</v>
      </c>
      <c r="K107" s="8">
        <v>249</v>
      </c>
      <c r="L107" s="8">
        <v>247</v>
      </c>
      <c r="M107" s="8">
        <v>245</v>
      </c>
      <c r="N107" s="8">
        <v>428</v>
      </c>
      <c r="O107" s="8">
        <v>433</v>
      </c>
      <c r="P107" s="8">
        <v>418</v>
      </c>
      <c r="Q107" s="9"/>
      <c r="R107" s="16"/>
      <c r="S107" s="10"/>
      <c r="T107" s="10"/>
      <c r="U107" s="10"/>
      <c r="V107" s="11"/>
      <c r="W107" s="12"/>
      <c r="X107" s="17"/>
      <c r="Y107" s="13"/>
      <c r="Z107" s="13"/>
      <c r="AA107" s="13"/>
      <c r="AB107" s="14"/>
      <c r="AC107" s="9" t="s">
        <v>46</v>
      </c>
      <c r="AD107" s="16"/>
      <c r="AE107" s="10">
        <v>70</v>
      </c>
      <c r="AF107" s="10">
        <v>74</v>
      </c>
      <c r="AG107" s="10">
        <v>46</v>
      </c>
      <c r="AH107" s="11">
        <v>26</v>
      </c>
      <c r="AI107" s="12"/>
      <c r="AJ107" s="17"/>
      <c r="AK107" s="13"/>
      <c r="AL107" s="13"/>
      <c r="AM107" s="13"/>
      <c r="AN107" s="14"/>
      <c r="AO107" s="9" t="s">
        <v>46</v>
      </c>
      <c r="AP107" s="16"/>
      <c r="AQ107" s="10">
        <v>85</v>
      </c>
      <c r="AR107" s="10">
        <v>74</v>
      </c>
      <c r="AS107" s="10">
        <v>85</v>
      </c>
      <c r="AT107" s="11">
        <v>17</v>
      </c>
      <c r="AU107" s="12" t="s">
        <v>46</v>
      </c>
      <c r="AV107" s="17"/>
      <c r="AW107" s="13">
        <v>100</v>
      </c>
      <c r="AX107" s="13">
        <v>49</v>
      </c>
      <c r="AY107" s="13">
        <v>128</v>
      </c>
      <c r="AZ107" s="14">
        <v>56</v>
      </c>
      <c r="BA107" s="9" t="s">
        <v>46</v>
      </c>
      <c r="BB107" s="16"/>
      <c r="BC107" s="10">
        <v>2</v>
      </c>
      <c r="BD107" s="10">
        <v>64</v>
      </c>
      <c r="BE107" s="10">
        <v>33</v>
      </c>
      <c r="BF107" s="11">
        <v>56</v>
      </c>
      <c r="BG107" s="12" t="s">
        <v>70</v>
      </c>
      <c r="BH107" s="17"/>
      <c r="BI107" s="13">
        <v>13</v>
      </c>
      <c r="BJ107" s="13">
        <v>10</v>
      </c>
      <c r="BK107" s="13">
        <v>28</v>
      </c>
      <c r="BL107" s="14">
        <v>27</v>
      </c>
      <c r="BM107" s="9"/>
      <c r="BN107" s="16"/>
      <c r="BO107" s="10"/>
      <c r="BP107" s="10"/>
      <c r="BQ107" s="10"/>
      <c r="BR107" s="11"/>
      <c r="BS107" s="12"/>
      <c r="BT107" s="17"/>
      <c r="BU107" s="13"/>
      <c r="BV107" s="13"/>
      <c r="BW107" s="13"/>
      <c r="BX107" s="14"/>
      <c r="BY107" s="9"/>
      <c r="BZ107" s="16"/>
      <c r="CA107" s="10"/>
      <c r="CB107" s="10"/>
      <c r="CC107" s="10"/>
      <c r="CD107" s="11"/>
      <c r="CE107" s="12"/>
      <c r="CF107" s="17"/>
      <c r="CG107" s="13"/>
      <c r="CH107" s="13"/>
      <c r="CI107" s="13"/>
      <c r="CJ107" s="14"/>
      <c r="CK107" s="9"/>
      <c r="CL107" s="16"/>
      <c r="CM107" s="10"/>
      <c r="CN107" s="10"/>
      <c r="CO107" s="10"/>
      <c r="CP107" s="11"/>
      <c r="CQ107" s="12"/>
      <c r="CR107" s="17"/>
      <c r="CS107" s="13"/>
      <c r="CT107" s="13"/>
      <c r="CU107" s="13"/>
      <c r="CV107" s="14"/>
      <c r="CW107" s="9"/>
      <c r="CX107" s="16"/>
      <c r="CY107" s="10"/>
      <c r="CZ107" s="10"/>
      <c r="DA107" s="10"/>
      <c r="DB107" s="11"/>
      <c r="DC107" s="12"/>
      <c r="DD107" s="17"/>
      <c r="DE107" s="13"/>
      <c r="DF107" s="13"/>
      <c r="DG107" s="13"/>
      <c r="DH107" s="14"/>
      <c r="DI107" s="8">
        <f t="shared" si="27"/>
        <v>270</v>
      </c>
      <c r="DJ107" s="8">
        <f t="shared" si="28"/>
        <v>271</v>
      </c>
      <c r="DK107" s="8">
        <f t="shared" si="29"/>
        <v>320</v>
      </c>
      <c r="DL107" s="8">
        <f t="shared" si="30"/>
        <v>182</v>
      </c>
      <c r="DM107" s="8">
        <f t="shared" si="31"/>
        <v>320</v>
      </c>
      <c r="DN107" s="8">
        <f t="shared" si="32"/>
        <v>270</v>
      </c>
      <c r="DO107" s="15">
        <f t="shared" si="33"/>
        <v>23.72216786046334</v>
      </c>
      <c r="DP107" s="15" t="str">
        <f t="shared" si="34"/>
        <v>OK - No Upgrade</v>
      </c>
      <c r="DQ107" s="15" t="str">
        <f t="shared" si="35"/>
        <v>Need to Balance</v>
      </c>
    </row>
    <row r="108" spans="1:121" ht="15.75" customHeight="1" x14ac:dyDescent="0.25">
      <c r="A108" s="8" t="s">
        <v>38</v>
      </c>
      <c r="B108" s="8" t="s">
        <v>385</v>
      </c>
      <c r="C108" s="8" t="s">
        <v>389</v>
      </c>
      <c r="D108" s="8"/>
      <c r="E108" s="8" t="s">
        <v>591</v>
      </c>
      <c r="F108" s="8" t="s">
        <v>56</v>
      </c>
      <c r="G108" s="8" t="s">
        <v>44</v>
      </c>
      <c r="H108" s="8">
        <v>1000</v>
      </c>
      <c r="I108" s="8" t="s">
        <v>593</v>
      </c>
      <c r="J108" s="8">
        <v>2</v>
      </c>
      <c r="K108" s="8">
        <v>254</v>
      </c>
      <c r="L108" s="8">
        <v>253</v>
      </c>
      <c r="M108" s="8">
        <v>242</v>
      </c>
      <c r="N108" s="8">
        <v>439</v>
      </c>
      <c r="O108" s="8">
        <v>440</v>
      </c>
      <c r="P108" s="8">
        <v>439</v>
      </c>
      <c r="Q108" s="9"/>
      <c r="R108" s="16"/>
      <c r="S108" s="10"/>
      <c r="T108" s="10"/>
      <c r="U108" s="10"/>
      <c r="V108" s="11"/>
      <c r="W108" s="12"/>
      <c r="X108" s="17"/>
      <c r="Y108" s="13"/>
      <c r="Z108" s="13"/>
      <c r="AA108" s="13"/>
      <c r="AB108" s="14"/>
      <c r="AC108" s="9" t="s">
        <v>46</v>
      </c>
      <c r="AD108" s="16"/>
      <c r="AE108" s="10">
        <v>14</v>
      </c>
      <c r="AF108" s="10">
        <v>30</v>
      </c>
      <c r="AG108" s="10">
        <v>39</v>
      </c>
      <c r="AH108" s="11">
        <v>26</v>
      </c>
      <c r="AI108" s="12"/>
      <c r="AJ108" s="17"/>
      <c r="AK108" s="13"/>
      <c r="AL108" s="13"/>
      <c r="AM108" s="13"/>
      <c r="AN108" s="14"/>
      <c r="AO108" s="9" t="s">
        <v>46</v>
      </c>
      <c r="AP108" s="16"/>
      <c r="AQ108" s="10">
        <v>98</v>
      </c>
      <c r="AR108" s="10">
        <v>57</v>
      </c>
      <c r="AS108" s="10">
        <v>56</v>
      </c>
      <c r="AT108" s="11">
        <v>16</v>
      </c>
      <c r="AU108" s="12" t="s">
        <v>46</v>
      </c>
      <c r="AV108" s="17"/>
      <c r="AW108" s="13">
        <v>42</v>
      </c>
      <c r="AX108" s="13">
        <v>52</v>
      </c>
      <c r="AY108" s="13">
        <v>85</v>
      </c>
      <c r="AZ108" s="14">
        <v>31</v>
      </c>
      <c r="BA108" s="9" t="s">
        <v>46</v>
      </c>
      <c r="BB108" s="16"/>
      <c r="BC108" s="10">
        <v>5</v>
      </c>
      <c r="BD108" s="10">
        <v>43</v>
      </c>
      <c r="BE108" s="10">
        <v>61</v>
      </c>
      <c r="BF108" s="11">
        <v>49</v>
      </c>
      <c r="BG108" s="12" t="s">
        <v>70</v>
      </c>
      <c r="BH108" s="17"/>
      <c r="BI108" s="13">
        <v>15</v>
      </c>
      <c r="BJ108" s="13">
        <v>26</v>
      </c>
      <c r="BK108" s="13">
        <v>10</v>
      </c>
      <c r="BL108" s="14">
        <v>18</v>
      </c>
      <c r="BM108" s="9"/>
      <c r="BN108" s="16"/>
      <c r="BO108" s="10"/>
      <c r="BP108" s="10"/>
      <c r="BQ108" s="10"/>
      <c r="BR108" s="11"/>
      <c r="BS108" s="12"/>
      <c r="BT108" s="17"/>
      <c r="BU108" s="13"/>
      <c r="BV108" s="13"/>
      <c r="BW108" s="13"/>
      <c r="BX108" s="14"/>
      <c r="BY108" s="9"/>
      <c r="BZ108" s="16"/>
      <c r="CA108" s="10"/>
      <c r="CB108" s="10"/>
      <c r="CC108" s="10"/>
      <c r="CD108" s="11"/>
      <c r="CE108" s="12"/>
      <c r="CF108" s="17"/>
      <c r="CG108" s="13"/>
      <c r="CH108" s="13"/>
      <c r="CI108" s="13"/>
      <c r="CJ108" s="14"/>
      <c r="CK108" s="9"/>
      <c r="CL108" s="16"/>
      <c r="CM108" s="10"/>
      <c r="CN108" s="10"/>
      <c r="CO108" s="10"/>
      <c r="CP108" s="11"/>
      <c r="CQ108" s="12"/>
      <c r="CR108" s="17"/>
      <c r="CS108" s="13"/>
      <c r="CT108" s="13"/>
      <c r="CU108" s="13"/>
      <c r="CV108" s="14"/>
      <c r="CW108" s="9"/>
      <c r="CX108" s="16"/>
      <c r="CY108" s="10"/>
      <c r="CZ108" s="10"/>
      <c r="DA108" s="10"/>
      <c r="DB108" s="11"/>
      <c r="DC108" s="12"/>
      <c r="DD108" s="17"/>
      <c r="DE108" s="13"/>
      <c r="DF108" s="13"/>
      <c r="DG108" s="13"/>
      <c r="DH108" s="14"/>
      <c r="DI108" s="8">
        <f t="shared" si="27"/>
        <v>174</v>
      </c>
      <c r="DJ108" s="8">
        <f t="shared" si="28"/>
        <v>208</v>
      </c>
      <c r="DK108" s="8">
        <f t="shared" si="29"/>
        <v>251</v>
      </c>
      <c r="DL108" s="8">
        <f t="shared" si="30"/>
        <v>140</v>
      </c>
      <c r="DM108" s="8">
        <f t="shared" si="31"/>
        <v>251</v>
      </c>
      <c r="DN108" s="8">
        <f t="shared" si="32"/>
        <v>174</v>
      </c>
      <c r="DO108" s="15">
        <f t="shared" si="33"/>
        <v>19.085294643520701</v>
      </c>
      <c r="DP108" s="15" t="str">
        <f t="shared" si="34"/>
        <v>OK - No Upgrade</v>
      </c>
      <c r="DQ108" s="15" t="str">
        <f t="shared" si="35"/>
        <v>Need to Balance</v>
      </c>
    </row>
    <row r="109" spans="1:121" ht="15.75" customHeight="1" x14ac:dyDescent="0.25">
      <c r="A109" s="8" t="s">
        <v>38</v>
      </c>
      <c r="B109" s="8" t="s">
        <v>385</v>
      </c>
      <c r="C109" s="8" t="s">
        <v>389</v>
      </c>
      <c r="D109" s="8" t="s">
        <v>594</v>
      </c>
      <c r="E109" s="8" t="s">
        <v>595</v>
      </c>
      <c r="F109" s="8" t="s">
        <v>56</v>
      </c>
      <c r="G109" s="8"/>
      <c r="H109" s="8">
        <v>1000</v>
      </c>
      <c r="I109" s="8" t="s">
        <v>596</v>
      </c>
      <c r="J109" s="8">
        <v>1</v>
      </c>
      <c r="K109" s="8">
        <v>239</v>
      </c>
      <c r="L109" s="8">
        <v>242</v>
      </c>
      <c r="M109" s="8">
        <v>243</v>
      </c>
      <c r="N109" s="8">
        <v>417</v>
      </c>
      <c r="O109" s="8">
        <v>416</v>
      </c>
      <c r="P109" s="8">
        <v>421</v>
      </c>
      <c r="Q109" s="9" t="s">
        <v>47</v>
      </c>
      <c r="R109" s="16"/>
      <c r="S109" s="10">
        <v>143</v>
      </c>
      <c r="T109" s="10">
        <v>57</v>
      </c>
      <c r="U109" s="10">
        <v>38</v>
      </c>
      <c r="V109" s="11">
        <v>35</v>
      </c>
      <c r="W109" s="12" t="s">
        <v>47</v>
      </c>
      <c r="X109" s="17"/>
      <c r="Y109" s="13">
        <v>144</v>
      </c>
      <c r="Z109" s="13">
        <v>19</v>
      </c>
      <c r="AA109" s="13">
        <v>142</v>
      </c>
      <c r="AB109" s="14">
        <v>92</v>
      </c>
      <c r="AC109" s="9" t="s">
        <v>47</v>
      </c>
      <c r="AD109" s="16"/>
      <c r="AE109" s="10">
        <v>150</v>
      </c>
      <c r="AF109" s="10">
        <v>136</v>
      </c>
      <c r="AG109" s="10">
        <v>99</v>
      </c>
      <c r="AH109" s="11">
        <v>23</v>
      </c>
      <c r="AI109" s="12" t="s">
        <v>47</v>
      </c>
      <c r="AJ109" s="17"/>
      <c r="AK109" s="13">
        <v>27</v>
      </c>
      <c r="AL109" s="13">
        <v>43</v>
      </c>
      <c r="AM109" s="13">
        <v>40</v>
      </c>
      <c r="AN109" s="14">
        <v>13</v>
      </c>
      <c r="AO109" s="9" t="s">
        <v>47</v>
      </c>
      <c r="AP109" s="16"/>
      <c r="AQ109" s="10">
        <v>177</v>
      </c>
      <c r="AR109" s="10">
        <v>118</v>
      </c>
      <c r="AS109" s="10">
        <v>143</v>
      </c>
      <c r="AT109" s="11">
        <v>25</v>
      </c>
      <c r="AU109" s="12"/>
      <c r="AV109" s="17"/>
      <c r="AW109" s="13"/>
      <c r="AX109" s="13"/>
      <c r="AY109" s="13"/>
      <c r="AZ109" s="14"/>
      <c r="BA109" s="9" t="s">
        <v>47</v>
      </c>
      <c r="BB109" s="16"/>
      <c r="BC109" s="10">
        <v>66</v>
      </c>
      <c r="BD109" s="10">
        <v>46</v>
      </c>
      <c r="BE109" s="10">
        <v>78</v>
      </c>
      <c r="BF109" s="11">
        <v>27</v>
      </c>
      <c r="BG109" s="12"/>
      <c r="BH109" s="17"/>
      <c r="BI109" s="13"/>
      <c r="BJ109" s="13"/>
      <c r="BK109" s="13"/>
      <c r="BL109" s="14"/>
      <c r="BM109" s="9"/>
      <c r="BN109" s="16"/>
      <c r="BO109" s="10"/>
      <c r="BP109" s="10"/>
      <c r="BQ109" s="10"/>
      <c r="BR109" s="11"/>
      <c r="BS109" s="12"/>
      <c r="BT109" s="17"/>
      <c r="BU109" s="13"/>
      <c r="BV109" s="13"/>
      <c r="BW109" s="13"/>
      <c r="BX109" s="14"/>
      <c r="BY109" s="9"/>
      <c r="BZ109" s="16"/>
      <c r="CA109" s="10"/>
      <c r="CB109" s="10"/>
      <c r="CC109" s="10"/>
      <c r="CD109" s="11"/>
      <c r="CE109" s="12"/>
      <c r="CF109" s="17"/>
      <c r="CG109" s="13"/>
      <c r="CH109" s="13"/>
      <c r="CI109" s="13"/>
      <c r="CJ109" s="14"/>
      <c r="CK109" s="9"/>
      <c r="CL109" s="16"/>
      <c r="CM109" s="10"/>
      <c r="CN109" s="10"/>
      <c r="CO109" s="10"/>
      <c r="CP109" s="11"/>
      <c r="CQ109" s="12"/>
      <c r="CR109" s="17"/>
      <c r="CS109" s="13"/>
      <c r="CT109" s="13"/>
      <c r="CU109" s="13"/>
      <c r="CV109" s="14"/>
      <c r="CW109" s="9"/>
      <c r="CX109" s="16"/>
      <c r="CY109" s="10"/>
      <c r="CZ109" s="10"/>
      <c r="DA109" s="10"/>
      <c r="DB109" s="11"/>
      <c r="DC109" s="12"/>
      <c r="DD109" s="17"/>
      <c r="DE109" s="13"/>
      <c r="DF109" s="13"/>
      <c r="DG109" s="13"/>
      <c r="DH109" s="14"/>
      <c r="DI109" s="8">
        <f t="shared" si="27"/>
        <v>707</v>
      </c>
      <c r="DJ109" s="8">
        <f t="shared" si="28"/>
        <v>419</v>
      </c>
      <c r="DK109" s="8">
        <f t="shared" si="29"/>
        <v>540</v>
      </c>
      <c r="DL109" s="8">
        <f t="shared" si="30"/>
        <v>215</v>
      </c>
      <c r="DM109" s="8">
        <f t="shared" si="31"/>
        <v>707</v>
      </c>
      <c r="DN109" s="8">
        <f t="shared" si="32"/>
        <v>419</v>
      </c>
      <c r="DO109" s="15">
        <f t="shared" si="33"/>
        <v>51.064148703664877</v>
      </c>
      <c r="DP109" s="15" t="str">
        <f t="shared" si="34"/>
        <v>OK - No Upgrade</v>
      </c>
      <c r="DQ109" s="15" t="str">
        <f t="shared" si="35"/>
        <v>Need to Balance</v>
      </c>
    </row>
    <row r="110" spans="1:121" ht="15.75" customHeight="1" x14ac:dyDescent="0.25">
      <c r="A110" s="8" t="s">
        <v>38</v>
      </c>
      <c r="B110" s="8" t="s">
        <v>385</v>
      </c>
      <c r="C110" s="8" t="s">
        <v>389</v>
      </c>
      <c r="D110" s="8" t="s">
        <v>594</v>
      </c>
      <c r="E110" s="8" t="s">
        <v>595</v>
      </c>
      <c r="F110" s="8" t="s">
        <v>56</v>
      </c>
      <c r="G110" s="8" t="s">
        <v>44</v>
      </c>
      <c r="H110" s="8">
        <v>1000</v>
      </c>
      <c r="I110" s="8" t="s">
        <v>597</v>
      </c>
      <c r="J110" s="8">
        <v>2</v>
      </c>
      <c r="K110" s="8">
        <v>246</v>
      </c>
      <c r="L110" s="8">
        <v>247</v>
      </c>
      <c r="M110" s="8">
        <v>249</v>
      </c>
      <c r="N110" s="8">
        <v>427</v>
      </c>
      <c r="O110" s="8">
        <v>426</v>
      </c>
      <c r="P110" s="8">
        <v>432</v>
      </c>
      <c r="Q110" s="9" t="s">
        <v>47</v>
      </c>
      <c r="R110" s="16"/>
      <c r="S110" s="10">
        <v>108</v>
      </c>
      <c r="T110" s="10">
        <v>38</v>
      </c>
      <c r="U110" s="10">
        <v>41</v>
      </c>
      <c r="V110" s="11">
        <v>45</v>
      </c>
      <c r="W110" s="12" t="s">
        <v>47</v>
      </c>
      <c r="X110" s="17"/>
      <c r="Y110" s="13">
        <v>107</v>
      </c>
      <c r="Z110" s="13">
        <v>54</v>
      </c>
      <c r="AA110" s="13">
        <v>64</v>
      </c>
      <c r="AB110" s="14">
        <v>46</v>
      </c>
      <c r="AC110" s="9" t="s">
        <v>47</v>
      </c>
      <c r="AD110" s="16"/>
      <c r="AE110" s="10">
        <v>63</v>
      </c>
      <c r="AF110" s="10">
        <v>72</v>
      </c>
      <c r="AG110" s="10">
        <v>76</v>
      </c>
      <c r="AH110" s="11">
        <v>30</v>
      </c>
      <c r="AI110" s="12" t="s">
        <v>47</v>
      </c>
      <c r="AJ110" s="17"/>
      <c r="AK110" s="13">
        <v>23</v>
      </c>
      <c r="AL110" s="13">
        <v>55</v>
      </c>
      <c r="AM110" s="13">
        <v>22</v>
      </c>
      <c r="AN110" s="14">
        <v>32</v>
      </c>
      <c r="AO110" s="9" t="s">
        <v>47</v>
      </c>
      <c r="AP110" s="16"/>
      <c r="AQ110" s="10">
        <v>128</v>
      </c>
      <c r="AR110" s="10">
        <v>106</v>
      </c>
      <c r="AS110" s="10">
        <v>57</v>
      </c>
      <c r="AT110" s="11">
        <v>76</v>
      </c>
      <c r="AU110" s="12"/>
      <c r="AV110" s="17"/>
      <c r="AW110" s="13"/>
      <c r="AX110" s="13"/>
      <c r="AY110" s="13"/>
      <c r="AZ110" s="14"/>
      <c r="BA110" s="9" t="s">
        <v>47</v>
      </c>
      <c r="BB110" s="16"/>
      <c r="BC110" s="10">
        <v>72</v>
      </c>
      <c r="BD110" s="10">
        <v>7</v>
      </c>
      <c r="BE110" s="10">
        <v>61</v>
      </c>
      <c r="BF110" s="11">
        <v>53</v>
      </c>
      <c r="BG110" s="12"/>
      <c r="BH110" s="17"/>
      <c r="BI110" s="13"/>
      <c r="BJ110" s="13"/>
      <c r="BK110" s="13"/>
      <c r="BL110" s="14"/>
      <c r="BM110" s="9"/>
      <c r="BN110" s="16"/>
      <c r="BO110" s="10"/>
      <c r="BP110" s="10"/>
      <c r="BQ110" s="10"/>
      <c r="BR110" s="11"/>
      <c r="BS110" s="12"/>
      <c r="BT110" s="17"/>
      <c r="BU110" s="13"/>
      <c r="BV110" s="13"/>
      <c r="BW110" s="13"/>
      <c r="BX110" s="14"/>
      <c r="BY110" s="9"/>
      <c r="BZ110" s="16"/>
      <c r="CA110" s="10"/>
      <c r="CB110" s="10"/>
      <c r="CC110" s="10"/>
      <c r="CD110" s="11"/>
      <c r="CE110" s="12"/>
      <c r="CF110" s="17"/>
      <c r="CG110" s="13"/>
      <c r="CH110" s="13"/>
      <c r="CI110" s="13"/>
      <c r="CJ110" s="14"/>
      <c r="CK110" s="9"/>
      <c r="CL110" s="16"/>
      <c r="CM110" s="10"/>
      <c r="CN110" s="10"/>
      <c r="CO110" s="10"/>
      <c r="CP110" s="11"/>
      <c r="CQ110" s="12"/>
      <c r="CR110" s="17"/>
      <c r="CS110" s="13"/>
      <c r="CT110" s="13"/>
      <c r="CU110" s="13"/>
      <c r="CV110" s="14"/>
      <c r="CW110" s="9"/>
      <c r="CX110" s="16"/>
      <c r="CY110" s="10"/>
      <c r="CZ110" s="10"/>
      <c r="DA110" s="10"/>
      <c r="DB110" s="11"/>
      <c r="DC110" s="12"/>
      <c r="DD110" s="17"/>
      <c r="DE110" s="13"/>
      <c r="DF110" s="13"/>
      <c r="DG110" s="13"/>
      <c r="DH110" s="14"/>
      <c r="DI110" s="8">
        <f t="shared" si="27"/>
        <v>501</v>
      </c>
      <c r="DJ110" s="8">
        <f t="shared" si="28"/>
        <v>332</v>
      </c>
      <c r="DK110" s="8">
        <f t="shared" si="29"/>
        <v>321</v>
      </c>
      <c r="DL110" s="8">
        <f t="shared" si="30"/>
        <v>282</v>
      </c>
      <c r="DM110" s="8">
        <f t="shared" si="31"/>
        <v>501</v>
      </c>
      <c r="DN110" s="8">
        <f t="shared" si="32"/>
        <v>321</v>
      </c>
      <c r="DO110" s="15">
        <f t="shared" si="33"/>
        <v>37.053243311078724</v>
      </c>
      <c r="DP110" s="15" t="str">
        <f t="shared" si="34"/>
        <v>OK - No Upgrade</v>
      </c>
      <c r="DQ110" s="15" t="str">
        <f t="shared" si="35"/>
        <v>Need to Balance</v>
      </c>
    </row>
    <row r="111" spans="1:121" ht="15.75" customHeight="1" x14ac:dyDescent="0.25">
      <c r="A111" s="8" t="s">
        <v>38</v>
      </c>
      <c r="B111" s="8" t="s">
        <v>385</v>
      </c>
      <c r="C111" s="8" t="s">
        <v>389</v>
      </c>
      <c r="D111" s="8"/>
      <c r="E111" s="8" t="s">
        <v>598</v>
      </c>
      <c r="F111" s="8" t="s">
        <v>56</v>
      </c>
      <c r="G111" s="8"/>
      <c r="H111" s="8">
        <v>1000</v>
      </c>
      <c r="I111" s="8" t="s">
        <v>599</v>
      </c>
      <c r="J111" s="8">
        <v>1</v>
      </c>
      <c r="K111" s="8">
        <v>241</v>
      </c>
      <c r="L111" s="8">
        <v>240</v>
      </c>
      <c r="M111" s="8">
        <v>241</v>
      </c>
      <c r="N111" s="8">
        <v>414</v>
      </c>
      <c r="O111" s="8">
        <v>421</v>
      </c>
      <c r="P111" s="8">
        <v>418</v>
      </c>
      <c r="Q111" s="9" t="s">
        <v>70</v>
      </c>
      <c r="R111" s="16"/>
      <c r="S111" s="10">
        <v>95</v>
      </c>
      <c r="T111" s="10">
        <v>64</v>
      </c>
      <c r="U111" s="10">
        <v>52</v>
      </c>
      <c r="V111" s="11">
        <v>24</v>
      </c>
      <c r="W111" s="12" t="s">
        <v>47</v>
      </c>
      <c r="X111" s="17"/>
      <c r="Y111" s="13">
        <v>92</v>
      </c>
      <c r="Z111" s="13">
        <v>62</v>
      </c>
      <c r="AA111" s="13">
        <v>76</v>
      </c>
      <c r="AB111" s="14">
        <v>21</v>
      </c>
      <c r="AC111" s="9" t="s">
        <v>47</v>
      </c>
      <c r="AD111" s="16"/>
      <c r="AE111" s="10">
        <v>131</v>
      </c>
      <c r="AF111" s="10">
        <v>189</v>
      </c>
      <c r="AG111" s="10">
        <v>14</v>
      </c>
      <c r="AH111" s="11">
        <v>64</v>
      </c>
      <c r="AI111" s="12"/>
      <c r="AJ111" s="17"/>
      <c r="AK111" s="13"/>
      <c r="AL111" s="13"/>
      <c r="AM111" s="13"/>
      <c r="AN111" s="14"/>
      <c r="AO111" s="9" t="s">
        <v>47</v>
      </c>
      <c r="AP111" s="16"/>
      <c r="AQ111" s="10">
        <v>3</v>
      </c>
      <c r="AR111" s="10">
        <v>31</v>
      </c>
      <c r="AS111" s="10">
        <v>24</v>
      </c>
      <c r="AT111" s="11">
        <v>39</v>
      </c>
      <c r="AU111" s="12" t="s">
        <v>47</v>
      </c>
      <c r="AV111" s="17"/>
      <c r="AW111" s="13">
        <v>62</v>
      </c>
      <c r="AX111" s="13">
        <v>31</v>
      </c>
      <c r="AY111" s="13">
        <v>84</v>
      </c>
      <c r="AZ111" s="14">
        <v>38</v>
      </c>
      <c r="BA111" s="9" t="s">
        <v>132</v>
      </c>
      <c r="BB111" s="16"/>
      <c r="BC111" s="10">
        <v>0</v>
      </c>
      <c r="BD111" s="10">
        <v>0</v>
      </c>
      <c r="BE111" s="10">
        <v>0</v>
      </c>
      <c r="BF111" s="11">
        <v>0</v>
      </c>
      <c r="BG111" s="12" t="s">
        <v>132</v>
      </c>
      <c r="BH111" s="17"/>
      <c r="BI111" s="13">
        <v>0</v>
      </c>
      <c r="BJ111" s="13">
        <v>0</v>
      </c>
      <c r="BK111" s="13">
        <v>0</v>
      </c>
      <c r="BL111" s="14">
        <v>0</v>
      </c>
      <c r="BM111" s="9"/>
      <c r="BN111" s="16"/>
      <c r="BO111" s="10"/>
      <c r="BP111" s="10"/>
      <c r="BQ111" s="10"/>
      <c r="BR111" s="11"/>
      <c r="BS111" s="12"/>
      <c r="BT111" s="17"/>
      <c r="BU111" s="13"/>
      <c r="BV111" s="13"/>
      <c r="BW111" s="13"/>
      <c r="BX111" s="14"/>
      <c r="BY111" s="9"/>
      <c r="BZ111" s="16"/>
      <c r="CA111" s="10"/>
      <c r="CB111" s="10"/>
      <c r="CC111" s="10"/>
      <c r="CD111" s="11"/>
      <c r="CE111" s="12"/>
      <c r="CF111" s="17"/>
      <c r="CG111" s="13"/>
      <c r="CH111" s="13"/>
      <c r="CI111" s="13"/>
      <c r="CJ111" s="14"/>
      <c r="CK111" s="9"/>
      <c r="CL111" s="16"/>
      <c r="CM111" s="10"/>
      <c r="CN111" s="10"/>
      <c r="CO111" s="10"/>
      <c r="CP111" s="11"/>
      <c r="CQ111" s="12"/>
      <c r="CR111" s="17"/>
      <c r="CS111" s="13"/>
      <c r="CT111" s="13"/>
      <c r="CU111" s="13"/>
      <c r="CV111" s="14"/>
      <c r="CW111" s="9"/>
      <c r="CX111" s="16"/>
      <c r="CY111" s="10"/>
      <c r="CZ111" s="10"/>
      <c r="DA111" s="10"/>
      <c r="DB111" s="11"/>
      <c r="DC111" s="12"/>
      <c r="DD111" s="17"/>
      <c r="DE111" s="13"/>
      <c r="DF111" s="13"/>
      <c r="DG111" s="13"/>
      <c r="DH111" s="14"/>
      <c r="DI111" s="8">
        <f t="shared" si="27"/>
        <v>383</v>
      </c>
      <c r="DJ111" s="8">
        <f t="shared" si="28"/>
        <v>377</v>
      </c>
      <c r="DK111" s="8">
        <f t="shared" si="29"/>
        <v>250</v>
      </c>
      <c r="DL111" s="8">
        <f t="shared" si="30"/>
        <v>186</v>
      </c>
      <c r="DM111" s="8">
        <f t="shared" si="31"/>
        <v>383</v>
      </c>
      <c r="DN111" s="8">
        <f t="shared" si="32"/>
        <v>250</v>
      </c>
      <c r="DO111" s="15">
        <f t="shared" si="33"/>
        <v>27.463744014973628</v>
      </c>
      <c r="DP111" s="15" t="str">
        <f t="shared" si="34"/>
        <v>OK - No Upgrade</v>
      </c>
      <c r="DQ111" s="15" t="str">
        <f t="shared" si="35"/>
        <v>Need to Balance</v>
      </c>
    </row>
    <row r="112" spans="1:121" ht="15.75" customHeight="1" x14ac:dyDescent="0.25">
      <c r="A112" s="8" t="s">
        <v>38</v>
      </c>
      <c r="B112" s="8" t="s">
        <v>385</v>
      </c>
      <c r="C112" s="8" t="s">
        <v>389</v>
      </c>
      <c r="D112" s="8"/>
      <c r="E112" s="8" t="s">
        <v>598</v>
      </c>
      <c r="F112" s="8" t="s">
        <v>56</v>
      </c>
      <c r="G112" s="8" t="s">
        <v>44</v>
      </c>
      <c r="H112" s="8">
        <v>1000</v>
      </c>
      <c r="I112" s="8" t="s">
        <v>600</v>
      </c>
      <c r="J112" s="8">
        <v>2</v>
      </c>
      <c r="K112" s="8">
        <v>246</v>
      </c>
      <c r="L112" s="8">
        <v>246</v>
      </c>
      <c r="M112" s="8">
        <v>248</v>
      </c>
      <c r="N112" s="8">
        <v>423</v>
      </c>
      <c r="O112" s="8">
        <v>430</v>
      </c>
      <c r="P112" s="8">
        <v>427</v>
      </c>
      <c r="Q112" s="9" t="s">
        <v>70</v>
      </c>
      <c r="R112" s="16"/>
      <c r="S112" s="10">
        <v>80</v>
      </c>
      <c r="T112" s="10">
        <v>84</v>
      </c>
      <c r="U112" s="10">
        <v>56</v>
      </c>
      <c r="V112" s="11">
        <v>25</v>
      </c>
      <c r="W112" s="12" t="s">
        <v>47</v>
      </c>
      <c r="X112" s="17"/>
      <c r="Y112" s="13">
        <v>54</v>
      </c>
      <c r="Z112" s="13">
        <v>61</v>
      </c>
      <c r="AA112" s="13">
        <v>58</v>
      </c>
      <c r="AB112" s="14">
        <v>17</v>
      </c>
      <c r="AC112" s="9" t="s">
        <v>47</v>
      </c>
      <c r="AD112" s="16"/>
      <c r="AE112" s="10">
        <v>180</v>
      </c>
      <c r="AF112" s="10">
        <v>340</v>
      </c>
      <c r="AG112" s="10">
        <v>148</v>
      </c>
      <c r="AH112" s="11">
        <v>169</v>
      </c>
      <c r="AI112" s="12"/>
      <c r="AJ112" s="17"/>
      <c r="AK112" s="13"/>
      <c r="AL112" s="13"/>
      <c r="AM112" s="13"/>
      <c r="AN112" s="14"/>
      <c r="AO112" s="9" t="s">
        <v>47</v>
      </c>
      <c r="AP112" s="16"/>
      <c r="AQ112" s="10">
        <v>30</v>
      </c>
      <c r="AR112" s="10">
        <v>40</v>
      </c>
      <c r="AS112" s="10">
        <v>10</v>
      </c>
      <c r="AT112" s="11">
        <v>25</v>
      </c>
      <c r="AU112" s="12" t="s">
        <v>47</v>
      </c>
      <c r="AV112" s="17"/>
      <c r="AW112" s="13">
        <v>90</v>
      </c>
      <c r="AX112" s="13">
        <v>50</v>
      </c>
      <c r="AY112" s="13">
        <v>114</v>
      </c>
      <c r="AZ112" s="14">
        <v>33</v>
      </c>
      <c r="BA112" s="9" t="s">
        <v>132</v>
      </c>
      <c r="BB112" s="16"/>
      <c r="BC112" s="10">
        <v>0</v>
      </c>
      <c r="BD112" s="10">
        <v>0</v>
      </c>
      <c r="BE112" s="10">
        <v>0</v>
      </c>
      <c r="BF112" s="11">
        <v>0</v>
      </c>
      <c r="BG112" s="12" t="s">
        <v>132</v>
      </c>
      <c r="BH112" s="17"/>
      <c r="BI112" s="13">
        <v>10</v>
      </c>
      <c r="BJ112" s="13">
        <v>18</v>
      </c>
      <c r="BK112" s="13">
        <v>13</v>
      </c>
      <c r="BL112" s="14">
        <v>7</v>
      </c>
      <c r="BM112" s="9"/>
      <c r="BN112" s="16"/>
      <c r="BO112" s="10"/>
      <c r="BP112" s="10"/>
      <c r="BQ112" s="10"/>
      <c r="BR112" s="11"/>
      <c r="BS112" s="12"/>
      <c r="BT112" s="17"/>
      <c r="BU112" s="13"/>
      <c r="BV112" s="13"/>
      <c r="BW112" s="13"/>
      <c r="BX112" s="14"/>
      <c r="BY112" s="9"/>
      <c r="BZ112" s="16"/>
      <c r="CA112" s="10"/>
      <c r="CB112" s="10"/>
      <c r="CC112" s="10"/>
      <c r="CD112" s="11"/>
      <c r="CE112" s="12"/>
      <c r="CF112" s="17"/>
      <c r="CG112" s="13"/>
      <c r="CH112" s="13"/>
      <c r="CI112" s="13"/>
      <c r="CJ112" s="14"/>
      <c r="CK112" s="9"/>
      <c r="CL112" s="16"/>
      <c r="CM112" s="10"/>
      <c r="CN112" s="10"/>
      <c r="CO112" s="10"/>
      <c r="CP112" s="11"/>
      <c r="CQ112" s="12"/>
      <c r="CR112" s="17"/>
      <c r="CS112" s="13"/>
      <c r="CT112" s="13"/>
      <c r="CU112" s="13"/>
      <c r="CV112" s="14"/>
      <c r="CW112" s="9"/>
      <c r="CX112" s="16"/>
      <c r="CY112" s="10"/>
      <c r="CZ112" s="10"/>
      <c r="DA112" s="10"/>
      <c r="DB112" s="11"/>
      <c r="DC112" s="12"/>
      <c r="DD112" s="17"/>
      <c r="DE112" s="13"/>
      <c r="DF112" s="13"/>
      <c r="DG112" s="13"/>
      <c r="DH112" s="14"/>
      <c r="DI112" s="8">
        <f t="shared" si="27"/>
        <v>444</v>
      </c>
      <c r="DJ112" s="8">
        <f t="shared" si="28"/>
        <v>593</v>
      </c>
      <c r="DK112" s="8">
        <f t="shared" si="29"/>
        <v>399</v>
      </c>
      <c r="DL112" s="8">
        <f t="shared" si="30"/>
        <v>276</v>
      </c>
      <c r="DM112" s="8">
        <f t="shared" si="31"/>
        <v>593</v>
      </c>
      <c r="DN112" s="8">
        <f t="shared" si="32"/>
        <v>399</v>
      </c>
      <c r="DO112" s="15">
        <f t="shared" si="33"/>
        <v>43.446589251976953</v>
      </c>
      <c r="DP112" s="15" t="str">
        <f t="shared" si="34"/>
        <v>OK - No Upgrade</v>
      </c>
      <c r="DQ112" s="15" t="str">
        <f t="shared" si="35"/>
        <v>Need to Balance</v>
      </c>
    </row>
    <row r="113" spans="1:121" ht="15.75" customHeight="1" x14ac:dyDescent="0.25">
      <c r="A113" s="8" t="s">
        <v>38</v>
      </c>
      <c r="B113" s="8" t="s">
        <v>385</v>
      </c>
      <c r="C113" s="8" t="s">
        <v>389</v>
      </c>
      <c r="D113" s="8"/>
      <c r="E113" s="8" t="s">
        <v>601</v>
      </c>
      <c r="F113" s="8" t="s">
        <v>56</v>
      </c>
      <c r="G113" s="8"/>
      <c r="H113" s="8">
        <v>1000</v>
      </c>
      <c r="I113" s="8" t="s">
        <v>602</v>
      </c>
      <c r="J113" s="8">
        <v>1</v>
      </c>
      <c r="K113" s="8">
        <v>243</v>
      </c>
      <c r="L113" s="8">
        <v>242</v>
      </c>
      <c r="M113" s="8">
        <v>245</v>
      </c>
      <c r="N113" s="8">
        <v>420</v>
      </c>
      <c r="O113" s="8">
        <v>424</v>
      </c>
      <c r="P113" s="8">
        <v>422</v>
      </c>
      <c r="Q113" s="9" t="s">
        <v>47</v>
      </c>
      <c r="R113" s="16"/>
      <c r="S113" s="10">
        <v>76</v>
      </c>
      <c r="T113" s="10">
        <v>161</v>
      </c>
      <c r="U113" s="10">
        <v>89</v>
      </c>
      <c r="V113" s="11">
        <v>70</v>
      </c>
      <c r="W113" s="12" t="s">
        <v>70</v>
      </c>
      <c r="X113" s="17"/>
      <c r="Y113" s="13">
        <v>42</v>
      </c>
      <c r="Z113" s="13">
        <v>3</v>
      </c>
      <c r="AA113" s="13">
        <v>20</v>
      </c>
      <c r="AB113" s="14">
        <v>11</v>
      </c>
      <c r="AC113" s="9" t="s">
        <v>70</v>
      </c>
      <c r="AD113" s="16"/>
      <c r="AE113" s="10">
        <v>15</v>
      </c>
      <c r="AF113" s="10">
        <v>21</v>
      </c>
      <c r="AG113" s="10">
        <v>32</v>
      </c>
      <c r="AH113" s="11">
        <v>18</v>
      </c>
      <c r="AI113" s="12" t="s">
        <v>70</v>
      </c>
      <c r="AJ113" s="17"/>
      <c r="AK113" s="13">
        <v>15</v>
      </c>
      <c r="AL113" s="13">
        <v>18</v>
      </c>
      <c r="AM113" s="13">
        <v>12</v>
      </c>
      <c r="AN113" s="14">
        <v>8</v>
      </c>
      <c r="AO113" s="9"/>
      <c r="AP113" s="16"/>
      <c r="AQ113" s="10"/>
      <c r="AR113" s="10"/>
      <c r="AS113" s="10"/>
      <c r="AT113" s="11"/>
      <c r="AU113" s="12"/>
      <c r="AV113" s="17"/>
      <c r="AW113" s="13"/>
      <c r="AX113" s="13"/>
      <c r="AY113" s="13"/>
      <c r="AZ113" s="14"/>
      <c r="BA113" s="9"/>
      <c r="BB113" s="16"/>
      <c r="BC113" s="10"/>
      <c r="BD113" s="10"/>
      <c r="BE113" s="10"/>
      <c r="BF113" s="11"/>
      <c r="BG113" s="12"/>
      <c r="BH113" s="17"/>
      <c r="BI113" s="13"/>
      <c r="BJ113" s="13"/>
      <c r="BK113" s="13"/>
      <c r="BL113" s="14"/>
      <c r="BM113" s="9"/>
      <c r="BN113" s="16"/>
      <c r="BO113" s="10"/>
      <c r="BP113" s="10"/>
      <c r="BQ113" s="10"/>
      <c r="BR113" s="11"/>
      <c r="BS113" s="12"/>
      <c r="BT113" s="17"/>
      <c r="BU113" s="13"/>
      <c r="BV113" s="13"/>
      <c r="BW113" s="13"/>
      <c r="BX113" s="14"/>
      <c r="BY113" s="9"/>
      <c r="BZ113" s="16"/>
      <c r="CA113" s="10"/>
      <c r="CB113" s="10"/>
      <c r="CC113" s="10"/>
      <c r="CD113" s="11"/>
      <c r="CE113" s="12"/>
      <c r="CF113" s="17"/>
      <c r="CG113" s="13"/>
      <c r="CH113" s="13"/>
      <c r="CI113" s="13"/>
      <c r="CJ113" s="14"/>
      <c r="CK113" s="9"/>
      <c r="CL113" s="16"/>
      <c r="CM113" s="10"/>
      <c r="CN113" s="10"/>
      <c r="CO113" s="10"/>
      <c r="CP113" s="11"/>
      <c r="CQ113" s="12"/>
      <c r="CR113" s="17"/>
      <c r="CS113" s="13"/>
      <c r="CT113" s="13"/>
      <c r="CU113" s="13"/>
      <c r="CV113" s="14"/>
      <c r="CW113" s="9"/>
      <c r="CX113" s="16"/>
      <c r="CY113" s="10"/>
      <c r="CZ113" s="10"/>
      <c r="DA113" s="10"/>
      <c r="DB113" s="11"/>
      <c r="DC113" s="12"/>
      <c r="DD113" s="17"/>
      <c r="DE113" s="13"/>
      <c r="DF113" s="13"/>
      <c r="DG113" s="13"/>
      <c r="DH113" s="14"/>
      <c r="DI113" s="8">
        <f t="shared" si="27"/>
        <v>148</v>
      </c>
      <c r="DJ113" s="8">
        <f t="shared" si="28"/>
        <v>203</v>
      </c>
      <c r="DK113" s="8">
        <f t="shared" si="29"/>
        <v>153</v>
      </c>
      <c r="DL113" s="8">
        <f t="shared" si="30"/>
        <v>107</v>
      </c>
      <c r="DM113" s="8">
        <f t="shared" si="31"/>
        <v>203</v>
      </c>
      <c r="DN113" s="8">
        <f t="shared" si="32"/>
        <v>148</v>
      </c>
      <c r="DO113" s="15">
        <f t="shared" si="33"/>
        <v>14.767465185332249</v>
      </c>
      <c r="DP113" s="15" t="str">
        <f t="shared" si="34"/>
        <v>OK - No Upgrade</v>
      </c>
      <c r="DQ113" s="15" t="str">
        <f t="shared" si="35"/>
        <v>Need to Balance</v>
      </c>
    </row>
    <row r="114" spans="1:121" ht="15.75" customHeight="1" x14ac:dyDescent="0.25">
      <c r="A114" s="8" t="s">
        <v>38</v>
      </c>
      <c r="B114" s="8" t="s">
        <v>385</v>
      </c>
      <c r="C114" s="8" t="s">
        <v>389</v>
      </c>
      <c r="D114" s="8"/>
      <c r="E114" s="8" t="s">
        <v>601</v>
      </c>
      <c r="F114" s="8" t="s">
        <v>56</v>
      </c>
      <c r="G114" s="8" t="s">
        <v>44</v>
      </c>
      <c r="H114" s="8">
        <v>1000</v>
      </c>
      <c r="I114" s="8" t="s">
        <v>603</v>
      </c>
      <c r="J114" s="8">
        <v>2</v>
      </c>
      <c r="K114" s="8">
        <v>248</v>
      </c>
      <c r="L114" s="8">
        <v>247</v>
      </c>
      <c r="M114" s="8">
        <v>248</v>
      </c>
      <c r="N114" s="8">
        <v>428</v>
      </c>
      <c r="O114" s="8">
        <v>432</v>
      </c>
      <c r="P114" s="8">
        <v>431</v>
      </c>
      <c r="Q114" s="9" t="s">
        <v>47</v>
      </c>
      <c r="R114" s="16"/>
      <c r="S114" s="10">
        <v>62</v>
      </c>
      <c r="T114" s="10">
        <v>45</v>
      </c>
      <c r="U114" s="10">
        <v>98</v>
      </c>
      <c r="V114" s="11">
        <v>52</v>
      </c>
      <c r="W114" s="12" t="s">
        <v>70</v>
      </c>
      <c r="X114" s="17"/>
      <c r="Y114" s="13">
        <v>28</v>
      </c>
      <c r="Z114" s="13">
        <v>28</v>
      </c>
      <c r="AA114" s="13">
        <v>3</v>
      </c>
      <c r="AB114" s="14">
        <v>27</v>
      </c>
      <c r="AC114" s="9" t="s">
        <v>70</v>
      </c>
      <c r="AD114" s="16"/>
      <c r="AE114" s="10">
        <v>51</v>
      </c>
      <c r="AF114" s="10">
        <v>45</v>
      </c>
      <c r="AG114" s="10">
        <v>51</v>
      </c>
      <c r="AH114" s="11">
        <v>18</v>
      </c>
      <c r="AI114" s="12" t="s">
        <v>70</v>
      </c>
      <c r="AJ114" s="17"/>
      <c r="AK114" s="13">
        <v>72</v>
      </c>
      <c r="AL114" s="13">
        <v>31</v>
      </c>
      <c r="AM114" s="13">
        <v>63</v>
      </c>
      <c r="AN114" s="14">
        <v>49</v>
      </c>
      <c r="AO114" s="9"/>
      <c r="AP114" s="16"/>
      <c r="AQ114" s="10"/>
      <c r="AR114" s="10"/>
      <c r="AS114" s="10"/>
      <c r="AT114" s="11"/>
      <c r="AU114" s="12"/>
      <c r="AV114" s="17"/>
      <c r="AW114" s="13"/>
      <c r="AX114" s="13"/>
      <c r="AY114" s="13"/>
      <c r="AZ114" s="14"/>
      <c r="BA114" s="9"/>
      <c r="BB114" s="16"/>
      <c r="BC114" s="10"/>
      <c r="BD114" s="10"/>
      <c r="BE114" s="10"/>
      <c r="BF114" s="11"/>
      <c r="BG114" s="12"/>
      <c r="BH114" s="17"/>
      <c r="BI114" s="13"/>
      <c r="BJ114" s="13"/>
      <c r="BK114" s="13"/>
      <c r="BL114" s="14"/>
      <c r="BM114" s="9"/>
      <c r="BN114" s="16"/>
      <c r="BO114" s="10"/>
      <c r="BP114" s="10"/>
      <c r="BQ114" s="10"/>
      <c r="BR114" s="11"/>
      <c r="BS114" s="12"/>
      <c r="BT114" s="17"/>
      <c r="BU114" s="13"/>
      <c r="BV114" s="13"/>
      <c r="BW114" s="13"/>
      <c r="BX114" s="14"/>
      <c r="BY114" s="9"/>
      <c r="BZ114" s="16"/>
      <c r="CA114" s="10"/>
      <c r="CB114" s="10"/>
      <c r="CC114" s="10"/>
      <c r="CD114" s="11"/>
      <c r="CE114" s="12"/>
      <c r="CF114" s="17"/>
      <c r="CG114" s="13"/>
      <c r="CH114" s="13"/>
      <c r="CI114" s="13"/>
      <c r="CJ114" s="14"/>
      <c r="CK114" s="9"/>
      <c r="CL114" s="16"/>
      <c r="CM114" s="10"/>
      <c r="CN114" s="10"/>
      <c r="CO114" s="10"/>
      <c r="CP114" s="11"/>
      <c r="CQ114" s="12"/>
      <c r="CR114" s="17"/>
      <c r="CS114" s="13"/>
      <c r="CT114" s="13"/>
      <c r="CU114" s="13"/>
      <c r="CV114" s="14"/>
      <c r="CW114" s="9"/>
      <c r="CX114" s="16"/>
      <c r="CY114" s="10"/>
      <c r="CZ114" s="10"/>
      <c r="DA114" s="10"/>
      <c r="DB114" s="11"/>
      <c r="DC114" s="12"/>
      <c r="DD114" s="17"/>
      <c r="DE114" s="13"/>
      <c r="DF114" s="13"/>
      <c r="DG114" s="13"/>
      <c r="DH114" s="14"/>
      <c r="DI114" s="8">
        <f t="shared" si="27"/>
        <v>213</v>
      </c>
      <c r="DJ114" s="8">
        <f t="shared" si="28"/>
        <v>149</v>
      </c>
      <c r="DK114" s="8">
        <f t="shared" si="29"/>
        <v>215</v>
      </c>
      <c r="DL114" s="8">
        <f t="shared" si="30"/>
        <v>146</v>
      </c>
      <c r="DM114" s="8">
        <f t="shared" si="31"/>
        <v>215</v>
      </c>
      <c r="DN114" s="8">
        <f t="shared" si="32"/>
        <v>149</v>
      </c>
      <c r="DO114" s="15">
        <f t="shared" si="33"/>
        <v>15.938331531248808</v>
      </c>
      <c r="DP114" s="15" t="str">
        <f t="shared" si="34"/>
        <v>OK - No Upgrade</v>
      </c>
      <c r="DQ114" s="15" t="str">
        <f t="shared" si="35"/>
        <v>Need to Balance</v>
      </c>
    </row>
    <row r="115" spans="1:121" ht="15.75" customHeight="1" x14ac:dyDescent="0.25">
      <c r="A115" s="8" t="s">
        <v>38</v>
      </c>
      <c r="B115" s="8" t="s">
        <v>385</v>
      </c>
      <c r="C115" s="8" t="s">
        <v>389</v>
      </c>
      <c r="D115" s="8" t="s">
        <v>604</v>
      </c>
      <c r="E115" s="8" t="s">
        <v>605</v>
      </c>
      <c r="F115" s="8" t="s">
        <v>56</v>
      </c>
      <c r="G115" s="8"/>
      <c r="H115" s="8">
        <v>1000</v>
      </c>
      <c r="I115" s="8" t="s">
        <v>606</v>
      </c>
      <c r="J115" s="8">
        <v>1</v>
      </c>
      <c r="K115" s="8">
        <v>241</v>
      </c>
      <c r="L115" s="8">
        <v>243</v>
      </c>
      <c r="M115" s="8">
        <v>245</v>
      </c>
      <c r="N115" s="8">
        <v>418</v>
      </c>
      <c r="O115" s="8">
        <v>420</v>
      </c>
      <c r="P115" s="8">
        <v>424</v>
      </c>
      <c r="Q115" s="9" t="s">
        <v>46</v>
      </c>
      <c r="R115" s="16"/>
      <c r="S115" s="10">
        <v>182</v>
      </c>
      <c r="T115" s="10">
        <v>136</v>
      </c>
      <c r="U115" s="10">
        <v>121</v>
      </c>
      <c r="V115" s="11">
        <v>20</v>
      </c>
      <c r="W115" s="12" t="s">
        <v>46</v>
      </c>
      <c r="X115" s="17"/>
      <c r="Y115" s="13">
        <v>45</v>
      </c>
      <c r="Z115" s="13">
        <v>12</v>
      </c>
      <c r="AA115" s="13">
        <v>16</v>
      </c>
      <c r="AB115" s="14">
        <v>23</v>
      </c>
      <c r="AC115" s="9" t="s">
        <v>47</v>
      </c>
      <c r="AD115" s="16"/>
      <c r="AE115" s="10">
        <v>27</v>
      </c>
      <c r="AF115" s="10">
        <v>56</v>
      </c>
      <c r="AG115" s="10">
        <v>25</v>
      </c>
      <c r="AH115" s="11">
        <v>21</v>
      </c>
      <c r="AI115" s="12" t="s">
        <v>46</v>
      </c>
      <c r="AJ115" s="17"/>
      <c r="AK115" s="13">
        <v>53</v>
      </c>
      <c r="AL115" s="13">
        <v>43</v>
      </c>
      <c r="AM115" s="13">
        <v>124</v>
      </c>
      <c r="AN115" s="14">
        <v>56</v>
      </c>
      <c r="AO115" s="9" t="s">
        <v>47</v>
      </c>
      <c r="AP115" s="16"/>
      <c r="AQ115" s="10">
        <v>64</v>
      </c>
      <c r="AR115" s="10">
        <v>22</v>
      </c>
      <c r="AS115" s="10">
        <v>19</v>
      </c>
      <c r="AT115" s="11">
        <v>49</v>
      </c>
      <c r="AU115" s="12" t="s">
        <v>47</v>
      </c>
      <c r="AV115" s="17"/>
      <c r="AW115" s="13">
        <v>63</v>
      </c>
      <c r="AX115" s="13">
        <v>28</v>
      </c>
      <c r="AY115" s="13">
        <v>10</v>
      </c>
      <c r="AZ115" s="14">
        <v>61</v>
      </c>
      <c r="BA115" s="9" t="s">
        <v>132</v>
      </c>
      <c r="BB115" s="16"/>
      <c r="BC115" s="10">
        <v>0</v>
      </c>
      <c r="BD115" s="10">
        <v>2</v>
      </c>
      <c r="BE115" s="10">
        <v>0</v>
      </c>
      <c r="BF115" s="11">
        <v>0</v>
      </c>
      <c r="BG115" s="12"/>
      <c r="BH115" s="17"/>
      <c r="BI115" s="13"/>
      <c r="BJ115" s="13"/>
      <c r="BK115" s="13"/>
      <c r="BL115" s="14"/>
      <c r="BM115" s="9"/>
      <c r="BN115" s="16"/>
      <c r="BO115" s="10"/>
      <c r="BP115" s="10"/>
      <c r="BQ115" s="10"/>
      <c r="BR115" s="11"/>
      <c r="BS115" s="12"/>
      <c r="BT115" s="17"/>
      <c r="BU115" s="13"/>
      <c r="BV115" s="13"/>
      <c r="BW115" s="13"/>
      <c r="BX115" s="14"/>
      <c r="BY115" s="9"/>
      <c r="BZ115" s="16"/>
      <c r="CA115" s="10"/>
      <c r="CB115" s="10"/>
      <c r="CC115" s="10"/>
      <c r="CD115" s="11"/>
      <c r="CE115" s="12"/>
      <c r="CF115" s="17"/>
      <c r="CG115" s="13"/>
      <c r="CH115" s="13"/>
      <c r="CI115" s="13"/>
      <c r="CJ115" s="14"/>
      <c r="CK115" s="9"/>
      <c r="CL115" s="16"/>
      <c r="CM115" s="10"/>
      <c r="CN115" s="10"/>
      <c r="CO115" s="10"/>
      <c r="CP115" s="11"/>
      <c r="CQ115" s="12"/>
      <c r="CR115" s="17"/>
      <c r="CS115" s="13"/>
      <c r="CT115" s="13"/>
      <c r="CU115" s="13"/>
      <c r="CV115" s="14"/>
      <c r="CW115" s="9"/>
      <c r="CX115" s="16"/>
      <c r="CY115" s="10"/>
      <c r="CZ115" s="10"/>
      <c r="DA115" s="10"/>
      <c r="DB115" s="11"/>
      <c r="DC115" s="12"/>
      <c r="DD115" s="17"/>
      <c r="DE115" s="13"/>
      <c r="DF115" s="13"/>
      <c r="DG115" s="13"/>
      <c r="DH115" s="14"/>
      <c r="DI115" s="8">
        <f t="shared" si="27"/>
        <v>434</v>
      </c>
      <c r="DJ115" s="8">
        <f t="shared" si="28"/>
        <v>299</v>
      </c>
      <c r="DK115" s="8">
        <f t="shared" si="29"/>
        <v>315</v>
      </c>
      <c r="DL115" s="8">
        <f t="shared" si="30"/>
        <v>230</v>
      </c>
      <c r="DM115" s="8">
        <f t="shared" si="31"/>
        <v>434</v>
      </c>
      <c r="DN115" s="8">
        <f t="shared" si="32"/>
        <v>299</v>
      </c>
      <c r="DO115" s="15">
        <f t="shared" si="33"/>
        <v>31.421480110268519</v>
      </c>
      <c r="DP115" s="15" t="str">
        <f t="shared" si="34"/>
        <v>OK - No Upgrade</v>
      </c>
      <c r="DQ115" s="15" t="str">
        <f t="shared" si="35"/>
        <v>Need to Balance</v>
      </c>
    </row>
    <row r="116" spans="1:121" ht="15.75" customHeight="1" x14ac:dyDescent="0.25">
      <c r="A116" s="8" t="s">
        <v>38</v>
      </c>
      <c r="B116" s="8" t="s">
        <v>385</v>
      </c>
      <c r="C116" s="8" t="s">
        <v>389</v>
      </c>
      <c r="D116" s="8" t="s">
        <v>604</v>
      </c>
      <c r="E116" s="8" t="s">
        <v>605</v>
      </c>
      <c r="F116" s="8" t="s">
        <v>56</v>
      </c>
      <c r="G116" s="8" t="s">
        <v>44</v>
      </c>
      <c r="H116" s="8">
        <v>1000</v>
      </c>
      <c r="I116" s="8" t="s">
        <v>606</v>
      </c>
      <c r="J116" s="8">
        <v>2</v>
      </c>
      <c r="K116" s="8">
        <v>246</v>
      </c>
      <c r="L116" s="8">
        <v>248</v>
      </c>
      <c r="M116" s="8">
        <v>249</v>
      </c>
      <c r="N116" s="8">
        <v>429</v>
      </c>
      <c r="O116" s="8">
        <v>427</v>
      </c>
      <c r="P116" s="8">
        <v>433</v>
      </c>
      <c r="Q116" s="9" t="s">
        <v>46</v>
      </c>
      <c r="R116" s="16"/>
      <c r="S116" s="10">
        <v>11</v>
      </c>
      <c r="T116" s="10">
        <v>15</v>
      </c>
      <c r="U116" s="10">
        <v>48</v>
      </c>
      <c r="V116" s="11">
        <v>54</v>
      </c>
      <c r="W116" s="12" t="s">
        <v>46</v>
      </c>
      <c r="X116" s="17"/>
      <c r="Y116" s="13">
        <v>50</v>
      </c>
      <c r="Z116" s="13">
        <v>27</v>
      </c>
      <c r="AA116" s="13">
        <v>30</v>
      </c>
      <c r="AB116" s="14">
        <v>19</v>
      </c>
      <c r="AC116" s="9" t="s">
        <v>47</v>
      </c>
      <c r="AD116" s="16"/>
      <c r="AE116" s="10">
        <v>17</v>
      </c>
      <c r="AF116" s="10">
        <v>27</v>
      </c>
      <c r="AG116" s="10">
        <v>9</v>
      </c>
      <c r="AH116" s="11">
        <v>15</v>
      </c>
      <c r="AI116" s="12" t="s">
        <v>46</v>
      </c>
      <c r="AJ116" s="17"/>
      <c r="AK116" s="13">
        <v>18</v>
      </c>
      <c r="AL116" s="13">
        <v>42</v>
      </c>
      <c r="AM116" s="13">
        <v>52</v>
      </c>
      <c r="AN116" s="14">
        <v>40</v>
      </c>
      <c r="AO116" s="9" t="s">
        <v>47</v>
      </c>
      <c r="AP116" s="16"/>
      <c r="AQ116" s="10">
        <v>58</v>
      </c>
      <c r="AR116" s="10">
        <v>32</v>
      </c>
      <c r="AS116" s="10">
        <v>35</v>
      </c>
      <c r="AT116" s="11">
        <v>18</v>
      </c>
      <c r="AU116" s="12" t="s">
        <v>47</v>
      </c>
      <c r="AV116" s="17"/>
      <c r="AW116" s="13">
        <v>110</v>
      </c>
      <c r="AX116" s="13">
        <v>42</v>
      </c>
      <c r="AY116" s="13">
        <v>36</v>
      </c>
      <c r="AZ116" s="14">
        <v>63</v>
      </c>
      <c r="BA116" s="9" t="s">
        <v>132</v>
      </c>
      <c r="BB116" s="16"/>
      <c r="BC116" s="10">
        <v>48</v>
      </c>
      <c r="BD116" s="10">
        <v>25</v>
      </c>
      <c r="BE116" s="10">
        <v>27</v>
      </c>
      <c r="BF116" s="11">
        <v>23</v>
      </c>
      <c r="BG116" s="12"/>
      <c r="BH116" s="17"/>
      <c r="BI116" s="13"/>
      <c r="BJ116" s="13"/>
      <c r="BK116" s="13"/>
      <c r="BL116" s="14"/>
      <c r="BM116" s="9"/>
      <c r="BN116" s="16"/>
      <c r="BO116" s="10"/>
      <c r="BP116" s="10"/>
      <c r="BQ116" s="10"/>
      <c r="BR116" s="11"/>
      <c r="BS116" s="12"/>
      <c r="BT116" s="17"/>
      <c r="BU116" s="13"/>
      <c r="BV116" s="13"/>
      <c r="BW116" s="13"/>
      <c r="BX116" s="14"/>
      <c r="BY116" s="9"/>
      <c r="BZ116" s="16"/>
      <c r="CA116" s="10"/>
      <c r="CB116" s="10"/>
      <c r="CC116" s="10"/>
      <c r="CD116" s="11"/>
      <c r="CE116" s="12"/>
      <c r="CF116" s="17"/>
      <c r="CG116" s="13"/>
      <c r="CH116" s="13"/>
      <c r="CI116" s="13"/>
      <c r="CJ116" s="14"/>
      <c r="CK116" s="9"/>
      <c r="CL116" s="16"/>
      <c r="CM116" s="10"/>
      <c r="CN116" s="10"/>
      <c r="CO116" s="10"/>
      <c r="CP116" s="11"/>
      <c r="CQ116" s="12"/>
      <c r="CR116" s="17"/>
      <c r="CS116" s="13"/>
      <c r="CT116" s="13"/>
      <c r="CU116" s="13"/>
      <c r="CV116" s="14"/>
      <c r="CW116" s="9"/>
      <c r="CX116" s="16"/>
      <c r="CY116" s="10"/>
      <c r="CZ116" s="10"/>
      <c r="DA116" s="10"/>
      <c r="DB116" s="11"/>
      <c r="DC116" s="12"/>
      <c r="DD116" s="17"/>
      <c r="DE116" s="13"/>
      <c r="DF116" s="13"/>
      <c r="DG116" s="13"/>
      <c r="DH116" s="14"/>
      <c r="DI116" s="8">
        <f t="shared" si="27"/>
        <v>312</v>
      </c>
      <c r="DJ116" s="8">
        <f t="shared" si="28"/>
        <v>210</v>
      </c>
      <c r="DK116" s="8">
        <f t="shared" si="29"/>
        <v>237</v>
      </c>
      <c r="DL116" s="8">
        <f t="shared" si="30"/>
        <v>232</v>
      </c>
      <c r="DM116" s="8">
        <f t="shared" si="31"/>
        <v>312</v>
      </c>
      <c r="DN116" s="8">
        <f t="shared" si="32"/>
        <v>210</v>
      </c>
      <c r="DO116" s="15">
        <f t="shared" si="33"/>
        <v>23.183153649147908</v>
      </c>
      <c r="DP116" s="15" t="str">
        <f t="shared" si="34"/>
        <v>OK - No Upgrade</v>
      </c>
      <c r="DQ116" s="15" t="str">
        <f t="shared" si="35"/>
        <v>Need to Balance</v>
      </c>
    </row>
    <row r="117" spans="1:121" ht="15.75" customHeight="1" x14ac:dyDescent="0.25">
      <c r="A117" s="8" t="s">
        <v>38</v>
      </c>
      <c r="B117" s="8" t="s">
        <v>385</v>
      </c>
      <c r="C117" s="8" t="s">
        <v>265</v>
      </c>
      <c r="D117" s="8"/>
      <c r="E117" s="8" t="s">
        <v>607</v>
      </c>
      <c r="F117" s="8" t="s">
        <v>43</v>
      </c>
      <c r="G117" s="8"/>
      <c r="H117" s="8">
        <v>315</v>
      </c>
      <c r="I117" s="8" t="s">
        <v>608</v>
      </c>
      <c r="J117" s="8">
        <v>1</v>
      </c>
      <c r="K117" s="8">
        <v>245</v>
      </c>
      <c r="L117" s="8">
        <v>243</v>
      </c>
      <c r="M117" s="8">
        <v>242</v>
      </c>
      <c r="N117" s="8">
        <v>424</v>
      </c>
      <c r="O117" s="8">
        <v>422</v>
      </c>
      <c r="P117" s="8">
        <v>418</v>
      </c>
      <c r="Q117" s="9" t="s">
        <v>46</v>
      </c>
      <c r="R117" s="16"/>
      <c r="S117" s="10">
        <v>128</v>
      </c>
      <c r="T117" s="10">
        <v>103</v>
      </c>
      <c r="U117" s="10">
        <v>115</v>
      </c>
      <c r="V117" s="11">
        <v>28</v>
      </c>
      <c r="W117" s="12"/>
      <c r="X117" s="17"/>
      <c r="Y117" s="13"/>
      <c r="Z117" s="13"/>
      <c r="AA117" s="13"/>
      <c r="AB117" s="14"/>
      <c r="AC117" s="9"/>
      <c r="AD117" s="16"/>
      <c r="AE117" s="10"/>
      <c r="AF117" s="10"/>
      <c r="AG117" s="10"/>
      <c r="AH117" s="11"/>
      <c r="AI117" s="12"/>
      <c r="AJ117" s="17"/>
      <c r="AK117" s="13"/>
      <c r="AL117" s="13"/>
      <c r="AM117" s="13"/>
      <c r="AN117" s="14"/>
      <c r="AO117" s="9"/>
      <c r="AP117" s="16"/>
      <c r="AQ117" s="10"/>
      <c r="AR117" s="10"/>
      <c r="AS117" s="10"/>
      <c r="AT117" s="11"/>
      <c r="AU117" s="12"/>
      <c r="AV117" s="17"/>
      <c r="AW117" s="13"/>
      <c r="AX117" s="13"/>
      <c r="AY117" s="13"/>
      <c r="AZ117" s="14"/>
      <c r="BA117" s="9"/>
      <c r="BB117" s="16"/>
      <c r="BC117" s="10"/>
      <c r="BD117" s="10"/>
      <c r="BE117" s="10"/>
      <c r="BF117" s="11"/>
      <c r="BG117" s="12"/>
      <c r="BH117" s="17"/>
      <c r="BI117" s="13"/>
      <c r="BJ117" s="13"/>
      <c r="BK117" s="13"/>
      <c r="BL117" s="14"/>
      <c r="BM117" s="9"/>
      <c r="BN117" s="16"/>
      <c r="BO117" s="10"/>
      <c r="BP117" s="10"/>
      <c r="BQ117" s="10"/>
      <c r="BR117" s="11"/>
      <c r="BS117" s="12"/>
      <c r="BT117" s="17"/>
      <c r="BU117" s="13"/>
      <c r="BV117" s="13"/>
      <c r="BW117" s="13"/>
      <c r="BX117" s="14"/>
      <c r="BY117" s="9"/>
      <c r="BZ117" s="16"/>
      <c r="CA117" s="10"/>
      <c r="CB117" s="10"/>
      <c r="CC117" s="10"/>
      <c r="CD117" s="11"/>
      <c r="CE117" s="12"/>
      <c r="CF117" s="17"/>
      <c r="CG117" s="13"/>
      <c r="CH117" s="13"/>
      <c r="CI117" s="13"/>
      <c r="CJ117" s="14"/>
      <c r="CK117" s="9"/>
      <c r="CL117" s="16"/>
      <c r="CM117" s="10"/>
      <c r="CN117" s="10"/>
      <c r="CO117" s="10"/>
      <c r="CP117" s="11"/>
      <c r="CQ117" s="12"/>
      <c r="CR117" s="17"/>
      <c r="CS117" s="13"/>
      <c r="CT117" s="13"/>
      <c r="CU117" s="13"/>
      <c r="CV117" s="14"/>
      <c r="CW117" s="9"/>
      <c r="CX117" s="16"/>
      <c r="CY117" s="10"/>
      <c r="CZ117" s="10"/>
      <c r="DA117" s="10"/>
      <c r="DB117" s="11"/>
      <c r="DC117" s="12"/>
      <c r="DD117" s="17"/>
      <c r="DE117" s="13"/>
      <c r="DF117" s="13"/>
      <c r="DG117" s="13"/>
      <c r="DH117" s="14"/>
      <c r="DI117" s="8">
        <f t="shared" si="27"/>
        <v>128</v>
      </c>
      <c r="DJ117" s="8">
        <f t="shared" si="28"/>
        <v>103</v>
      </c>
      <c r="DK117" s="8">
        <f t="shared" si="29"/>
        <v>115</v>
      </c>
      <c r="DL117" s="8">
        <f t="shared" si="30"/>
        <v>28</v>
      </c>
      <c r="DM117" s="8">
        <f t="shared" si="31"/>
        <v>128</v>
      </c>
      <c r="DN117" s="8">
        <f t="shared" si="32"/>
        <v>103</v>
      </c>
      <c r="DO117" s="15">
        <f t="shared" si="33"/>
        <v>29.841860770913687</v>
      </c>
      <c r="DP117" s="15" t="str">
        <f t="shared" si="34"/>
        <v>OK - No Upgrade</v>
      </c>
      <c r="DQ117" s="15" t="str">
        <f t="shared" si="35"/>
        <v>Need to Balance</v>
      </c>
    </row>
    <row r="118" spans="1:121" ht="15.75" customHeight="1" x14ac:dyDescent="0.25">
      <c r="A118" s="8" t="s">
        <v>38</v>
      </c>
      <c r="B118" s="8" t="s">
        <v>385</v>
      </c>
      <c r="C118" s="8" t="s">
        <v>265</v>
      </c>
      <c r="D118" s="8"/>
      <c r="E118" s="8" t="s">
        <v>607</v>
      </c>
      <c r="F118" s="8" t="s">
        <v>43</v>
      </c>
      <c r="G118" s="8" t="s">
        <v>44</v>
      </c>
      <c r="H118" s="8">
        <v>315</v>
      </c>
      <c r="I118" s="8" t="s">
        <v>609</v>
      </c>
      <c r="J118" s="8">
        <v>2</v>
      </c>
      <c r="K118" s="8">
        <v>250</v>
      </c>
      <c r="L118" s="8">
        <v>249</v>
      </c>
      <c r="M118" s="8">
        <v>248</v>
      </c>
      <c r="N118" s="8">
        <v>433</v>
      </c>
      <c r="O118" s="8">
        <v>430</v>
      </c>
      <c r="P118" s="8">
        <v>432</v>
      </c>
      <c r="Q118" s="9" t="s">
        <v>46</v>
      </c>
      <c r="R118" s="16"/>
      <c r="S118" s="10">
        <v>65</v>
      </c>
      <c r="T118" s="10">
        <v>44</v>
      </c>
      <c r="U118" s="10">
        <v>71</v>
      </c>
      <c r="V118" s="11">
        <v>22</v>
      </c>
      <c r="W118" s="12"/>
      <c r="X118" s="17"/>
      <c r="Y118" s="13"/>
      <c r="Z118" s="13"/>
      <c r="AA118" s="13"/>
      <c r="AB118" s="14"/>
      <c r="AC118" s="9"/>
      <c r="AD118" s="16"/>
      <c r="AE118" s="10"/>
      <c r="AF118" s="10"/>
      <c r="AG118" s="10"/>
      <c r="AH118" s="11"/>
      <c r="AI118" s="12"/>
      <c r="AJ118" s="17"/>
      <c r="AK118" s="13"/>
      <c r="AL118" s="13"/>
      <c r="AM118" s="13"/>
      <c r="AN118" s="14"/>
      <c r="AO118" s="9"/>
      <c r="AP118" s="16"/>
      <c r="AQ118" s="10"/>
      <c r="AR118" s="10"/>
      <c r="AS118" s="10"/>
      <c r="AT118" s="11"/>
      <c r="AU118" s="12"/>
      <c r="AV118" s="17"/>
      <c r="AW118" s="13"/>
      <c r="AX118" s="13"/>
      <c r="AY118" s="13"/>
      <c r="AZ118" s="14"/>
      <c r="BA118" s="9"/>
      <c r="BB118" s="16"/>
      <c r="BC118" s="10"/>
      <c r="BD118" s="10"/>
      <c r="BE118" s="10"/>
      <c r="BF118" s="11"/>
      <c r="BG118" s="12"/>
      <c r="BH118" s="17"/>
      <c r="BI118" s="13"/>
      <c r="BJ118" s="13"/>
      <c r="BK118" s="13"/>
      <c r="BL118" s="14"/>
      <c r="BM118" s="9"/>
      <c r="BN118" s="16"/>
      <c r="BO118" s="10"/>
      <c r="BP118" s="10"/>
      <c r="BQ118" s="10"/>
      <c r="BR118" s="11"/>
      <c r="BS118" s="12"/>
      <c r="BT118" s="17"/>
      <c r="BU118" s="13"/>
      <c r="BV118" s="13"/>
      <c r="BW118" s="13"/>
      <c r="BX118" s="14"/>
      <c r="BY118" s="9"/>
      <c r="BZ118" s="16"/>
      <c r="CA118" s="10"/>
      <c r="CB118" s="10"/>
      <c r="CC118" s="10"/>
      <c r="CD118" s="11"/>
      <c r="CE118" s="12"/>
      <c r="CF118" s="17"/>
      <c r="CG118" s="13"/>
      <c r="CH118" s="13"/>
      <c r="CI118" s="13"/>
      <c r="CJ118" s="14"/>
      <c r="CK118" s="9"/>
      <c r="CL118" s="16"/>
      <c r="CM118" s="10"/>
      <c r="CN118" s="10"/>
      <c r="CO118" s="10"/>
      <c r="CP118" s="11"/>
      <c r="CQ118" s="12"/>
      <c r="CR118" s="17"/>
      <c r="CS118" s="13"/>
      <c r="CT118" s="13"/>
      <c r="CU118" s="13"/>
      <c r="CV118" s="14"/>
      <c r="CW118" s="9"/>
      <c r="CX118" s="16"/>
      <c r="CY118" s="10"/>
      <c r="CZ118" s="10"/>
      <c r="DA118" s="10"/>
      <c r="DB118" s="11"/>
      <c r="DC118" s="12"/>
      <c r="DD118" s="17"/>
      <c r="DE118" s="13"/>
      <c r="DF118" s="13"/>
      <c r="DG118" s="13"/>
      <c r="DH118" s="14"/>
      <c r="DI118" s="8">
        <f t="shared" si="27"/>
        <v>65</v>
      </c>
      <c r="DJ118" s="8">
        <f t="shared" si="28"/>
        <v>44</v>
      </c>
      <c r="DK118" s="8">
        <f t="shared" si="29"/>
        <v>71</v>
      </c>
      <c r="DL118" s="8">
        <f t="shared" si="30"/>
        <v>22</v>
      </c>
      <c r="DM118" s="8">
        <f t="shared" si="31"/>
        <v>71</v>
      </c>
      <c r="DN118" s="8">
        <f t="shared" si="32"/>
        <v>44</v>
      </c>
      <c r="DO118" s="15">
        <f t="shared" si="33"/>
        <v>16.904266024473014</v>
      </c>
      <c r="DP118" s="15" t="str">
        <f t="shared" si="34"/>
        <v>OK - No Upgrade</v>
      </c>
      <c r="DQ118" s="15" t="str">
        <f t="shared" si="35"/>
        <v>Need to Balance</v>
      </c>
    </row>
    <row r="119" spans="1:121" ht="15.75" customHeight="1" x14ac:dyDescent="0.25">
      <c r="A119" s="8" t="s">
        <v>38</v>
      </c>
      <c r="B119" s="8" t="s">
        <v>385</v>
      </c>
      <c r="C119" s="8" t="s">
        <v>389</v>
      </c>
      <c r="D119" s="8" t="s">
        <v>610</v>
      </c>
      <c r="E119" s="8" t="s">
        <v>611</v>
      </c>
      <c r="F119" s="8" t="s">
        <v>56</v>
      </c>
      <c r="G119" s="8"/>
      <c r="H119" s="8">
        <v>1000</v>
      </c>
      <c r="I119" s="8" t="s">
        <v>612</v>
      </c>
      <c r="J119" s="8">
        <v>1</v>
      </c>
      <c r="K119" s="8">
        <v>242</v>
      </c>
      <c r="L119" s="8">
        <v>242</v>
      </c>
      <c r="M119" s="8">
        <v>245</v>
      </c>
      <c r="N119" s="8">
        <v>417</v>
      </c>
      <c r="O119" s="8">
        <v>421</v>
      </c>
      <c r="P119" s="8">
        <v>424</v>
      </c>
      <c r="Q119" s="9"/>
      <c r="R119" s="16"/>
      <c r="S119" s="10"/>
      <c r="T119" s="10"/>
      <c r="U119" s="10"/>
      <c r="V119" s="11"/>
      <c r="W119" s="12" t="s">
        <v>46</v>
      </c>
      <c r="X119" s="17"/>
      <c r="Y119" s="13">
        <v>105</v>
      </c>
      <c r="Z119" s="13">
        <v>68</v>
      </c>
      <c r="AA119" s="13">
        <v>51</v>
      </c>
      <c r="AB119" s="14">
        <v>23</v>
      </c>
      <c r="AC119" s="9" t="s">
        <v>47</v>
      </c>
      <c r="AD119" s="16"/>
      <c r="AE119" s="10">
        <v>111</v>
      </c>
      <c r="AF119" s="10">
        <v>73</v>
      </c>
      <c r="AG119" s="10">
        <v>29</v>
      </c>
      <c r="AH119" s="11">
        <v>47</v>
      </c>
      <c r="AI119" s="12" t="s">
        <v>46</v>
      </c>
      <c r="AJ119" s="17"/>
      <c r="AK119" s="13">
        <v>22</v>
      </c>
      <c r="AL119" s="13">
        <v>33</v>
      </c>
      <c r="AM119" s="13">
        <v>43</v>
      </c>
      <c r="AN119" s="14">
        <v>15</v>
      </c>
      <c r="AO119" s="9"/>
      <c r="AP119" s="16"/>
      <c r="AQ119" s="10"/>
      <c r="AR119" s="10"/>
      <c r="AS119" s="10"/>
      <c r="AT119" s="11"/>
      <c r="AU119" s="12" t="s">
        <v>46</v>
      </c>
      <c r="AV119" s="17"/>
      <c r="AW119" s="13">
        <v>149</v>
      </c>
      <c r="AX119" s="13">
        <v>202</v>
      </c>
      <c r="AY119" s="13">
        <v>148</v>
      </c>
      <c r="AZ119" s="14">
        <v>31</v>
      </c>
      <c r="BA119" s="9" t="s">
        <v>47</v>
      </c>
      <c r="BB119" s="16"/>
      <c r="BC119" s="10">
        <v>62</v>
      </c>
      <c r="BD119" s="10">
        <v>116</v>
      </c>
      <c r="BE119" s="10">
        <v>46</v>
      </c>
      <c r="BF119" s="11">
        <v>47</v>
      </c>
      <c r="BG119" s="12"/>
      <c r="BH119" s="17"/>
      <c r="BI119" s="13"/>
      <c r="BJ119" s="13"/>
      <c r="BK119" s="13"/>
      <c r="BL119" s="14"/>
      <c r="BM119" s="9"/>
      <c r="BN119" s="16"/>
      <c r="BO119" s="10"/>
      <c r="BP119" s="10"/>
      <c r="BQ119" s="10"/>
      <c r="BR119" s="11"/>
      <c r="BS119" s="12"/>
      <c r="BT119" s="17"/>
      <c r="BU119" s="13"/>
      <c r="BV119" s="13"/>
      <c r="BW119" s="13"/>
      <c r="BX119" s="14"/>
      <c r="BY119" s="9"/>
      <c r="BZ119" s="16"/>
      <c r="CA119" s="10"/>
      <c r="CB119" s="10"/>
      <c r="CC119" s="10"/>
      <c r="CD119" s="11"/>
      <c r="CE119" s="12"/>
      <c r="CF119" s="17"/>
      <c r="CG119" s="13"/>
      <c r="CH119" s="13"/>
      <c r="CI119" s="13"/>
      <c r="CJ119" s="14"/>
      <c r="CK119" s="9"/>
      <c r="CL119" s="16"/>
      <c r="CM119" s="10"/>
      <c r="CN119" s="10"/>
      <c r="CO119" s="10"/>
      <c r="CP119" s="11"/>
      <c r="CQ119" s="12"/>
      <c r="CR119" s="17"/>
      <c r="CS119" s="13"/>
      <c r="CT119" s="13"/>
      <c r="CU119" s="13"/>
      <c r="CV119" s="14"/>
      <c r="CW119" s="9"/>
      <c r="CX119" s="16"/>
      <c r="CY119" s="10"/>
      <c r="CZ119" s="10"/>
      <c r="DA119" s="10"/>
      <c r="DB119" s="11"/>
      <c r="DC119" s="12"/>
      <c r="DD119" s="17"/>
      <c r="DE119" s="13"/>
      <c r="DF119" s="13"/>
      <c r="DG119" s="13"/>
      <c r="DH119" s="14"/>
      <c r="DI119" s="8">
        <f t="shared" si="27"/>
        <v>449</v>
      </c>
      <c r="DJ119" s="8">
        <f t="shared" si="28"/>
        <v>492</v>
      </c>
      <c r="DK119" s="8">
        <f t="shared" si="29"/>
        <v>317</v>
      </c>
      <c r="DL119" s="8">
        <f t="shared" si="30"/>
        <v>163</v>
      </c>
      <c r="DM119" s="8">
        <f t="shared" si="31"/>
        <v>492</v>
      </c>
      <c r="DN119" s="8">
        <f t="shared" si="32"/>
        <v>317</v>
      </c>
      <c r="DO119" s="15">
        <f t="shared" si="33"/>
        <v>35.53544718840611</v>
      </c>
      <c r="DP119" s="15" t="str">
        <f t="shared" si="34"/>
        <v>OK - No Upgrade</v>
      </c>
      <c r="DQ119" s="15" t="str">
        <f t="shared" si="35"/>
        <v>Need to Balance</v>
      </c>
    </row>
    <row r="120" spans="1:121" ht="15.75" customHeight="1" x14ac:dyDescent="0.25">
      <c r="A120" s="8" t="s">
        <v>38</v>
      </c>
      <c r="B120" s="8" t="s">
        <v>385</v>
      </c>
      <c r="C120" s="8" t="s">
        <v>389</v>
      </c>
      <c r="D120" s="8" t="s">
        <v>610</v>
      </c>
      <c r="E120" s="8" t="s">
        <v>611</v>
      </c>
      <c r="F120" s="8" t="s">
        <v>56</v>
      </c>
      <c r="G120" s="8" t="s">
        <v>44</v>
      </c>
      <c r="H120" s="8">
        <v>1000</v>
      </c>
      <c r="I120" s="8" t="s">
        <v>613</v>
      </c>
      <c r="J120" s="8">
        <v>2</v>
      </c>
      <c r="K120" s="8">
        <v>246</v>
      </c>
      <c r="L120" s="8">
        <v>248</v>
      </c>
      <c r="M120" s="8">
        <v>249</v>
      </c>
      <c r="N120" s="8">
        <v>429</v>
      </c>
      <c r="O120" s="8">
        <v>428</v>
      </c>
      <c r="P120" s="8">
        <v>433</v>
      </c>
      <c r="Q120" s="9"/>
      <c r="R120" s="16"/>
      <c r="S120" s="10"/>
      <c r="T120" s="10"/>
      <c r="U120" s="10"/>
      <c r="V120" s="11"/>
      <c r="W120" s="12" t="s">
        <v>46</v>
      </c>
      <c r="X120" s="17"/>
      <c r="Y120" s="13">
        <v>155</v>
      </c>
      <c r="Z120" s="13">
        <v>71</v>
      </c>
      <c r="AA120" s="13">
        <v>80</v>
      </c>
      <c r="AB120" s="14">
        <v>22</v>
      </c>
      <c r="AC120" s="9" t="s">
        <v>47</v>
      </c>
      <c r="AD120" s="16"/>
      <c r="AE120" s="10">
        <v>64</v>
      </c>
      <c r="AF120" s="10">
        <v>73</v>
      </c>
      <c r="AG120" s="10">
        <v>41</v>
      </c>
      <c r="AH120" s="11">
        <v>15</v>
      </c>
      <c r="AI120" s="12" t="s">
        <v>46</v>
      </c>
      <c r="AJ120" s="17"/>
      <c r="AK120" s="13">
        <v>44</v>
      </c>
      <c r="AL120" s="13">
        <v>31</v>
      </c>
      <c r="AM120" s="13">
        <v>40</v>
      </c>
      <c r="AN120" s="14">
        <v>14</v>
      </c>
      <c r="AO120" s="9"/>
      <c r="AP120" s="16"/>
      <c r="AQ120" s="10"/>
      <c r="AR120" s="10"/>
      <c r="AS120" s="10"/>
      <c r="AT120" s="11"/>
      <c r="AU120" s="12" t="s">
        <v>46</v>
      </c>
      <c r="AV120" s="17"/>
      <c r="AW120" s="13">
        <v>127</v>
      </c>
      <c r="AX120" s="13">
        <v>177</v>
      </c>
      <c r="AY120" s="13">
        <v>106</v>
      </c>
      <c r="AZ120" s="14">
        <v>26</v>
      </c>
      <c r="BA120" s="9" t="s">
        <v>47</v>
      </c>
      <c r="BB120" s="16"/>
      <c r="BC120" s="10">
        <v>46</v>
      </c>
      <c r="BD120" s="10">
        <v>75</v>
      </c>
      <c r="BE120" s="10">
        <v>97</v>
      </c>
      <c r="BF120" s="11">
        <v>56</v>
      </c>
      <c r="BG120" s="12"/>
      <c r="BH120" s="17"/>
      <c r="BI120" s="13"/>
      <c r="BJ120" s="13"/>
      <c r="BK120" s="13"/>
      <c r="BL120" s="14"/>
      <c r="BM120" s="9"/>
      <c r="BN120" s="16"/>
      <c r="BO120" s="10"/>
      <c r="BP120" s="10"/>
      <c r="BQ120" s="10"/>
      <c r="BR120" s="11"/>
      <c r="BS120" s="12"/>
      <c r="BT120" s="17"/>
      <c r="BU120" s="13"/>
      <c r="BV120" s="13"/>
      <c r="BW120" s="13"/>
      <c r="BX120" s="14"/>
      <c r="BY120" s="9"/>
      <c r="BZ120" s="16"/>
      <c r="CA120" s="10"/>
      <c r="CB120" s="10"/>
      <c r="CC120" s="10"/>
      <c r="CD120" s="11"/>
      <c r="CE120" s="12"/>
      <c r="CF120" s="17"/>
      <c r="CG120" s="13"/>
      <c r="CH120" s="13"/>
      <c r="CI120" s="13"/>
      <c r="CJ120" s="14"/>
      <c r="CK120" s="9"/>
      <c r="CL120" s="16"/>
      <c r="CM120" s="10"/>
      <c r="CN120" s="10"/>
      <c r="CO120" s="10"/>
      <c r="CP120" s="11"/>
      <c r="CQ120" s="12"/>
      <c r="CR120" s="17"/>
      <c r="CS120" s="13"/>
      <c r="CT120" s="13"/>
      <c r="CU120" s="13"/>
      <c r="CV120" s="14"/>
      <c r="CW120" s="9"/>
      <c r="CX120" s="16"/>
      <c r="CY120" s="10"/>
      <c r="CZ120" s="10"/>
      <c r="DA120" s="10"/>
      <c r="DB120" s="11"/>
      <c r="DC120" s="12"/>
      <c r="DD120" s="17"/>
      <c r="DE120" s="13"/>
      <c r="DF120" s="13"/>
      <c r="DG120" s="13"/>
      <c r="DH120" s="14"/>
      <c r="DI120" s="8">
        <f t="shared" si="27"/>
        <v>436</v>
      </c>
      <c r="DJ120" s="8">
        <f t="shared" si="28"/>
        <v>427</v>
      </c>
      <c r="DK120" s="8">
        <f t="shared" si="29"/>
        <v>364</v>
      </c>
      <c r="DL120" s="8">
        <f t="shared" si="30"/>
        <v>133</v>
      </c>
      <c r="DM120" s="8">
        <f t="shared" si="31"/>
        <v>436</v>
      </c>
      <c r="DN120" s="8">
        <f t="shared" si="32"/>
        <v>364</v>
      </c>
      <c r="DO120" s="15">
        <f t="shared" si="33"/>
        <v>32.396971125091312</v>
      </c>
      <c r="DP120" s="15" t="str">
        <f t="shared" si="34"/>
        <v>OK - No Upgrade</v>
      </c>
      <c r="DQ120" s="15" t="str">
        <f t="shared" si="35"/>
        <v>OK - Balanced</v>
      </c>
    </row>
    <row r="121" spans="1:121" ht="15.75" customHeight="1" x14ac:dyDescent="0.25">
      <c r="A121" s="8" t="s">
        <v>38</v>
      </c>
      <c r="B121" s="8" t="s">
        <v>385</v>
      </c>
      <c r="C121" s="8" t="s">
        <v>265</v>
      </c>
      <c r="D121" s="8" t="s">
        <v>614</v>
      </c>
      <c r="E121" s="8" t="s">
        <v>615</v>
      </c>
      <c r="F121" s="8" t="s">
        <v>56</v>
      </c>
      <c r="G121" s="8"/>
      <c r="H121" s="8">
        <v>1000</v>
      </c>
      <c r="I121" s="8" t="s">
        <v>616</v>
      </c>
      <c r="J121" s="8">
        <v>1</v>
      </c>
      <c r="K121" s="8">
        <v>243</v>
      </c>
      <c r="L121" s="8">
        <v>243</v>
      </c>
      <c r="M121" s="8">
        <v>243</v>
      </c>
      <c r="N121" s="8">
        <v>425</v>
      </c>
      <c r="O121" s="8">
        <v>418</v>
      </c>
      <c r="P121" s="8">
        <v>425</v>
      </c>
      <c r="Q121" s="9"/>
      <c r="R121" s="16"/>
      <c r="S121" s="10"/>
      <c r="T121" s="10"/>
      <c r="U121" s="10"/>
      <c r="V121" s="11"/>
      <c r="W121" s="12"/>
      <c r="X121" s="17"/>
      <c r="Y121" s="13"/>
      <c r="Z121" s="13"/>
      <c r="AA121" s="13"/>
      <c r="AB121" s="14"/>
      <c r="AC121" s="9"/>
      <c r="AD121" s="16"/>
      <c r="AE121" s="10"/>
      <c r="AF121" s="10"/>
      <c r="AG121" s="10"/>
      <c r="AH121" s="11"/>
      <c r="AI121" s="12" t="s">
        <v>47</v>
      </c>
      <c r="AJ121" s="17"/>
      <c r="AK121" s="13">
        <v>13</v>
      </c>
      <c r="AL121" s="13">
        <v>75</v>
      </c>
      <c r="AM121" s="13">
        <v>17</v>
      </c>
      <c r="AN121" s="14">
        <v>47</v>
      </c>
      <c r="AO121" s="9" t="s">
        <v>47</v>
      </c>
      <c r="AP121" s="16"/>
      <c r="AQ121" s="10">
        <v>124</v>
      </c>
      <c r="AR121" s="10">
        <v>31</v>
      </c>
      <c r="AS121" s="10">
        <v>55</v>
      </c>
      <c r="AT121" s="11">
        <v>22</v>
      </c>
      <c r="AU121" s="12" t="s">
        <v>47</v>
      </c>
      <c r="AV121" s="17"/>
      <c r="AW121" s="13">
        <v>60</v>
      </c>
      <c r="AX121" s="13">
        <v>220</v>
      </c>
      <c r="AY121" s="13">
        <v>135</v>
      </c>
      <c r="AZ121" s="14">
        <v>150</v>
      </c>
      <c r="BA121" s="9"/>
      <c r="BB121" s="16"/>
      <c r="BC121" s="10"/>
      <c r="BD121" s="10"/>
      <c r="BE121" s="10"/>
      <c r="BF121" s="11"/>
      <c r="BG121" s="12"/>
      <c r="BH121" s="17"/>
      <c r="BI121" s="13"/>
      <c r="BJ121" s="13"/>
      <c r="BK121" s="13"/>
      <c r="BL121" s="14"/>
      <c r="BM121" s="9"/>
      <c r="BN121" s="16"/>
      <c r="BO121" s="10"/>
      <c r="BP121" s="10"/>
      <c r="BQ121" s="10"/>
      <c r="BR121" s="11"/>
      <c r="BS121" s="12"/>
      <c r="BT121" s="17"/>
      <c r="BU121" s="13"/>
      <c r="BV121" s="13"/>
      <c r="BW121" s="13"/>
      <c r="BX121" s="14"/>
      <c r="BY121" s="9"/>
      <c r="BZ121" s="16"/>
      <c r="CA121" s="10"/>
      <c r="CB121" s="10"/>
      <c r="CC121" s="10"/>
      <c r="CD121" s="11"/>
      <c r="CE121" s="12"/>
      <c r="CF121" s="17"/>
      <c r="CG121" s="13"/>
      <c r="CH121" s="13"/>
      <c r="CI121" s="13"/>
      <c r="CJ121" s="14"/>
      <c r="CK121" s="9"/>
      <c r="CL121" s="16"/>
      <c r="CM121" s="10"/>
      <c r="CN121" s="10"/>
      <c r="CO121" s="10"/>
      <c r="CP121" s="11"/>
      <c r="CQ121" s="12"/>
      <c r="CR121" s="17"/>
      <c r="CS121" s="13"/>
      <c r="CT121" s="13"/>
      <c r="CU121" s="13"/>
      <c r="CV121" s="14"/>
      <c r="CW121" s="9"/>
      <c r="CX121" s="16"/>
      <c r="CY121" s="10"/>
      <c r="CZ121" s="10"/>
      <c r="DA121" s="10"/>
      <c r="DB121" s="11"/>
      <c r="DC121" s="12"/>
      <c r="DD121" s="17"/>
      <c r="DE121" s="13"/>
      <c r="DF121" s="13"/>
      <c r="DG121" s="13"/>
      <c r="DH121" s="14"/>
      <c r="DI121" s="8">
        <f t="shared" si="27"/>
        <v>197</v>
      </c>
      <c r="DJ121" s="8">
        <f t="shared" si="28"/>
        <v>326</v>
      </c>
      <c r="DK121" s="8">
        <f t="shared" si="29"/>
        <v>207</v>
      </c>
      <c r="DL121" s="8">
        <f t="shared" si="30"/>
        <v>219</v>
      </c>
      <c r="DM121" s="8">
        <f t="shared" si="31"/>
        <v>326</v>
      </c>
      <c r="DN121" s="8">
        <f t="shared" si="32"/>
        <v>197</v>
      </c>
      <c r="DO121" s="15">
        <f t="shared" si="33"/>
        <v>23.997563938866794</v>
      </c>
      <c r="DP121" s="15" t="str">
        <f t="shared" si="34"/>
        <v>OK - No Upgrade</v>
      </c>
      <c r="DQ121" s="15" t="str">
        <f t="shared" si="35"/>
        <v>Need to Balance</v>
      </c>
    </row>
    <row r="122" spans="1:121" ht="15.75" customHeight="1" x14ac:dyDescent="0.25">
      <c r="A122" s="8" t="s">
        <v>38</v>
      </c>
      <c r="B122" s="8" t="s">
        <v>385</v>
      </c>
      <c r="C122" s="8" t="s">
        <v>265</v>
      </c>
      <c r="D122" s="8" t="s">
        <v>614</v>
      </c>
      <c r="E122" s="8" t="s">
        <v>615</v>
      </c>
      <c r="F122" s="8" t="s">
        <v>56</v>
      </c>
      <c r="G122" s="8" t="s">
        <v>44</v>
      </c>
      <c r="H122" s="8">
        <v>1000</v>
      </c>
      <c r="I122" s="8" t="s">
        <v>617</v>
      </c>
      <c r="J122" s="8">
        <v>2</v>
      </c>
      <c r="K122" s="8">
        <v>249</v>
      </c>
      <c r="L122" s="8">
        <v>250</v>
      </c>
      <c r="M122" s="8">
        <v>247</v>
      </c>
      <c r="N122" s="8">
        <v>435</v>
      </c>
      <c r="O122" s="8">
        <v>430</v>
      </c>
      <c r="P122" s="8">
        <v>430</v>
      </c>
      <c r="Q122" s="9"/>
      <c r="R122" s="16"/>
      <c r="S122" s="10"/>
      <c r="T122" s="10"/>
      <c r="U122" s="10"/>
      <c r="V122" s="11"/>
      <c r="W122" s="12"/>
      <c r="X122" s="17"/>
      <c r="Y122" s="13"/>
      <c r="Z122" s="13"/>
      <c r="AA122" s="13"/>
      <c r="AB122" s="14"/>
      <c r="AC122" s="9"/>
      <c r="AD122" s="16"/>
      <c r="AE122" s="10"/>
      <c r="AF122" s="10"/>
      <c r="AG122" s="10"/>
      <c r="AH122" s="11"/>
      <c r="AI122" s="12" t="s">
        <v>47</v>
      </c>
      <c r="AJ122" s="17"/>
      <c r="AK122" s="13">
        <v>1</v>
      </c>
      <c r="AL122" s="13">
        <v>8</v>
      </c>
      <c r="AM122" s="13">
        <v>17</v>
      </c>
      <c r="AN122" s="14">
        <v>8</v>
      </c>
      <c r="AO122" s="9" t="s">
        <v>47</v>
      </c>
      <c r="AP122" s="16"/>
      <c r="AQ122" s="10">
        <v>46</v>
      </c>
      <c r="AR122" s="10">
        <v>22</v>
      </c>
      <c r="AS122" s="10">
        <v>39</v>
      </c>
      <c r="AT122" s="11">
        <v>14</v>
      </c>
      <c r="AU122" s="12" t="s">
        <v>47</v>
      </c>
      <c r="AV122" s="17"/>
      <c r="AW122" s="13">
        <v>113</v>
      </c>
      <c r="AX122" s="13">
        <v>182</v>
      </c>
      <c r="AY122" s="13">
        <v>175</v>
      </c>
      <c r="AZ122" s="14">
        <v>87</v>
      </c>
      <c r="BA122" s="9"/>
      <c r="BB122" s="16"/>
      <c r="BC122" s="10"/>
      <c r="BD122" s="10"/>
      <c r="BE122" s="10"/>
      <c r="BF122" s="11"/>
      <c r="BG122" s="12"/>
      <c r="BH122" s="17"/>
      <c r="BI122" s="13"/>
      <c r="BJ122" s="13"/>
      <c r="BK122" s="13"/>
      <c r="BL122" s="14"/>
      <c r="BM122" s="9"/>
      <c r="BN122" s="16"/>
      <c r="BO122" s="10"/>
      <c r="BP122" s="10"/>
      <c r="BQ122" s="10"/>
      <c r="BR122" s="11"/>
      <c r="BS122" s="12"/>
      <c r="BT122" s="17"/>
      <c r="BU122" s="13"/>
      <c r="BV122" s="13"/>
      <c r="BW122" s="13"/>
      <c r="BX122" s="14"/>
      <c r="BY122" s="9"/>
      <c r="BZ122" s="16"/>
      <c r="CA122" s="10"/>
      <c r="CB122" s="10"/>
      <c r="CC122" s="10"/>
      <c r="CD122" s="11"/>
      <c r="CE122" s="12"/>
      <c r="CF122" s="17"/>
      <c r="CG122" s="13"/>
      <c r="CH122" s="13"/>
      <c r="CI122" s="13"/>
      <c r="CJ122" s="14"/>
      <c r="CK122" s="9"/>
      <c r="CL122" s="16"/>
      <c r="CM122" s="10"/>
      <c r="CN122" s="10"/>
      <c r="CO122" s="10"/>
      <c r="CP122" s="11"/>
      <c r="CQ122" s="12"/>
      <c r="CR122" s="17"/>
      <c r="CS122" s="13"/>
      <c r="CT122" s="13"/>
      <c r="CU122" s="13"/>
      <c r="CV122" s="14"/>
      <c r="CW122" s="9"/>
      <c r="CX122" s="16"/>
      <c r="CY122" s="10"/>
      <c r="CZ122" s="10"/>
      <c r="DA122" s="10"/>
      <c r="DB122" s="11"/>
      <c r="DC122" s="12"/>
      <c r="DD122" s="17"/>
      <c r="DE122" s="13"/>
      <c r="DF122" s="13"/>
      <c r="DG122" s="13"/>
      <c r="DH122" s="14"/>
      <c r="DI122" s="8">
        <f t="shared" si="27"/>
        <v>160</v>
      </c>
      <c r="DJ122" s="8">
        <f t="shared" si="28"/>
        <v>212</v>
      </c>
      <c r="DK122" s="8">
        <f t="shared" si="29"/>
        <v>231</v>
      </c>
      <c r="DL122" s="8">
        <f t="shared" si="30"/>
        <v>109</v>
      </c>
      <c r="DM122" s="8">
        <f t="shared" si="31"/>
        <v>231</v>
      </c>
      <c r="DN122" s="8">
        <f t="shared" si="32"/>
        <v>160</v>
      </c>
      <c r="DO122" s="15">
        <f t="shared" si="33"/>
        <v>17.404512539855862</v>
      </c>
      <c r="DP122" s="15" t="str">
        <f t="shared" si="34"/>
        <v>OK - No Upgrade</v>
      </c>
      <c r="DQ122" s="15" t="str">
        <f t="shared" si="35"/>
        <v>Need to Balance</v>
      </c>
    </row>
    <row r="123" spans="1:121" ht="15.75" customHeight="1" x14ac:dyDescent="0.25">
      <c r="A123" s="8" t="s">
        <v>38</v>
      </c>
      <c r="B123" s="8" t="s">
        <v>385</v>
      </c>
      <c r="C123" s="8" t="s">
        <v>265</v>
      </c>
      <c r="D123" s="8"/>
      <c r="E123" s="8" t="s">
        <v>618</v>
      </c>
      <c r="F123" s="8" t="s">
        <v>56</v>
      </c>
      <c r="G123" s="8"/>
      <c r="H123" s="8">
        <v>1000</v>
      </c>
      <c r="I123" s="8" t="s">
        <v>619</v>
      </c>
      <c r="J123" s="8">
        <v>1</v>
      </c>
      <c r="K123" s="8">
        <v>243</v>
      </c>
      <c r="L123" s="8">
        <v>246</v>
      </c>
      <c r="M123" s="8">
        <v>243</v>
      </c>
      <c r="N123" s="8">
        <v>425</v>
      </c>
      <c r="O123" s="8">
        <v>419</v>
      </c>
      <c r="P123" s="8">
        <v>423</v>
      </c>
      <c r="Q123" s="9" t="s">
        <v>47</v>
      </c>
      <c r="R123" s="16"/>
      <c r="S123" s="10">
        <v>87</v>
      </c>
      <c r="T123" s="10">
        <v>66</v>
      </c>
      <c r="U123" s="10">
        <v>60</v>
      </c>
      <c r="V123" s="11">
        <v>30</v>
      </c>
      <c r="W123" s="12" t="s">
        <v>47</v>
      </c>
      <c r="X123" s="17"/>
      <c r="Y123" s="13">
        <v>226</v>
      </c>
      <c r="Z123" s="13">
        <v>140</v>
      </c>
      <c r="AA123" s="13">
        <v>150</v>
      </c>
      <c r="AB123" s="14">
        <v>90</v>
      </c>
      <c r="AC123" s="9" t="s">
        <v>47</v>
      </c>
      <c r="AD123" s="16"/>
      <c r="AE123" s="10">
        <v>59</v>
      </c>
      <c r="AF123" s="10">
        <v>5</v>
      </c>
      <c r="AG123" s="10">
        <v>33</v>
      </c>
      <c r="AH123" s="11">
        <v>23</v>
      </c>
      <c r="AI123" s="12" t="s">
        <v>47</v>
      </c>
      <c r="AJ123" s="17"/>
      <c r="AK123" s="13">
        <v>30</v>
      </c>
      <c r="AL123" s="13">
        <v>67</v>
      </c>
      <c r="AM123" s="13">
        <v>24</v>
      </c>
      <c r="AN123" s="14">
        <v>20</v>
      </c>
      <c r="AO123" s="9" t="s">
        <v>47</v>
      </c>
      <c r="AP123" s="16"/>
      <c r="AQ123" s="10">
        <v>59</v>
      </c>
      <c r="AR123" s="10">
        <v>57</v>
      </c>
      <c r="AS123" s="10">
        <v>66</v>
      </c>
      <c r="AT123" s="11">
        <v>10</v>
      </c>
      <c r="AU123" s="12"/>
      <c r="AV123" s="17"/>
      <c r="AW123" s="13"/>
      <c r="AX123" s="13"/>
      <c r="AY123" s="13"/>
      <c r="AZ123" s="14"/>
      <c r="BA123" s="9"/>
      <c r="BB123" s="16"/>
      <c r="BC123" s="10"/>
      <c r="BD123" s="10"/>
      <c r="BE123" s="10"/>
      <c r="BF123" s="11"/>
      <c r="BG123" s="12"/>
      <c r="BH123" s="17"/>
      <c r="BI123" s="13"/>
      <c r="BJ123" s="13"/>
      <c r="BK123" s="13"/>
      <c r="BL123" s="14"/>
      <c r="BM123" s="9"/>
      <c r="BN123" s="16"/>
      <c r="BO123" s="10"/>
      <c r="BP123" s="10"/>
      <c r="BQ123" s="10"/>
      <c r="BR123" s="11"/>
      <c r="BS123" s="12"/>
      <c r="BT123" s="17"/>
      <c r="BU123" s="13"/>
      <c r="BV123" s="13"/>
      <c r="BW123" s="13"/>
      <c r="BX123" s="14"/>
      <c r="BY123" s="9"/>
      <c r="BZ123" s="16"/>
      <c r="CA123" s="10"/>
      <c r="CB123" s="10"/>
      <c r="CC123" s="10"/>
      <c r="CD123" s="11"/>
      <c r="CE123" s="12"/>
      <c r="CF123" s="17"/>
      <c r="CG123" s="13"/>
      <c r="CH123" s="13"/>
      <c r="CI123" s="13"/>
      <c r="CJ123" s="14"/>
      <c r="CK123" s="9"/>
      <c r="CL123" s="16"/>
      <c r="CM123" s="10"/>
      <c r="CN123" s="10"/>
      <c r="CO123" s="10"/>
      <c r="CP123" s="11"/>
      <c r="CQ123" s="12"/>
      <c r="CR123" s="17"/>
      <c r="CS123" s="13"/>
      <c r="CT123" s="13"/>
      <c r="CU123" s="13"/>
      <c r="CV123" s="14"/>
      <c r="CW123" s="9"/>
      <c r="CX123" s="16"/>
      <c r="CY123" s="10"/>
      <c r="CZ123" s="10"/>
      <c r="DA123" s="10"/>
      <c r="DB123" s="11"/>
      <c r="DC123" s="12"/>
      <c r="DD123" s="17"/>
      <c r="DE123" s="13"/>
      <c r="DF123" s="13"/>
      <c r="DG123" s="13"/>
      <c r="DH123" s="14"/>
      <c r="DI123" s="8">
        <f t="shared" si="27"/>
        <v>461</v>
      </c>
      <c r="DJ123" s="8">
        <f t="shared" si="28"/>
        <v>335</v>
      </c>
      <c r="DK123" s="8">
        <f t="shared" si="29"/>
        <v>333</v>
      </c>
      <c r="DL123" s="8">
        <f t="shared" si="30"/>
        <v>173</v>
      </c>
      <c r="DM123" s="8">
        <f t="shared" si="31"/>
        <v>461</v>
      </c>
      <c r="DN123" s="8">
        <f t="shared" si="32"/>
        <v>333</v>
      </c>
      <c r="DO123" s="15">
        <f t="shared" si="33"/>
        <v>33.935205447293228</v>
      </c>
      <c r="DP123" s="15" t="str">
        <f t="shared" si="34"/>
        <v>OK - No Upgrade</v>
      </c>
      <c r="DQ123" s="15" t="str">
        <f t="shared" si="35"/>
        <v>Need to Balance</v>
      </c>
    </row>
    <row r="124" spans="1:121" ht="15.75" customHeight="1" x14ac:dyDescent="0.25">
      <c r="A124" s="8" t="s">
        <v>38</v>
      </c>
      <c r="B124" s="8" t="s">
        <v>385</v>
      </c>
      <c r="C124" s="8" t="s">
        <v>265</v>
      </c>
      <c r="D124" s="8"/>
      <c r="E124" s="8" t="s">
        <v>618</v>
      </c>
      <c r="F124" s="8" t="s">
        <v>56</v>
      </c>
      <c r="G124" s="8" t="s">
        <v>44</v>
      </c>
      <c r="H124" s="8">
        <v>1000</v>
      </c>
      <c r="I124" s="8" t="s">
        <v>620</v>
      </c>
      <c r="J124" s="8">
        <v>2</v>
      </c>
      <c r="K124" s="8">
        <v>247</v>
      </c>
      <c r="L124" s="8">
        <v>249</v>
      </c>
      <c r="M124" s="8">
        <v>247</v>
      </c>
      <c r="N124" s="8">
        <v>431</v>
      </c>
      <c r="O124" s="8">
        <v>427</v>
      </c>
      <c r="P124" s="8">
        <v>416</v>
      </c>
      <c r="Q124" s="9" t="s">
        <v>47</v>
      </c>
      <c r="R124" s="16"/>
      <c r="S124" s="10">
        <v>59</v>
      </c>
      <c r="T124" s="10">
        <v>69</v>
      </c>
      <c r="U124" s="10">
        <v>37</v>
      </c>
      <c r="V124" s="11">
        <v>30</v>
      </c>
      <c r="W124" s="12" t="s">
        <v>47</v>
      </c>
      <c r="X124" s="17"/>
      <c r="Y124" s="13">
        <v>257</v>
      </c>
      <c r="Z124" s="13">
        <v>159</v>
      </c>
      <c r="AA124" s="13">
        <v>142</v>
      </c>
      <c r="AB124" s="14">
        <v>105</v>
      </c>
      <c r="AC124" s="9" t="s">
        <v>47</v>
      </c>
      <c r="AD124" s="16"/>
      <c r="AE124" s="10">
        <v>50</v>
      </c>
      <c r="AF124" s="10">
        <v>24</v>
      </c>
      <c r="AG124" s="10">
        <v>7</v>
      </c>
      <c r="AH124" s="11">
        <v>13</v>
      </c>
      <c r="AI124" s="12" t="s">
        <v>47</v>
      </c>
      <c r="AJ124" s="17"/>
      <c r="AK124" s="13">
        <v>14</v>
      </c>
      <c r="AL124" s="13">
        <v>26</v>
      </c>
      <c r="AM124" s="13">
        <v>25</v>
      </c>
      <c r="AN124" s="14">
        <v>17</v>
      </c>
      <c r="AO124" s="9" t="s">
        <v>47</v>
      </c>
      <c r="AP124" s="16"/>
      <c r="AQ124" s="10">
        <v>43</v>
      </c>
      <c r="AR124" s="10">
        <v>58</v>
      </c>
      <c r="AS124" s="10">
        <v>36</v>
      </c>
      <c r="AT124" s="11">
        <v>7</v>
      </c>
      <c r="AU124" s="12"/>
      <c r="AV124" s="17"/>
      <c r="AW124" s="13"/>
      <c r="AX124" s="13"/>
      <c r="AY124" s="13"/>
      <c r="AZ124" s="14"/>
      <c r="BA124" s="9"/>
      <c r="BB124" s="16"/>
      <c r="BC124" s="10"/>
      <c r="BD124" s="10"/>
      <c r="BE124" s="10"/>
      <c r="BF124" s="11"/>
      <c r="BG124" s="12"/>
      <c r="BH124" s="17"/>
      <c r="BI124" s="13"/>
      <c r="BJ124" s="13"/>
      <c r="BK124" s="13"/>
      <c r="BL124" s="14"/>
      <c r="BM124" s="9"/>
      <c r="BN124" s="16"/>
      <c r="BO124" s="10"/>
      <c r="BP124" s="10"/>
      <c r="BQ124" s="10"/>
      <c r="BR124" s="11"/>
      <c r="BS124" s="12"/>
      <c r="BT124" s="17"/>
      <c r="BU124" s="13"/>
      <c r="BV124" s="13"/>
      <c r="BW124" s="13"/>
      <c r="BX124" s="14"/>
      <c r="BY124" s="9"/>
      <c r="BZ124" s="16"/>
      <c r="CA124" s="10"/>
      <c r="CB124" s="10"/>
      <c r="CC124" s="10"/>
      <c r="CD124" s="11"/>
      <c r="CE124" s="12"/>
      <c r="CF124" s="17"/>
      <c r="CG124" s="13"/>
      <c r="CH124" s="13"/>
      <c r="CI124" s="13"/>
      <c r="CJ124" s="14"/>
      <c r="CK124" s="9"/>
      <c r="CL124" s="16"/>
      <c r="CM124" s="10"/>
      <c r="CN124" s="10"/>
      <c r="CO124" s="10"/>
      <c r="CP124" s="11"/>
      <c r="CQ124" s="12"/>
      <c r="CR124" s="17"/>
      <c r="CS124" s="13"/>
      <c r="CT124" s="13"/>
      <c r="CU124" s="13"/>
      <c r="CV124" s="14"/>
      <c r="CW124" s="9"/>
      <c r="CX124" s="16"/>
      <c r="CY124" s="10"/>
      <c r="CZ124" s="10"/>
      <c r="DA124" s="10"/>
      <c r="DB124" s="11"/>
      <c r="DC124" s="12"/>
      <c r="DD124" s="17"/>
      <c r="DE124" s="13"/>
      <c r="DF124" s="13"/>
      <c r="DG124" s="13"/>
      <c r="DH124" s="14"/>
      <c r="DI124" s="8">
        <f t="shared" si="27"/>
        <v>423</v>
      </c>
      <c r="DJ124" s="8">
        <f t="shared" si="28"/>
        <v>336</v>
      </c>
      <c r="DK124" s="8">
        <f t="shared" si="29"/>
        <v>247</v>
      </c>
      <c r="DL124" s="8">
        <f t="shared" si="30"/>
        <v>172</v>
      </c>
      <c r="DM124" s="8">
        <f t="shared" si="31"/>
        <v>423</v>
      </c>
      <c r="DN124" s="8">
        <f t="shared" si="32"/>
        <v>247</v>
      </c>
      <c r="DO124" s="15">
        <f t="shared" si="33"/>
        <v>31.57753788803047</v>
      </c>
      <c r="DP124" s="15" t="str">
        <f t="shared" si="34"/>
        <v>OK - No Upgrade</v>
      </c>
      <c r="DQ124" s="15" t="str">
        <f t="shared" si="35"/>
        <v>Need to Balance</v>
      </c>
    </row>
    <row r="125" spans="1:121" ht="15.75" customHeight="1" x14ac:dyDescent="0.25">
      <c r="A125" s="8" t="s">
        <v>38</v>
      </c>
      <c r="B125" s="8" t="s">
        <v>385</v>
      </c>
      <c r="C125" s="8" t="s">
        <v>389</v>
      </c>
      <c r="D125" s="8" t="s">
        <v>621</v>
      </c>
      <c r="E125" s="8" t="s">
        <v>622</v>
      </c>
      <c r="F125" s="8" t="s">
        <v>56</v>
      </c>
      <c r="G125" s="8"/>
      <c r="H125" s="8">
        <v>1000</v>
      </c>
      <c r="I125" s="8" t="s">
        <v>623</v>
      </c>
      <c r="J125" s="8">
        <v>1</v>
      </c>
      <c r="K125" s="8">
        <v>243</v>
      </c>
      <c r="L125" s="8">
        <v>244</v>
      </c>
      <c r="M125" s="8">
        <v>246</v>
      </c>
      <c r="N125" s="8">
        <v>421</v>
      </c>
      <c r="O125" s="8">
        <v>424</v>
      </c>
      <c r="P125" s="8">
        <v>426</v>
      </c>
      <c r="Q125" s="9" t="s">
        <v>47</v>
      </c>
      <c r="R125" s="16"/>
      <c r="S125" s="10">
        <v>122</v>
      </c>
      <c r="T125" s="10">
        <v>149</v>
      </c>
      <c r="U125" s="10">
        <v>109</v>
      </c>
      <c r="V125" s="11">
        <v>33</v>
      </c>
      <c r="W125" s="12" t="s">
        <v>47</v>
      </c>
      <c r="X125" s="17"/>
      <c r="Y125" s="13">
        <v>0</v>
      </c>
      <c r="Z125" s="13">
        <v>3</v>
      </c>
      <c r="AA125" s="13">
        <v>4</v>
      </c>
      <c r="AB125" s="14">
        <v>4</v>
      </c>
      <c r="AC125" s="9" t="s">
        <v>70</v>
      </c>
      <c r="AD125" s="16"/>
      <c r="AE125" s="10">
        <v>62</v>
      </c>
      <c r="AF125" s="10">
        <v>62</v>
      </c>
      <c r="AG125" s="10">
        <v>42</v>
      </c>
      <c r="AH125" s="11">
        <v>51</v>
      </c>
      <c r="AI125" s="12" t="s">
        <v>46</v>
      </c>
      <c r="AJ125" s="17"/>
      <c r="AK125" s="13">
        <v>20</v>
      </c>
      <c r="AL125" s="13">
        <v>2</v>
      </c>
      <c r="AM125" s="13">
        <v>28</v>
      </c>
      <c r="AN125" s="14">
        <v>22</v>
      </c>
      <c r="AO125" s="9" t="s">
        <v>46</v>
      </c>
      <c r="AP125" s="16"/>
      <c r="AQ125" s="10">
        <v>12</v>
      </c>
      <c r="AR125" s="10">
        <v>17</v>
      </c>
      <c r="AS125" s="10">
        <v>39</v>
      </c>
      <c r="AT125" s="11">
        <v>25</v>
      </c>
      <c r="AU125" s="12" t="s">
        <v>46</v>
      </c>
      <c r="AV125" s="17"/>
      <c r="AW125" s="13">
        <v>12</v>
      </c>
      <c r="AX125" s="13">
        <v>24</v>
      </c>
      <c r="AY125" s="13">
        <v>31</v>
      </c>
      <c r="AZ125" s="14">
        <v>31</v>
      </c>
      <c r="BA125" s="9" t="s">
        <v>47</v>
      </c>
      <c r="BB125" s="16"/>
      <c r="BC125" s="10">
        <v>1</v>
      </c>
      <c r="BD125" s="10">
        <v>1</v>
      </c>
      <c r="BE125" s="10">
        <v>1</v>
      </c>
      <c r="BF125" s="11">
        <v>1</v>
      </c>
      <c r="BG125" s="12" t="s">
        <v>46</v>
      </c>
      <c r="BH125" s="17"/>
      <c r="BI125" s="13">
        <v>48</v>
      </c>
      <c r="BJ125" s="13">
        <v>29</v>
      </c>
      <c r="BK125" s="13">
        <v>24</v>
      </c>
      <c r="BL125" s="14">
        <v>28</v>
      </c>
      <c r="BM125" s="9"/>
      <c r="BN125" s="16"/>
      <c r="BO125" s="10"/>
      <c r="BP125" s="10"/>
      <c r="BQ125" s="10"/>
      <c r="BR125" s="11"/>
      <c r="BS125" s="12"/>
      <c r="BT125" s="17"/>
      <c r="BU125" s="13"/>
      <c r="BV125" s="13"/>
      <c r="BW125" s="13"/>
      <c r="BX125" s="14"/>
      <c r="BY125" s="9"/>
      <c r="BZ125" s="16"/>
      <c r="CA125" s="10"/>
      <c r="CB125" s="10"/>
      <c r="CC125" s="10"/>
      <c r="CD125" s="11"/>
      <c r="CE125" s="12"/>
      <c r="CF125" s="17"/>
      <c r="CG125" s="13"/>
      <c r="CH125" s="13"/>
      <c r="CI125" s="13"/>
      <c r="CJ125" s="14"/>
      <c r="CK125" s="9"/>
      <c r="CL125" s="16"/>
      <c r="CM125" s="10"/>
      <c r="CN125" s="10"/>
      <c r="CO125" s="10"/>
      <c r="CP125" s="11"/>
      <c r="CQ125" s="12"/>
      <c r="CR125" s="17"/>
      <c r="CS125" s="13"/>
      <c r="CT125" s="13"/>
      <c r="CU125" s="13"/>
      <c r="CV125" s="14"/>
      <c r="CW125" s="9"/>
      <c r="CX125" s="16"/>
      <c r="CY125" s="10"/>
      <c r="CZ125" s="10"/>
      <c r="DA125" s="10"/>
      <c r="DB125" s="11"/>
      <c r="DC125" s="12"/>
      <c r="DD125" s="17"/>
      <c r="DE125" s="13"/>
      <c r="DF125" s="13"/>
      <c r="DG125" s="13"/>
      <c r="DH125" s="14"/>
      <c r="DI125" s="8">
        <f t="shared" si="27"/>
        <v>277</v>
      </c>
      <c r="DJ125" s="8">
        <f t="shared" si="28"/>
        <v>287</v>
      </c>
      <c r="DK125" s="8">
        <f t="shared" si="29"/>
        <v>278</v>
      </c>
      <c r="DL125" s="8">
        <f t="shared" si="30"/>
        <v>195</v>
      </c>
      <c r="DM125" s="8">
        <f t="shared" si="31"/>
        <v>287</v>
      </c>
      <c r="DN125" s="8">
        <f t="shared" si="32"/>
        <v>277</v>
      </c>
      <c r="DO125" s="15">
        <f t="shared" si="33"/>
        <v>20.927850292612472</v>
      </c>
      <c r="DP125" s="15" t="str">
        <f t="shared" si="34"/>
        <v>OK - No Upgrade</v>
      </c>
      <c r="DQ125" s="15" t="str">
        <f t="shared" si="35"/>
        <v>OK - Balanced</v>
      </c>
    </row>
    <row r="126" spans="1:121" ht="15.75" customHeight="1" x14ac:dyDescent="0.25">
      <c r="A126" s="8" t="s">
        <v>38</v>
      </c>
      <c r="B126" s="8" t="s">
        <v>385</v>
      </c>
      <c r="C126" s="8" t="s">
        <v>389</v>
      </c>
      <c r="D126" s="8" t="s">
        <v>621</v>
      </c>
      <c r="E126" s="8" t="s">
        <v>622</v>
      </c>
      <c r="F126" s="8" t="s">
        <v>56</v>
      </c>
      <c r="G126" s="8" t="s">
        <v>44</v>
      </c>
      <c r="H126" s="8">
        <v>1000</v>
      </c>
      <c r="I126" s="8" t="s">
        <v>609</v>
      </c>
      <c r="J126" s="8">
        <v>2</v>
      </c>
      <c r="K126" s="8">
        <v>247</v>
      </c>
      <c r="L126" s="8">
        <v>248</v>
      </c>
      <c r="M126" s="8">
        <v>250</v>
      </c>
      <c r="N126" s="8">
        <v>430</v>
      </c>
      <c r="O126" s="8">
        <v>431</v>
      </c>
      <c r="P126" s="8">
        <v>433</v>
      </c>
      <c r="Q126" s="9" t="s">
        <v>47</v>
      </c>
      <c r="R126" s="16"/>
      <c r="S126" s="10">
        <v>85</v>
      </c>
      <c r="T126" s="10">
        <v>80</v>
      </c>
      <c r="U126" s="10">
        <v>91</v>
      </c>
      <c r="V126" s="11">
        <v>20</v>
      </c>
      <c r="W126" s="12" t="s">
        <v>47</v>
      </c>
      <c r="X126" s="17"/>
      <c r="Y126" s="13">
        <v>0</v>
      </c>
      <c r="Z126" s="13">
        <v>4</v>
      </c>
      <c r="AA126" s="13">
        <v>2</v>
      </c>
      <c r="AB126" s="14">
        <v>3</v>
      </c>
      <c r="AC126" s="9" t="s">
        <v>70</v>
      </c>
      <c r="AD126" s="16"/>
      <c r="AE126" s="10">
        <v>42</v>
      </c>
      <c r="AF126" s="10">
        <v>65</v>
      </c>
      <c r="AG126" s="10">
        <v>34</v>
      </c>
      <c r="AH126" s="11">
        <v>34</v>
      </c>
      <c r="AI126" s="12" t="s">
        <v>46</v>
      </c>
      <c r="AJ126" s="17"/>
      <c r="AK126" s="13">
        <v>1</v>
      </c>
      <c r="AL126" s="13">
        <v>11</v>
      </c>
      <c r="AM126" s="13">
        <v>2</v>
      </c>
      <c r="AN126" s="14">
        <v>10</v>
      </c>
      <c r="AO126" s="9" t="s">
        <v>46</v>
      </c>
      <c r="AP126" s="16"/>
      <c r="AQ126" s="10">
        <v>27</v>
      </c>
      <c r="AR126" s="10">
        <v>16</v>
      </c>
      <c r="AS126" s="10">
        <v>3</v>
      </c>
      <c r="AT126" s="11">
        <v>15</v>
      </c>
      <c r="AU126" s="12" t="s">
        <v>46</v>
      </c>
      <c r="AV126" s="17"/>
      <c r="AW126" s="13">
        <v>27</v>
      </c>
      <c r="AX126" s="13">
        <v>40</v>
      </c>
      <c r="AY126" s="13">
        <v>74</v>
      </c>
      <c r="AZ126" s="14">
        <v>36</v>
      </c>
      <c r="BA126" s="9" t="s">
        <v>47</v>
      </c>
      <c r="BB126" s="16"/>
      <c r="BC126" s="10">
        <v>3</v>
      </c>
      <c r="BD126" s="10">
        <v>0</v>
      </c>
      <c r="BE126" s="10">
        <v>0</v>
      </c>
      <c r="BF126" s="11">
        <v>3</v>
      </c>
      <c r="BG126" s="12" t="s">
        <v>46</v>
      </c>
      <c r="BH126" s="17"/>
      <c r="BI126" s="13">
        <v>65</v>
      </c>
      <c r="BJ126" s="13">
        <v>45</v>
      </c>
      <c r="BK126" s="13">
        <v>26</v>
      </c>
      <c r="BL126" s="14">
        <v>42</v>
      </c>
      <c r="BM126" s="9"/>
      <c r="BN126" s="16"/>
      <c r="BO126" s="10"/>
      <c r="BP126" s="10"/>
      <c r="BQ126" s="10"/>
      <c r="BR126" s="11"/>
      <c r="BS126" s="12"/>
      <c r="BT126" s="17"/>
      <c r="BU126" s="13"/>
      <c r="BV126" s="13"/>
      <c r="BW126" s="13"/>
      <c r="BX126" s="14"/>
      <c r="BY126" s="9"/>
      <c r="BZ126" s="16"/>
      <c r="CA126" s="10"/>
      <c r="CB126" s="10"/>
      <c r="CC126" s="10"/>
      <c r="CD126" s="11"/>
      <c r="CE126" s="12"/>
      <c r="CF126" s="17"/>
      <c r="CG126" s="13"/>
      <c r="CH126" s="13"/>
      <c r="CI126" s="13"/>
      <c r="CJ126" s="14"/>
      <c r="CK126" s="9"/>
      <c r="CL126" s="16"/>
      <c r="CM126" s="10"/>
      <c r="CN126" s="10"/>
      <c r="CO126" s="10"/>
      <c r="CP126" s="11"/>
      <c r="CQ126" s="12"/>
      <c r="CR126" s="17"/>
      <c r="CS126" s="13"/>
      <c r="CT126" s="13"/>
      <c r="CU126" s="13"/>
      <c r="CV126" s="14"/>
      <c r="CW126" s="9"/>
      <c r="CX126" s="16"/>
      <c r="CY126" s="10"/>
      <c r="CZ126" s="10"/>
      <c r="DA126" s="10"/>
      <c r="DB126" s="11"/>
      <c r="DC126" s="12"/>
      <c r="DD126" s="17"/>
      <c r="DE126" s="13"/>
      <c r="DF126" s="13"/>
      <c r="DG126" s="13"/>
      <c r="DH126" s="14"/>
      <c r="DI126" s="8">
        <f t="shared" si="27"/>
        <v>250</v>
      </c>
      <c r="DJ126" s="8">
        <f t="shared" si="28"/>
        <v>261</v>
      </c>
      <c r="DK126" s="8">
        <f t="shared" si="29"/>
        <v>232</v>
      </c>
      <c r="DL126" s="8">
        <f t="shared" si="30"/>
        <v>163</v>
      </c>
      <c r="DM126" s="8">
        <f t="shared" si="31"/>
        <v>261</v>
      </c>
      <c r="DN126" s="8">
        <f t="shared" si="32"/>
        <v>232</v>
      </c>
      <c r="DO126" s="15">
        <f t="shared" si="33"/>
        <v>19.438806213345508</v>
      </c>
      <c r="DP126" s="15" t="str">
        <f t="shared" si="34"/>
        <v>OK - No Upgrade</v>
      </c>
      <c r="DQ126" s="15" t="str">
        <f t="shared" si="35"/>
        <v>OK - Balanced</v>
      </c>
    </row>
    <row r="127" spans="1:121" ht="15.75" customHeight="1" x14ac:dyDescent="0.25">
      <c r="A127" s="8" t="s">
        <v>38</v>
      </c>
      <c r="B127" s="8" t="s">
        <v>385</v>
      </c>
      <c r="C127" s="8" t="s">
        <v>265</v>
      </c>
      <c r="D127" s="8"/>
      <c r="E127" s="8" t="s">
        <v>624</v>
      </c>
      <c r="F127" s="8" t="s">
        <v>56</v>
      </c>
      <c r="G127" s="8"/>
      <c r="H127" s="8">
        <v>1000</v>
      </c>
      <c r="I127" s="8" t="s">
        <v>625</v>
      </c>
      <c r="J127" s="8">
        <v>1</v>
      </c>
      <c r="K127" s="8">
        <v>244</v>
      </c>
      <c r="L127" s="8">
        <v>243</v>
      </c>
      <c r="M127" s="8">
        <v>246</v>
      </c>
      <c r="N127" s="8">
        <v>419</v>
      </c>
      <c r="O127" s="8">
        <v>426</v>
      </c>
      <c r="P127" s="8">
        <v>424</v>
      </c>
      <c r="Q127" s="9"/>
      <c r="R127" s="16"/>
      <c r="S127" s="10"/>
      <c r="T127" s="10"/>
      <c r="U127" s="10"/>
      <c r="V127" s="11"/>
      <c r="W127" s="12"/>
      <c r="X127" s="17"/>
      <c r="Y127" s="13"/>
      <c r="Z127" s="13"/>
      <c r="AA127" s="13"/>
      <c r="AB127" s="14"/>
      <c r="AC127" s="9"/>
      <c r="AD127" s="16"/>
      <c r="AE127" s="10"/>
      <c r="AF127" s="10"/>
      <c r="AG127" s="10"/>
      <c r="AH127" s="11"/>
      <c r="AI127" s="12" t="s">
        <v>70</v>
      </c>
      <c r="AJ127" s="17"/>
      <c r="AK127" s="13">
        <v>86</v>
      </c>
      <c r="AL127" s="13">
        <v>75</v>
      </c>
      <c r="AM127" s="13">
        <v>109</v>
      </c>
      <c r="AN127" s="14">
        <v>32</v>
      </c>
      <c r="AO127" s="9" t="s">
        <v>70</v>
      </c>
      <c r="AP127" s="16"/>
      <c r="AQ127" s="10">
        <v>107</v>
      </c>
      <c r="AR127" s="10">
        <v>50</v>
      </c>
      <c r="AS127" s="10">
        <v>120</v>
      </c>
      <c r="AT127" s="11">
        <v>47</v>
      </c>
      <c r="AU127" s="12" t="s">
        <v>70</v>
      </c>
      <c r="AV127" s="17"/>
      <c r="AW127" s="13">
        <v>71</v>
      </c>
      <c r="AX127" s="13">
        <v>85</v>
      </c>
      <c r="AY127" s="13">
        <v>65</v>
      </c>
      <c r="AZ127" s="14">
        <v>53</v>
      </c>
      <c r="BA127" s="9" t="s">
        <v>70</v>
      </c>
      <c r="BB127" s="16"/>
      <c r="BC127" s="10">
        <v>85</v>
      </c>
      <c r="BD127" s="10">
        <v>70</v>
      </c>
      <c r="BE127" s="10">
        <v>93</v>
      </c>
      <c r="BF127" s="11">
        <v>22</v>
      </c>
      <c r="BG127" s="12" t="s">
        <v>70</v>
      </c>
      <c r="BH127" s="17"/>
      <c r="BI127" s="13">
        <v>85</v>
      </c>
      <c r="BJ127" s="13">
        <v>34</v>
      </c>
      <c r="BK127" s="13">
        <v>35</v>
      </c>
      <c r="BL127" s="14">
        <v>35</v>
      </c>
      <c r="BM127" s="9"/>
      <c r="BN127" s="16"/>
      <c r="BO127" s="10"/>
      <c r="BP127" s="10"/>
      <c r="BQ127" s="10"/>
      <c r="BR127" s="11"/>
      <c r="BS127" s="12"/>
      <c r="BT127" s="17"/>
      <c r="BU127" s="13"/>
      <c r="BV127" s="13"/>
      <c r="BW127" s="13"/>
      <c r="BX127" s="14"/>
      <c r="BY127" s="9"/>
      <c r="BZ127" s="16"/>
      <c r="CA127" s="10"/>
      <c r="CB127" s="10"/>
      <c r="CC127" s="10"/>
      <c r="CD127" s="11"/>
      <c r="CE127" s="12"/>
      <c r="CF127" s="17"/>
      <c r="CG127" s="13"/>
      <c r="CH127" s="13"/>
      <c r="CI127" s="13"/>
      <c r="CJ127" s="14"/>
      <c r="CK127" s="9"/>
      <c r="CL127" s="16"/>
      <c r="CM127" s="10"/>
      <c r="CN127" s="10"/>
      <c r="CO127" s="10"/>
      <c r="CP127" s="11"/>
      <c r="CQ127" s="12"/>
      <c r="CR127" s="17"/>
      <c r="CS127" s="13"/>
      <c r="CT127" s="13"/>
      <c r="CU127" s="13"/>
      <c r="CV127" s="14"/>
      <c r="CW127" s="9"/>
      <c r="CX127" s="16"/>
      <c r="CY127" s="10"/>
      <c r="CZ127" s="10"/>
      <c r="DA127" s="10"/>
      <c r="DB127" s="11"/>
      <c r="DC127" s="12"/>
      <c r="DD127" s="17"/>
      <c r="DE127" s="13"/>
      <c r="DF127" s="13"/>
      <c r="DG127" s="13"/>
      <c r="DH127" s="14"/>
      <c r="DI127" s="8">
        <f t="shared" si="27"/>
        <v>434</v>
      </c>
      <c r="DJ127" s="8">
        <f t="shared" si="28"/>
        <v>314</v>
      </c>
      <c r="DK127" s="8">
        <f t="shared" si="29"/>
        <v>422</v>
      </c>
      <c r="DL127" s="8">
        <f t="shared" si="30"/>
        <v>189</v>
      </c>
      <c r="DM127" s="8">
        <f t="shared" si="31"/>
        <v>434</v>
      </c>
      <c r="DN127" s="8">
        <f t="shared" si="32"/>
        <v>314</v>
      </c>
      <c r="DO127" s="15">
        <f t="shared" si="33"/>
        <v>31.496651115317004</v>
      </c>
      <c r="DP127" s="15" t="str">
        <f t="shared" si="34"/>
        <v>OK - No Upgrade</v>
      </c>
      <c r="DQ127" s="15" t="str">
        <f t="shared" si="35"/>
        <v>Need to Balance</v>
      </c>
    </row>
    <row r="128" spans="1:121" ht="15.75" customHeight="1" x14ac:dyDescent="0.25">
      <c r="A128" s="8" t="s">
        <v>38</v>
      </c>
      <c r="B128" s="8" t="s">
        <v>385</v>
      </c>
      <c r="C128" s="8" t="s">
        <v>265</v>
      </c>
      <c r="D128" s="8"/>
      <c r="E128" s="8" t="s">
        <v>624</v>
      </c>
      <c r="F128" s="8" t="s">
        <v>56</v>
      </c>
      <c r="G128" s="8" t="s">
        <v>44</v>
      </c>
      <c r="H128" s="8">
        <v>1000</v>
      </c>
      <c r="I128" s="8" t="s">
        <v>626</v>
      </c>
      <c r="J128" s="8">
        <v>2</v>
      </c>
      <c r="K128" s="8">
        <v>247</v>
      </c>
      <c r="L128" s="8">
        <v>246</v>
      </c>
      <c r="M128" s="8">
        <v>249</v>
      </c>
      <c r="N128" s="8">
        <v>426</v>
      </c>
      <c r="O128" s="8">
        <v>431</v>
      </c>
      <c r="P128" s="8">
        <v>429</v>
      </c>
      <c r="Q128" s="9"/>
      <c r="R128" s="16"/>
      <c r="S128" s="10"/>
      <c r="T128" s="10"/>
      <c r="U128" s="10"/>
      <c r="V128" s="11"/>
      <c r="W128" s="12"/>
      <c r="X128" s="17"/>
      <c r="Y128" s="13"/>
      <c r="Z128" s="13"/>
      <c r="AA128" s="13"/>
      <c r="AB128" s="14"/>
      <c r="AC128" s="9"/>
      <c r="AD128" s="16"/>
      <c r="AE128" s="10"/>
      <c r="AF128" s="10"/>
      <c r="AG128" s="10"/>
      <c r="AH128" s="11"/>
      <c r="AI128" s="12" t="s">
        <v>70</v>
      </c>
      <c r="AJ128" s="17"/>
      <c r="AK128" s="13">
        <v>53</v>
      </c>
      <c r="AL128" s="13">
        <v>118</v>
      </c>
      <c r="AM128" s="13">
        <v>69</v>
      </c>
      <c r="AN128" s="14">
        <v>59</v>
      </c>
      <c r="AO128" s="9" t="s">
        <v>70</v>
      </c>
      <c r="AP128" s="16"/>
      <c r="AQ128" s="10">
        <v>74</v>
      </c>
      <c r="AR128" s="10">
        <v>40</v>
      </c>
      <c r="AS128" s="10">
        <v>108</v>
      </c>
      <c r="AT128" s="11">
        <v>42</v>
      </c>
      <c r="AU128" s="12" t="s">
        <v>70</v>
      </c>
      <c r="AV128" s="17"/>
      <c r="AW128" s="13">
        <v>42</v>
      </c>
      <c r="AX128" s="13">
        <v>59</v>
      </c>
      <c r="AY128" s="13">
        <v>71</v>
      </c>
      <c r="AZ128" s="14">
        <v>14</v>
      </c>
      <c r="BA128" s="9" t="s">
        <v>70</v>
      </c>
      <c r="BB128" s="16"/>
      <c r="BC128" s="10">
        <v>42</v>
      </c>
      <c r="BD128" s="10">
        <v>38</v>
      </c>
      <c r="BE128" s="10">
        <v>105</v>
      </c>
      <c r="BF128" s="11">
        <v>20</v>
      </c>
      <c r="BG128" s="12" t="s">
        <v>70</v>
      </c>
      <c r="BH128" s="17"/>
      <c r="BI128" s="13">
        <v>32</v>
      </c>
      <c r="BJ128" s="13">
        <v>27</v>
      </c>
      <c r="BK128" s="13">
        <v>24</v>
      </c>
      <c r="BL128" s="14">
        <v>35</v>
      </c>
      <c r="BM128" s="9"/>
      <c r="BN128" s="16"/>
      <c r="BO128" s="10"/>
      <c r="BP128" s="10"/>
      <c r="BQ128" s="10"/>
      <c r="BR128" s="11"/>
      <c r="BS128" s="12"/>
      <c r="BT128" s="17"/>
      <c r="BU128" s="13"/>
      <c r="BV128" s="13"/>
      <c r="BW128" s="13"/>
      <c r="BX128" s="14"/>
      <c r="BY128" s="9"/>
      <c r="BZ128" s="16"/>
      <c r="CA128" s="10"/>
      <c r="CB128" s="10"/>
      <c r="CC128" s="10"/>
      <c r="CD128" s="11"/>
      <c r="CE128" s="12"/>
      <c r="CF128" s="17"/>
      <c r="CG128" s="13"/>
      <c r="CH128" s="13"/>
      <c r="CI128" s="13"/>
      <c r="CJ128" s="14"/>
      <c r="CK128" s="9"/>
      <c r="CL128" s="16"/>
      <c r="CM128" s="10"/>
      <c r="CN128" s="10"/>
      <c r="CO128" s="10"/>
      <c r="CP128" s="11"/>
      <c r="CQ128" s="12"/>
      <c r="CR128" s="17"/>
      <c r="CS128" s="13"/>
      <c r="CT128" s="13"/>
      <c r="CU128" s="13"/>
      <c r="CV128" s="14"/>
      <c r="CW128" s="9"/>
      <c r="CX128" s="16"/>
      <c r="CY128" s="10"/>
      <c r="CZ128" s="10"/>
      <c r="DA128" s="10"/>
      <c r="DB128" s="11"/>
      <c r="DC128" s="12"/>
      <c r="DD128" s="17"/>
      <c r="DE128" s="13"/>
      <c r="DF128" s="13"/>
      <c r="DG128" s="13"/>
      <c r="DH128" s="14"/>
      <c r="DI128" s="8">
        <f t="shared" si="27"/>
        <v>243</v>
      </c>
      <c r="DJ128" s="8">
        <f t="shared" si="28"/>
        <v>282</v>
      </c>
      <c r="DK128" s="8">
        <f t="shared" si="29"/>
        <v>377</v>
      </c>
      <c r="DL128" s="8">
        <f t="shared" si="30"/>
        <v>170</v>
      </c>
      <c r="DM128" s="8">
        <f t="shared" si="31"/>
        <v>377</v>
      </c>
      <c r="DN128" s="8">
        <f t="shared" si="32"/>
        <v>243</v>
      </c>
      <c r="DO128" s="15">
        <f t="shared" si="33"/>
        <v>27.817082379717682</v>
      </c>
      <c r="DP128" s="15" t="str">
        <f t="shared" si="34"/>
        <v>OK - No Upgrade</v>
      </c>
      <c r="DQ128" s="15" t="str">
        <f t="shared" si="35"/>
        <v>Need to Balance</v>
      </c>
    </row>
    <row r="129" spans="1:121" ht="15.75" customHeight="1" x14ac:dyDescent="0.25">
      <c r="A129" s="8" t="s">
        <v>38</v>
      </c>
      <c r="B129" s="8" t="s">
        <v>385</v>
      </c>
      <c r="C129" s="8" t="s">
        <v>573</v>
      </c>
      <c r="D129" s="8" t="s">
        <v>627</v>
      </c>
      <c r="E129" s="8" t="s">
        <v>628</v>
      </c>
      <c r="F129" s="8" t="s">
        <v>56</v>
      </c>
      <c r="G129" s="8" t="s">
        <v>44</v>
      </c>
      <c r="H129" s="8">
        <v>1000</v>
      </c>
      <c r="I129" s="8" t="s">
        <v>629</v>
      </c>
      <c r="J129" s="8">
        <v>1</v>
      </c>
      <c r="K129" s="8">
        <v>240</v>
      </c>
      <c r="L129" s="8">
        <v>240</v>
      </c>
      <c r="M129" s="8">
        <v>243</v>
      </c>
      <c r="N129" s="8">
        <v>414</v>
      </c>
      <c r="O129" s="8">
        <v>420</v>
      </c>
      <c r="P129" s="8">
        <v>418</v>
      </c>
      <c r="Q129" s="9"/>
      <c r="R129" s="16"/>
      <c r="S129" s="10"/>
      <c r="T129" s="10"/>
      <c r="U129" s="10"/>
      <c r="V129" s="11"/>
      <c r="W129" s="12" t="s">
        <v>47</v>
      </c>
      <c r="X129" s="17"/>
      <c r="Y129" s="13">
        <v>62</v>
      </c>
      <c r="Z129" s="13">
        <v>109</v>
      </c>
      <c r="AA129" s="13">
        <v>101</v>
      </c>
      <c r="AB129" s="14">
        <v>30</v>
      </c>
      <c r="AC129" s="9" t="s">
        <v>47</v>
      </c>
      <c r="AD129" s="16"/>
      <c r="AE129" s="10">
        <v>101</v>
      </c>
      <c r="AF129" s="10">
        <v>45</v>
      </c>
      <c r="AG129" s="10">
        <v>83</v>
      </c>
      <c r="AH129" s="11">
        <v>48</v>
      </c>
      <c r="AI129" s="12" t="s">
        <v>47</v>
      </c>
      <c r="AJ129" s="17"/>
      <c r="AK129" s="13">
        <v>27</v>
      </c>
      <c r="AL129" s="13">
        <v>8</v>
      </c>
      <c r="AM129" s="13">
        <v>3</v>
      </c>
      <c r="AN129" s="14">
        <v>16</v>
      </c>
      <c r="AO129" s="9" t="s">
        <v>47</v>
      </c>
      <c r="AP129" s="16"/>
      <c r="AQ129" s="10">
        <v>88</v>
      </c>
      <c r="AR129" s="10">
        <v>100</v>
      </c>
      <c r="AS129" s="10">
        <v>47</v>
      </c>
      <c r="AT129" s="11">
        <v>32</v>
      </c>
      <c r="AU129" s="12" t="s">
        <v>47</v>
      </c>
      <c r="AV129" s="17"/>
      <c r="AW129" s="13">
        <v>249</v>
      </c>
      <c r="AX129" s="13">
        <v>108</v>
      </c>
      <c r="AY129" s="13">
        <v>135</v>
      </c>
      <c r="AZ129" s="14">
        <v>48</v>
      </c>
      <c r="BA129" s="9" t="s">
        <v>47</v>
      </c>
      <c r="BB129" s="16"/>
      <c r="BC129" s="10">
        <v>83</v>
      </c>
      <c r="BD129" s="10">
        <v>104</v>
      </c>
      <c r="BE129" s="10">
        <v>130</v>
      </c>
      <c r="BF129" s="11">
        <v>27</v>
      </c>
      <c r="BG129" s="12" t="s">
        <v>47</v>
      </c>
      <c r="BH129" s="17"/>
      <c r="BI129" s="13">
        <v>142</v>
      </c>
      <c r="BJ129" s="13">
        <v>156</v>
      </c>
      <c r="BK129" s="13">
        <v>141</v>
      </c>
      <c r="BL129" s="14">
        <v>22</v>
      </c>
      <c r="BM129" s="9"/>
      <c r="BN129" s="16"/>
      <c r="BO129" s="10"/>
      <c r="BP129" s="10"/>
      <c r="BQ129" s="10"/>
      <c r="BR129" s="11"/>
      <c r="BS129" s="12"/>
      <c r="BT129" s="17"/>
      <c r="BU129" s="13"/>
      <c r="BV129" s="13"/>
      <c r="BW129" s="13"/>
      <c r="BX129" s="14"/>
      <c r="BY129" s="9"/>
      <c r="BZ129" s="16"/>
      <c r="CA129" s="10"/>
      <c r="CB129" s="10"/>
      <c r="CC129" s="10"/>
      <c r="CD129" s="11"/>
      <c r="CE129" s="12"/>
      <c r="CF129" s="17"/>
      <c r="CG129" s="13"/>
      <c r="CH129" s="13"/>
      <c r="CI129" s="13"/>
      <c r="CJ129" s="14"/>
      <c r="CK129" s="9"/>
      <c r="CL129" s="16"/>
      <c r="CM129" s="10"/>
      <c r="CN129" s="10"/>
      <c r="CO129" s="10"/>
      <c r="CP129" s="11"/>
      <c r="CQ129" s="12"/>
      <c r="CR129" s="17"/>
      <c r="CS129" s="13"/>
      <c r="CT129" s="13"/>
      <c r="CU129" s="13"/>
      <c r="CV129" s="14"/>
      <c r="CW129" s="9"/>
      <c r="CX129" s="16"/>
      <c r="CY129" s="10"/>
      <c r="CZ129" s="10"/>
      <c r="DA129" s="10"/>
      <c r="DB129" s="11"/>
      <c r="DC129" s="12"/>
      <c r="DD129" s="17"/>
      <c r="DE129" s="13"/>
      <c r="DF129" s="13"/>
      <c r="DG129" s="13"/>
      <c r="DH129" s="14"/>
      <c r="DI129" s="8">
        <f t="shared" si="27"/>
        <v>752</v>
      </c>
      <c r="DJ129" s="8">
        <f t="shared" si="28"/>
        <v>630</v>
      </c>
      <c r="DK129" s="8">
        <f t="shared" si="29"/>
        <v>640</v>
      </c>
      <c r="DL129" s="8">
        <f t="shared" si="30"/>
        <v>223</v>
      </c>
      <c r="DM129" s="8">
        <f t="shared" si="31"/>
        <v>752</v>
      </c>
      <c r="DN129" s="8">
        <f t="shared" si="32"/>
        <v>630</v>
      </c>
      <c r="DO129" s="15">
        <f t="shared" si="33"/>
        <v>53.923591381880343</v>
      </c>
      <c r="DP129" s="15" t="str">
        <f t="shared" si="34"/>
        <v>OK - No Upgrade</v>
      </c>
      <c r="DQ129" s="15" t="str">
        <f t="shared" si="35"/>
        <v>Need to Balance</v>
      </c>
    </row>
    <row r="130" spans="1:121" ht="15.75" customHeight="1" x14ac:dyDescent="0.25">
      <c r="A130" s="8" t="s">
        <v>38</v>
      </c>
      <c r="B130" s="8" t="s">
        <v>385</v>
      </c>
      <c r="C130" s="8" t="s">
        <v>573</v>
      </c>
      <c r="D130" s="8" t="s">
        <v>627</v>
      </c>
      <c r="E130" s="8" t="s">
        <v>628</v>
      </c>
      <c r="F130" s="8" t="s">
        <v>56</v>
      </c>
      <c r="G130" s="8" t="s">
        <v>44</v>
      </c>
      <c r="H130" s="8">
        <v>1000</v>
      </c>
      <c r="I130" s="8" t="s">
        <v>630</v>
      </c>
      <c r="J130" s="8">
        <v>2</v>
      </c>
      <c r="K130" s="8">
        <v>246</v>
      </c>
      <c r="L130" s="8">
        <v>246</v>
      </c>
      <c r="M130" s="8">
        <v>247</v>
      </c>
      <c r="N130" s="8">
        <v>426</v>
      </c>
      <c r="O130" s="8">
        <v>428</v>
      </c>
      <c r="P130" s="8">
        <v>426</v>
      </c>
      <c r="Q130" s="9"/>
      <c r="R130" s="16"/>
      <c r="S130" s="10"/>
      <c r="T130" s="10"/>
      <c r="U130" s="10"/>
      <c r="V130" s="11"/>
      <c r="W130" s="12" t="s">
        <v>47</v>
      </c>
      <c r="X130" s="17"/>
      <c r="Y130" s="13">
        <v>67</v>
      </c>
      <c r="Z130" s="13">
        <v>64</v>
      </c>
      <c r="AA130" s="13">
        <v>34</v>
      </c>
      <c r="AB130" s="14">
        <v>32</v>
      </c>
      <c r="AC130" s="9" t="s">
        <v>47</v>
      </c>
      <c r="AD130" s="16"/>
      <c r="AE130" s="10">
        <v>37</v>
      </c>
      <c r="AF130" s="10">
        <v>38</v>
      </c>
      <c r="AG130" s="10">
        <v>15</v>
      </c>
      <c r="AH130" s="11">
        <v>23</v>
      </c>
      <c r="AI130" s="12" t="s">
        <v>47</v>
      </c>
      <c r="AJ130" s="17"/>
      <c r="AK130" s="13">
        <v>37</v>
      </c>
      <c r="AL130" s="13">
        <v>11</v>
      </c>
      <c r="AM130" s="13">
        <v>15</v>
      </c>
      <c r="AN130" s="14">
        <v>20</v>
      </c>
      <c r="AO130" s="9" t="s">
        <v>47</v>
      </c>
      <c r="AP130" s="16"/>
      <c r="AQ130" s="10">
        <v>61</v>
      </c>
      <c r="AR130" s="10">
        <v>51</v>
      </c>
      <c r="AS130" s="10">
        <v>72</v>
      </c>
      <c r="AT130" s="11">
        <v>14</v>
      </c>
      <c r="AU130" s="12" t="s">
        <v>47</v>
      </c>
      <c r="AV130" s="17"/>
      <c r="AW130" s="13">
        <v>116</v>
      </c>
      <c r="AX130" s="13">
        <v>123</v>
      </c>
      <c r="AY130" s="13">
        <v>202</v>
      </c>
      <c r="AZ130" s="14">
        <v>69</v>
      </c>
      <c r="BA130" s="9" t="s">
        <v>47</v>
      </c>
      <c r="BB130" s="16"/>
      <c r="BC130" s="10">
        <v>99</v>
      </c>
      <c r="BD130" s="10">
        <v>114</v>
      </c>
      <c r="BE130" s="10">
        <v>127</v>
      </c>
      <c r="BF130" s="11">
        <v>24</v>
      </c>
      <c r="BG130" s="12" t="s">
        <v>47</v>
      </c>
      <c r="BH130" s="17"/>
      <c r="BI130" s="13">
        <v>35</v>
      </c>
      <c r="BJ130" s="13">
        <v>89</v>
      </c>
      <c r="BK130" s="13">
        <v>52</v>
      </c>
      <c r="BL130" s="14">
        <v>32</v>
      </c>
      <c r="BM130" s="9"/>
      <c r="BN130" s="16"/>
      <c r="BO130" s="10"/>
      <c r="BP130" s="10"/>
      <c r="BQ130" s="10"/>
      <c r="BR130" s="11"/>
      <c r="BS130" s="12"/>
      <c r="BT130" s="17"/>
      <c r="BU130" s="13"/>
      <c r="BV130" s="13"/>
      <c r="BW130" s="13"/>
      <c r="BX130" s="14"/>
      <c r="BY130" s="9"/>
      <c r="BZ130" s="16"/>
      <c r="CA130" s="10"/>
      <c r="CB130" s="10"/>
      <c r="CC130" s="10"/>
      <c r="CD130" s="11"/>
      <c r="CE130" s="12"/>
      <c r="CF130" s="17"/>
      <c r="CG130" s="13"/>
      <c r="CH130" s="13"/>
      <c r="CI130" s="13"/>
      <c r="CJ130" s="14"/>
      <c r="CK130" s="9"/>
      <c r="CL130" s="16"/>
      <c r="CM130" s="10"/>
      <c r="CN130" s="10"/>
      <c r="CO130" s="10"/>
      <c r="CP130" s="11"/>
      <c r="CQ130" s="12"/>
      <c r="CR130" s="17"/>
      <c r="CS130" s="13"/>
      <c r="CT130" s="13"/>
      <c r="CU130" s="13"/>
      <c r="CV130" s="14"/>
      <c r="CW130" s="9"/>
      <c r="CX130" s="16"/>
      <c r="CY130" s="10"/>
      <c r="CZ130" s="10"/>
      <c r="DA130" s="10"/>
      <c r="DB130" s="11"/>
      <c r="DC130" s="12"/>
      <c r="DD130" s="17"/>
      <c r="DE130" s="13"/>
      <c r="DF130" s="13"/>
      <c r="DG130" s="13"/>
      <c r="DH130" s="14"/>
      <c r="DI130" s="8">
        <f t="shared" si="27"/>
        <v>452</v>
      </c>
      <c r="DJ130" s="8">
        <f t="shared" si="28"/>
        <v>490</v>
      </c>
      <c r="DK130" s="8">
        <f t="shared" si="29"/>
        <v>517</v>
      </c>
      <c r="DL130" s="8">
        <f t="shared" si="30"/>
        <v>214</v>
      </c>
      <c r="DM130" s="8">
        <f t="shared" si="31"/>
        <v>517</v>
      </c>
      <c r="DN130" s="8">
        <f t="shared" si="32"/>
        <v>452</v>
      </c>
      <c r="DO130" s="15">
        <f t="shared" si="33"/>
        <v>38.147033396058468</v>
      </c>
      <c r="DP130" s="15" t="str">
        <f t="shared" si="34"/>
        <v>OK - No Upgrade</v>
      </c>
      <c r="DQ130" s="15" t="str">
        <f t="shared" si="35"/>
        <v>OK - Balanced</v>
      </c>
    </row>
    <row r="131" spans="1:121" ht="15.75" customHeight="1" x14ac:dyDescent="0.25">
      <c r="A131" s="8" t="s">
        <v>38</v>
      </c>
      <c r="B131" s="8" t="s">
        <v>385</v>
      </c>
      <c r="C131" s="8" t="s">
        <v>573</v>
      </c>
      <c r="D131" s="8" t="s">
        <v>631</v>
      </c>
      <c r="E131" s="8" t="s">
        <v>632</v>
      </c>
      <c r="F131" s="8" t="s">
        <v>56</v>
      </c>
      <c r="G131" s="8"/>
      <c r="H131" s="8">
        <v>1000</v>
      </c>
      <c r="I131" s="8" t="s">
        <v>633</v>
      </c>
      <c r="J131" s="8">
        <v>1</v>
      </c>
      <c r="K131" s="8">
        <v>244</v>
      </c>
      <c r="L131" s="8">
        <v>244</v>
      </c>
      <c r="M131" s="8">
        <v>247</v>
      </c>
      <c r="N131" s="8">
        <v>423</v>
      </c>
      <c r="O131" s="8">
        <v>428</v>
      </c>
      <c r="P131" s="8">
        <v>427</v>
      </c>
      <c r="Q131" s="9"/>
      <c r="R131" s="16"/>
      <c r="S131" s="10"/>
      <c r="T131" s="10"/>
      <c r="U131" s="10"/>
      <c r="V131" s="11"/>
      <c r="W131" s="12" t="s">
        <v>46</v>
      </c>
      <c r="X131" s="17"/>
      <c r="Y131" s="13">
        <v>94</v>
      </c>
      <c r="Z131" s="13">
        <v>67</v>
      </c>
      <c r="AA131" s="13">
        <v>45</v>
      </c>
      <c r="AB131" s="14">
        <v>24</v>
      </c>
      <c r="AC131" s="9" t="s">
        <v>46</v>
      </c>
      <c r="AD131" s="16"/>
      <c r="AE131" s="10">
        <v>37</v>
      </c>
      <c r="AF131" s="10">
        <v>6</v>
      </c>
      <c r="AG131" s="10">
        <v>28</v>
      </c>
      <c r="AH131" s="11">
        <v>23</v>
      </c>
      <c r="AI131" s="12" t="s">
        <v>47</v>
      </c>
      <c r="AJ131" s="17"/>
      <c r="AK131" s="13">
        <v>0</v>
      </c>
      <c r="AL131" s="13">
        <v>0</v>
      </c>
      <c r="AM131" s="13">
        <v>0</v>
      </c>
      <c r="AN131" s="14">
        <v>0</v>
      </c>
      <c r="AO131" s="9" t="s">
        <v>70</v>
      </c>
      <c r="AP131" s="16"/>
      <c r="AQ131" s="10">
        <v>19</v>
      </c>
      <c r="AR131" s="10">
        <v>82</v>
      </c>
      <c r="AS131" s="10">
        <v>69</v>
      </c>
      <c r="AT131" s="11">
        <v>21</v>
      </c>
      <c r="AU131" s="12" t="s">
        <v>70</v>
      </c>
      <c r="AV131" s="17"/>
      <c r="AW131" s="13">
        <v>32</v>
      </c>
      <c r="AX131" s="13">
        <v>51</v>
      </c>
      <c r="AY131" s="13">
        <v>32</v>
      </c>
      <c r="AZ131" s="14">
        <v>15</v>
      </c>
      <c r="BA131" s="9"/>
      <c r="BB131" s="16"/>
      <c r="BC131" s="10"/>
      <c r="BD131" s="10"/>
      <c r="BE131" s="10"/>
      <c r="BF131" s="11"/>
      <c r="BG131" s="12"/>
      <c r="BH131" s="17"/>
      <c r="BI131" s="13"/>
      <c r="BJ131" s="13"/>
      <c r="BK131" s="13"/>
      <c r="BL131" s="14"/>
      <c r="BM131" s="9"/>
      <c r="BN131" s="16"/>
      <c r="BO131" s="10"/>
      <c r="BP131" s="10"/>
      <c r="BQ131" s="10"/>
      <c r="BR131" s="11"/>
      <c r="BS131" s="12"/>
      <c r="BT131" s="17"/>
      <c r="BU131" s="13"/>
      <c r="BV131" s="13"/>
      <c r="BW131" s="13"/>
      <c r="BX131" s="14"/>
      <c r="BY131" s="9"/>
      <c r="BZ131" s="16"/>
      <c r="CA131" s="10"/>
      <c r="CB131" s="10"/>
      <c r="CC131" s="10"/>
      <c r="CD131" s="11"/>
      <c r="CE131" s="12"/>
      <c r="CF131" s="17"/>
      <c r="CG131" s="13"/>
      <c r="CH131" s="13"/>
      <c r="CI131" s="13"/>
      <c r="CJ131" s="14"/>
      <c r="CK131" s="9"/>
      <c r="CL131" s="16"/>
      <c r="CM131" s="10"/>
      <c r="CN131" s="10"/>
      <c r="CO131" s="10"/>
      <c r="CP131" s="11"/>
      <c r="CQ131" s="12"/>
      <c r="CR131" s="17"/>
      <c r="CS131" s="13"/>
      <c r="CT131" s="13"/>
      <c r="CU131" s="13"/>
      <c r="CV131" s="14"/>
      <c r="CW131" s="9"/>
      <c r="CX131" s="16"/>
      <c r="CY131" s="10"/>
      <c r="CZ131" s="10"/>
      <c r="DA131" s="10"/>
      <c r="DB131" s="11"/>
      <c r="DC131" s="12"/>
      <c r="DD131" s="17"/>
      <c r="DE131" s="13"/>
      <c r="DF131" s="13"/>
      <c r="DG131" s="13"/>
      <c r="DH131" s="14"/>
      <c r="DI131" s="8">
        <f t="shared" si="27"/>
        <v>182</v>
      </c>
      <c r="DJ131" s="8">
        <f t="shared" si="28"/>
        <v>206</v>
      </c>
      <c r="DK131" s="8">
        <f t="shared" si="29"/>
        <v>174</v>
      </c>
      <c r="DL131" s="8">
        <f t="shared" si="30"/>
        <v>83</v>
      </c>
      <c r="DM131" s="8">
        <f t="shared" si="31"/>
        <v>206</v>
      </c>
      <c r="DN131" s="8">
        <f t="shared" si="32"/>
        <v>174</v>
      </c>
      <c r="DO131" s="15">
        <f t="shared" si="33"/>
        <v>15.092744326993685</v>
      </c>
      <c r="DP131" s="15" t="str">
        <f t="shared" si="34"/>
        <v>OK - No Upgrade</v>
      </c>
      <c r="DQ131" s="15" t="str">
        <f t="shared" si="35"/>
        <v>OK - Balanced</v>
      </c>
    </row>
    <row r="132" spans="1:121" ht="15.75" customHeight="1" x14ac:dyDescent="0.25">
      <c r="A132" s="8" t="s">
        <v>38</v>
      </c>
      <c r="B132" s="8" t="s">
        <v>385</v>
      </c>
      <c r="C132" s="8" t="s">
        <v>573</v>
      </c>
      <c r="D132" s="8" t="s">
        <v>631</v>
      </c>
      <c r="E132" s="8" t="s">
        <v>632</v>
      </c>
      <c r="F132" s="8" t="s">
        <v>56</v>
      </c>
      <c r="G132" s="8" t="s">
        <v>44</v>
      </c>
      <c r="H132" s="8">
        <v>1000</v>
      </c>
      <c r="I132" s="8" t="s">
        <v>634</v>
      </c>
      <c r="J132" s="8">
        <v>2</v>
      </c>
      <c r="K132" s="8">
        <v>248</v>
      </c>
      <c r="L132" s="8">
        <v>247</v>
      </c>
      <c r="M132" s="8">
        <v>249</v>
      </c>
      <c r="N132" s="8">
        <v>430</v>
      </c>
      <c r="O132" s="8">
        <v>433</v>
      </c>
      <c r="P132" s="8">
        <v>430</v>
      </c>
      <c r="Q132" s="9"/>
      <c r="R132" s="16"/>
      <c r="S132" s="10"/>
      <c r="T132" s="10"/>
      <c r="U132" s="10"/>
      <c r="V132" s="11"/>
      <c r="W132" s="12" t="s">
        <v>46</v>
      </c>
      <c r="X132" s="17"/>
      <c r="Y132" s="13">
        <v>75</v>
      </c>
      <c r="Z132" s="13">
        <v>69</v>
      </c>
      <c r="AA132" s="13">
        <v>84</v>
      </c>
      <c r="AB132" s="14">
        <v>30</v>
      </c>
      <c r="AC132" s="9" t="s">
        <v>46</v>
      </c>
      <c r="AD132" s="16"/>
      <c r="AE132" s="10">
        <v>20</v>
      </c>
      <c r="AF132" s="10">
        <v>14</v>
      </c>
      <c r="AG132" s="10">
        <v>29</v>
      </c>
      <c r="AH132" s="11">
        <v>8</v>
      </c>
      <c r="AI132" s="12" t="s">
        <v>47</v>
      </c>
      <c r="AJ132" s="17"/>
      <c r="AK132" s="13">
        <v>0</v>
      </c>
      <c r="AL132" s="13">
        <v>0</v>
      </c>
      <c r="AM132" s="13">
        <v>0</v>
      </c>
      <c r="AN132" s="14">
        <v>0</v>
      </c>
      <c r="AO132" s="9" t="s">
        <v>70</v>
      </c>
      <c r="AP132" s="16"/>
      <c r="AQ132" s="10">
        <v>30</v>
      </c>
      <c r="AR132" s="10">
        <v>84</v>
      </c>
      <c r="AS132" s="10">
        <v>59</v>
      </c>
      <c r="AT132" s="11">
        <v>10</v>
      </c>
      <c r="AU132" s="12" t="s">
        <v>70</v>
      </c>
      <c r="AV132" s="17"/>
      <c r="AW132" s="13">
        <v>44</v>
      </c>
      <c r="AX132" s="13">
        <v>47</v>
      </c>
      <c r="AY132" s="13">
        <v>90</v>
      </c>
      <c r="AZ132" s="14">
        <v>41</v>
      </c>
      <c r="BA132" s="9"/>
      <c r="BB132" s="16"/>
      <c r="BC132" s="10"/>
      <c r="BD132" s="10"/>
      <c r="BE132" s="10"/>
      <c r="BF132" s="11"/>
      <c r="BG132" s="12"/>
      <c r="BH132" s="17"/>
      <c r="BI132" s="13"/>
      <c r="BJ132" s="13"/>
      <c r="BK132" s="13"/>
      <c r="BL132" s="14"/>
      <c r="BM132" s="9"/>
      <c r="BN132" s="16"/>
      <c r="BO132" s="10"/>
      <c r="BP132" s="10"/>
      <c r="BQ132" s="10"/>
      <c r="BR132" s="11"/>
      <c r="BS132" s="12"/>
      <c r="BT132" s="17"/>
      <c r="BU132" s="13"/>
      <c r="BV132" s="13"/>
      <c r="BW132" s="13"/>
      <c r="BX132" s="14"/>
      <c r="BY132" s="9"/>
      <c r="BZ132" s="16"/>
      <c r="CA132" s="10"/>
      <c r="CB132" s="10"/>
      <c r="CC132" s="10"/>
      <c r="CD132" s="11"/>
      <c r="CE132" s="12"/>
      <c r="CF132" s="17"/>
      <c r="CG132" s="13"/>
      <c r="CH132" s="13"/>
      <c r="CI132" s="13"/>
      <c r="CJ132" s="14"/>
      <c r="CK132" s="9"/>
      <c r="CL132" s="16"/>
      <c r="CM132" s="10"/>
      <c r="CN132" s="10"/>
      <c r="CO132" s="10"/>
      <c r="CP132" s="11"/>
      <c r="CQ132" s="12"/>
      <c r="CR132" s="17"/>
      <c r="CS132" s="13"/>
      <c r="CT132" s="13"/>
      <c r="CU132" s="13"/>
      <c r="CV132" s="14"/>
      <c r="CW132" s="9"/>
      <c r="CX132" s="16"/>
      <c r="CY132" s="10"/>
      <c r="CZ132" s="10"/>
      <c r="DA132" s="10"/>
      <c r="DB132" s="11"/>
      <c r="DC132" s="12"/>
      <c r="DD132" s="17"/>
      <c r="DE132" s="13"/>
      <c r="DF132" s="13"/>
      <c r="DG132" s="13"/>
      <c r="DH132" s="14"/>
      <c r="DI132" s="8">
        <f t="shared" ref="DI132:DI145" si="36">SUM(S132,Y132,AE132,AK132,AQ132,AW132,BC132,BI132,BO132,BU132,CA132,CG132,CM132,CS132,CY132,DE132)</f>
        <v>169</v>
      </c>
      <c r="DJ132" s="8">
        <f t="shared" ref="DJ132:DJ145" si="37">SUM(T132,Z132,AF132,AL132,AR132,AX132,BD132,BJ132,BP132,BV132,CB132,CH132,CN132,CT132,CZ132,DF132)</f>
        <v>214</v>
      </c>
      <c r="DK132" s="8">
        <f t="shared" ref="DK132:DK145" si="38">SUM(U132,AA132,AG132,AM132,AS132,AY132,BE132,BK132,BQ132,BW132,CC132,CI132,CO132,CU132,DA132,DG132)</f>
        <v>262</v>
      </c>
      <c r="DL132" s="8">
        <f t="shared" ref="DL132:DL145" si="39">SUM(V132,AB132,AH132,AN132,AT132,AZ132,BF132,BL132,BR132,BX132,CD132,CJ132,CP132,CV132,DB132,DH132)</f>
        <v>89</v>
      </c>
      <c r="DM132" s="8">
        <f t="shared" ref="DM132:DM145" si="40">MAX(DI132:DK132)</f>
        <v>262</v>
      </c>
      <c r="DN132" s="8">
        <f t="shared" ref="DN132:DN145" si="41">MIN(DI132:DK132)</f>
        <v>169</v>
      </c>
      <c r="DO132" s="15">
        <f t="shared" ref="DO132:DO145" si="42">IF(H132&gt;0,(DM132*SQRT(3)*IF(N132&gt;0,N132,IF(O132&gt;0,O132,IF(P132&gt;0,P132,415)))/(H132*1000))*100,0)</f>
        <v>19.513284398070972</v>
      </c>
      <c r="DP132" s="15" t="str">
        <f t="shared" ref="DP132:DP163" si="43">IF(DO132&gt;70,"Upgrade","OK - No Upgrade")</f>
        <v>OK - No Upgrade</v>
      </c>
      <c r="DQ132" s="15" t="str">
        <f t="shared" ref="DQ132:DQ145" si="44">IF(IF(AVERAGE(DI132:DK132)&gt;0,((DM132-AVERAGE(DI132:DK132))/AVERAGE(DI132:DK132))*100,0)&gt;10,"Need to Balance","OK - Balanced")</f>
        <v>Need to Balance</v>
      </c>
    </row>
    <row r="133" spans="1:121" ht="15.75" customHeight="1" x14ac:dyDescent="0.25">
      <c r="A133" s="8" t="s">
        <v>38</v>
      </c>
      <c r="B133" s="8" t="s">
        <v>385</v>
      </c>
      <c r="C133" s="8" t="s">
        <v>265</v>
      </c>
      <c r="D133" s="8"/>
      <c r="E133" s="8" t="s">
        <v>635</v>
      </c>
      <c r="F133" s="8" t="s">
        <v>56</v>
      </c>
      <c r="G133" s="8"/>
      <c r="H133" s="8">
        <v>1000</v>
      </c>
      <c r="I133" s="8" t="s">
        <v>636</v>
      </c>
      <c r="J133" s="8">
        <v>1</v>
      </c>
      <c r="K133" s="8">
        <v>245</v>
      </c>
      <c r="L133" s="8">
        <v>244</v>
      </c>
      <c r="M133" s="8">
        <v>248</v>
      </c>
      <c r="N133" s="8">
        <v>422</v>
      </c>
      <c r="O133" s="8">
        <v>430</v>
      </c>
      <c r="P133" s="8">
        <v>424</v>
      </c>
      <c r="Q133" s="9" t="s">
        <v>47</v>
      </c>
      <c r="R133" s="16"/>
      <c r="S133" s="10">
        <v>87</v>
      </c>
      <c r="T133" s="10">
        <v>54</v>
      </c>
      <c r="U133" s="10">
        <v>49</v>
      </c>
      <c r="V133" s="11">
        <v>35</v>
      </c>
      <c r="W133" s="12" t="s">
        <v>47</v>
      </c>
      <c r="X133" s="17"/>
      <c r="Y133" s="13">
        <v>12</v>
      </c>
      <c r="Z133" s="13">
        <v>14</v>
      </c>
      <c r="AA133" s="13">
        <v>14</v>
      </c>
      <c r="AB133" s="14">
        <v>3</v>
      </c>
      <c r="AC133" s="9" t="s">
        <v>47</v>
      </c>
      <c r="AD133" s="16"/>
      <c r="AE133" s="10">
        <v>46</v>
      </c>
      <c r="AF133" s="10">
        <v>39</v>
      </c>
      <c r="AG133" s="10">
        <v>4</v>
      </c>
      <c r="AH133" s="11">
        <v>34</v>
      </c>
      <c r="AI133" s="12" t="s">
        <v>47</v>
      </c>
      <c r="AJ133" s="17"/>
      <c r="AK133" s="13">
        <v>154</v>
      </c>
      <c r="AL133" s="13">
        <v>97</v>
      </c>
      <c r="AM133" s="13">
        <v>118</v>
      </c>
      <c r="AN133" s="14">
        <v>60</v>
      </c>
      <c r="AO133" s="9" t="s">
        <v>47</v>
      </c>
      <c r="AP133" s="16"/>
      <c r="AQ133" s="10">
        <v>57</v>
      </c>
      <c r="AR133" s="10">
        <v>74</v>
      </c>
      <c r="AS133" s="10">
        <v>34</v>
      </c>
      <c r="AT133" s="11">
        <v>28</v>
      </c>
      <c r="AU133" s="12" t="s">
        <v>47</v>
      </c>
      <c r="AV133" s="17"/>
      <c r="AW133" s="13">
        <v>20</v>
      </c>
      <c r="AX133" s="13">
        <v>9</v>
      </c>
      <c r="AY133" s="13">
        <v>10</v>
      </c>
      <c r="AZ133" s="14">
        <v>9</v>
      </c>
      <c r="BA133" s="9"/>
      <c r="BB133" s="16"/>
      <c r="BC133" s="10"/>
      <c r="BD133" s="10"/>
      <c r="BE133" s="10"/>
      <c r="BF133" s="11"/>
      <c r="BG133" s="12"/>
      <c r="BH133" s="17"/>
      <c r="BI133" s="13"/>
      <c r="BJ133" s="13"/>
      <c r="BK133" s="13"/>
      <c r="BL133" s="14"/>
      <c r="BM133" s="9"/>
      <c r="BN133" s="16"/>
      <c r="BO133" s="10"/>
      <c r="BP133" s="10"/>
      <c r="BQ133" s="10"/>
      <c r="BR133" s="11"/>
      <c r="BS133" s="12"/>
      <c r="BT133" s="17"/>
      <c r="BU133" s="13"/>
      <c r="BV133" s="13"/>
      <c r="BW133" s="13"/>
      <c r="BX133" s="14"/>
      <c r="BY133" s="9"/>
      <c r="BZ133" s="16"/>
      <c r="CA133" s="10"/>
      <c r="CB133" s="10"/>
      <c r="CC133" s="10"/>
      <c r="CD133" s="11"/>
      <c r="CE133" s="12"/>
      <c r="CF133" s="17"/>
      <c r="CG133" s="13"/>
      <c r="CH133" s="13"/>
      <c r="CI133" s="13"/>
      <c r="CJ133" s="14"/>
      <c r="CK133" s="9"/>
      <c r="CL133" s="16"/>
      <c r="CM133" s="10"/>
      <c r="CN133" s="10"/>
      <c r="CO133" s="10"/>
      <c r="CP133" s="11"/>
      <c r="CQ133" s="12"/>
      <c r="CR133" s="17"/>
      <c r="CS133" s="13"/>
      <c r="CT133" s="13"/>
      <c r="CU133" s="13"/>
      <c r="CV133" s="14"/>
      <c r="CW133" s="9"/>
      <c r="CX133" s="16"/>
      <c r="CY133" s="10"/>
      <c r="CZ133" s="10"/>
      <c r="DA133" s="10"/>
      <c r="DB133" s="11"/>
      <c r="DC133" s="12"/>
      <c r="DD133" s="17"/>
      <c r="DE133" s="13"/>
      <c r="DF133" s="13"/>
      <c r="DG133" s="13"/>
      <c r="DH133" s="14"/>
      <c r="DI133" s="8">
        <f t="shared" si="36"/>
        <v>376</v>
      </c>
      <c r="DJ133" s="8">
        <f t="shared" si="37"/>
        <v>287</v>
      </c>
      <c r="DK133" s="8">
        <f t="shared" si="38"/>
        <v>229</v>
      </c>
      <c r="DL133" s="8">
        <f t="shared" si="39"/>
        <v>169</v>
      </c>
      <c r="DM133" s="8">
        <f t="shared" si="40"/>
        <v>376</v>
      </c>
      <c r="DN133" s="8">
        <f t="shared" si="41"/>
        <v>229</v>
      </c>
      <c r="DO133" s="15">
        <f t="shared" si="42"/>
        <v>27.482796573856888</v>
      </c>
      <c r="DP133" s="15" t="str">
        <f t="shared" si="43"/>
        <v>OK - No Upgrade</v>
      </c>
      <c r="DQ133" s="15" t="str">
        <f t="shared" si="44"/>
        <v>Need to Balance</v>
      </c>
    </row>
    <row r="134" spans="1:121" ht="15.75" customHeight="1" x14ac:dyDescent="0.25">
      <c r="A134" s="8" t="s">
        <v>38</v>
      </c>
      <c r="B134" s="8" t="s">
        <v>385</v>
      </c>
      <c r="C134" s="8" t="s">
        <v>265</v>
      </c>
      <c r="D134" s="8"/>
      <c r="E134" s="8" t="s">
        <v>635</v>
      </c>
      <c r="F134" s="8" t="s">
        <v>56</v>
      </c>
      <c r="G134" s="8"/>
      <c r="H134" s="8">
        <v>1000</v>
      </c>
      <c r="I134" s="8" t="s">
        <v>637</v>
      </c>
      <c r="J134" s="8">
        <v>2</v>
      </c>
      <c r="K134" s="8">
        <v>251</v>
      </c>
      <c r="L134" s="8">
        <v>248</v>
      </c>
      <c r="M134" s="8">
        <v>249</v>
      </c>
      <c r="N134" s="8">
        <v>431</v>
      </c>
      <c r="O134" s="8">
        <v>434</v>
      </c>
      <c r="P134" s="8">
        <v>431</v>
      </c>
      <c r="Q134" s="9" t="s">
        <v>47</v>
      </c>
      <c r="R134" s="16"/>
      <c r="S134" s="10">
        <v>25</v>
      </c>
      <c r="T134" s="10">
        <v>14</v>
      </c>
      <c r="U134" s="10">
        <v>25</v>
      </c>
      <c r="V134" s="11">
        <v>8</v>
      </c>
      <c r="W134" s="12" t="s">
        <v>47</v>
      </c>
      <c r="X134" s="17"/>
      <c r="Y134" s="13">
        <v>0</v>
      </c>
      <c r="Z134" s="13">
        <v>19</v>
      </c>
      <c r="AA134" s="13">
        <v>15</v>
      </c>
      <c r="AB134" s="14">
        <v>25</v>
      </c>
      <c r="AC134" s="9" t="s">
        <v>47</v>
      </c>
      <c r="AD134" s="16"/>
      <c r="AE134" s="10">
        <v>25</v>
      </c>
      <c r="AF134" s="10">
        <v>35</v>
      </c>
      <c r="AG134" s="10">
        <v>6</v>
      </c>
      <c r="AH134" s="11">
        <v>33</v>
      </c>
      <c r="AI134" s="12" t="s">
        <v>47</v>
      </c>
      <c r="AJ134" s="17"/>
      <c r="AK134" s="13">
        <v>136</v>
      </c>
      <c r="AL134" s="13">
        <v>76</v>
      </c>
      <c r="AM134" s="13">
        <v>83</v>
      </c>
      <c r="AN134" s="14">
        <v>61</v>
      </c>
      <c r="AO134" s="9" t="s">
        <v>47</v>
      </c>
      <c r="AP134" s="16"/>
      <c r="AQ134" s="10">
        <v>39</v>
      </c>
      <c r="AR134" s="10">
        <v>58</v>
      </c>
      <c r="AS134" s="10">
        <v>24</v>
      </c>
      <c r="AT134" s="11">
        <v>46</v>
      </c>
      <c r="AU134" s="12" t="s">
        <v>47</v>
      </c>
      <c r="AV134" s="17"/>
      <c r="AW134" s="13">
        <v>23</v>
      </c>
      <c r="AX134" s="13">
        <v>1</v>
      </c>
      <c r="AY134" s="13">
        <v>4</v>
      </c>
      <c r="AZ134" s="14">
        <v>19</v>
      </c>
      <c r="BA134" s="9"/>
      <c r="BB134" s="16"/>
      <c r="BC134" s="10"/>
      <c r="BD134" s="10"/>
      <c r="BE134" s="10"/>
      <c r="BF134" s="11"/>
      <c r="BG134" s="12"/>
      <c r="BH134" s="17"/>
      <c r="BI134" s="13"/>
      <c r="BJ134" s="13"/>
      <c r="BK134" s="13"/>
      <c r="BL134" s="14"/>
      <c r="BM134" s="9"/>
      <c r="BN134" s="16"/>
      <c r="BO134" s="10"/>
      <c r="BP134" s="10"/>
      <c r="BQ134" s="10"/>
      <c r="BR134" s="11"/>
      <c r="BS134" s="12"/>
      <c r="BT134" s="17"/>
      <c r="BU134" s="13"/>
      <c r="BV134" s="13"/>
      <c r="BW134" s="13"/>
      <c r="BX134" s="14"/>
      <c r="BY134" s="9"/>
      <c r="BZ134" s="16"/>
      <c r="CA134" s="10"/>
      <c r="CB134" s="10"/>
      <c r="CC134" s="10"/>
      <c r="CD134" s="11"/>
      <c r="CE134" s="12"/>
      <c r="CF134" s="17"/>
      <c r="CG134" s="13"/>
      <c r="CH134" s="13"/>
      <c r="CI134" s="13"/>
      <c r="CJ134" s="14"/>
      <c r="CK134" s="9"/>
      <c r="CL134" s="16"/>
      <c r="CM134" s="10"/>
      <c r="CN134" s="10"/>
      <c r="CO134" s="10"/>
      <c r="CP134" s="11"/>
      <c r="CQ134" s="12"/>
      <c r="CR134" s="17"/>
      <c r="CS134" s="13"/>
      <c r="CT134" s="13"/>
      <c r="CU134" s="13"/>
      <c r="CV134" s="14"/>
      <c r="CW134" s="9"/>
      <c r="CX134" s="16"/>
      <c r="CY134" s="10"/>
      <c r="CZ134" s="10"/>
      <c r="DA134" s="10"/>
      <c r="DB134" s="11"/>
      <c r="DC134" s="12"/>
      <c r="DD134" s="17"/>
      <c r="DE134" s="13"/>
      <c r="DF134" s="13"/>
      <c r="DG134" s="13"/>
      <c r="DH134" s="14"/>
      <c r="DI134" s="8">
        <f t="shared" si="36"/>
        <v>248</v>
      </c>
      <c r="DJ134" s="8">
        <f t="shared" si="37"/>
        <v>203</v>
      </c>
      <c r="DK134" s="8">
        <f t="shared" si="38"/>
        <v>157</v>
      </c>
      <c r="DL134" s="8">
        <f t="shared" si="39"/>
        <v>192</v>
      </c>
      <c r="DM134" s="8">
        <f t="shared" si="40"/>
        <v>248</v>
      </c>
      <c r="DN134" s="8">
        <f t="shared" si="41"/>
        <v>157</v>
      </c>
      <c r="DO134" s="15">
        <f t="shared" si="42"/>
        <v>18.513544671942213</v>
      </c>
      <c r="DP134" s="15" t="str">
        <f t="shared" si="43"/>
        <v>OK - No Upgrade</v>
      </c>
      <c r="DQ134" s="15" t="str">
        <f t="shared" si="44"/>
        <v>Need to Balance</v>
      </c>
    </row>
    <row r="135" spans="1:121" ht="15.75" customHeight="1" x14ac:dyDescent="0.25">
      <c r="A135" s="8" t="s">
        <v>38</v>
      </c>
      <c r="B135" s="8" t="s">
        <v>385</v>
      </c>
      <c r="C135" s="8" t="s">
        <v>573</v>
      </c>
      <c r="D135" s="8" t="s">
        <v>638</v>
      </c>
      <c r="E135" s="8" t="s">
        <v>639</v>
      </c>
      <c r="F135" s="8" t="s">
        <v>56</v>
      </c>
      <c r="G135" s="8"/>
      <c r="H135" s="8">
        <v>1000</v>
      </c>
      <c r="I135" s="8" t="s">
        <v>640</v>
      </c>
      <c r="J135" s="8">
        <v>1</v>
      </c>
      <c r="K135" s="8">
        <v>238</v>
      </c>
      <c r="L135" s="8">
        <v>238</v>
      </c>
      <c r="M135" s="8">
        <v>241</v>
      </c>
      <c r="N135" s="8">
        <v>412</v>
      </c>
      <c r="O135" s="8">
        <v>416</v>
      </c>
      <c r="P135" s="8">
        <v>414</v>
      </c>
      <c r="Q135" s="9"/>
      <c r="R135" s="16"/>
      <c r="S135" s="10"/>
      <c r="T135" s="10"/>
      <c r="U135" s="10"/>
      <c r="V135" s="11"/>
      <c r="W135" s="12" t="s">
        <v>46</v>
      </c>
      <c r="X135" s="17"/>
      <c r="Y135" s="13">
        <v>75</v>
      </c>
      <c r="Z135" s="13">
        <v>67</v>
      </c>
      <c r="AA135" s="13">
        <v>39</v>
      </c>
      <c r="AB135" s="14">
        <v>29</v>
      </c>
      <c r="AC135" s="9" t="s">
        <v>46</v>
      </c>
      <c r="AD135" s="16"/>
      <c r="AE135" s="10">
        <v>12</v>
      </c>
      <c r="AF135" s="10">
        <v>40</v>
      </c>
      <c r="AG135" s="10">
        <v>47</v>
      </c>
      <c r="AH135" s="11">
        <v>30</v>
      </c>
      <c r="AI135" s="12" t="s">
        <v>47</v>
      </c>
      <c r="AJ135" s="17"/>
      <c r="AK135" s="13">
        <v>87</v>
      </c>
      <c r="AL135" s="13">
        <v>91</v>
      </c>
      <c r="AM135" s="13">
        <v>154</v>
      </c>
      <c r="AN135" s="14">
        <v>48</v>
      </c>
      <c r="AO135" s="9" t="s">
        <v>47</v>
      </c>
      <c r="AP135" s="16"/>
      <c r="AQ135" s="10">
        <v>47</v>
      </c>
      <c r="AR135" s="10">
        <v>16</v>
      </c>
      <c r="AS135" s="10">
        <v>0</v>
      </c>
      <c r="AT135" s="11">
        <v>29</v>
      </c>
      <c r="AU135" s="12" t="s">
        <v>47</v>
      </c>
      <c r="AV135" s="17"/>
      <c r="AW135" s="13">
        <v>106</v>
      </c>
      <c r="AX135" s="13">
        <v>70</v>
      </c>
      <c r="AY135" s="13">
        <v>115</v>
      </c>
      <c r="AZ135" s="14">
        <v>33</v>
      </c>
      <c r="BA135" s="9"/>
      <c r="BB135" s="16"/>
      <c r="BC135" s="10"/>
      <c r="BD135" s="10"/>
      <c r="BE135" s="10"/>
      <c r="BF135" s="11"/>
      <c r="BG135" s="12"/>
      <c r="BH135" s="17"/>
      <c r="BI135" s="13"/>
      <c r="BJ135" s="13"/>
      <c r="BK135" s="13"/>
      <c r="BL135" s="14"/>
      <c r="BM135" s="9"/>
      <c r="BN135" s="16"/>
      <c r="BO135" s="10"/>
      <c r="BP135" s="10"/>
      <c r="BQ135" s="10"/>
      <c r="BR135" s="11"/>
      <c r="BS135" s="12"/>
      <c r="BT135" s="17"/>
      <c r="BU135" s="13"/>
      <c r="BV135" s="13"/>
      <c r="BW135" s="13"/>
      <c r="BX135" s="14"/>
      <c r="BY135" s="9"/>
      <c r="BZ135" s="16"/>
      <c r="CA135" s="10"/>
      <c r="CB135" s="10"/>
      <c r="CC135" s="10"/>
      <c r="CD135" s="11"/>
      <c r="CE135" s="12"/>
      <c r="CF135" s="17"/>
      <c r="CG135" s="13"/>
      <c r="CH135" s="13"/>
      <c r="CI135" s="13"/>
      <c r="CJ135" s="14"/>
      <c r="CK135" s="9"/>
      <c r="CL135" s="16"/>
      <c r="CM135" s="10"/>
      <c r="CN135" s="10"/>
      <c r="CO135" s="10"/>
      <c r="CP135" s="11"/>
      <c r="CQ135" s="12"/>
      <c r="CR135" s="17"/>
      <c r="CS135" s="13"/>
      <c r="CT135" s="13"/>
      <c r="CU135" s="13"/>
      <c r="CV135" s="14"/>
      <c r="CW135" s="9"/>
      <c r="CX135" s="16"/>
      <c r="CY135" s="10"/>
      <c r="CZ135" s="10"/>
      <c r="DA135" s="10"/>
      <c r="DB135" s="11"/>
      <c r="DC135" s="12"/>
      <c r="DD135" s="17"/>
      <c r="DE135" s="13"/>
      <c r="DF135" s="13"/>
      <c r="DG135" s="13"/>
      <c r="DH135" s="14"/>
      <c r="DI135" s="8">
        <f t="shared" si="36"/>
        <v>327</v>
      </c>
      <c r="DJ135" s="8">
        <f t="shared" si="37"/>
        <v>284</v>
      </c>
      <c r="DK135" s="8">
        <f t="shared" si="38"/>
        <v>355</v>
      </c>
      <c r="DL135" s="8">
        <f t="shared" si="39"/>
        <v>169</v>
      </c>
      <c r="DM135" s="8">
        <f t="shared" si="40"/>
        <v>355</v>
      </c>
      <c r="DN135" s="8">
        <f t="shared" si="41"/>
        <v>284</v>
      </c>
      <c r="DO135" s="15">
        <f t="shared" si="42"/>
        <v>25.3329751115024</v>
      </c>
      <c r="DP135" s="15" t="str">
        <f t="shared" si="43"/>
        <v>OK - No Upgrade</v>
      </c>
      <c r="DQ135" s="15" t="str">
        <f t="shared" si="44"/>
        <v>Need to Balance</v>
      </c>
    </row>
    <row r="136" spans="1:121" ht="15.75" customHeight="1" x14ac:dyDescent="0.25">
      <c r="A136" s="8" t="s">
        <v>38</v>
      </c>
      <c r="B136" s="8" t="s">
        <v>385</v>
      </c>
      <c r="C136" s="8" t="s">
        <v>573</v>
      </c>
      <c r="D136" s="8" t="s">
        <v>638</v>
      </c>
      <c r="E136" s="8" t="s">
        <v>639</v>
      </c>
      <c r="F136" s="8" t="s">
        <v>56</v>
      </c>
      <c r="G136" s="8" t="s">
        <v>44</v>
      </c>
      <c r="H136" s="8">
        <v>1000</v>
      </c>
      <c r="I136" s="8" t="s">
        <v>641</v>
      </c>
      <c r="J136" s="8">
        <v>2</v>
      </c>
      <c r="K136" s="8">
        <v>242</v>
      </c>
      <c r="L136" s="8">
        <v>241</v>
      </c>
      <c r="M136" s="8">
        <v>243</v>
      </c>
      <c r="N136" s="8">
        <v>418</v>
      </c>
      <c r="O136" s="8">
        <v>412</v>
      </c>
      <c r="P136" s="8">
        <v>420</v>
      </c>
      <c r="Q136" s="9"/>
      <c r="R136" s="16"/>
      <c r="S136" s="10"/>
      <c r="T136" s="10"/>
      <c r="U136" s="10"/>
      <c r="V136" s="11"/>
      <c r="W136" s="12" t="s">
        <v>46</v>
      </c>
      <c r="X136" s="17"/>
      <c r="Y136" s="13">
        <v>76</v>
      </c>
      <c r="Z136" s="13">
        <v>48</v>
      </c>
      <c r="AA136" s="13">
        <v>56</v>
      </c>
      <c r="AB136" s="14">
        <v>15</v>
      </c>
      <c r="AC136" s="9" t="s">
        <v>46</v>
      </c>
      <c r="AD136" s="16"/>
      <c r="AE136" s="10">
        <v>27</v>
      </c>
      <c r="AF136" s="10">
        <v>43</v>
      </c>
      <c r="AG136" s="10">
        <v>33</v>
      </c>
      <c r="AH136" s="11">
        <v>12</v>
      </c>
      <c r="AI136" s="12" t="s">
        <v>47</v>
      </c>
      <c r="AJ136" s="17"/>
      <c r="AK136" s="13">
        <v>70</v>
      </c>
      <c r="AL136" s="13">
        <v>60</v>
      </c>
      <c r="AM136" s="13">
        <v>62</v>
      </c>
      <c r="AN136" s="14">
        <v>19</v>
      </c>
      <c r="AO136" s="9" t="s">
        <v>47</v>
      </c>
      <c r="AP136" s="16"/>
      <c r="AQ136" s="10">
        <v>50</v>
      </c>
      <c r="AR136" s="10">
        <v>34</v>
      </c>
      <c r="AS136" s="10">
        <v>25</v>
      </c>
      <c r="AT136" s="11">
        <v>27</v>
      </c>
      <c r="AU136" s="12" t="s">
        <v>47</v>
      </c>
      <c r="AV136" s="17"/>
      <c r="AW136" s="13">
        <v>87</v>
      </c>
      <c r="AX136" s="13">
        <v>65</v>
      </c>
      <c r="AY136" s="13">
        <v>63</v>
      </c>
      <c r="AZ136" s="14">
        <v>26</v>
      </c>
      <c r="BA136" s="9"/>
      <c r="BB136" s="16"/>
      <c r="BC136" s="10"/>
      <c r="BD136" s="10"/>
      <c r="BE136" s="10"/>
      <c r="BF136" s="11"/>
      <c r="BG136" s="12"/>
      <c r="BH136" s="17"/>
      <c r="BI136" s="13"/>
      <c r="BJ136" s="13"/>
      <c r="BK136" s="13"/>
      <c r="BL136" s="14"/>
      <c r="BM136" s="9"/>
      <c r="BN136" s="16"/>
      <c r="BO136" s="10"/>
      <c r="BP136" s="10"/>
      <c r="BQ136" s="10"/>
      <c r="BR136" s="11"/>
      <c r="BS136" s="12"/>
      <c r="BT136" s="17"/>
      <c r="BU136" s="13"/>
      <c r="BV136" s="13"/>
      <c r="BW136" s="13"/>
      <c r="BX136" s="14"/>
      <c r="BY136" s="9"/>
      <c r="BZ136" s="16"/>
      <c r="CA136" s="10"/>
      <c r="CB136" s="10"/>
      <c r="CC136" s="10"/>
      <c r="CD136" s="11"/>
      <c r="CE136" s="12"/>
      <c r="CF136" s="17"/>
      <c r="CG136" s="13"/>
      <c r="CH136" s="13"/>
      <c r="CI136" s="13"/>
      <c r="CJ136" s="14"/>
      <c r="CK136" s="9"/>
      <c r="CL136" s="16"/>
      <c r="CM136" s="10"/>
      <c r="CN136" s="10"/>
      <c r="CO136" s="10"/>
      <c r="CP136" s="11"/>
      <c r="CQ136" s="12"/>
      <c r="CR136" s="17"/>
      <c r="CS136" s="13"/>
      <c r="CT136" s="13"/>
      <c r="CU136" s="13"/>
      <c r="CV136" s="14"/>
      <c r="CW136" s="9"/>
      <c r="CX136" s="16"/>
      <c r="CY136" s="10"/>
      <c r="CZ136" s="10"/>
      <c r="DA136" s="10"/>
      <c r="DB136" s="11"/>
      <c r="DC136" s="12"/>
      <c r="DD136" s="17"/>
      <c r="DE136" s="13"/>
      <c r="DF136" s="13"/>
      <c r="DG136" s="13"/>
      <c r="DH136" s="14"/>
      <c r="DI136" s="8">
        <f t="shared" si="36"/>
        <v>310</v>
      </c>
      <c r="DJ136" s="8">
        <f t="shared" si="37"/>
        <v>250</v>
      </c>
      <c r="DK136" s="8">
        <f t="shared" si="38"/>
        <v>239</v>
      </c>
      <c r="DL136" s="8">
        <f t="shared" si="39"/>
        <v>99</v>
      </c>
      <c r="DM136" s="8">
        <f t="shared" si="40"/>
        <v>310</v>
      </c>
      <c r="DN136" s="8">
        <f t="shared" si="41"/>
        <v>239</v>
      </c>
      <c r="DO136" s="15">
        <f t="shared" si="42"/>
        <v>22.443914364477514</v>
      </c>
      <c r="DP136" s="15" t="str">
        <f t="shared" si="43"/>
        <v>OK - No Upgrade</v>
      </c>
      <c r="DQ136" s="15" t="str">
        <f t="shared" si="44"/>
        <v>Need to Balance</v>
      </c>
    </row>
    <row r="137" spans="1:121" ht="15.75" customHeight="1" x14ac:dyDescent="0.25">
      <c r="A137" s="8" t="s">
        <v>38</v>
      </c>
      <c r="B137" s="8" t="s">
        <v>385</v>
      </c>
      <c r="C137" s="8" t="s">
        <v>265</v>
      </c>
      <c r="D137" s="8"/>
      <c r="E137" s="8" t="s">
        <v>642</v>
      </c>
      <c r="F137" s="8" t="s">
        <v>56</v>
      </c>
      <c r="G137" s="8"/>
      <c r="H137" s="8">
        <v>500</v>
      </c>
      <c r="I137" s="8" t="s">
        <v>643</v>
      </c>
      <c r="J137" s="8">
        <v>1</v>
      </c>
      <c r="K137" s="8">
        <v>241</v>
      </c>
      <c r="L137" s="8">
        <v>242</v>
      </c>
      <c r="M137" s="8">
        <v>245</v>
      </c>
      <c r="N137" s="8">
        <v>418</v>
      </c>
      <c r="O137" s="8">
        <v>421</v>
      </c>
      <c r="P137" s="8">
        <v>421</v>
      </c>
      <c r="Q137" s="9" t="s">
        <v>47</v>
      </c>
      <c r="R137" s="16"/>
      <c r="S137" s="10">
        <v>65</v>
      </c>
      <c r="T137" s="10">
        <v>30</v>
      </c>
      <c r="U137" s="10">
        <v>123</v>
      </c>
      <c r="V137" s="11">
        <v>39</v>
      </c>
      <c r="W137" s="12" t="s">
        <v>46</v>
      </c>
      <c r="X137" s="17"/>
      <c r="Y137" s="13">
        <v>99</v>
      </c>
      <c r="Z137" s="13">
        <v>133</v>
      </c>
      <c r="AA137" s="13">
        <v>62</v>
      </c>
      <c r="AB137" s="14">
        <v>65</v>
      </c>
      <c r="AC137" s="9" t="s">
        <v>47</v>
      </c>
      <c r="AD137" s="16"/>
      <c r="AE137" s="10">
        <v>100</v>
      </c>
      <c r="AF137" s="10">
        <v>51</v>
      </c>
      <c r="AG137" s="10">
        <v>131</v>
      </c>
      <c r="AH137" s="11">
        <v>17</v>
      </c>
      <c r="AI137" s="12" t="s">
        <v>47</v>
      </c>
      <c r="AJ137" s="17"/>
      <c r="AK137" s="13">
        <v>45</v>
      </c>
      <c r="AL137" s="13">
        <v>60</v>
      </c>
      <c r="AM137" s="13">
        <v>58</v>
      </c>
      <c r="AN137" s="14">
        <v>14</v>
      </c>
      <c r="AO137" s="9" t="s">
        <v>47</v>
      </c>
      <c r="AP137" s="16"/>
      <c r="AQ137" s="10">
        <v>99</v>
      </c>
      <c r="AR137" s="10">
        <v>66</v>
      </c>
      <c r="AS137" s="10">
        <v>94</v>
      </c>
      <c r="AT137" s="11">
        <v>21</v>
      </c>
      <c r="AU137" s="12"/>
      <c r="AV137" s="17"/>
      <c r="AW137" s="13"/>
      <c r="AX137" s="13"/>
      <c r="AY137" s="13"/>
      <c r="AZ137" s="14"/>
      <c r="BA137" s="9"/>
      <c r="BB137" s="16"/>
      <c r="BC137" s="10"/>
      <c r="BD137" s="10"/>
      <c r="BE137" s="10"/>
      <c r="BF137" s="11"/>
      <c r="BG137" s="12"/>
      <c r="BH137" s="17"/>
      <c r="BI137" s="13"/>
      <c r="BJ137" s="13"/>
      <c r="BK137" s="13"/>
      <c r="BL137" s="14"/>
      <c r="BM137" s="9"/>
      <c r="BN137" s="16"/>
      <c r="BO137" s="10"/>
      <c r="BP137" s="10"/>
      <c r="BQ137" s="10"/>
      <c r="BR137" s="11"/>
      <c r="BS137" s="12"/>
      <c r="BT137" s="17"/>
      <c r="BU137" s="13"/>
      <c r="BV137" s="13"/>
      <c r="BW137" s="13"/>
      <c r="BX137" s="14"/>
      <c r="BY137" s="9"/>
      <c r="BZ137" s="16"/>
      <c r="CA137" s="10"/>
      <c r="CB137" s="10"/>
      <c r="CC137" s="10"/>
      <c r="CD137" s="11"/>
      <c r="CE137" s="12"/>
      <c r="CF137" s="17"/>
      <c r="CG137" s="13"/>
      <c r="CH137" s="13"/>
      <c r="CI137" s="13"/>
      <c r="CJ137" s="14"/>
      <c r="CK137" s="9"/>
      <c r="CL137" s="16"/>
      <c r="CM137" s="10"/>
      <c r="CN137" s="10"/>
      <c r="CO137" s="10"/>
      <c r="CP137" s="11"/>
      <c r="CQ137" s="12"/>
      <c r="CR137" s="17"/>
      <c r="CS137" s="13"/>
      <c r="CT137" s="13"/>
      <c r="CU137" s="13"/>
      <c r="CV137" s="14"/>
      <c r="CW137" s="9"/>
      <c r="CX137" s="16"/>
      <c r="CY137" s="10"/>
      <c r="CZ137" s="10"/>
      <c r="DA137" s="10"/>
      <c r="DB137" s="11"/>
      <c r="DC137" s="12"/>
      <c r="DD137" s="17"/>
      <c r="DE137" s="13"/>
      <c r="DF137" s="13"/>
      <c r="DG137" s="13"/>
      <c r="DH137" s="14"/>
      <c r="DI137" s="8">
        <f t="shared" si="36"/>
        <v>408</v>
      </c>
      <c r="DJ137" s="8">
        <f t="shared" si="37"/>
        <v>340</v>
      </c>
      <c r="DK137" s="8">
        <f t="shared" si="38"/>
        <v>468</v>
      </c>
      <c r="DL137" s="8">
        <f t="shared" si="39"/>
        <v>156</v>
      </c>
      <c r="DM137" s="8">
        <f t="shared" si="40"/>
        <v>468</v>
      </c>
      <c r="DN137" s="8">
        <f t="shared" si="41"/>
        <v>340</v>
      </c>
      <c r="DO137" s="15">
        <f t="shared" si="42"/>
        <v>67.766141435970809</v>
      </c>
      <c r="DP137" s="15" t="str">
        <f t="shared" si="43"/>
        <v>OK - No Upgrade</v>
      </c>
      <c r="DQ137" s="15" t="str">
        <f t="shared" si="44"/>
        <v>Need to Balance</v>
      </c>
    </row>
    <row r="138" spans="1:121" ht="15.75" customHeight="1" x14ac:dyDescent="0.25">
      <c r="A138" s="8" t="s">
        <v>38</v>
      </c>
      <c r="B138" s="8" t="s">
        <v>385</v>
      </c>
      <c r="C138" s="8" t="s">
        <v>265</v>
      </c>
      <c r="D138" s="8"/>
      <c r="E138" s="8" t="s">
        <v>642</v>
      </c>
      <c r="F138" s="8" t="s">
        <v>56</v>
      </c>
      <c r="G138" s="8" t="s">
        <v>44</v>
      </c>
      <c r="H138" s="8">
        <v>500</v>
      </c>
      <c r="I138" s="8" t="s">
        <v>644</v>
      </c>
      <c r="J138" s="8">
        <v>2</v>
      </c>
      <c r="K138" s="8">
        <v>245</v>
      </c>
      <c r="L138" s="8">
        <v>245</v>
      </c>
      <c r="M138" s="8">
        <v>248</v>
      </c>
      <c r="N138" s="8">
        <v>423</v>
      </c>
      <c r="O138" s="8">
        <v>428</v>
      </c>
      <c r="P138" s="8">
        <v>424</v>
      </c>
      <c r="Q138" s="9" t="s">
        <v>47</v>
      </c>
      <c r="R138" s="16"/>
      <c r="S138" s="10">
        <v>73</v>
      </c>
      <c r="T138" s="10">
        <v>32</v>
      </c>
      <c r="U138" s="10">
        <v>90</v>
      </c>
      <c r="V138" s="11">
        <v>16</v>
      </c>
      <c r="W138" s="12" t="s">
        <v>47</v>
      </c>
      <c r="X138" s="17"/>
      <c r="Y138" s="13">
        <v>50</v>
      </c>
      <c r="Z138" s="13">
        <v>112</v>
      </c>
      <c r="AA138" s="13">
        <v>24</v>
      </c>
      <c r="AB138" s="14">
        <v>72</v>
      </c>
      <c r="AC138" s="9" t="s">
        <v>47</v>
      </c>
      <c r="AD138" s="16"/>
      <c r="AE138" s="10">
        <v>120</v>
      </c>
      <c r="AF138" s="10">
        <v>101</v>
      </c>
      <c r="AG138" s="10">
        <v>88</v>
      </c>
      <c r="AH138" s="11">
        <v>50</v>
      </c>
      <c r="AI138" s="12" t="s">
        <v>47</v>
      </c>
      <c r="AJ138" s="17"/>
      <c r="AK138" s="13">
        <v>13</v>
      </c>
      <c r="AL138" s="13">
        <v>30</v>
      </c>
      <c r="AM138" s="13">
        <v>16</v>
      </c>
      <c r="AN138" s="14">
        <v>16</v>
      </c>
      <c r="AO138" s="9" t="s">
        <v>47</v>
      </c>
      <c r="AP138" s="16"/>
      <c r="AQ138" s="10">
        <v>93</v>
      </c>
      <c r="AR138" s="10">
        <v>40</v>
      </c>
      <c r="AS138" s="10">
        <v>52</v>
      </c>
      <c r="AT138" s="11">
        <v>70</v>
      </c>
      <c r="AU138" s="12"/>
      <c r="AV138" s="17"/>
      <c r="AW138" s="13"/>
      <c r="AX138" s="13"/>
      <c r="AY138" s="13"/>
      <c r="AZ138" s="14"/>
      <c r="BA138" s="9"/>
      <c r="BB138" s="16"/>
      <c r="BC138" s="10"/>
      <c r="BD138" s="10"/>
      <c r="BE138" s="10"/>
      <c r="BF138" s="11"/>
      <c r="BG138" s="12"/>
      <c r="BH138" s="17"/>
      <c r="BI138" s="13"/>
      <c r="BJ138" s="13"/>
      <c r="BK138" s="13"/>
      <c r="BL138" s="14"/>
      <c r="BM138" s="9"/>
      <c r="BN138" s="16"/>
      <c r="BO138" s="10"/>
      <c r="BP138" s="10"/>
      <c r="BQ138" s="10"/>
      <c r="BR138" s="11"/>
      <c r="BS138" s="12"/>
      <c r="BT138" s="17"/>
      <c r="BU138" s="13"/>
      <c r="BV138" s="13"/>
      <c r="BW138" s="13"/>
      <c r="BX138" s="14"/>
      <c r="BY138" s="9"/>
      <c r="BZ138" s="16"/>
      <c r="CA138" s="10"/>
      <c r="CB138" s="10"/>
      <c r="CC138" s="10"/>
      <c r="CD138" s="11"/>
      <c r="CE138" s="12"/>
      <c r="CF138" s="17"/>
      <c r="CG138" s="13"/>
      <c r="CH138" s="13"/>
      <c r="CI138" s="13"/>
      <c r="CJ138" s="14"/>
      <c r="CK138" s="9"/>
      <c r="CL138" s="16"/>
      <c r="CM138" s="10"/>
      <c r="CN138" s="10"/>
      <c r="CO138" s="10"/>
      <c r="CP138" s="11"/>
      <c r="CQ138" s="12"/>
      <c r="CR138" s="17"/>
      <c r="CS138" s="13"/>
      <c r="CT138" s="13"/>
      <c r="CU138" s="13"/>
      <c r="CV138" s="14"/>
      <c r="CW138" s="9"/>
      <c r="CX138" s="16"/>
      <c r="CY138" s="10"/>
      <c r="CZ138" s="10"/>
      <c r="DA138" s="10"/>
      <c r="DB138" s="11"/>
      <c r="DC138" s="12"/>
      <c r="DD138" s="17"/>
      <c r="DE138" s="13"/>
      <c r="DF138" s="13"/>
      <c r="DG138" s="13"/>
      <c r="DH138" s="14"/>
      <c r="DI138" s="8">
        <f t="shared" si="36"/>
        <v>349</v>
      </c>
      <c r="DJ138" s="8">
        <f t="shared" si="37"/>
        <v>315</v>
      </c>
      <c r="DK138" s="8">
        <f t="shared" si="38"/>
        <v>270</v>
      </c>
      <c r="DL138" s="8">
        <f t="shared" si="39"/>
        <v>224</v>
      </c>
      <c r="DM138" s="8">
        <f t="shared" si="40"/>
        <v>349</v>
      </c>
      <c r="DN138" s="8">
        <f t="shared" si="41"/>
        <v>270</v>
      </c>
      <c r="DO138" s="15">
        <f t="shared" si="42"/>
        <v>51.139492913794129</v>
      </c>
      <c r="DP138" s="15" t="str">
        <f t="shared" si="43"/>
        <v>OK - No Upgrade</v>
      </c>
      <c r="DQ138" s="15" t="str">
        <f t="shared" si="44"/>
        <v>Need to Balance</v>
      </c>
    </row>
    <row r="139" spans="1:121" ht="15.75" customHeight="1" x14ac:dyDescent="0.25">
      <c r="A139" s="8" t="s">
        <v>38</v>
      </c>
      <c r="B139" s="8" t="s">
        <v>385</v>
      </c>
      <c r="C139" s="8" t="s">
        <v>573</v>
      </c>
      <c r="D139" s="8" t="s">
        <v>645</v>
      </c>
      <c r="E139" s="8" t="s">
        <v>646</v>
      </c>
      <c r="F139" s="8" t="s">
        <v>56</v>
      </c>
      <c r="G139" s="8"/>
      <c r="H139" s="8">
        <v>500</v>
      </c>
      <c r="I139" s="8" t="s">
        <v>647</v>
      </c>
      <c r="J139" s="8">
        <v>1</v>
      </c>
      <c r="K139" s="8">
        <v>242</v>
      </c>
      <c r="L139" s="8">
        <v>243</v>
      </c>
      <c r="M139" s="8">
        <v>246</v>
      </c>
      <c r="N139" s="8">
        <v>420</v>
      </c>
      <c r="O139" s="8">
        <v>425</v>
      </c>
      <c r="P139" s="8">
        <v>424</v>
      </c>
      <c r="Q139" s="9"/>
      <c r="R139" s="16"/>
      <c r="S139" s="10"/>
      <c r="T139" s="10"/>
      <c r="U139" s="10"/>
      <c r="V139" s="11"/>
      <c r="W139" s="12"/>
      <c r="X139" s="17"/>
      <c r="Y139" s="13"/>
      <c r="Z139" s="13"/>
      <c r="AA139" s="13"/>
      <c r="AB139" s="14"/>
      <c r="AC139" s="9" t="s">
        <v>47</v>
      </c>
      <c r="AD139" s="16"/>
      <c r="AE139" s="10">
        <v>182</v>
      </c>
      <c r="AF139" s="10">
        <v>66</v>
      </c>
      <c r="AG139" s="10">
        <v>114</v>
      </c>
      <c r="AH139" s="11">
        <v>20</v>
      </c>
      <c r="AI139" s="12" t="s">
        <v>47</v>
      </c>
      <c r="AJ139" s="17"/>
      <c r="AK139" s="13">
        <v>32</v>
      </c>
      <c r="AL139" s="13">
        <v>60</v>
      </c>
      <c r="AM139" s="13">
        <v>87</v>
      </c>
      <c r="AN139" s="14">
        <v>22</v>
      </c>
      <c r="AO139" s="9" t="s">
        <v>47</v>
      </c>
      <c r="AP139" s="16"/>
      <c r="AQ139" s="10">
        <v>86</v>
      </c>
      <c r="AR139" s="10">
        <v>87</v>
      </c>
      <c r="AS139" s="10">
        <v>85</v>
      </c>
      <c r="AT139" s="11">
        <v>11</v>
      </c>
      <c r="AU139" s="12"/>
      <c r="AV139" s="17"/>
      <c r="AW139" s="13"/>
      <c r="AX139" s="13"/>
      <c r="AY139" s="13"/>
      <c r="AZ139" s="14"/>
      <c r="BA139" s="9"/>
      <c r="BB139" s="16"/>
      <c r="BC139" s="10"/>
      <c r="BD139" s="10"/>
      <c r="BE139" s="10"/>
      <c r="BF139" s="11"/>
      <c r="BG139" s="12"/>
      <c r="BH139" s="17"/>
      <c r="BI139" s="13"/>
      <c r="BJ139" s="13"/>
      <c r="BK139" s="13"/>
      <c r="BL139" s="14"/>
      <c r="BM139" s="9"/>
      <c r="BN139" s="16"/>
      <c r="BO139" s="10"/>
      <c r="BP139" s="10"/>
      <c r="BQ139" s="10"/>
      <c r="BR139" s="11"/>
      <c r="BS139" s="12"/>
      <c r="BT139" s="17"/>
      <c r="BU139" s="13"/>
      <c r="BV139" s="13"/>
      <c r="BW139" s="13"/>
      <c r="BX139" s="14"/>
      <c r="BY139" s="9"/>
      <c r="BZ139" s="16"/>
      <c r="CA139" s="10"/>
      <c r="CB139" s="10"/>
      <c r="CC139" s="10"/>
      <c r="CD139" s="11"/>
      <c r="CE139" s="12"/>
      <c r="CF139" s="17"/>
      <c r="CG139" s="13"/>
      <c r="CH139" s="13"/>
      <c r="CI139" s="13"/>
      <c r="CJ139" s="14"/>
      <c r="CK139" s="9"/>
      <c r="CL139" s="16"/>
      <c r="CM139" s="10"/>
      <c r="CN139" s="10"/>
      <c r="CO139" s="10"/>
      <c r="CP139" s="11"/>
      <c r="CQ139" s="12"/>
      <c r="CR139" s="17"/>
      <c r="CS139" s="13"/>
      <c r="CT139" s="13"/>
      <c r="CU139" s="13"/>
      <c r="CV139" s="14"/>
      <c r="CW139" s="9"/>
      <c r="CX139" s="16"/>
      <c r="CY139" s="10"/>
      <c r="CZ139" s="10"/>
      <c r="DA139" s="10"/>
      <c r="DB139" s="11"/>
      <c r="DC139" s="12"/>
      <c r="DD139" s="17"/>
      <c r="DE139" s="13"/>
      <c r="DF139" s="13"/>
      <c r="DG139" s="13"/>
      <c r="DH139" s="14"/>
      <c r="DI139" s="8">
        <f t="shared" si="36"/>
        <v>300</v>
      </c>
      <c r="DJ139" s="8">
        <f t="shared" si="37"/>
        <v>213</v>
      </c>
      <c r="DK139" s="8">
        <f t="shared" si="38"/>
        <v>286</v>
      </c>
      <c r="DL139" s="8">
        <f t="shared" si="39"/>
        <v>53</v>
      </c>
      <c r="DM139" s="8">
        <f t="shared" si="40"/>
        <v>300</v>
      </c>
      <c r="DN139" s="8">
        <f t="shared" si="41"/>
        <v>213</v>
      </c>
      <c r="DO139" s="15">
        <f t="shared" si="42"/>
        <v>43.647680350735705</v>
      </c>
      <c r="DP139" s="15" t="str">
        <f t="shared" si="43"/>
        <v>OK - No Upgrade</v>
      </c>
      <c r="DQ139" s="15" t="str">
        <f t="shared" si="44"/>
        <v>Need to Balance</v>
      </c>
    </row>
    <row r="140" spans="1:121" ht="15.75" customHeight="1" x14ac:dyDescent="0.25">
      <c r="A140" s="8" t="s">
        <v>38</v>
      </c>
      <c r="B140" s="8" t="s">
        <v>385</v>
      </c>
      <c r="C140" s="8" t="s">
        <v>573</v>
      </c>
      <c r="D140" s="8" t="s">
        <v>645</v>
      </c>
      <c r="E140" s="8" t="s">
        <v>646</v>
      </c>
      <c r="F140" s="8" t="s">
        <v>56</v>
      </c>
      <c r="G140" s="8" t="s">
        <v>44</v>
      </c>
      <c r="H140" s="8">
        <v>500</v>
      </c>
      <c r="I140" s="8" t="s">
        <v>648</v>
      </c>
      <c r="J140" s="8">
        <v>2</v>
      </c>
      <c r="K140" s="8">
        <v>246</v>
      </c>
      <c r="L140" s="8">
        <v>246</v>
      </c>
      <c r="M140" s="8">
        <v>248</v>
      </c>
      <c r="N140" s="8">
        <v>425</v>
      </c>
      <c r="O140" s="8">
        <v>430</v>
      </c>
      <c r="P140" s="8">
        <v>428</v>
      </c>
      <c r="Q140" s="9"/>
      <c r="R140" s="16"/>
      <c r="S140" s="10"/>
      <c r="T140" s="10"/>
      <c r="U140" s="10"/>
      <c r="V140" s="11"/>
      <c r="W140" s="12"/>
      <c r="X140" s="17"/>
      <c r="Y140" s="13"/>
      <c r="Z140" s="13"/>
      <c r="AA140" s="13"/>
      <c r="AB140" s="14"/>
      <c r="AC140" s="9" t="s">
        <v>47</v>
      </c>
      <c r="AD140" s="16"/>
      <c r="AE140" s="10">
        <v>60</v>
      </c>
      <c r="AF140" s="10">
        <v>66</v>
      </c>
      <c r="AG140" s="10">
        <v>82</v>
      </c>
      <c r="AH140" s="11">
        <v>25</v>
      </c>
      <c r="AI140" s="12" t="s">
        <v>47</v>
      </c>
      <c r="AJ140" s="17"/>
      <c r="AK140" s="13">
        <v>27</v>
      </c>
      <c r="AL140" s="13">
        <v>73</v>
      </c>
      <c r="AM140" s="13">
        <v>85</v>
      </c>
      <c r="AN140" s="14">
        <v>30</v>
      </c>
      <c r="AO140" s="9" t="s">
        <v>47</v>
      </c>
      <c r="AP140" s="16"/>
      <c r="AQ140" s="10">
        <v>98</v>
      </c>
      <c r="AR140" s="10">
        <v>76</v>
      </c>
      <c r="AS140" s="10">
        <v>84</v>
      </c>
      <c r="AT140" s="11">
        <v>20</v>
      </c>
      <c r="AU140" s="12"/>
      <c r="AV140" s="17"/>
      <c r="AW140" s="13"/>
      <c r="AX140" s="13"/>
      <c r="AY140" s="13"/>
      <c r="AZ140" s="14"/>
      <c r="BA140" s="9"/>
      <c r="BB140" s="16"/>
      <c r="BC140" s="10"/>
      <c r="BD140" s="10"/>
      <c r="BE140" s="10"/>
      <c r="BF140" s="11"/>
      <c r="BG140" s="12"/>
      <c r="BH140" s="17"/>
      <c r="BI140" s="13"/>
      <c r="BJ140" s="13"/>
      <c r="BK140" s="13"/>
      <c r="BL140" s="14"/>
      <c r="BM140" s="9"/>
      <c r="BN140" s="16"/>
      <c r="BO140" s="10"/>
      <c r="BP140" s="10"/>
      <c r="BQ140" s="10"/>
      <c r="BR140" s="11"/>
      <c r="BS140" s="12"/>
      <c r="BT140" s="17"/>
      <c r="BU140" s="13"/>
      <c r="BV140" s="13"/>
      <c r="BW140" s="13"/>
      <c r="BX140" s="14"/>
      <c r="BY140" s="9"/>
      <c r="BZ140" s="16"/>
      <c r="CA140" s="10"/>
      <c r="CB140" s="10"/>
      <c r="CC140" s="10"/>
      <c r="CD140" s="11"/>
      <c r="CE140" s="12"/>
      <c r="CF140" s="17"/>
      <c r="CG140" s="13"/>
      <c r="CH140" s="13"/>
      <c r="CI140" s="13"/>
      <c r="CJ140" s="14"/>
      <c r="CK140" s="9"/>
      <c r="CL140" s="16"/>
      <c r="CM140" s="10"/>
      <c r="CN140" s="10"/>
      <c r="CO140" s="10"/>
      <c r="CP140" s="11"/>
      <c r="CQ140" s="12"/>
      <c r="CR140" s="17"/>
      <c r="CS140" s="13"/>
      <c r="CT140" s="13"/>
      <c r="CU140" s="13"/>
      <c r="CV140" s="14"/>
      <c r="CW140" s="9"/>
      <c r="CX140" s="16"/>
      <c r="CY140" s="10"/>
      <c r="CZ140" s="10"/>
      <c r="DA140" s="10"/>
      <c r="DB140" s="11"/>
      <c r="DC140" s="12"/>
      <c r="DD140" s="17"/>
      <c r="DE140" s="13"/>
      <c r="DF140" s="13"/>
      <c r="DG140" s="13"/>
      <c r="DH140" s="14"/>
      <c r="DI140" s="8">
        <f t="shared" si="36"/>
        <v>185</v>
      </c>
      <c r="DJ140" s="8">
        <f t="shared" si="37"/>
        <v>215</v>
      </c>
      <c r="DK140" s="8">
        <f t="shared" si="38"/>
        <v>251</v>
      </c>
      <c r="DL140" s="8">
        <f t="shared" si="39"/>
        <v>75</v>
      </c>
      <c r="DM140" s="8">
        <f t="shared" si="40"/>
        <v>251</v>
      </c>
      <c r="DN140" s="8">
        <f t="shared" si="41"/>
        <v>185</v>
      </c>
      <c r="DO140" s="15">
        <f t="shared" si="42"/>
        <v>36.953303979481994</v>
      </c>
      <c r="DP140" s="15" t="str">
        <f t="shared" si="43"/>
        <v>OK - No Upgrade</v>
      </c>
      <c r="DQ140" s="15" t="str">
        <f t="shared" si="44"/>
        <v>Need to Balance</v>
      </c>
    </row>
    <row r="141" spans="1:121" ht="15.75" customHeight="1" x14ac:dyDescent="0.25">
      <c r="A141" s="8" t="s">
        <v>38</v>
      </c>
      <c r="B141" s="8" t="s">
        <v>385</v>
      </c>
      <c r="C141" s="8" t="s">
        <v>536</v>
      </c>
      <c r="D141" s="8"/>
      <c r="E141" s="8" t="s">
        <v>649</v>
      </c>
      <c r="F141" s="8" t="s">
        <v>56</v>
      </c>
      <c r="G141" s="8"/>
      <c r="H141" s="8">
        <v>500</v>
      </c>
      <c r="I141" s="8" t="s">
        <v>650</v>
      </c>
      <c r="J141" s="8">
        <v>1</v>
      </c>
      <c r="K141" s="8">
        <v>245</v>
      </c>
      <c r="L141" s="8">
        <v>245</v>
      </c>
      <c r="M141" s="8">
        <v>248</v>
      </c>
      <c r="N141" s="8">
        <v>424</v>
      </c>
      <c r="O141" s="8">
        <v>428</v>
      </c>
      <c r="P141" s="8">
        <v>427</v>
      </c>
      <c r="Q141" s="9"/>
      <c r="R141" s="16"/>
      <c r="S141" s="10"/>
      <c r="T141" s="10"/>
      <c r="U141" s="10"/>
      <c r="V141" s="11"/>
      <c r="W141" s="12"/>
      <c r="X141" s="17"/>
      <c r="Y141" s="13"/>
      <c r="Z141" s="13"/>
      <c r="AA141" s="13"/>
      <c r="AB141" s="14"/>
      <c r="AC141" s="9" t="s">
        <v>70</v>
      </c>
      <c r="AD141" s="16"/>
      <c r="AE141" s="10">
        <v>197</v>
      </c>
      <c r="AF141" s="10">
        <v>160</v>
      </c>
      <c r="AG141" s="10">
        <v>176</v>
      </c>
      <c r="AH141" s="11">
        <v>40</v>
      </c>
      <c r="AI141" s="12"/>
      <c r="AJ141" s="17"/>
      <c r="AK141" s="13"/>
      <c r="AL141" s="13"/>
      <c r="AM141" s="13"/>
      <c r="AN141" s="14"/>
      <c r="AO141" s="9" t="s">
        <v>70</v>
      </c>
      <c r="AP141" s="16"/>
      <c r="AQ141" s="10">
        <v>130</v>
      </c>
      <c r="AR141" s="10">
        <v>147</v>
      </c>
      <c r="AS141" s="10">
        <v>136</v>
      </c>
      <c r="AT141" s="11">
        <v>65</v>
      </c>
      <c r="AU141" s="12"/>
      <c r="AV141" s="17"/>
      <c r="AW141" s="13"/>
      <c r="AX141" s="13"/>
      <c r="AY141" s="13"/>
      <c r="AZ141" s="14"/>
      <c r="BA141" s="9"/>
      <c r="BB141" s="16"/>
      <c r="BC141" s="10"/>
      <c r="BD141" s="10"/>
      <c r="BE141" s="10"/>
      <c r="BF141" s="11"/>
      <c r="BG141" s="12"/>
      <c r="BH141" s="17"/>
      <c r="BI141" s="13"/>
      <c r="BJ141" s="13"/>
      <c r="BK141" s="13"/>
      <c r="BL141" s="14"/>
      <c r="BM141" s="9"/>
      <c r="BN141" s="16"/>
      <c r="BO141" s="10"/>
      <c r="BP141" s="10"/>
      <c r="BQ141" s="10"/>
      <c r="BR141" s="11"/>
      <c r="BS141" s="12"/>
      <c r="BT141" s="17"/>
      <c r="BU141" s="13"/>
      <c r="BV141" s="13"/>
      <c r="BW141" s="13"/>
      <c r="BX141" s="14"/>
      <c r="BY141" s="9"/>
      <c r="BZ141" s="16"/>
      <c r="CA141" s="10"/>
      <c r="CB141" s="10"/>
      <c r="CC141" s="10"/>
      <c r="CD141" s="11"/>
      <c r="CE141" s="12"/>
      <c r="CF141" s="17"/>
      <c r="CG141" s="13"/>
      <c r="CH141" s="13"/>
      <c r="CI141" s="13"/>
      <c r="CJ141" s="14"/>
      <c r="CK141" s="9"/>
      <c r="CL141" s="16"/>
      <c r="CM141" s="10"/>
      <c r="CN141" s="10"/>
      <c r="CO141" s="10"/>
      <c r="CP141" s="11"/>
      <c r="CQ141" s="12"/>
      <c r="CR141" s="17"/>
      <c r="CS141" s="13"/>
      <c r="CT141" s="13"/>
      <c r="CU141" s="13"/>
      <c r="CV141" s="14"/>
      <c r="CW141" s="9"/>
      <c r="CX141" s="16"/>
      <c r="CY141" s="10"/>
      <c r="CZ141" s="10"/>
      <c r="DA141" s="10"/>
      <c r="DB141" s="11"/>
      <c r="DC141" s="12"/>
      <c r="DD141" s="17"/>
      <c r="DE141" s="13"/>
      <c r="DF141" s="13"/>
      <c r="DG141" s="13"/>
      <c r="DH141" s="14"/>
      <c r="DI141" s="8">
        <f t="shared" si="36"/>
        <v>327</v>
      </c>
      <c r="DJ141" s="8">
        <f t="shared" si="37"/>
        <v>307</v>
      </c>
      <c r="DK141" s="8">
        <f t="shared" si="38"/>
        <v>312</v>
      </c>
      <c r="DL141" s="8">
        <f t="shared" si="39"/>
        <v>105</v>
      </c>
      <c r="DM141" s="8">
        <f t="shared" si="40"/>
        <v>327</v>
      </c>
      <c r="DN141" s="8">
        <f t="shared" si="41"/>
        <v>307</v>
      </c>
      <c r="DO141" s="15">
        <f t="shared" si="42"/>
        <v>48.029076073561939</v>
      </c>
      <c r="DP141" s="15" t="str">
        <f t="shared" si="43"/>
        <v>OK - No Upgrade</v>
      </c>
      <c r="DQ141" s="15" t="str">
        <f t="shared" si="44"/>
        <v>OK - Balanced</v>
      </c>
    </row>
    <row r="142" spans="1:121" ht="15.75" customHeight="1" x14ac:dyDescent="0.25">
      <c r="A142" s="8" t="s">
        <v>38</v>
      </c>
      <c r="B142" s="8" t="s">
        <v>385</v>
      </c>
      <c r="C142" s="8" t="s">
        <v>40</v>
      </c>
      <c r="D142" s="8"/>
      <c r="E142" s="8" t="s">
        <v>651</v>
      </c>
      <c r="F142" s="8" t="s">
        <v>56</v>
      </c>
      <c r="G142" s="8"/>
      <c r="H142" s="8">
        <v>500</v>
      </c>
      <c r="I142" s="8" t="s">
        <v>652</v>
      </c>
      <c r="J142" s="8">
        <v>1</v>
      </c>
      <c r="K142" s="8">
        <v>245</v>
      </c>
      <c r="L142" s="8">
        <v>245</v>
      </c>
      <c r="M142" s="8">
        <v>247</v>
      </c>
      <c r="N142" s="8">
        <v>424</v>
      </c>
      <c r="O142" s="8">
        <v>428</v>
      </c>
      <c r="P142" s="8">
        <v>428</v>
      </c>
      <c r="Q142" s="9"/>
      <c r="R142" s="16"/>
      <c r="S142" s="10"/>
      <c r="T142" s="10"/>
      <c r="U142" s="10"/>
      <c r="V142" s="11"/>
      <c r="W142" s="12" t="s">
        <v>70</v>
      </c>
      <c r="X142" s="17"/>
      <c r="Y142" s="13">
        <v>151</v>
      </c>
      <c r="Z142" s="13">
        <v>133</v>
      </c>
      <c r="AA142" s="13">
        <v>143</v>
      </c>
      <c r="AB142" s="14">
        <v>40</v>
      </c>
      <c r="AC142" s="9" t="s">
        <v>70</v>
      </c>
      <c r="AD142" s="16"/>
      <c r="AE142" s="10">
        <v>90</v>
      </c>
      <c r="AF142" s="10">
        <v>80</v>
      </c>
      <c r="AG142" s="10">
        <v>91</v>
      </c>
      <c r="AH142" s="11">
        <v>35</v>
      </c>
      <c r="AI142" s="12"/>
      <c r="AJ142" s="17"/>
      <c r="AK142" s="13"/>
      <c r="AL142" s="13"/>
      <c r="AM142" s="13"/>
      <c r="AN142" s="14"/>
      <c r="AO142" s="9"/>
      <c r="AP142" s="16"/>
      <c r="AQ142" s="10"/>
      <c r="AR142" s="10"/>
      <c r="AS142" s="10"/>
      <c r="AT142" s="11"/>
      <c r="AU142" s="12"/>
      <c r="AV142" s="17"/>
      <c r="AW142" s="13"/>
      <c r="AX142" s="13"/>
      <c r="AY142" s="13"/>
      <c r="AZ142" s="14"/>
      <c r="BA142" s="9"/>
      <c r="BB142" s="16"/>
      <c r="BC142" s="10"/>
      <c r="BD142" s="10"/>
      <c r="BE142" s="10"/>
      <c r="BF142" s="11"/>
      <c r="BG142" s="12"/>
      <c r="BH142" s="17"/>
      <c r="BI142" s="13"/>
      <c r="BJ142" s="13"/>
      <c r="BK142" s="13"/>
      <c r="BL142" s="14"/>
      <c r="BM142" s="9"/>
      <c r="BN142" s="16"/>
      <c r="BO142" s="10"/>
      <c r="BP142" s="10"/>
      <c r="BQ142" s="10"/>
      <c r="BR142" s="11"/>
      <c r="BS142" s="12"/>
      <c r="BT142" s="17"/>
      <c r="BU142" s="13"/>
      <c r="BV142" s="13"/>
      <c r="BW142" s="13"/>
      <c r="BX142" s="14"/>
      <c r="BY142" s="9"/>
      <c r="BZ142" s="16"/>
      <c r="CA142" s="10"/>
      <c r="CB142" s="10"/>
      <c r="CC142" s="10"/>
      <c r="CD142" s="11"/>
      <c r="CE142" s="12"/>
      <c r="CF142" s="17"/>
      <c r="CG142" s="13"/>
      <c r="CH142" s="13"/>
      <c r="CI142" s="13"/>
      <c r="CJ142" s="14"/>
      <c r="CK142" s="9"/>
      <c r="CL142" s="16"/>
      <c r="CM142" s="10"/>
      <c r="CN142" s="10"/>
      <c r="CO142" s="10"/>
      <c r="CP142" s="11"/>
      <c r="CQ142" s="12"/>
      <c r="CR142" s="17"/>
      <c r="CS142" s="13"/>
      <c r="CT142" s="13"/>
      <c r="CU142" s="13"/>
      <c r="CV142" s="14"/>
      <c r="CW142" s="9"/>
      <c r="CX142" s="16"/>
      <c r="CY142" s="10"/>
      <c r="CZ142" s="10"/>
      <c r="DA142" s="10"/>
      <c r="DB142" s="11"/>
      <c r="DC142" s="12"/>
      <c r="DD142" s="17"/>
      <c r="DE142" s="13"/>
      <c r="DF142" s="13"/>
      <c r="DG142" s="13"/>
      <c r="DH142" s="14"/>
      <c r="DI142" s="8">
        <f t="shared" si="36"/>
        <v>241</v>
      </c>
      <c r="DJ142" s="8">
        <f t="shared" si="37"/>
        <v>213</v>
      </c>
      <c r="DK142" s="8">
        <f t="shared" si="38"/>
        <v>234</v>
      </c>
      <c r="DL142" s="8">
        <f t="shared" si="39"/>
        <v>75</v>
      </c>
      <c r="DM142" s="8">
        <f t="shared" si="40"/>
        <v>241</v>
      </c>
      <c r="DN142" s="8">
        <f t="shared" si="41"/>
        <v>213</v>
      </c>
      <c r="DO142" s="15">
        <f t="shared" si="42"/>
        <v>35.397575944123631</v>
      </c>
      <c r="DP142" s="15" t="str">
        <f t="shared" si="43"/>
        <v>OK - No Upgrade</v>
      </c>
      <c r="DQ142" s="15" t="str">
        <f t="shared" si="44"/>
        <v>OK - Balanced</v>
      </c>
    </row>
    <row r="143" spans="1:121" ht="15.75" customHeight="1" x14ac:dyDescent="0.25">
      <c r="A143" s="8" t="s">
        <v>38</v>
      </c>
      <c r="B143" s="8" t="s">
        <v>385</v>
      </c>
      <c r="C143" s="8" t="s">
        <v>40</v>
      </c>
      <c r="D143" s="8" t="s">
        <v>653</v>
      </c>
      <c r="E143" s="8" t="s">
        <v>654</v>
      </c>
      <c r="F143" s="8" t="s">
        <v>56</v>
      </c>
      <c r="G143" s="8"/>
      <c r="H143" s="8">
        <v>1000</v>
      </c>
      <c r="I143" s="8" t="s">
        <v>655</v>
      </c>
      <c r="J143" s="8">
        <v>1</v>
      </c>
      <c r="K143" s="8">
        <v>245</v>
      </c>
      <c r="L143" s="8">
        <v>243</v>
      </c>
      <c r="M143" s="8">
        <v>245</v>
      </c>
      <c r="N143" s="8">
        <v>420</v>
      </c>
      <c r="O143" s="8">
        <v>423</v>
      </c>
      <c r="P143" s="8">
        <v>425</v>
      </c>
      <c r="Q143" s="9"/>
      <c r="R143" s="16"/>
      <c r="S143" s="10"/>
      <c r="T143" s="10"/>
      <c r="U143" s="10"/>
      <c r="V143" s="11"/>
      <c r="W143" s="12"/>
      <c r="X143" s="17"/>
      <c r="Y143" s="13"/>
      <c r="Z143" s="13"/>
      <c r="AA143" s="13"/>
      <c r="AB143" s="14"/>
      <c r="AC143" s="9"/>
      <c r="AD143" s="16"/>
      <c r="AE143" s="10"/>
      <c r="AF143" s="10"/>
      <c r="AG143" s="10"/>
      <c r="AH143" s="11"/>
      <c r="AI143" s="12"/>
      <c r="AJ143" s="17"/>
      <c r="AK143" s="13"/>
      <c r="AL143" s="13"/>
      <c r="AM143" s="13"/>
      <c r="AN143" s="14"/>
      <c r="AO143" s="9" t="s">
        <v>46</v>
      </c>
      <c r="AP143" s="16"/>
      <c r="AQ143" s="10">
        <v>36</v>
      </c>
      <c r="AR143" s="10">
        <v>31</v>
      </c>
      <c r="AS143" s="10">
        <v>45</v>
      </c>
      <c r="AT143" s="11">
        <v>31</v>
      </c>
      <c r="AU143" s="12" t="s">
        <v>46</v>
      </c>
      <c r="AV143" s="17"/>
      <c r="AW143" s="13">
        <v>70</v>
      </c>
      <c r="AX143" s="13">
        <v>22</v>
      </c>
      <c r="AY143" s="13">
        <v>6</v>
      </c>
      <c r="AZ143" s="14">
        <v>61</v>
      </c>
      <c r="BA143" s="9" t="s">
        <v>46</v>
      </c>
      <c r="BB143" s="16"/>
      <c r="BC143" s="10">
        <v>50</v>
      </c>
      <c r="BD143" s="10">
        <v>39</v>
      </c>
      <c r="BE143" s="10">
        <v>37</v>
      </c>
      <c r="BF143" s="11">
        <v>12</v>
      </c>
      <c r="BG143" s="12" t="s">
        <v>46</v>
      </c>
      <c r="BH143" s="17"/>
      <c r="BI143" s="13">
        <v>96</v>
      </c>
      <c r="BJ143" s="13">
        <v>99</v>
      </c>
      <c r="BK143" s="13">
        <v>116</v>
      </c>
      <c r="BL143" s="14">
        <v>28</v>
      </c>
      <c r="BM143" s="9"/>
      <c r="BN143" s="16"/>
      <c r="BO143" s="10"/>
      <c r="BP143" s="10"/>
      <c r="BQ143" s="10"/>
      <c r="BR143" s="11"/>
      <c r="BS143" s="12"/>
      <c r="BT143" s="17"/>
      <c r="BU143" s="13"/>
      <c r="BV143" s="13"/>
      <c r="BW143" s="13"/>
      <c r="BX143" s="14"/>
      <c r="BY143" s="9"/>
      <c r="BZ143" s="16"/>
      <c r="CA143" s="10"/>
      <c r="CB143" s="10"/>
      <c r="CC143" s="10"/>
      <c r="CD143" s="11"/>
      <c r="CE143" s="12"/>
      <c r="CF143" s="17"/>
      <c r="CG143" s="13"/>
      <c r="CH143" s="13"/>
      <c r="CI143" s="13"/>
      <c r="CJ143" s="14"/>
      <c r="CK143" s="9"/>
      <c r="CL143" s="16"/>
      <c r="CM143" s="10"/>
      <c r="CN143" s="10"/>
      <c r="CO143" s="10"/>
      <c r="CP143" s="11"/>
      <c r="CQ143" s="12"/>
      <c r="CR143" s="17"/>
      <c r="CS143" s="13"/>
      <c r="CT143" s="13"/>
      <c r="CU143" s="13"/>
      <c r="CV143" s="14"/>
      <c r="CW143" s="9"/>
      <c r="CX143" s="16"/>
      <c r="CY143" s="10"/>
      <c r="CZ143" s="10"/>
      <c r="DA143" s="10"/>
      <c r="DB143" s="11"/>
      <c r="DC143" s="12"/>
      <c r="DD143" s="17"/>
      <c r="DE143" s="13"/>
      <c r="DF143" s="13"/>
      <c r="DG143" s="13"/>
      <c r="DH143" s="14"/>
      <c r="DI143" s="8">
        <f t="shared" si="36"/>
        <v>252</v>
      </c>
      <c r="DJ143" s="8">
        <f t="shared" si="37"/>
        <v>191</v>
      </c>
      <c r="DK143" s="8">
        <f t="shared" si="38"/>
        <v>204</v>
      </c>
      <c r="DL143" s="8">
        <f t="shared" si="39"/>
        <v>132</v>
      </c>
      <c r="DM143" s="8">
        <f t="shared" si="40"/>
        <v>252</v>
      </c>
      <c r="DN143" s="8">
        <f t="shared" si="41"/>
        <v>191</v>
      </c>
      <c r="DO143" s="15">
        <f t="shared" si="42"/>
        <v>18.332025747308997</v>
      </c>
      <c r="DP143" s="15" t="str">
        <f t="shared" si="43"/>
        <v>OK - No Upgrade</v>
      </c>
      <c r="DQ143" s="15" t="str">
        <f t="shared" si="44"/>
        <v>Need to Balance</v>
      </c>
    </row>
    <row r="144" spans="1:121" ht="15.75" customHeight="1" x14ac:dyDescent="0.25">
      <c r="A144" s="8" t="s">
        <v>38</v>
      </c>
      <c r="B144" s="8" t="s">
        <v>385</v>
      </c>
      <c r="C144" s="8" t="s">
        <v>40</v>
      </c>
      <c r="D144" s="8" t="s">
        <v>653</v>
      </c>
      <c r="E144" s="8" t="s">
        <v>654</v>
      </c>
      <c r="F144" s="8" t="s">
        <v>56</v>
      </c>
      <c r="G144" s="8" t="s">
        <v>44</v>
      </c>
      <c r="H144" s="8">
        <v>1000</v>
      </c>
      <c r="I144" s="8" t="s">
        <v>656</v>
      </c>
      <c r="J144" s="8">
        <v>2</v>
      </c>
      <c r="K144" s="8">
        <v>245</v>
      </c>
      <c r="L144" s="8">
        <v>245</v>
      </c>
      <c r="M144" s="8">
        <v>248</v>
      </c>
      <c r="N144" s="8">
        <v>425</v>
      </c>
      <c r="O144" s="8">
        <v>430</v>
      </c>
      <c r="P144" s="8">
        <v>428</v>
      </c>
      <c r="Q144" s="9"/>
      <c r="R144" s="16"/>
      <c r="S144" s="10"/>
      <c r="T144" s="10"/>
      <c r="U144" s="10"/>
      <c r="V144" s="11"/>
      <c r="W144" s="12"/>
      <c r="X144" s="17"/>
      <c r="Y144" s="13"/>
      <c r="Z144" s="13"/>
      <c r="AA144" s="13"/>
      <c r="AB144" s="14"/>
      <c r="AC144" s="9"/>
      <c r="AD144" s="16"/>
      <c r="AE144" s="10"/>
      <c r="AF144" s="10"/>
      <c r="AG144" s="10"/>
      <c r="AH144" s="11"/>
      <c r="AI144" s="12"/>
      <c r="AJ144" s="17"/>
      <c r="AK144" s="13"/>
      <c r="AL144" s="13"/>
      <c r="AM144" s="13"/>
      <c r="AN144" s="14"/>
      <c r="AO144" s="9" t="s">
        <v>46</v>
      </c>
      <c r="AP144" s="16"/>
      <c r="AQ144" s="10">
        <v>81</v>
      </c>
      <c r="AR144" s="10">
        <v>77</v>
      </c>
      <c r="AS144" s="10">
        <v>107</v>
      </c>
      <c r="AT144" s="11">
        <v>21</v>
      </c>
      <c r="AU144" s="12" t="s">
        <v>46</v>
      </c>
      <c r="AV144" s="17"/>
      <c r="AW144" s="13">
        <v>70</v>
      </c>
      <c r="AX144" s="13">
        <v>48</v>
      </c>
      <c r="AY144" s="13">
        <v>38</v>
      </c>
      <c r="AZ144" s="14">
        <v>32</v>
      </c>
      <c r="BA144" s="9" t="s">
        <v>46</v>
      </c>
      <c r="BB144" s="16"/>
      <c r="BC144" s="10">
        <v>136</v>
      </c>
      <c r="BD144" s="10">
        <v>122</v>
      </c>
      <c r="BE144" s="10">
        <v>127</v>
      </c>
      <c r="BF144" s="11">
        <v>22</v>
      </c>
      <c r="BG144" s="12" t="s">
        <v>46</v>
      </c>
      <c r="BH144" s="17"/>
      <c r="BI144" s="13">
        <v>0</v>
      </c>
      <c r="BJ144" s="13">
        <v>0</v>
      </c>
      <c r="BK144" s="13">
        <v>0</v>
      </c>
      <c r="BL144" s="14">
        <v>0</v>
      </c>
      <c r="BM144" s="9"/>
      <c r="BN144" s="16"/>
      <c r="BO144" s="10"/>
      <c r="BP144" s="10"/>
      <c r="BQ144" s="10"/>
      <c r="BR144" s="11"/>
      <c r="BS144" s="12"/>
      <c r="BT144" s="17"/>
      <c r="BU144" s="13"/>
      <c r="BV144" s="13"/>
      <c r="BW144" s="13"/>
      <c r="BX144" s="14"/>
      <c r="BY144" s="9"/>
      <c r="BZ144" s="16"/>
      <c r="CA144" s="10"/>
      <c r="CB144" s="10"/>
      <c r="CC144" s="10"/>
      <c r="CD144" s="11"/>
      <c r="CE144" s="12"/>
      <c r="CF144" s="17"/>
      <c r="CG144" s="13"/>
      <c r="CH144" s="13"/>
      <c r="CI144" s="13"/>
      <c r="CJ144" s="14"/>
      <c r="CK144" s="9"/>
      <c r="CL144" s="16"/>
      <c r="CM144" s="10"/>
      <c r="CN144" s="10"/>
      <c r="CO144" s="10"/>
      <c r="CP144" s="11"/>
      <c r="CQ144" s="12"/>
      <c r="CR144" s="17"/>
      <c r="CS144" s="13"/>
      <c r="CT144" s="13"/>
      <c r="CU144" s="13"/>
      <c r="CV144" s="14"/>
      <c r="CW144" s="9"/>
      <c r="CX144" s="16"/>
      <c r="CY144" s="10"/>
      <c r="CZ144" s="10"/>
      <c r="DA144" s="10"/>
      <c r="DB144" s="11"/>
      <c r="DC144" s="12"/>
      <c r="DD144" s="17"/>
      <c r="DE144" s="13"/>
      <c r="DF144" s="13"/>
      <c r="DG144" s="13"/>
      <c r="DH144" s="14"/>
      <c r="DI144" s="8">
        <f t="shared" si="36"/>
        <v>287</v>
      </c>
      <c r="DJ144" s="8">
        <f t="shared" si="37"/>
        <v>247</v>
      </c>
      <c r="DK144" s="8">
        <f t="shared" si="38"/>
        <v>272</v>
      </c>
      <c r="DL144" s="8">
        <f t="shared" si="39"/>
        <v>75</v>
      </c>
      <c r="DM144" s="8">
        <f t="shared" si="40"/>
        <v>287</v>
      </c>
      <c r="DN144" s="8">
        <f t="shared" si="41"/>
        <v>247</v>
      </c>
      <c r="DO144" s="15">
        <f t="shared" si="42"/>
        <v>21.126689725321381</v>
      </c>
      <c r="DP144" s="15" t="str">
        <f t="shared" si="43"/>
        <v>OK - No Upgrade</v>
      </c>
      <c r="DQ144" s="15" t="str">
        <f t="shared" si="44"/>
        <v>OK - Balanced</v>
      </c>
    </row>
    <row r="145" spans="1:121" ht="15.75" customHeight="1" x14ac:dyDescent="0.25">
      <c r="A145" s="8" t="s">
        <v>38</v>
      </c>
      <c r="B145" s="8" t="s">
        <v>385</v>
      </c>
      <c r="C145" s="8" t="s">
        <v>40</v>
      </c>
      <c r="D145" s="8" t="s">
        <v>653</v>
      </c>
      <c r="E145" s="8" t="s">
        <v>654</v>
      </c>
      <c r="F145" s="8" t="s">
        <v>56</v>
      </c>
      <c r="G145" s="8" t="s">
        <v>44</v>
      </c>
      <c r="H145" s="8">
        <v>1000</v>
      </c>
      <c r="I145" s="8" t="s">
        <v>657</v>
      </c>
      <c r="J145" s="8">
        <v>3</v>
      </c>
      <c r="K145" s="8">
        <v>248</v>
      </c>
      <c r="L145" s="8">
        <v>248</v>
      </c>
      <c r="M145" s="8">
        <v>250</v>
      </c>
      <c r="N145" s="8">
        <v>431</v>
      </c>
      <c r="O145" s="8">
        <v>435</v>
      </c>
      <c r="P145" s="8">
        <v>431</v>
      </c>
      <c r="Q145" s="9"/>
      <c r="R145" s="16"/>
      <c r="S145" s="10"/>
      <c r="T145" s="10"/>
      <c r="U145" s="10"/>
      <c r="V145" s="11"/>
      <c r="W145" s="12"/>
      <c r="X145" s="17"/>
      <c r="Y145" s="13"/>
      <c r="Z145" s="13"/>
      <c r="AA145" s="13"/>
      <c r="AB145" s="14"/>
      <c r="AC145" s="9"/>
      <c r="AD145" s="16"/>
      <c r="AE145" s="10"/>
      <c r="AF145" s="10"/>
      <c r="AG145" s="10"/>
      <c r="AH145" s="11"/>
      <c r="AI145" s="12"/>
      <c r="AJ145" s="17"/>
      <c r="AK145" s="13"/>
      <c r="AL145" s="13"/>
      <c r="AM145" s="13"/>
      <c r="AN145" s="14"/>
      <c r="AO145" s="9" t="s">
        <v>46</v>
      </c>
      <c r="AP145" s="16"/>
      <c r="AQ145" s="10">
        <v>51</v>
      </c>
      <c r="AR145" s="10">
        <v>60</v>
      </c>
      <c r="AS145" s="10">
        <v>62</v>
      </c>
      <c r="AT145" s="11">
        <v>12</v>
      </c>
      <c r="AU145" s="12" t="s">
        <v>46</v>
      </c>
      <c r="AV145" s="17"/>
      <c r="AW145" s="13">
        <v>52</v>
      </c>
      <c r="AX145" s="13">
        <v>25</v>
      </c>
      <c r="AY145" s="13">
        <v>61</v>
      </c>
      <c r="AZ145" s="14">
        <v>28</v>
      </c>
      <c r="BA145" s="9" t="s">
        <v>46</v>
      </c>
      <c r="BB145" s="16"/>
      <c r="BC145" s="10">
        <v>77</v>
      </c>
      <c r="BD145" s="10">
        <v>102</v>
      </c>
      <c r="BE145" s="10">
        <v>104</v>
      </c>
      <c r="BF145" s="11">
        <v>42</v>
      </c>
      <c r="BG145" s="12" t="s">
        <v>46</v>
      </c>
      <c r="BH145" s="17"/>
      <c r="BI145" s="13">
        <v>1</v>
      </c>
      <c r="BJ145" s="13">
        <v>3</v>
      </c>
      <c r="BK145" s="13">
        <v>0</v>
      </c>
      <c r="BL145" s="14">
        <v>5</v>
      </c>
      <c r="BM145" s="9"/>
      <c r="BN145" s="16"/>
      <c r="BO145" s="10"/>
      <c r="BP145" s="10"/>
      <c r="BQ145" s="10"/>
      <c r="BR145" s="11"/>
      <c r="BS145" s="12"/>
      <c r="BT145" s="17"/>
      <c r="BU145" s="13"/>
      <c r="BV145" s="13"/>
      <c r="BW145" s="13"/>
      <c r="BX145" s="14"/>
      <c r="BY145" s="9"/>
      <c r="BZ145" s="16"/>
      <c r="CA145" s="10"/>
      <c r="CB145" s="10"/>
      <c r="CC145" s="10"/>
      <c r="CD145" s="11"/>
      <c r="CE145" s="12"/>
      <c r="CF145" s="17"/>
      <c r="CG145" s="13"/>
      <c r="CH145" s="13"/>
      <c r="CI145" s="13"/>
      <c r="CJ145" s="14"/>
      <c r="CK145" s="9"/>
      <c r="CL145" s="16"/>
      <c r="CM145" s="10"/>
      <c r="CN145" s="10"/>
      <c r="CO145" s="10"/>
      <c r="CP145" s="11"/>
      <c r="CQ145" s="12"/>
      <c r="CR145" s="17"/>
      <c r="CS145" s="13"/>
      <c r="CT145" s="13"/>
      <c r="CU145" s="13"/>
      <c r="CV145" s="14"/>
      <c r="CW145" s="9"/>
      <c r="CX145" s="16"/>
      <c r="CY145" s="10"/>
      <c r="CZ145" s="10"/>
      <c r="DA145" s="10"/>
      <c r="DB145" s="11"/>
      <c r="DC145" s="12"/>
      <c r="DD145" s="17"/>
      <c r="DE145" s="13"/>
      <c r="DF145" s="13"/>
      <c r="DG145" s="13"/>
      <c r="DH145" s="14"/>
      <c r="DI145" s="8">
        <f t="shared" si="36"/>
        <v>181</v>
      </c>
      <c r="DJ145" s="8">
        <f t="shared" si="37"/>
        <v>190</v>
      </c>
      <c r="DK145" s="8">
        <f t="shared" si="38"/>
        <v>227</v>
      </c>
      <c r="DL145" s="8">
        <f t="shared" si="39"/>
        <v>87</v>
      </c>
      <c r="DM145" s="8">
        <f t="shared" si="40"/>
        <v>227</v>
      </c>
      <c r="DN145" s="8">
        <f t="shared" si="41"/>
        <v>181</v>
      </c>
      <c r="DO145" s="15">
        <f t="shared" si="42"/>
        <v>16.945865486011623</v>
      </c>
      <c r="DP145" s="15" t="str">
        <f t="shared" si="43"/>
        <v>OK - No Upgrade</v>
      </c>
      <c r="DQ145" s="15" t="str">
        <f t="shared" si="44"/>
        <v>Need to Balance</v>
      </c>
    </row>
  </sheetData>
  <mergeCells count="135">
    <mergeCell ref="DD2:DD3"/>
    <mergeCell ref="DO1:DO3"/>
    <mergeCell ref="AJ2:AJ3"/>
    <mergeCell ref="AY2:AY3"/>
    <mergeCell ref="DQ1:DQ3"/>
    <mergeCell ref="J1:J3"/>
    <mergeCell ref="DA2:DA3"/>
    <mergeCell ref="BK2:BK3"/>
    <mergeCell ref="DC1:DH1"/>
    <mergeCell ref="BY1:CD1"/>
    <mergeCell ref="CY2:CY3"/>
    <mergeCell ref="R2:R3"/>
    <mergeCell ref="AZ2:AZ3"/>
    <mergeCell ref="BB2:BB3"/>
    <mergeCell ref="BL2:BL3"/>
    <mergeCell ref="BN2:BN3"/>
    <mergeCell ref="AU1:AZ1"/>
    <mergeCell ref="CW1:DB1"/>
    <mergeCell ref="CO2:CO3"/>
    <mergeCell ref="BR2:BR3"/>
    <mergeCell ref="AL2:AL3"/>
    <mergeCell ref="A1:A3"/>
    <mergeCell ref="BA1:BF1"/>
    <mergeCell ref="CP2:CP3"/>
    <mergeCell ref="H1:H3"/>
    <mergeCell ref="AR2:AR3"/>
    <mergeCell ref="AT2:AT3"/>
    <mergeCell ref="E1:E3"/>
    <mergeCell ref="DK2:DK3"/>
    <mergeCell ref="BF2:BF3"/>
    <mergeCell ref="BZ2:BZ3"/>
    <mergeCell ref="BI2:BI3"/>
    <mergeCell ref="AE2:AE3"/>
    <mergeCell ref="AG2:AG3"/>
    <mergeCell ref="CX2:CX3"/>
    <mergeCell ref="CG2:CG3"/>
    <mergeCell ref="Y2:Y3"/>
    <mergeCell ref="AQ2:AQ3"/>
    <mergeCell ref="CI2:CI3"/>
    <mergeCell ref="AS2:AS3"/>
    <mergeCell ref="CA2:CA3"/>
    <mergeCell ref="K2:M2"/>
    <mergeCell ref="F1:F3"/>
    <mergeCell ref="CU2:CU3"/>
    <mergeCell ref="CW2:CW3"/>
    <mergeCell ref="DN1:DN3"/>
    <mergeCell ref="CV2:CV3"/>
    <mergeCell ref="Q2:Q3"/>
    <mergeCell ref="CH2:CH3"/>
    <mergeCell ref="AI2:AI3"/>
    <mergeCell ref="AK2:AK3"/>
    <mergeCell ref="DB2:DB3"/>
    <mergeCell ref="AU2:AU3"/>
    <mergeCell ref="AW2:AW3"/>
    <mergeCell ref="CE2:CE3"/>
    <mergeCell ref="DF2:DF3"/>
    <mergeCell ref="DH2:DH3"/>
    <mergeCell ref="S2:S3"/>
    <mergeCell ref="BA2:BA3"/>
    <mergeCell ref="BC2:BC3"/>
    <mergeCell ref="BU2:BU3"/>
    <mergeCell ref="DM1:DM3"/>
    <mergeCell ref="BW2:BW3"/>
    <mergeCell ref="BM2:BM3"/>
    <mergeCell ref="DE2:DE3"/>
    <mergeCell ref="BO2:BO3"/>
    <mergeCell ref="BM1:BR1"/>
    <mergeCell ref="W1:AB1"/>
    <mergeCell ref="Q1:V1"/>
    <mergeCell ref="DC2:DC3"/>
    <mergeCell ref="AV2:AV3"/>
    <mergeCell ref="AX2:AX3"/>
    <mergeCell ref="I1:I3"/>
    <mergeCell ref="BH2:BH3"/>
    <mergeCell ref="BJ2:BJ3"/>
    <mergeCell ref="CD2:CD3"/>
    <mergeCell ref="DL2:DL3"/>
    <mergeCell ref="AF2:AF3"/>
    <mergeCell ref="AH2:AH3"/>
    <mergeCell ref="CJ2:CJ3"/>
    <mergeCell ref="K1:P1"/>
    <mergeCell ref="BP2:BP3"/>
    <mergeCell ref="AC1:AH1"/>
    <mergeCell ref="CE1:CJ1"/>
    <mergeCell ref="AO1:AT1"/>
    <mergeCell ref="BY2:BY3"/>
    <mergeCell ref="Z2:Z3"/>
    <mergeCell ref="CQ1:CV1"/>
    <mergeCell ref="AB2:AB3"/>
    <mergeCell ref="AD2:AD3"/>
    <mergeCell ref="T2:T3"/>
    <mergeCell ref="CS2:CS3"/>
    <mergeCell ref="CK2:CK3"/>
    <mergeCell ref="B1:B3"/>
    <mergeCell ref="CQ2:CQ3"/>
    <mergeCell ref="AI1:AN1"/>
    <mergeCell ref="CK1:CP1"/>
    <mergeCell ref="CC2:CC3"/>
    <mergeCell ref="V2:V3"/>
    <mergeCell ref="X2:X3"/>
    <mergeCell ref="CB2:CB3"/>
    <mergeCell ref="BG1:BL1"/>
    <mergeCell ref="BD2:BD3"/>
    <mergeCell ref="BS1:BX1"/>
    <mergeCell ref="C1:C3"/>
    <mergeCell ref="D1:D2"/>
    <mergeCell ref="AN2:AN3"/>
    <mergeCell ref="CM2:CM3"/>
    <mergeCell ref="BV2:BV3"/>
    <mergeCell ref="AP2:AP3"/>
    <mergeCell ref="BX2:BX3"/>
    <mergeCell ref="CL2:CL3"/>
    <mergeCell ref="CN2:CN3"/>
    <mergeCell ref="N2:P2"/>
    <mergeCell ref="G1:G3"/>
    <mergeCell ref="DP1:DP3"/>
    <mergeCell ref="CF2:CF3"/>
    <mergeCell ref="CZ2:CZ3"/>
    <mergeCell ref="U2:U3"/>
    <mergeCell ref="CR2:CR3"/>
    <mergeCell ref="DJ2:DJ3"/>
    <mergeCell ref="BT2:BT3"/>
    <mergeCell ref="BE2:BE3"/>
    <mergeCell ref="W2:W3"/>
    <mergeCell ref="BG2:BG3"/>
    <mergeCell ref="DG2:DG3"/>
    <mergeCell ref="BQ2:BQ3"/>
    <mergeCell ref="DI2:DI3"/>
    <mergeCell ref="BS2:BS3"/>
    <mergeCell ref="AA2:AA3"/>
    <mergeCell ref="AC2:AC3"/>
    <mergeCell ref="CT2:CT3"/>
    <mergeCell ref="AM2:AM3"/>
    <mergeCell ref="AO2:AO3"/>
    <mergeCell ref="DI1:DL1"/>
  </mergeCells>
  <dataValidations count="1">
    <dataValidation type="list" allowBlank="1" errorTitle="Invalid value" error="Please choose Cu or Al" promptTitle="Cable Type" prompt="Choose cable material" sqref="R4:R145 DD4:DD145 CX4:CX145 CR4:CR145 CL4:CL145 CF4:CF145 BZ4:BZ145 BT4:BT145 BN4:BN145 BH4:BH145 BB4:BB145 AV4:AV145 AP4:AP145 AJ4:AJ145 AD4:AD145 X4:X145" xr:uid="{00000000-0002-0000-0200-000000000000}">
      <formula1>"Cu,Al"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U73"/>
  <sheetViews>
    <sheetView workbookViewId="0"/>
  </sheetViews>
  <sheetFormatPr defaultRowHeight="15" x14ac:dyDescent="0.25"/>
  <cols>
    <col min="1" max="1" width="12.85546875" customWidth="1"/>
    <col min="2" max="2" width="14.85546875" customWidth="1"/>
    <col min="3" max="3" width="9.85546875" customWidth="1"/>
    <col min="4" max="4" width="20.85546875" customWidth="1"/>
    <col min="5" max="5" width="8.85546875" customWidth="1"/>
    <col min="6" max="6" width="10.85546875" customWidth="1"/>
    <col min="7" max="7" width="5.85546875" customWidth="1"/>
    <col min="8" max="8" width="9.85546875" customWidth="1"/>
    <col min="9" max="9" width="10.85546875" customWidth="1"/>
    <col min="10" max="10" width="5.85546875" customWidth="1"/>
    <col min="11" max="11" width="7.85546875" customWidth="1"/>
    <col min="12" max="16" width="6.85546875" customWidth="1"/>
    <col min="17" max="17" width="8.85546875" customWidth="1"/>
    <col min="18" max="21" width="6.85546875" customWidth="1"/>
    <col min="22" max="22" width="8.85546875" customWidth="1"/>
    <col min="23" max="26" width="6.85546875" customWidth="1"/>
    <col min="27" max="27" width="8.85546875" customWidth="1"/>
    <col min="28" max="31" width="6.85546875" customWidth="1"/>
    <col min="32" max="32" width="8.85546875" customWidth="1"/>
    <col min="33" max="36" width="6.85546875" customWidth="1"/>
    <col min="37" max="37" width="8.85546875" customWidth="1"/>
    <col min="38" max="41" width="6.85546875" customWidth="1"/>
    <col min="42" max="42" width="8.85546875" customWidth="1"/>
    <col min="43" max="46" width="6.85546875" customWidth="1"/>
    <col min="47" max="47" width="8.85546875" customWidth="1"/>
    <col min="48" max="51" width="6.85546875" customWidth="1"/>
    <col min="52" max="52" width="8.85546875" customWidth="1"/>
    <col min="53" max="60" width="6.85546875" customWidth="1"/>
    <col min="61" max="62" width="7.85546875" customWidth="1"/>
    <col min="63" max="63" width="9.85546875" customWidth="1"/>
    <col min="64" max="65" width="24.85546875" customWidth="1"/>
  </cols>
  <sheetData>
    <row r="1" spans="1:73" ht="19.5" customHeight="1" x14ac:dyDescent="0.25">
      <c r="A1" s="21" t="s">
        <v>0</v>
      </c>
      <c r="B1" s="21" t="s">
        <v>1</v>
      </c>
      <c r="C1" s="21" t="s">
        <v>2</v>
      </c>
      <c r="D1" s="38" t="s">
        <v>3</v>
      </c>
      <c r="E1" s="21" t="s">
        <v>4</v>
      </c>
      <c r="F1" s="40" t="s">
        <v>5</v>
      </c>
      <c r="G1" s="21" t="s">
        <v>6</v>
      </c>
      <c r="H1" s="21" t="s">
        <v>7</v>
      </c>
      <c r="I1" s="21" t="s">
        <v>8</v>
      </c>
      <c r="J1" s="41" t="s">
        <v>9</v>
      </c>
      <c r="K1" s="18" t="s">
        <v>10</v>
      </c>
      <c r="L1" s="19"/>
      <c r="M1" s="19"/>
      <c r="N1" s="19"/>
      <c r="O1" s="19"/>
      <c r="P1" s="20"/>
      <c r="Q1" s="29" t="s">
        <v>11</v>
      </c>
      <c r="R1" s="30"/>
      <c r="S1" s="30"/>
      <c r="T1" s="30"/>
      <c r="U1" s="30"/>
      <c r="V1" s="31"/>
      <c r="W1" s="29" t="s">
        <v>12</v>
      </c>
      <c r="X1" s="30"/>
      <c r="Y1" s="30"/>
      <c r="Z1" s="30"/>
      <c r="AA1" s="30"/>
      <c r="AB1" s="31"/>
      <c r="AC1" s="29" t="s">
        <v>13</v>
      </c>
      <c r="AD1" s="30"/>
      <c r="AE1" s="30"/>
      <c r="AF1" s="30"/>
      <c r="AG1" s="30"/>
      <c r="AH1" s="31"/>
      <c r="AI1" s="29" t="s">
        <v>14</v>
      </c>
      <c r="AJ1" s="30"/>
      <c r="AK1" s="30"/>
      <c r="AL1" s="30"/>
      <c r="AM1" s="30"/>
      <c r="AN1" s="31"/>
      <c r="AO1" s="29" t="s">
        <v>15</v>
      </c>
      <c r="AP1" s="30"/>
      <c r="AQ1" s="30"/>
      <c r="AR1" s="30"/>
      <c r="AS1" s="30"/>
      <c r="AT1" s="31"/>
      <c r="AU1" s="29" t="s">
        <v>16</v>
      </c>
      <c r="AV1" s="30"/>
      <c r="AW1" s="30"/>
      <c r="AX1" s="30"/>
      <c r="AY1" s="30"/>
      <c r="AZ1" s="31"/>
      <c r="BA1" s="29" t="s">
        <v>17</v>
      </c>
      <c r="BB1" s="30"/>
      <c r="BC1" s="30"/>
      <c r="BD1" s="30"/>
      <c r="BE1" s="30"/>
      <c r="BF1" s="31"/>
      <c r="BG1" s="29" t="s">
        <v>18</v>
      </c>
      <c r="BH1" s="30"/>
      <c r="BI1" s="30"/>
      <c r="BJ1" s="30"/>
      <c r="BK1" s="30"/>
      <c r="BL1" s="31"/>
      <c r="BM1" s="37" t="s">
        <v>19</v>
      </c>
      <c r="BN1" s="19"/>
      <c r="BO1" s="19"/>
      <c r="BP1" s="20"/>
      <c r="BQ1" s="18" t="s">
        <v>20</v>
      </c>
      <c r="BR1" s="18" t="s">
        <v>21</v>
      </c>
      <c r="BS1" s="39" t="s">
        <v>22</v>
      </c>
      <c r="BT1" s="26" t="s">
        <v>23</v>
      </c>
      <c r="BU1" s="26" t="s">
        <v>24</v>
      </c>
    </row>
    <row r="2" spans="1:73" ht="19.5" customHeight="1" x14ac:dyDescent="0.25">
      <c r="A2" s="22"/>
      <c r="B2" s="22"/>
      <c r="C2" s="22"/>
      <c r="D2" s="23"/>
      <c r="E2" s="22"/>
      <c r="F2" s="22"/>
      <c r="G2" s="22"/>
      <c r="H2" s="22"/>
      <c r="I2" s="22"/>
      <c r="J2" s="22"/>
      <c r="K2" s="18" t="s">
        <v>25</v>
      </c>
      <c r="L2" s="19"/>
      <c r="M2" s="20"/>
      <c r="N2" s="18" t="s">
        <v>26</v>
      </c>
      <c r="O2" s="19"/>
      <c r="P2" s="20"/>
      <c r="Q2" s="27" t="s">
        <v>27</v>
      </c>
      <c r="R2" s="34" t="s">
        <v>5</v>
      </c>
      <c r="S2" s="36" t="s">
        <v>28</v>
      </c>
      <c r="T2" s="35" t="s">
        <v>29</v>
      </c>
      <c r="U2" s="24" t="s">
        <v>30</v>
      </c>
      <c r="V2" s="32" t="s">
        <v>31</v>
      </c>
      <c r="W2" s="27" t="s">
        <v>27</v>
      </c>
      <c r="X2" s="34" t="s">
        <v>5</v>
      </c>
      <c r="Y2" s="36" t="s">
        <v>28</v>
      </c>
      <c r="Z2" s="35" t="s">
        <v>29</v>
      </c>
      <c r="AA2" s="24" t="s">
        <v>30</v>
      </c>
      <c r="AB2" s="32" t="s">
        <v>31</v>
      </c>
      <c r="AC2" s="27" t="s">
        <v>27</v>
      </c>
      <c r="AD2" s="34" t="s">
        <v>5</v>
      </c>
      <c r="AE2" s="36" t="s">
        <v>28</v>
      </c>
      <c r="AF2" s="35" t="s">
        <v>29</v>
      </c>
      <c r="AG2" s="24" t="s">
        <v>30</v>
      </c>
      <c r="AH2" s="32" t="s">
        <v>31</v>
      </c>
      <c r="AI2" s="27" t="s">
        <v>27</v>
      </c>
      <c r="AJ2" s="34" t="s">
        <v>5</v>
      </c>
      <c r="AK2" s="36" t="s">
        <v>28</v>
      </c>
      <c r="AL2" s="35" t="s">
        <v>29</v>
      </c>
      <c r="AM2" s="24" t="s">
        <v>30</v>
      </c>
      <c r="AN2" s="32" t="s">
        <v>31</v>
      </c>
      <c r="AO2" s="27" t="s">
        <v>27</v>
      </c>
      <c r="AP2" s="34" t="s">
        <v>5</v>
      </c>
      <c r="AQ2" s="36" t="s">
        <v>28</v>
      </c>
      <c r="AR2" s="35" t="s">
        <v>29</v>
      </c>
      <c r="AS2" s="24" t="s">
        <v>30</v>
      </c>
      <c r="AT2" s="32" t="s">
        <v>31</v>
      </c>
      <c r="AU2" s="27" t="s">
        <v>27</v>
      </c>
      <c r="AV2" s="34" t="s">
        <v>5</v>
      </c>
      <c r="AW2" s="36" t="s">
        <v>28</v>
      </c>
      <c r="AX2" s="35" t="s">
        <v>29</v>
      </c>
      <c r="AY2" s="24" t="s">
        <v>30</v>
      </c>
      <c r="AZ2" s="32" t="s">
        <v>31</v>
      </c>
      <c r="BA2" s="27" t="s">
        <v>27</v>
      </c>
      <c r="BB2" s="34" t="s">
        <v>5</v>
      </c>
      <c r="BC2" s="36" t="s">
        <v>28</v>
      </c>
      <c r="BD2" s="35" t="s">
        <v>29</v>
      </c>
      <c r="BE2" s="24" t="s">
        <v>30</v>
      </c>
      <c r="BF2" s="32" t="s">
        <v>31</v>
      </c>
      <c r="BG2" s="27" t="s">
        <v>27</v>
      </c>
      <c r="BH2" s="34" t="s">
        <v>5</v>
      </c>
      <c r="BI2" s="36" t="s">
        <v>28</v>
      </c>
      <c r="BJ2" s="35" t="s">
        <v>29</v>
      </c>
      <c r="BK2" s="24" t="s">
        <v>30</v>
      </c>
      <c r="BL2" s="32" t="s">
        <v>31</v>
      </c>
      <c r="BM2" s="37" t="s">
        <v>28</v>
      </c>
      <c r="BN2" s="37" t="s">
        <v>29</v>
      </c>
      <c r="BO2" s="37" t="s">
        <v>30</v>
      </c>
      <c r="BP2" s="37" t="s">
        <v>31</v>
      </c>
      <c r="BQ2" s="22"/>
      <c r="BR2" s="22"/>
      <c r="BS2" s="22"/>
      <c r="BT2" s="22"/>
      <c r="BU2" s="22"/>
    </row>
    <row r="3" spans="1:73" ht="19.5" customHeight="1" x14ac:dyDescent="0.25">
      <c r="A3" s="23"/>
      <c r="B3" s="23"/>
      <c r="C3" s="23"/>
      <c r="D3" s="1"/>
      <c r="E3" s="23"/>
      <c r="F3" s="23"/>
      <c r="G3" s="23"/>
      <c r="H3" s="23"/>
      <c r="I3" s="23"/>
      <c r="J3" s="23"/>
      <c r="K3" s="2" t="s">
        <v>32</v>
      </c>
      <c r="L3" s="3" t="s">
        <v>33</v>
      </c>
      <c r="M3" s="4" t="s">
        <v>34</v>
      </c>
      <c r="N3" s="5" t="s">
        <v>35</v>
      </c>
      <c r="O3" s="6" t="s">
        <v>36</v>
      </c>
      <c r="P3" s="7" t="s">
        <v>37</v>
      </c>
      <c r="Q3" s="28"/>
      <c r="R3" s="25"/>
      <c r="S3" s="25"/>
      <c r="T3" s="25"/>
      <c r="U3" s="25"/>
      <c r="V3" s="33"/>
      <c r="W3" s="28"/>
      <c r="X3" s="25"/>
      <c r="Y3" s="25"/>
      <c r="Z3" s="25"/>
      <c r="AA3" s="25"/>
      <c r="AB3" s="33"/>
      <c r="AC3" s="28"/>
      <c r="AD3" s="25"/>
      <c r="AE3" s="25"/>
      <c r="AF3" s="25"/>
      <c r="AG3" s="25"/>
      <c r="AH3" s="33"/>
      <c r="AI3" s="28"/>
      <c r="AJ3" s="25"/>
      <c r="AK3" s="25"/>
      <c r="AL3" s="25"/>
      <c r="AM3" s="25"/>
      <c r="AN3" s="33"/>
      <c r="AO3" s="28"/>
      <c r="AP3" s="25"/>
      <c r="AQ3" s="25"/>
      <c r="AR3" s="25"/>
      <c r="AS3" s="25"/>
      <c r="AT3" s="33"/>
      <c r="AU3" s="28"/>
      <c r="AV3" s="25"/>
      <c r="AW3" s="25"/>
      <c r="AX3" s="25"/>
      <c r="AY3" s="25"/>
      <c r="AZ3" s="33"/>
      <c r="BA3" s="28"/>
      <c r="BB3" s="25"/>
      <c r="BC3" s="25"/>
      <c r="BD3" s="25"/>
      <c r="BE3" s="25"/>
      <c r="BF3" s="33"/>
      <c r="BG3" s="28"/>
      <c r="BH3" s="25"/>
      <c r="BI3" s="25"/>
      <c r="BJ3" s="25"/>
      <c r="BK3" s="25"/>
      <c r="BL3" s="33"/>
      <c r="BM3" s="23"/>
      <c r="BN3" s="23"/>
      <c r="BO3" s="23"/>
      <c r="BP3" s="23"/>
      <c r="BQ3" s="23"/>
      <c r="BR3" s="23"/>
      <c r="BS3" s="23"/>
      <c r="BT3" s="23"/>
      <c r="BU3" s="23"/>
    </row>
    <row r="4" spans="1:73" ht="15.75" customHeight="1" x14ac:dyDescent="0.25">
      <c r="A4" s="8" t="s">
        <v>38</v>
      </c>
      <c r="B4" s="8" t="s">
        <v>658</v>
      </c>
      <c r="C4" s="8" t="s">
        <v>512</v>
      </c>
      <c r="D4" s="8" t="s">
        <v>659</v>
      </c>
      <c r="E4" s="8" t="s">
        <v>660</v>
      </c>
      <c r="F4" s="8" t="s">
        <v>56</v>
      </c>
      <c r="G4" s="8" t="s">
        <v>44</v>
      </c>
      <c r="H4" s="8">
        <v>1000</v>
      </c>
      <c r="I4" s="8" t="s">
        <v>661</v>
      </c>
      <c r="J4" s="8">
        <v>1</v>
      </c>
      <c r="K4" s="8">
        <v>249</v>
      </c>
      <c r="L4" s="8">
        <v>250</v>
      </c>
      <c r="M4" s="8">
        <v>248</v>
      </c>
      <c r="N4" s="8">
        <v>436</v>
      </c>
      <c r="O4" s="8">
        <v>430</v>
      </c>
      <c r="P4" s="8">
        <v>432</v>
      </c>
      <c r="Q4" s="9" t="s">
        <v>47</v>
      </c>
      <c r="R4" s="16"/>
      <c r="S4" s="10">
        <v>18</v>
      </c>
      <c r="T4" s="10">
        <v>36</v>
      </c>
      <c r="U4" s="10">
        <v>14</v>
      </c>
      <c r="V4" s="11">
        <v>17</v>
      </c>
      <c r="W4" s="12" t="s">
        <v>47</v>
      </c>
      <c r="X4" s="17"/>
      <c r="Y4" s="13">
        <v>21</v>
      </c>
      <c r="Z4" s="13">
        <v>41</v>
      </c>
      <c r="AA4" s="13">
        <v>69</v>
      </c>
      <c r="AB4" s="14">
        <v>12</v>
      </c>
      <c r="AC4" s="9" t="s">
        <v>47</v>
      </c>
      <c r="AD4" s="16"/>
      <c r="AE4" s="10">
        <v>14</v>
      </c>
      <c r="AF4" s="10">
        <v>8</v>
      </c>
      <c r="AG4" s="10">
        <v>11</v>
      </c>
      <c r="AH4" s="11">
        <v>4</v>
      </c>
      <c r="AI4" s="12"/>
      <c r="AJ4" s="17"/>
      <c r="AK4" s="13"/>
      <c r="AL4" s="13"/>
      <c r="AM4" s="13"/>
      <c r="AN4" s="14"/>
      <c r="AO4" s="9"/>
      <c r="AP4" s="16"/>
      <c r="AQ4" s="10"/>
      <c r="AR4" s="10"/>
      <c r="AS4" s="10"/>
      <c r="AT4" s="11"/>
      <c r="AU4" s="12" t="s">
        <v>132</v>
      </c>
      <c r="AV4" s="17"/>
      <c r="AW4" s="13">
        <v>0</v>
      </c>
      <c r="AX4" s="13">
        <v>15</v>
      </c>
      <c r="AY4" s="13">
        <v>2</v>
      </c>
      <c r="AZ4" s="14">
        <v>13</v>
      </c>
      <c r="BA4" s="9"/>
      <c r="BB4" s="16"/>
      <c r="BC4" s="10"/>
      <c r="BD4" s="10"/>
      <c r="BE4" s="10"/>
      <c r="BF4" s="11"/>
      <c r="BG4" s="12"/>
      <c r="BH4" s="17"/>
      <c r="BI4" s="13"/>
      <c r="BJ4" s="13"/>
      <c r="BK4" s="13"/>
      <c r="BL4" s="14"/>
      <c r="BM4" s="8">
        <f t="shared" ref="BM4:BM35" si="0">SUM(S4,Y4,AE4,AK4,AQ4,AW4,BC4,BI4)</f>
        <v>53</v>
      </c>
      <c r="BN4" s="8">
        <f t="shared" ref="BN4:BN35" si="1">SUM(T4,Z4,AF4,AL4,AR4,AX4,BD4,BJ4)</f>
        <v>100</v>
      </c>
      <c r="BO4" s="8">
        <f t="shared" ref="BO4:BO35" si="2">SUM(U4,AA4,AG4,AM4,AS4,AY4,BE4,BK4)</f>
        <v>96</v>
      </c>
      <c r="BP4" s="8">
        <f t="shared" ref="BP4:BP35" si="3">SUM(V4,AB4,AH4,AN4,AT4,AZ4,BF4,BL4)</f>
        <v>46</v>
      </c>
      <c r="BQ4" s="8">
        <f t="shared" ref="BQ4:BQ35" si="4">MAX(BM4:BO4)</f>
        <v>100</v>
      </c>
      <c r="BR4" s="8">
        <f t="shared" ref="BR4:BR35" si="5">MIN(BM4:BO4)</f>
        <v>53</v>
      </c>
      <c r="BS4" s="15">
        <f t="shared" ref="BS4:BS35" si="6">IF(H4&gt;0,(BQ4*SQRT(3)*IF(N4&gt;0,N4,IF(O4&gt;0,O4,IF(P4&gt;0,P4,415)))/(H4*1000))*100,0)</f>
        <v>7.5517415210003049</v>
      </c>
      <c r="BT4" s="15" t="str">
        <f t="shared" ref="BT4:BT35" si="7">IF(BS4&gt;70,"Upgrade","OK - No Upgrade")</f>
        <v>OK - No Upgrade</v>
      </c>
      <c r="BU4" s="15" t="str">
        <f t="shared" ref="BU4:BU35" si="8">IF(IF(AVERAGE(BM4:BO4)&gt;0,((BQ4-AVERAGE(BM4:BO4))/AVERAGE(BM4:BO4))*100,0)&gt;10,"Need to Balance","OK - Balanced")</f>
        <v>Need to Balance</v>
      </c>
    </row>
    <row r="5" spans="1:73" ht="15.75" customHeight="1" x14ac:dyDescent="0.25">
      <c r="A5" s="8" t="s">
        <v>38</v>
      </c>
      <c r="B5" s="8" t="s">
        <v>658</v>
      </c>
      <c r="C5" s="8" t="s">
        <v>662</v>
      </c>
      <c r="D5" s="8" t="s">
        <v>663</v>
      </c>
      <c r="E5" s="8" t="s">
        <v>664</v>
      </c>
      <c r="F5" s="8" t="s">
        <v>56</v>
      </c>
      <c r="G5" s="8" t="s">
        <v>44</v>
      </c>
      <c r="H5" s="8">
        <v>1000</v>
      </c>
      <c r="I5" s="8" t="s">
        <v>661</v>
      </c>
      <c r="J5" s="8">
        <v>1</v>
      </c>
      <c r="K5" s="8">
        <v>246</v>
      </c>
      <c r="L5" s="8">
        <v>245</v>
      </c>
      <c r="M5" s="8">
        <v>247</v>
      </c>
      <c r="N5" s="8">
        <v>424</v>
      </c>
      <c r="O5" s="8">
        <v>438</v>
      </c>
      <c r="P5" s="8">
        <v>428</v>
      </c>
      <c r="Q5" s="9"/>
      <c r="R5" s="16"/>
      <c r="S5" s="10"/>
      <c r="T5" s="10"/>
      <c r="U5" s="10"/>
      <c r="V5" s="11"/>
      <c r="W5" s="12"/>
      <c r="X5" s="17"/>
      <c r="Y5" s="13"/>
      <c r="Z5" s="13"/>
      <c r="AA5" s="13"/>
      <c r="AB5" s="14"/>
      <c r="AC5" s="9"/>
      <c r="AD5" s="16"/>
      <c r="AE5" s="10"/>
      <c r="AF5" s="10"/>
      <c r="AG5" s="10"/>
      <c r="AH5" s="11"/>
      <c r="AI5" s="12" t="s">
        <v>47</v>
      </c>
      <c r="AJ5" s="17"/>
      <c r="AK5" s="13">
        <v>30</v>
      </c>
      <c r="AL5" s="13">
        <v>30</v>
      </c>
      <c r="AM5" s="13">
        <v>28</v>
      </c>
      <c r="AN5" s="14">
        <v>9</v>
      </c>
      <c r="AO5" s="9" t="s">
        <v>47</v>
      </c>
      <c r="AP5" s="16"/>
      <c r="AQ5" s="10">
        <v>45</v>
      </c>
      <c r="AR5" s="10">
        <v>7</v>
      </c>
      <c r="AS5" s="10">
        <v>53</v>
      </c>
      <c r="AT5" s="11">
        <v>35</v>
      </c>
      <c r="AU5" s="12" t="s">
        <v>46</v>
      </c>
      <c r="AV5" s="17"/>
      <c r="AW5" s="13">
        <v>51</v>
      </c>
      <c r="AX5" s="13">
        <v>54</v>
      </c>
      <c r="AY5" s="13">
        <v>63</v>
      </c>
      <c r="AZ5" s="14">
        <v>11</v>
      </c>
      <c r="BA5" s="9" t="s">
        <v>46</v>
      </c>
      <c r="BB5" s="16"/>
      <c r="BC5" s="10">
        <v>34</v>
      </c>
      <c r="BD5" s="10">
        <v>50</v>
      </c>
      <c r="BE5" s="10">
        <v>44</v>
      </c>
      <c r="BF5" s="11">
        <v>29</v>
      </c>
      <c r="BG5" s="12" t="s">
        <v>46</v>
      </c>
      <c r="BH5" s="17"/>
      <c r="BI5" s="13">
        <v>62</v>
      </c>
      <c r="BJ5" s="13">
        <v>66</v>
      </c>
      <c r="BK5" s="13">
        <v>92</v>
      </c>
      <c r="BL5" s="14">
        <v>23</v>
      </c>
      <c r="BM5" s="8">
        <f t="shared" si="0"/>
        <v>222</v>
      </c>
      <c r="BN5" s="8">
        <f t="shared" si="1"/>
        <v>207</v>
      </c>
      <c r="BO5" s="8">
        <f t="shared" si="2"/>
        <v>280</v>
      </c>
      <c r="BP5" s="8">
        <f t="shared" si="3"/>
        <v>107</v>
      </c>
      <c r="BQ5" s="8">
        <f t="shared" si="4"/>
        <v>280</v>
      </c>
      <c r="BR5" s="8">
        <f t="shared" si="5"/>
        <v>207</v>
      </c>
      <c r="BS5" s="15">
        <f t="shared" si="6"/>
        <v>20.562907187457711</v>
      </c>
      <c r="BT5" s="15" t="str">
        <f t="shared" si="7"/>
        <v>OK - No Upgrade</v>
      </c>
      <c r="BU5" s="15" t="str">
        <f t="shared" si="8"/>
        <v>Need to Balance</v>
      </c>
    </row>
    <row r="6" spans="1:73" ht="15.75" customHeight="1" x14ac:dyDescent="0.25">
      <c r="A6" s="8" t="s">
        <v>38</v>
      </c>
      <c r="B6" s="8" t="s">
        <v>658</v>
      </c>
      <c r="C6" s="8" t="s">
        <v>662</v>
      </c>
      <c r="D6" s="8" t="s">
        <v>665</v>
      </c>
      <c r="E6" s="8" t="s">
        <v>666</v>
      </c>
      <c r="F6" s="8" t="s">
        <v>56</v>
      </c>
      <c r="G6" s="8" t="s">
        <v>44</v>
      </c>
      <c r="H6" s="8">
        <v>1000</v>
      </c>
      <c r="I6" s="8" t="s">
        <v>667</v>
      </c>
      <c r="J6" s="8">
        <v>1</v>
      </c>
      <c r="K6" s="8">
        <v>245</v>
      </c>
      <c r="L6" s="8">
        <v>246</v>
      </c>
      <c r="M6" s="8">
        <v>247</v>
      </c>
      <c r="N6" s="8">
        <v>426</v>
      </c>
      <c r="O6" s="8">
        <v>426</v>
      </c>
      <c r="P6" s="8">
        <v>430</v>
      </c>
      <c r="Q6" s="9"/>
      <c r="R6" s="16"/>
      <c r="S6" s="10"/>
      <c r="T6" s="10"/>
      <c r="U6" s="10"/>
      <c r="V6" s="11"/>
      <c r="W6" s="12"/>
      <c r="X6" s="17"/>
      <c r="Y6" s="13"/>
      <c r="Z6" s="13"/>
      <c r="AA6" s="13"/>
      <c r="AB6" s="14"/>
      <c r="AC6" s="9"/>
      <c r="AD6" s="16"/>
      <c r="AE6" s="10"/>
      <c r="AF6" s="10"/>
      <c r="AG6" s="10"/>
      <c r="AH6" s="11"/>
      <c r="AI6" s="12"/>
      <c r="AJ6" s="17"/>
      <c r="AK6" s="13"/>
      <c r="AL6" s="13"/>
      <c r="AM6" s="13"/>
      <c r="AN6" s="14"/>
      <c r="AO6" s="9"/>
      <c r="AP6" s="16"/>
      <c r="AQ6" s="10"/>
      <c r="AR6" s="10"/>
      <c r="AS6" s="10"/>
      <c r="AT6" s="11"/>
      <c r="AU6" s="12" t="s">
        <v>70</v>
      </c>
      <c r="AV6" s="17"/>
      <c r="AW6" s="13">
        <v>0</v>
      </c>
      <c r="AX6" s="13">
        <v>0</v>
      </c>
      <c r="AY6" s="13">
        <v>0</v>
      </c>
      <c r="AZ6" s="14">
        <v>0</v>
      </c>
      <c r="BA6" s="9" t="s">
        <v>47</v>
      </c>
      <c r="BB6" s="16"/>
      <c r="BC6" s="10">
        <v>60</v>
      </c>
      <c r="BD6" s="10">
        <v>66</v>
      </c>
      <c r="BE6" s="10">
        <v>54</v>
      </c>
      <c r="BF6" s="11">
        <v>12</v>
      </c>
      <c r="BG6" s="12" t="s">
        <v>47</v>
      </c>
      <c r="BH6" s="17"/>
      <c r="BI6" s="13">
        <v>41</v>
      </c>
      <c r="BJ6" s="13">
        <v>81</v>
      </c>
      <c r="BK6" s="13">
        <v>77</v>
      </c>
      <c r="BL6" s="14">
        <v>38</v>
      </c>
      <c r="BM6" s="8">
        <f t="shared" si="0"/>
        <v>101</v>
      </c>
      <c r="BN6" s="8">
        <f t="shared" si="1"/>
        <v>147</v>
      </c>
      <c r="BO6" s="8">
        <f t="shared" si="2"/>
        <v>131</v>
      </c>
      <c r="BP6" s="8">
        <f t="shared" si="3"/>
        <v>50</v>
      </c>
      <c r="BQ6" s="8">
        <f t="shared" si="4"/>
        <v>147</v>
      </c>
      <c r="BR6" s="8">
        <f t="shared" si="5"/>
        <v>101</v>
      </c>
      <c r="BS6" s="15">
        <f t="shared" si="6"/>
        <v>10.846448567157822</v>
      </c>
      <c r="BT6" s="15" t="str">
        <f t="shared" si="7"/>
        <v>OK - No Upgrade</v>
      </c>
      <c r="BU6" s="15" t="str">
        <f t="shared" si="8"/>
        <v>Need to Balance</v>
      </c>
    </row>
    <row r="7" spans="1:73" ht="15.75" customHeight="1" x14ac:dyDescent="0.25">
      <c r="A7" s="8" t="s">
        <v>38</v>
      </c>
      <c r="B7" s="8" t="s">
        <v>658</v>
      </c>
      <c r="C7" s="8" t="s">
        <v>512</v>
      </c>
      <c r="D7" s="8" t="s">
        <v>668</v>
      </c>
      <c r="E7" s="8" t="s">
        <v>669</v>
      </c>
      <c r="F7" s="8" t="s">
        <v>56</v>
      </c>
      <c r="G7" s="8" t="s">
        <v>44</v>
      </c>
      <c r="H7" s="8">
        <v>1000</v>
      </c>
      <c r="I7" s="8" t="s">
        <v>667</v>
      </c>
      <c r="J7" s="8">
        <v>1</v>
      </c>
      <c r="K7" s="8">
        <v>248</v>
      </c>
      <c r="L7" s="8">
        <v>249</v>
      </c>
      <c r="M7" s="8">
        <v>247</v>
      </c>
      <c r="N7" s="8">
        <v>432</v>
      </c>
      <c r="O7" s="8">
        <v>427</v>
      </c>
      <c r="P7" s="8">
        <v>430</v>
      </c>
      <c r="Q7" s="9"/>
      <c r="R7" s="16"/>
      <c r="S7" s="10"/>
      <c r="T7" s="10"/>
      <c r="U7" s="10"/>
      <c r="V7" s="11"/>
      <c r="W7" s="12"/>
      <c r="X7" s="17"/>
      <c r="Y7" s="13"/>
      <c r="Z7" s="13"/>
      <c r="AA7" s="13"/>
      <c r="AB7" s="14"/>
      <c r="AC7" s="9" t="s">
        <v>47</v>
      </c>
      <c r="AD7" s="16"/>
      <c r="AE7" s="10">
        <v>88</v>
      </c>
      <c r="AF7" s="10">
        <v>39</v>
      </c>
      <c r="AG7" s="10">
        <v>14</v>
      </c>
      <c r="AH7" s="11">
        <v>57</v>
      </c>
      <c r="AI7" s="12" t="s">
        <v>47</v>
      </c>
      <c r="AJ7" s="17"/>
      <c r="AK7" s="13">
        <v>37</v>
      </c>
      <c r="AL7" s="13">
        <v>20</v>
      </c>
      <c r="AM7" s="13">
        <v>22</v>
      </c>
      <c r="AN7" s="14">
        <v>19</v>
      </c>
      <c r="AO7" s="9" t="s">
        <v>47</v>
      </c>
      <c r="AP7" s="16"/>
      <c r="AQ7" s="10">
        <v>142</v>
      </c>
      <c r="AR7" s="10">
        <v>168</v>
      </c>
      <c r="AS7" s="10">
        <v>190</v>
      </c>
      <c r="AT7" s="11">
        <v>46</v>
      </c>
      <c r="AU7" s="12"/>
      <c r="AV7" s="17"/>
      <c r="AW7" s="13">
        <v>96</v>
      </c>
      <c r="AX7" s="13">
        <v>45</v>
      </c>
      <c r="AY7" s="13">
        <v>54</v>
      </c>
      <c r="AZ7" s="14">
        <v>18</v>
      </c>
      <c r="BA7" s="9"/>
      <c r="BB7" s="16"/>
      <c r="BC7" s="10"/>
      <c r="BD7" s="10"/>
      <c r="BE7" s="10"/>
      <c r="BF7" s="11"/>
      <c r="BG7" s="12"/>
      <c r="BH7" s="17"/>
      <c r="BI7" s="13"/>
      <c r="BJ7" s="13"/>
      <c r="BK7" s="13"/>
      <c r="BL7" s="14"/>
      <c r="BM7" s="8">
        <f t="shared" si="0"/>
        <v>363</v>
      </c>
      <c r="BN7" s="8">
        <f t="shared" si="1"/>
        <v>272</v>
      </c>
      <c r="BO7" s="8">
        <f t="shared" si="2"/>
        <v>280</v>
      </c>
      <c r="BP7" s="8">
        <f t="shared" si="3"/>
        <v>140</v>
      </c>
      <c r="BQ7" s="8">
        <f t="shared" si="4"/>
        <v>363</v>
      </c>
      <c r="BR7" s="8">
        <f t="shared" si="5"/>
        <v>272</v>
      </c>
      <c r="BS7" s="15">
        <f t="shared" si="6"/>
        <v>27.161327943972108</v>
      </c>
      <c r="BT7" s="15" t="str">
        <f t="shared" si="7"/>
        <v>OK - No Upgrade</v>
      </c>
      <c r="BU7" s="15" t="str">
        <f t="shared" si="8"/>
        <v>Need to Balance</v>
      </c>
    </row>
    <row r="8" spans="1:73" ht="15.75" customHeight="1" x14ac:dyDescent="0.25">
      <c r="A8" s="8" t="s">
        <v>38</v>
      </c>
      <c r="B8" s="8" t="s">
        <v>658</v>
      </c>
      <c r="C8" s="8" t="s">
        <v>40</v>
      </c>
      <c r="D8" s="8" t="s">
        <v>670</v>
      </c>
      <c r="E8" s="8" t="s">
        <v>671</v>
      </c>
      <c r="F8" s="8" t="s">
        <v>56</v>
      </c>
      <c r="G8" s="8" t="s">
        <v>44</v>
      </c>
      <c r="H8" s="8">
        <v>1000</v>
      </c>
      <c r="I8" s="8" t="s">
        <v>672</v>
      </c>
      <c r="J8" s="8">
        <v>1</v>
      </c>
      <c r="K8" s="8">
        <v>248</v>
      </c>
      <c r="L8" s="8">
        <v>247</v>
      </c>
      <c r="M8" s="8">
        <v>250</v>
      </c>
      <c r="N8" s="8">
        <v>431</v>
      </c>
      <c r="O8" s="8">
        <v>435</v>
      </c>
      <c r="P8" s="8">
        <v>433</v>
      </c>
      <c r="Q8" s="9" t="s">
        <v>70</v>
      </c>
      <c r="R8" s="16"/>
      <c r="S8" s="10">
        <v>0</v>
      </c>
      <c r="T8" s="10">
        <v>0</v>
      </c>
      <c r="U8" s="10">
        <v>0</v>
      </c>
      <c r="V8" s="11">
        <v>0</v>
      </c>
      <c r="W8" s="12" t="s">
        <v>70</v>
      </c>
      <c r="X8" s="17"/>
      <c r="Y8" s="13">
        <v>0</v>
      </c>
      <c r="Z8" s="13">
        <v>0</v>
      </c>
      <c r="AA8" s="13">
        <v>0</v>
      </c>
      <c r="AB8" s="14">
        <v>0</v>
      </c>
      <c r="AC8" s="9" t="s">
        <v>70</v>
      </c>
      <c r="AD8" s="16"/>
      <c r="AE8" s="10">
        <v>62</v>
      </c>
      <c r="AF8" s="10">
        <v>48</v>
      </c>
      <c r="AG8" s="10">
        <v>90</v>
      </c>
      <c r="AH8" s="11">
        <v>20</v>
      </c>
      <c r="AI8" s="12"/>
      <c r="AJ8" s="17"/>
      <c r="AK8" s="13"/>
      <c r="AL8" s="13"/>
      <c r="AM8" s="13"/>
      <c r="AN8" s="14"/>
      <c r="AO8" s="9"/>
      <c r="AP8" s="16"/>
      <c r="AQ8" s="10"/>
      <c r="AR8" s="10"/>
      <c r="AS8" s="10"/>
      <c r="AT8" s="11"/>
      <c r="AU8" s="12"/>
      <c r="AV8" s="17"/>
      <c r="AW8" s="13"/>
      <c r="AX8" s="13"/>
      <c r="AY8" s="13"/>
      <c r="AZ8" s="14"/>
      <c r="BA8" s="9"/>
      <c r="BB8" s="16"/>
      <c r="BC8" s="10"/>
      <c r="BD8" s="10"/>
      <c r="BE8" s="10"/>
      <c r="BF8" s="11"/>
      <c r="BG8" s="12"/>
      <c r="BH8" s="17"/>
      <c r="BI8" s="13"/>
      <c r="BJ8" s="13"/>
      <c r="BK8" s="13"/>
      <c r="BL8" s="14"/>
      <c r="BM8" s="8">
        <f t="shared" si="0"/>
        <v>62</v>
      </c>
      <c r="BN8" s="8">
        <f t="shared" si="1"/>
        <v>48</v>
      </c>
      <c r="BO8" s="8">
        <f t="shared" si="2"/>
        <v>90</v>
      </c>
      <c r="BP8" s="8">
        <f t="shared" si="3"/>
        <v>20</v>
      </c>
      <c r="BQ8" s="8">
        <f t="shared" si="4"/>
        <v>90</v>
      </c>
      <c r="BR8" s="8">
        <f t="shared" si="5"/>
        <v>48</v>
      </c>
      <c r="BS8" s="15">
        <f t="shared" si="6"/>
        <v>6.7186250825596758</v>
      </c>
      <c r="BT8" s="15" t="str">
        <f t="shared" si="7"/>
        <v>OK - No Upgrade</v>
      </c>
      <c r="BU8" s="15" t="str">
        <f t="shared" si="8"/>
        <v>Need to Balance</v>
      </c>
    </row>
    <row r="9" spans="1:73" ht="15.75" customHeight="1" x14ac:dyDescent="0.25">
      <c r="A9" s="8" t="s">
        <v>38</v>
      </c>
      <c r="B9" s="8" t="s">
        <v>658</v>
      </c>
      <c r="C9" s="8" t="s">
        <v>40</v>
      </c>
      <c r="D9" s="8" t="s">
        <v>673</v>
      </c>
      <c r="E9" s="8" t="s">
        <v>674</v>
      </c>
      <c r="F9" s="8" t="s">
        <v>56</v>
      </c>
      <c r="G9" s="8" t="s">
        <v>44</v>
      </c>
      <c r="H9" s="8">
        <v>1000</v>
      </c>
      <c r="I9" s="8" t="s">
        <v>675</v>
      </c>
      <c r="J9" s="8">
        <v>1</v>
      </c>
      <c r="K9" s="8">
        <v>240</v>
      </c>
      <c r="L9" s="8">
        <v>246</v>
      </c>
      <c r="M9" s="8">
        <v>249</v>
      </c>
      <c r="N9" s="8">
        <v>426</v>
      </c>
      <c r="O9" s="8">
        <v>431</v>
      </c>
      <c r="P9" s="8">
        <v>429</v>
      </c>
      <c r="Q9" s="9" t="s">
        <v>70</v>
      </c>
      <c r="R9" s="16"/>
      <c r="S9" s="10">
        <v>54</v>
      </c>
      <c r="T9" s="10">
        <v>106</v>
      </c>
      <c r="U9" s="10">
        <v>60</v>
      </c>
      <c r="V9" s="11">
        <v>40</v>
      </c>
      <c r="W9" s="12" t="s">
        <v>47</v>
      </c>
      <c r="X9" s="17"/>
      <c r="Y9" s="13">
        <v>84</v>
      </c>
      <c r="Z9" s="13">
        <v>62</v>
      </c>
      <c r="AA9" s="13">
        <v>89</v>
      </c>
      <c r="AB9" s="14">
        <v>47</v>
      </c>
      <c r="AC9" s="9" t="s">
        <v>70</v>
      </c>
      <c r="AD9" s="16"/>
      <c r="AE9" s="10">
        <v>60</v>
      </c>
      <c r="AF9" s="10">
        <v>71</v>
      </c>
      <c r="AG9" s="10">
        <v>55</v>
      </c>
      <c r="AH9" s="11">
        <v>20</v>
      </c>
      <c r="AI9" s="12" t="s">
        <v>47</v>
      </c>
      <c r="AJ9" s="17"/>
      <c r="AK9" s="13">
        <v>109</v>
      </c>
      <c r="AL9" s="13">
        <v>50</v>
      </c>
      <c r="AM9" s="13">
        <v>20</v>
      </c>
      <c r="AN9" s="14">
        <v>41</v>
      </c>
      <c r="AO9" s="9" t="s">
        <v>70</v>
      </c>
      <c r="AP9" s="16"/>
      <c r="AQ9" s="10">
        <v>69</v>
      </c>
      <c r="AR9" s="10">
        <v>58</v>
      </c>
      <c r="AS9" s="10">
        <v>79</v>
      </c>
      <c r="AT9" s="11">
        <v>19</v>
      </c>
      <c r="AU9" s="12"/>
      <c r="AV9" s="17"/>
      <c r="AW9" s="13"/>
      <c r="AX9" s="13"/>
      <c r="AY9" s="13"/>
      <c r="AZ9" s="14"/>
      <c r="BA9" s="9"/>
      <c r="BB9" s="16"/>
      <c r="BC9" s="10"/>
      <c r="BD9" s="10"/>
      <c r="BE9" s="10"/>
      <c r="BF9" s="11"/>
      <c r="BG9" s="12"/>
      <c r="BH9" s="17"/>
      <c r="BI9" s="13"/>
      <c r="BJ9" s="13"/>
      <c r="BK9" s="13"/>
      <c r="BL9" s="14"/>
      <c r="BM9" s="8">
        <f t="shared" si="0"/>
        <v>376</v>
      </c>
      <c r="BN9" s="8">
        <f t="shared" si="1"/>
        <v>347</v>
      </c>
      <c r="BO9" s="8">
        <f t="shared" si="2"/>
        <v>303</v>
      </c>
      <c r="BP9" s="8">
        <f t="shared" si="3"/>
        <v>167</v>
      </c>
      <c r="BQ9" s="8">
        <f t="shared" si="4"/>
        <v>376</v>
      </c>
      <c r="BR9" s="8">
        <f t="shared" si="5"/>
        <v>303</v>
      </c>
      <c r="BS9" s="15">
        <f t="shared" si="6"/>
        <v>27.74329701531525</v>
      </c>
      <c r="BT9" s="15" t="str">
        <f t="shared" si="7"/>
        <v>OK - No Upgrade</v>
      </c>
      <c r="BU9" s="15" t="str">
        <f t="shared" si="8"/>
        <v>OK - Balanced</v>
      </c>
    </row>
    <row r="10" spans="1:73" ht="15.75" customHeight="1" x14ac:dyDescent="0.25">
      <c r="A10" s="8" t="s">
        <v>38</v>
      </c>
      <c r="B10" s="8" t="s">
        <v>658</v>
      </c>
      <c r="C10" s="8" t="s">
        <v>662</v>
      </c>
      <c r="D10" s="8" t="s">
        <v>676</v>
      </c>
      <c r="E10" s="8" t="s">
        <v>677</v>
      </c>
      <c r="F10" s="8" t="s">
        <v>56</v>
      </c>
      <c r="G10" s="8" t="s">
        <v>44</v>
      </c>
      <c r="H10" s="8">
        <v>1000</v>
      </c>
      <c r="I10" s="8" t="s">
        <v>678</v>
      </c>
      <c r="J10" s="8">
        <v>1</v>
      </c>
      <c r="K10" s="8">
        <v>247</v>
      </c>
      <c r="L10" s="8">
        <v>247</v>
      </c>
      <c r="M10" s="8">
        <v>249</v>
      </c>
      <c r="N10" s="8">
        <v>425</v>
      </c>
      <c r="O10" s="8">
        <v>431</v>
      </c>
      <c r="P10" s="8">
        <v>429</v>
      </c>
      <c r="Q10" s="9" t="s">
        <v>47</v>
      </c>
      <c r="R10" s="16"/>
      <c r="S10" s="10">
        <v>118</v>
      </c>
      <c r="T10" s="10">
        <v>33</v>
      </c>
      <c r="U10" s="10">
        <v>31</v>
      </c>
      <c r="V10" s="11">
        <v>88</v>
      </c>
      <c r="W10" s="12" t="s">
        <v>47</v>
      </c>
      <c r="X10" s="17"/>
      <c r="Y10" s="13">
        <v>45</v>
      </c>
      <c r="Z10" s="13">
        <v>28</v>
      </c>
      <c r="AA10" s="13">
        <v>60</v>
      </c>
      <c r="AB10" s="14">
        <v>22</v>
      </c>
      <c r="AC10" s="9"/>
      <c r="AD10" s="16"/>
      <c r="AE10" s="10"/>
      <c r="AF10" s="10"/>
      <c r="AG10" s="10"/>
      <c r="AH10" s="11"/>
      <c r="AI10" s="12"/>
      <c r="AJ10" s="17"/>
      <c r="AK10" s="13"/>
      <c r="AL10" s="13"/>
      <c r="AM10" s="13"/>
      <c r="AN10" s="14"/>
      <c r="AO10" s="9"/>
      <c r="AP10" s="16"/>
      <c r="AQ10" s="10"/>
      <c r="AR10" s="10"/>
      <c r="AS10" s="10"/>
      <c r="AT10" s="11"/>
      <c r="AU10" s="12"/>
      <c r="AV10" s="17"/>
      <c r="AW10" s="13"/>
      <c r="AX10" s="13"/>
      <c r="AY10" s="13"/>
      <c r="AZ10" s="14"/>
      <c r="BA10" s="9"/>
      <c r="BB10" s="16"/>
      <c r="BC10" s="10"/>
      <c r="BD10" s="10"/>
      <c r="BE10" s="10"/>
      <c r="BF10" s="11"/>
      <c r="BG10" s="12"/>
      <c r="BH10" s="17"/>
      <c r="BI10" s="13"/>
      <c r="BJ10" s="13"/>
      <c r="BK10" s="13"/>
      <c r="BL10" s="14"/>
      <c r="BM10" s="8">
        <f t="shared" si="0"/>
        <v>163</v>
      </c>
      <c r="BN10" s="8">
        <f t="shared" si="1"/>
        <v>61</v>
      </c>
      <c r="BO10" s="8">
        <f t="shared" si="2"/>
        <v>91</v>
      </c>
      <c r="BP10" s="8">
        <f t="shared" si="3"/>
        <v>110</v>
      </c>
      <c r="BQ10" s="8">
        <f t="shared" si="4"/>
        <v>163</v>
      </c>
      <c r="BR10" s="8">
        <f t="shared" si="5"/>
        <v>61</v>
      </c>
      <c r="BS10" s="15">
        <f t="shared" si="6"/>
        <v>11.998781969433397</v>
      </c>
      <c r="BT10" s="15" t="str">
        <f t="shared" si="7"/>
        <v>OK - No Upgrade</v>
      </c>
      <c r="BU10" s="15" t="str">
        <f t="shared" si="8"/>
        <v>Need to Balance</v>
      </c>
    </row>
    <row r="11" spans="1:73" ht="15.75" customHeight="1" x14ac:dyDescent="0.25">
      <c r="A11" s="8" t="s">
        <v>38</v>
      </c>
      <c r="B11" s="8" t="s">
        <v>658</v>
      </c>
      <c r="C11" s="8" t="s">
        <v>662</v>
      </c>
      <c r="D11" s="8" t="s">
        <v>679</v>
      </c>
      <c r="E11" s="8" t="s">
        <v>680</v>
      </c>
      <c r="F11" s="8" t="s">
        <v>56</v>
      </c>
      <c r="G11" s="8" t="s">
        <v>44</v>
      </c>
      <c r="H11" s="8">
        <v>1000</v>
      </c>
      <c r="I11" s="8" t="s">
        <v>681</v>
      </c>
      <c r="J11" s="8">
        <v>1</v>
      </c>
      <c r="K11" s="8">
        <v>247</v>
      </c>
      <c r="L11" s="8">
        <v>246</v>
      </c>
      <c r="M11" s="8">
        <v>249</v>
      </c>
      <c r="N11" s="8">
        <v>425</v>
      </c>
      <c r="O11" s="8">
        <v>431</v>
      </c>
      <c r="P11" s="8">
        <v>430</v>
      </c>
      <c r="Q11" s="9" t="s">
        <v>47</v>
      </c>
      <c r="R11" s="16"/>
      <c r="S11" s="10">
        <v>141</v>
      </c>
      <c r="T11" s="10">
        <v>143</v>
      </c>
      <c r="U11" s="10">
        <v>139</v>
      </c>
      <c r="V11" s="11">
        <v>28</v>
      </c>
      <c r="W11" s="12" t="s">
        <v>47</v>
      </c>
      <c r="X11" s="17"/>
      <c r="Y11" s="13">
        <v>63</v>
      </c>
      <c r="Z11" s="13">
        <v>61</v>
      </c>
      <c r="AA11" s="13">
        <v>53</v>
      </c>
      <c r="AB11" s="14">
        <v>15</v>
      </c>
      <c r="AC11" s="9" t="s">
        <v>47</v>
      </c>
      <c r="AD11" s="16"/>
      <c r="AE11" s="10">
        <v>29</v>
      </c>
      <c r="AF11" s="10">
        <v>47</v>
      </c>
      <c r="AG11" s="10">
        <v>19</v>
      </c>
      <c r="AH11" s="11">
        <v>20</v>
      </c>
      <c r="AI11" s="12"/>
      <c r="AJ11" s="17"/>
      <c r="AK11" s="13"/>
      <c r="AL11" s="13"/>
      <c r="AM11" s="13"/>
      <c r="AN11" s="14"/>
      <c r="AO11" s="9"/>
      <c r="AP11" s="16"/>
      <c r="AQ11" s="10"/>
      <c r="AR11" s="10"/>
      <c r="AS11" s="10"/>
      <c r="AT11" s="11"/>
      <c r="AU11" s="12"/>
      <c r="AV11" s="17"/>
      <c r="AW11" s="13"/>
      <c r="AX11" s="13"/>
      <c r="AY11" s="13"/>
      <c r="AZ11" s="14"/>
      <c r="BA11" s="9"/>
      <c r="BB11" s="16"/>
      <c r="BC11" s="10"/>
      <c r="BD11" s="10"/>
      <c r="BE11" s="10"/>
      <c r="BF11" s="11"/>
      <c r="BG11" s="12"/>
      <c r="BH11" s="17"/>
      <c r="BI11" s="13"/>
      <c r="BJ11" s="13"/>
      <c r="BK11" s="13"/>
      <c r="BL11" s="14"/>
      <c r="BM11" s="8">
        <f t="shared" si="0"/>
        <v>233</v>
      </c>
      <c r="BN11" s="8">
        <f t="shared" si="1"/>
        <v>251</v>
      </c>
      <c r="BO11" s="8">
        <f t="shared" si="2"/>
        <v>211</v>
      </c>
      <c r="BP11" s="8">
        <f t="shared" si="3"/>
        <v>63</v>
      </c>
      <c r="BQ11" s="8">
        <f t="shared" si="4"/>
        <v>251</v>
      </c>
      <c r="BR11" s="8">
        <f t="shared" si="5"/>
        <v>211</v>
      </c>
      <c r="BS11" s="15">
        <f t="shared" si="6"/>
        <v>18.476651989740997</v>
      </c>
      <c r="BT11" s="15" t="str">
        <f t="shared" si="7"/>
        <v>OK - No Upgrade</v>
      </c>
      <c r="BU11" s="15" t="str">
        <f t="shared" si="8"/>
        <v>OK - Balanced</v>
      </c>
    </row>
    <row r="12" spans="1:73" ht="15.75" customHeight="1" x14ac:dyDescent="0.25">
      <c r="A12" s="8" t="s">
        <v>38</v>
      </c>
      <c r="B12" s="8" t="s">
        <v>658</v>
      </c>
      <c r="C12" s="8" t="s">
        <v>40</v>
      </c>
      <c r="D12" s="8" t="s">
        <v>682</v>
      </c>
      <c r="E12" s="8" t="s">
        <v>683</v>
      </c>
      <c r="F12" s="8" t="s">
        <v>56</v>
      </c>
      <c r="G12" s="8" t="s">
        <v>44</v>
      </c>
      <c r="H12" s="8">
        <v>1000</v>
      </c>
      <c r="I12" s="8" t="s">
        <v>684</v>
      </c>
      <c r="J12" s="8">
        <v>1</v>
      </c>
      <c r="K12" s="8">
        <v>247</v>
      </c>
      <c r="L12" s="8">
        <v>246</v>
      </c>
      <c r="M12" s="8">
        <v>249</v>
      </c>
      <c r="N12" s="8">
        <v>427</v>
      </c>
      <c r="O12" s="8">
        <v>432</v>
      </c>
      <c r="P12" s="8">
        <v>432</v>
      </c>
      <c r="Q12" s="9" t="s">
        <v>47</v>
      </c>
      <c r="R12" s="16"/>
      <c r="S12" s="10">
        <v>144</v>
      </c>
      <c r="T12" s="10">
        <v>152</v>
      </c>
      <c r="U12" s="10">
        <v>180</v>
      </c>
      <c r="V12" s="11">
        <v>47</v>
      </c>
      <c r="W12" s="12" t="s">
        <v>70</v>
      </c>
      <c r="X12" s="17"/>
      <c r="Y12" s="13">
        <v>104</v>
      </c>
      <c r="Z12" s="13">
        <v>95</v>
      </c>
      <c r="AA12" s="13">
        <v>58</v>
      </c>
      <c r="AB12" s="14">
        <v>51</v>
      </c>
      <c r="AC12" s="9" t="s">
        <v>70</v>
      </c>
      <c r="AD12" s="16"/>
      <c r="AE12" s="10">
        <v>70</v>
      </c>
      <c r="AF12" s="10">
        <v>101</v>
      </c>
      <c r="AG12" s="10">
        <v>114</v>
      </c>
      <c r="AH12" s="11">
        <v>25</v>
      </c>
      <c r="AI12" s="12" t="s">
        <v>47</v>
      </c>
      <c r="AJ12" s="17"/>
      <c r="AK12" s="13">
        <v>140</v>
      </c>
      <c r="AL12" s="13">
        <v>101</v>
      </c>
      <c r="AM12" s="13">
        <v>62</v>
      </c>
      <c r="AN12" s="14">
        <v>45</v>
      </c>
      <c r="AO12" s="9" t="s">
        <v>70</v>
      </c>
      <c r="AP12" s="16"/>
      <c r="AQ12" s="10">
        <v>115</v>
      </c>
      <c r="AR12" s="10">
        <v>150</v>
      </c>
      <c r="AS12" s="10">
        <v>165</v>
      </c>
      <c r="AT12" s="11">
        <v>25</v>
      </c>
      <c r="AU12" s="12"/>
      <c r="AV12" s="17"/>
      <c r="AW12" s="13"/>
      <c r="AX12" s="13"/>
      <c r="AY12" s="13"/>
      <c r="AZ12" s="14"/>
      <c r="BA12" s="9"/>
      <c r="BB12" s="16"/>
      <c r="BC12" s="10"/>
      <c r="BD12" s="10"/>
      <c r="BE12" s="10"/>
      <c r="BF12" s="11"/>
      <c r="BG12" s="12"/>
      <c r="BH12" s="17"/>
      <c r="BI12" s="13"/>
      <c r="BJ12" s="13"/>
      <c r="BK12" s="13"/>
      <c r="BL12" s="14"/>
      <c r="BM12" s="8">
        <f t="shared" si="0"/>
        <v>573</v>
      </c>
      <c r="BN12" s="8">
        <f t="shared" si="1"/>
        <v>599</v>
      </c>
      <c r="BO12" s="8">
        <f t="shared" si="2"/>
        <v>579</v>
      </c>
      <c r="BP12" s="8">
        <f t="shared" si="3"/>
        <v>193</v>
      </c>
      <c r="BQ12" s="8">
        <f t="shared" si="4"/>
        <v>599</v>
      </c>
      <c r="BR12" s="8">
        <f t="shared" si="5"/>
        <v>573</v>
      </c>
      <c r="BS12" s="15">
        <f t="shared" si="6"/>
        <v>44.301183120431439</v>
      </c>
      <c r="BT12" s="15" t="str">
        <f t="shared" si="7"/>
        <v>OK - No Upgrade</v>
      </c>
      <c r="BU12" s="15" t="str">
        <f t="shared" si="8"/>
        <v>OK - Balanced</v>
      </c>
    </row>
    <row r="13" spans="1:73" ht="15.75" customHeight="1" x14ac:dyDescent="0.25">
      <c r="A13" s="8" t="s">
        <v>38</v>
      </c>
      <c r="B13" s="8" t="s">
        <v>658</v>
      </c>
      <c r="C13" s="8" t="s">
        <v>662</v>
      </c>
      <c r="D13" s="8" t="s">
        <v>685</v>
      </c>
      <c r="E13" s="8" t="s">
        <v>686</v>
      </c>
      <c r="F13" s="8" t="s">
        <v>56</v>
      </c>
      <c r="G13" s="8" t="s">
        <v>44</v>
      </c>
      <c r="H13" s="8">
        <v>1000</v>
      </c>
      <c r="I13" s="8" t="s">
        <v>687</v>
      </c>
      <c r="J13" s="8">
        <v>1</v>
      </c>
      <c r="K13" s="8">
        <v>249</v>
      </c>
      <c r="L13" s="8">
        <v>248</v>
      </c>
      <c r="M13" s="8">
        <v>251</v>
      </c>
      <c r="N13" s="8">
        <v>429</v>
      </c>
      <c r="O13" s="8">
        <v>434</v>
      </c>
      <c r="P13" s="8">
        <v>432</v>
      </c>
      <c r="Q13" s="9"/>
      <c r="R13" s="16"/>
      <c r="S13" s="10"/>
      <c r="T13" s="10"/>
      <c r="U13" s="10"/>
      <c r="V13" s="11"/>
      <c r="W13" s="12"/>
      <c r="X13" s="17"/>
      <c r="Y13" s="13"/>
      <c r="Z13" s="13"/>
      <c r="AA13" s="13"/>
      <c r="AB13" s="14"/>
      <c r="AC13" s="9" t="s">
        <v>70</v>
      </c>
      <c r="AD13" s="16"/>
      <c r="AE13" s="10">
        <v>33</v>
      </c>
      <c r="AF13" s="10">
        <v>83</v>
      </c>
      <c r="AG13" s="10">
        <v>104</v>
      </c>
      <c r="AH13" s="11">
        <v>65</v>
      </c>
      <c r="AI13" s="12" t="s">
        <v>47</v>
      </c>
      <c r="AJ13" s="17"/>
      <c r="AK13" s="13">
        <v>121</v>
      </c>
      <c r="AL13" s="13">
        <v>94</v>
      </c>
      <c r="AM13" s="13">
        <v>79</v>
      </c>
      <c r="AN13" s="14">
        <v>37</v>
      </c>
      <c r="AO13" s="9" t="s">
        <v>70</v>
      </c>
      <c r="AP13" s="16"/>
      <c r="AQ13" s="10">
        <v>45</v>
      </c>
      <c r="AR13" s="10">
        <v>51</v>
      </c>
      <c r="AS13" s="10">
        <v>49</v>
      </c>
      <c r="AT13" s="11">
        <v>15</v>
      </c>
      <c r="AU13" s="12" t="s">
        <v>47</v>
      </c>
      <c r="AV13" s="17"/>
      <c r="AW13" s="13">
        <v>65</v>
      </c>
      <c r="AX13" s="13">
        <v>20</v>
      </c>
      <c r="AY13" s="13">
        <v>0</v>
      </c>
      <c r="AZ13" s="14">
        <v>42</v>
      </c>
      <c r="BA13" s="9"/>
      <c r="BB13" s="16"/>
      <c r="BC13" s="10"/>
      <c r="BD13" s="10"/>
      <c r="BE13" s="10"/>
      <c r="BF13" s="11"/>
      <c r="BG13" s="12"/>
      <c r="BH13" s="17"/>
      <c r="BI13" s="13"/>
      <c r="BJ13" s="13"/>
      <c r="BK13" s="13"/>
      <c r="BL13" s="14"/>
      <c r="BM13" s="8">
        <f t="shared" si="0"/>
        <v>264</v>
      </c>
      <c r="BN13" s="8">
        <f t="shared" si="1"/>
        <v>248</v>
      </c>
      <c r="BO13" s="8">
        <f t="shared" si="2"/>
        <v>232</v>
      </c>
      <c r="BP13" s="8">
        <f t="shared" si="3"/>
        <v>159</v>
      </c>
      <c r="BQ13" s="8">
        <f t="shared" si="4"/>
        <v>264</v>
      </c>
      <c r="BR13" s="8">
        <f t="shared" si="5"/>
        <v>232</v>
      </c>
      <c r="BS13" s="15">
        <f t="shared" si="6"/>
        <v>19.616514626202076</v>
      </c>
      <c r="BT13" s="15" t="str">
        <f t="shared" si="7"/>
        <v>OK - No Upgrade</v>
      </c>
      <c r="BU13" s="15" t="str">
        <f t="shared" si="8"/>
        <v>OK - Balanced</v>
      </c>
    </row>
    <row r="14" spans="1:73" ht="15.75" customHeight="1" x14ac:dyDescent="0.25">
      <c r="A14" s="8" t="s">
        <v>38</v>
      </c>
      <c r="B14" s="8" t="s">
        <v>658</v>
      </c>
      <c r="C14" s="8" t="s">
        <v>40</v>
      </c>
      <c r="D14" s="8" t="s">
        <v>688</v>
      </c>
      <c r="E14" s="8" t="s">
        <v>689</v>
      </c>
      <c r="F14" s="8" t="s">
        <v>56</v>
      </c>
      <c r="G14" s="8" t="s">
        <v>44</v>
      </c>
      <c r="H14" s="8">
        <v>1000</v>
      </c>
      <c r="I14" s="8" t="s">
        <v>690</v>
      </c>
      <c r="J14" s="8">
        <v>1</v>
      </c>
      <c r="K14" s="8">
        <v>2249</v>
      </c>
      <c r="L14" s="8">
        <v>248</v>
      </c>
      <c r="M14" s="8">
        <v>250</v>
      </c>
      <c r="N14" s="8">
        <v>430</v>
      </c>
      <c r="O14" s="8">
        <v>435</v>
      </c>
      <c r="P14" s="8">
        <v>433</v>
      </c>
      <c r="Q14" s="9"/>
      <c r="R14" s="16"/>
      <c r="S14" s="10"/>
      <c r="T14" s="10"/>
      <c r="U14" s="10"/>
      <c r="V14" s="11"/>
      <c r="W14" s="12" t="s">
        <v>46</v>
      </c>
      <c r="X14" s="17"/>
      <c r="Y14" s="13">
        <v>112</v>
      </c>
      <c r="Z14" s="13">
        <v>96</v>
      </c>
      <c r="AA14" s="13">
        <v>178</v>
      </c>
      <c r="AB14" s="14">
        <v>62</v>
      </c>
      <c r="AC14" s="9" t="s">
        <v>46</v>
      </c>
      <c r="AD14" s="16"/>
      <c r="AE14" s="10">
        <v>185</v>
      </c>
      <c r="AF14" s="10">
        <v>91</v>
      </c>
      <c r="AG14" s="10">
        <v>152</v>
      </c>
      <c r="AH14" s="11">
        <v>91</v>
      </c>
      <c r="AI14" s="12"/>
      <c r="AJ14" s="17"/>
      <c r="AK14" s="13"/>
      <c r="AL14" s="13"/>
      <c r="AM14" s="13"/>
      <c r="AN14" s="14"/>
      <c r="AO14" s="9"/>
      <c r="AP14" s="16"/>
      <c r="AQ14" s="10"/>
      <c r="AR14" s="10"/>
      <c r="AS14" s="10"/>
      <c r="AT14" s="11"/>
      <c r="AU14" s="12"/>
      <c r="AV14" s="17"/>
      <c r="AW14" s="13"/>
      <c r="AX14" s="13"/>
      <c r="AY14" s="13"/>
      <c r="AZ14" s="14"/>
      <c r="BA14" s="9"/>
      <c r="BB14" s="16"/>
      <c r="BC14" s="10"/>
      <c r="BD14" s="10"/>
      <c r="BE14" s="10"/>
      <c r="BF14" s="11"/>
      <c r="BG14" s="12"/>
      <c r="BH14" s="17"/>
      <c r="BI14" s="13"/>
      <c r="BJ14" s="13"/>
      <c r="BK14" s="13"/>
      <c r="BL14" s="14"/>
      <c r="BM14" s="8">
        <f t="shared" si="0"/>
        <v>297</v>
      </c>
      <c r="BN14" s="8">
        <f t="shared" si="1"/>
        <v>187</v>
      </c>
      <c r="BO14" s="8">
        <f t="shared" si="2"/>
        <v>330</v>
      </c>
      <c r="BP14" s="8">
        <f t="shared" si="3"/>
        <v>153</v>
      </c>
      <c r="BQ14" s="8">
        <f t="shared" si="4"/>
        <v>330</v>
      </c>
      <c r="BR14" s="8">
        <f t="shared" si="5"/>
        <v>187</v>
      </c>
      <c r="BS14" s="15">
        <f t="shared" si="6"/>
        <v>24.577800959402367</v>
      </c>
      <c r="BT14" s="15" t="str">
        <f t="shared" si="7"/>
        <v>OK - No Upgrade</v>
      </c>
      <c r="BU14" s="15" t="str">
        <f t="shared" si="8"/>
        <v>Need to Balance</v>
      </c>
    </row>
    <row r="15" spans="1:73" ht="15.75" customHeight="1" x14ac:dyDescent="0.25">
      <c r="A15" s="8" t="s">
        <v>38</v>
      </c>
      <c r="B15" s="8" t="s">
        <v>658</v>
      </c>
      <c r="C15" s="8" t="s">
        <v>40</v>
      </c>
      <c r="D15" s="8" t="s">
        <v>691</v>
      </c>
      <c r="E15" s="8" t="s">
        <v>692</v>
      </c>
      <c r="F15" s="8" t="s">
        <v>56</v>
      </c>
      <c r="G15" s="8" t="s">
        <v>44</v>
      </c>
      <c r="H15" s="8">
        <v>1000</v>
      </c>
      <c r="I15" s="8" t="s">
        <v>693</v>
      </c>
      <c r="J15" s="8">
        <v>1</v>
      </c>
      <c r="K15" s="8">
        <v>247</v>
      </c>
      <c r="L15" s="8">
        <v>245</v>
      </c>
      <c r="M15" s="8">
        <v>246</v>
      </c>
      <c r="N15" s="8">
        <v>425</v>
      </c>
      <c r="O15" s="8">
        <v>232</v>
      </c>
      <c r="P15" s="8">
        <v>429</v>
      </c>
      <c r="Q15" s="9"/>
      <c r="R15" s="16"/>
      <c r="S15" s="10"/>
      <c r="T15" s="10"/>
      <c r="U15" s="10"/>
      <c r="V15" s="11"/>
      <c r="W15" s="12"/>
      <c r="X15" s="17"/>
      <c r="Y15" s="13"/>
      <c r="Z15" s="13"/>
      <c r="AA15" s="13"/>
      <c r="AB15" s="14"/>
      <c r="AC15" s="9" t="s">
        <v>47</v>
      </c>
      <c r="AD15" s="16"/>
      <c r="AE15" s="10">
        <v>0</v>
      </c>
      <c r="AF15" s="10">
        <v>0</v>
      </c>
      <c r="AG15" s="10">
        <v>12</v>
      </c>
      <c r="AH15" s="11">
        <v>12</v>
      </c>
      <c r="AI15" s="12" t="s">
        <v>47</v>
      </c>
      <c r="AJ15" s="17"/>
      <c r="AK15" s="13">
        <v>0</v>
      </c>
      <c r="AL15" s="13">
        <v>0</v>
      </c>
      <c r="AM15" s="13">
        <v>0</v>
      </c>
      <c r="AN15" s="14">
        <v>0</v>
      </c>
      <c r="AO15" s="9" t="s">
        <v>46</v>
      </c>
      <c r="AP15" s="16"/>
      <c r="AQ15" s="10">
        <v>0</v>
      </c>
      <c r="AR15" s="10">
        <v>0</v>
      </c>
      <c r="AS15" s="10">
        <v>0</v>
      </c>
      <c r="AT15" s="11">
        <v>0</v>
      </c>
      <c r="AU15" s="12" t="s">
        <v>46</v>
      </c>
      <c r="AV15" s="17"/>
      <c r="AW15" s="13">
        <v>60</v>
      </c>
      <c r="AX15" s="13">
        <v>73</v>
      </c>
      <c r="AY15" s="13">
        <v>59</v>
      </c>
      <c r="AZ15" s="14">
        <v>22</v>
      </c>
      <c r="BA15" s="9" t="s">
        <v>47</v>
      </c>
      <c r="BB15" s="16"/>
      <c r="BC15" s="10">
        <v>100</v>
      </c>
      <c r="BD15" s="10">
        <v>169</v>
      </c>
      <c r="BE15" s="10">
        <v>87</v>
      </c>
      <c r="BF15" s="11">
        <v>68</v>
      </c>
      <c r="BG15" s="12"/>
      <c r="BH15" s="17"/>
      <c r="BI15" s="13"/>
      <c r="BJ15" s="13"/>
      <c r="BK15" s="13"/>
      <c r="BL15" s="14"/>
      <c r="BM15" s="8">
        <f t="shared" si="0"/>
        <v>160</v>
      </c>
      <c r="BN15" s="8">
        <f t="shared" si="1"/>
        <v>242</v>
      </c>
      <c r="BO15" s="8">
        <f t="shared" si="2"/>
        <v>158</v>
      </c>
      <c r="BP15" s="8">
        <f t="shared" si="3"/>
        <v>102</v>
      </c>
      <c r="BQ15" s="8">
        <f t="shared" si="4"/>
        <v>242</v>
      </c>
      <c r="BR15" s="8">
        <f t="shared" si="5"/>
        <v>158</v>
      </c>
      <c r="BS15" s="15">
        <f t="shared" si="6"/>
        <v>17.814142555845901</v>
      </c>
      <c r="BT15" s="15" t="str">
        <f t="shared" si="7"/>
        <v>OK - No Upgrade</v>
      </c>
      <c r="BU15" s="15" t="str">
        <f t="shared" si="8"/>
        <v>Need to Balance</v>
      </c>
    </row>
    <row r="16" spans="1:73" ht="15.75" customHeight="1" x14ac:dyDescent="0.25">
      <c r="A16" s="8" t="s">
        <v>38</v>
      </c>
      <c r="B16" s="8" t="s">
        <v>658</v>
      </c>
      <c r="C16" s="8" t="s">
        <v>40</v>
      </c>
      <c r="D16" s="8" t="s">
        <v>694</v>
      </c>
      <c r="E16" s="8" t="s">
        <v>695</v>
      </c>
      <c r="F16" s="8" t="s">
        <v>56</v>
      </c>
      <c r="G16" s="8" t="s">
        <v>44</v>
      </c>
      <c r="H16" s="8">
        <v>1000</v>
      </c>
      <c r="I16" s="8" t="s">
        <v>696</v>
      </c>
      <c r="J16" s="8">
        <v>1</v>
      </c>
      <c r="K16" s="8">
        <v>248</v>
      </c>
      <c r="L16" s="8">
        <v>247</v>
      </c>
      <c r="M16" s="8">
        <v>250</v>
      </c>
      <c r="N16" s="8">
        <v>428</v>
      </c>
      <c r="O16" s="8">
        <v>433</v>
      </c>
      <c r="P16" s="8">
        <v>431</v>
      </c>
      <c r="Q16" s="9"/>
      <c r="R16" s="16"/>
      <c r="S16" s="10"/>
      <c r="T16" s="10"/>
      <c r="U16" s="10"/>
      <c r="V16" s="11"/>
      <c r="W16" s="12"/>
      <c r="X16" s="17"/>
      <c r="Y16" s="13"/>
      <c r="Z16" s="13"/>
      <c r="AA16" s="13"/>
      <c r="AB16" s="14"/>
      <c r="AC16" s="9"/>
      <c r="AD16" s="16"/>
      <c r="AE16" s="10"/>
      <c r="AF16" s="10"/>
      <c r="AG16" s="10"/>
      <c r="AH16" s="11"/>
      <c r="AI16" s="12"/>
      <c r="AJ16" s="17"/>
      <c r="AK16" s="13"/>
      <c r="AL16" s="13"/>
      <c r="AM16" s="13"/>
      <c r="AN16" s="14"/>
      <c r="AO16" s="9"/>
      <c r="AP16" s="16"/>
      <c r="AQ16" s="10"/>
      <c r="AR16" s="10"/>
      <c r="AS16" s="10"/>
      <c r="AT16" s="11"/>
      <c r="AU16" s="12" t="s">
        <v>70</v>
      </c>
      <c r="AV16" s="17"/>
      <c r="AW16" s="13">
        <v>64</v>
      </c>
      <c r="AX16" s="13">
        <v>82</v>
      </c>
      <c r="AY16" s="13">
        <v>40</v>
      </c>
      <c r="AZ16" s="14">
        <v>10</v>
      </c>
      <c r="BA16" s="9" t="s">
        <v>70</v>
      </c>
      <c r="BB16" s="16"/>
      <c r="BC16" s="10">
        <v>92</v>
      </c>
      <c r="BD16" s="10">
        <v>75</v>
      </c>
      <c r="BE16" s="10">
        <v>64</v>
      </c>
      <c r="BF16" s="11">
        <v>19</v>
      </c>
      <c r="BG16" s="12" t="s">
        <v>70</v>
      </c>
      <c r="BH16" s="17"/>
      <c r="BI16" s="13">
        <v>46</v>
      </c>
      <c r="BJ16" s="13">
        <v>49</v>
      </c>
      <c r="BK16" s="13">
        <v>100</v>
      </c>
      <c r="BL16" s="14">
        <v>42</v>
      </c>
      <c r="BM16" s="8">
        <f t="shared" si="0"/>
        <v>202</v>
      </c>
      <c r="BN16" s="8">
        <f t="shared" si="1"/>
        <v>206</v>
      </c>
      <c r="BO16" s="8">
        <f t="shared" si="2"/>
        <v>204</v>
      </c>
      <c r="BP16" s="8">
        <f t="shared" si="3"/>
        <v>71</v>
      </c>
      <c r="BQ16" s="8">
        <f t="shared" si="4"/>
        <v>206</v>
      </c>
      <c r="BR16" s="8">
        <f t="shared" si="5"/>
        <v>202</v>
      </c>
      <c r="BS16" s="15">
        <f t="shared" si="6"/>
        <v>15.271145560173277</v>
      </c>
      <c r="BT16" s="15" t="str">
        <f t="shared" si="7"/>
        <v>OK - No Upgrade</v>
      </c>
      <c r="BU16" s="15" t="str">
        <f t="shared" si="8"/>
        <v>OK - Balanced</v>
      </c>
    </row>
    <row r="17" spans="1:73" ht="15.75" customHeight="1" x14ac:dyDescent="0.25">
      <c r="A17" s="8" t="s">
        <v>38</v>
      </c>
      <c r="B17" s="8" t="s">
        <v>658</v>
      </c>
      <c r="C17" s="8" t="s">
        <v>512</v>
      </c>
      <c r="D17" s="8" t="s">
        <v>697</v>
      </c>
      <c r="E17" s="8" t="s">
        <v>698</v>
      </c>
      <c r="F17" s="8" t="s">
        <v>56</v>
      </c>
      <c r="G17" s="8"/>
      <c r="H17" s="8">
        <v>1000</v>
      </c>
      <c r="I17" s="8" t="s">
        <v>699</v>
      </c>
      <c r="J17" s="8">
        <v>1</v>
      </c>
      <c r="K17" s="8">
        <v>250</v>
      </c>
      <c r="L17" s="8">
        <v>247</v>
      </c>
      <c r="M17" s="8">
        <v>248</v>
      </c>
      <c r="N17" s="8">
        <v>430</v>
      </c>
      <c r="O17" s="8">
        <v>433</v>
      </c>
      <c r="P17" s="8">
        <v>430</v>
      </c>
      <c r="Q17" s="9" t="s">
        <v>47</v>
      </c>
      <c r="R17" s="16"/>
      <c r="S17" s="10"/>
      <c r="T17" s="10"/>
      <c r="U17" s="10"/>
      <c r="V17" s="11"/>
      <c r="W17" s="12"/>
      <c r="X17" s="17"/>
      <c r="Y17" s="13"/>
      <c r="Z17" s="13"/>
      <c r="AA17" s="13"/>
      <c r="AB17" s="14"/>
      <c r="AC17" s="9"/>
      <c r="AD17" s="16"/>
      <c r="AE17" s="10"/>
      <c r="AF17" s="10"/>
      <c r="AG17" s="10"/>
      <c r="AH17" s="11"/>
      <c r="AI17" s="12" t="s">
        <v>46</v>
      </c>
      <c r="AJ17" s="17"/>
      <c r="AK17" s="13">
        <v>62</v>
      </c>
      <c r="AL17" s="13">
        <v>14</v>
      </c>
      <c r="AM17" s="13">
        <v>15</v>
      </c>
      <c r="AN17" s="14">
        <v>46</v>
      </c>
      <c r="AO17" s="9" t="s">
        <v>47</v>
      </c>
      <c r="AP17" s="16"/>
      <c r="AQ17" s="10">
        <v>1</v>
      </c>
      <c r="AR17" s="10">
        <v>9</v>
      </c>
      <c r="AS17" s="10">
        <v>9</v>
      </c>
      <c r="AT17" s="11">
        <v>2</v>
      </c>
      <c r="AU17" s="12" t="s">
        <v>47</v>
      </c>
      <c r="AV17" s="17"/>
      <c r="AW17" s="13">
        <v>1</v>
      </c>
      <c r="AX17" s="13">
        <v>3</v>
      </c>
      <c r="AY17" s="13">
        <v>60</v>
      </c>
      <c r="AZ17" s="14">
        <v>57</v>
      </c>
      <c r="BA17" s="9" t="s">
        <v>47</v>
      </c>
      <c r="BB17" s="16"/>
      <c r="BC17" s="10">
        <v>50</v>
      </c>
      <c r="BD17" s="10">
        <v>67</v>
      </c>
      <c r="BE17" s="10">
        <v>58</v>
      </c>
      <c r="BF17" s="11">
        <v>14</v>
      </c>
      <c r="BG17" s="12" t="s">
        <v>47</v>
      </c>
      <c r="BH17" s="17"/>
      <c r="BI17" s="13">
        <v>125</v>
      </c>
      <c r="BJ17" s="13">
        <v>231</v>
      </c>
      <c r="BK17" s="13">
        <v>75</v>
      </c>
      <c r="BL17" s="14">
        <v>128</v>
      </c>
      <c r="BM17" s="8">
        <f t="shared" si="0"/>
        <v>239</v>
      </c>
      <c r="BN17" s="8">
        <f t="shared" si="1"/>
        <v>324</v>
      </c>
      <c r="BO17" s="8">
        <f t="shared" si="2"/>
        <v>217</v>
      </c>
      <c r="BP17" s="8">
        <f t="shared" si="3"/>
        <v>247</v>
      </c>
      <c r="BQ17" s="8">
        <f t="shared" si="4"/>
        <v>324</v>
      </c>
      <c r="BR17" s="8">
        <f t="shared" si="5"/>
        <v>217</v>
      </c>
      <c r="BS17" s="15">
        <f t="shared" si="6"/>
        <v>24.130931851049599</v>
      </c>
      <c r="BT17" s="15" t="str">
        <f t="shared" si="7"/>
        <v>OK - No Upgrade</v>
      </c>
      <c r="BU17" s="15" t="str">
        <f t="shared" si="8"/>
        <v>Need to Balance</v>
      </c>
    </row>
    <row r="18" spans="1:73" ht="15.75" customHeight="1" x14ac:dyDescent="0.25">
      <c r="A18" s="8" t="s">
        <v>38</v>
      </c>
      <c r="B18" s="8" t="s">
        <v>658</v>
      </c>
      <c r="C18" s="8" t="s">
        <v>700</v>
      </c>
      <c r="D18" s="8" t="s">
        <v>701</v>
      </c>
      <c r="E18" s="8" t="s">
        <v>702</v>
      </c>
      <c r="F18" s="8" t="s">
        <v>56</v>
      </c>
      <c r="G18" s="8" t="s">
        <v>44</v>
      </c>
      <c r="H18" s="8">
        <v>1000</v>
      </c>
      <c r="I18" s="8"/>
      <c r="J18" s="8">
        <v>1</v>
      </c>
      <c r="K18" s="8">
        <v>248</v>
      </c>
      <c r="L18" s="8">
        <v>248</v>
      </c>
      <c r="M18" s="8">
        <v>252</v>
      </c>
      <c r="N18" s="8">
        <v>429</v>
      </c>
      <c r="O18" s="8">
        <v>436</v>
      </c>
      <c r="P18" s="8">
        <v>435</v>
      </c>
      <c r="Q18" s="9"/>
      <c r="R18" s="16"/>
      <c r="S18" s="10"/>
      <c r="T18" s="10"/>
      <c r="U18" s="10"/>
      <c r="V18" s="11"/>
      <c r="W18" s="12"/>
      <c r="X18" s="17"/>
      <c r="Y18" s="13"/>
      <c r="Z18" s="13"/>
      <c r="AA18" s="13"/>
      <c r="AB18" s="14"/>
      <c r="AC18" s="9"/>
      <c r="AD18" s="16"/>
      <c r="AE18" s="10"/>
      <c r="AF18" s="10"/>
      <c r="AG18" s="10"/>
      <c r="AH18" s="11"/>
      <c r="AI18" s="12"/>
      <c r="AJ18" s="17"/>
      <c r="AK18" s="13"/>
      <c r="AL18" s="13"/>
      <c r="AM18" s="13"/>
      <c r="AN18" s="14"/>
      <c r="AO18" s="9"/>
      <c r="AP18" s="16"/>
      <c r="AQ18" s="10"/>
      <c r="AR18" s="10"/>
      <c r="AS18" s="10"/>
      <c r="AT18" s="11"/>
      <c r="AU18" s="12"/>
      <c r="AV18" s="17"/>
      <c r="AW18" s="13"/>
      <c r="AX18" s="13"/>
      <c r="AY18" s="13"/>
      <c r="AZ18" s="14"/>
      <c r="BA18" s="9"/>
      <c r="BB18" s="16"/>
      <c r="BC18" s="10"/>
      <c r="BD18" s="10"/>
      <c r="BE18" s="10"/>
      <c r="BF18" s="11"/>
      <c r="BG18" s="12"/>
      <c r="BH18" s="17"/>
      <c r="BI18" s="13"/>
      <c r="BJ18" s="13"/>
      <c r="BK18" s="13"/>
      <c r="BL18" s="14"/>
      <c r="BM18" s="8">
        <f t="shared" si="0"/>
        <v>0</v>
      </c>
      <c r="BN18" s="8">
        <f t="shared" si="1"/>
        <v>0</v>
      </c>
      <c r="BO18" s="8">
        <f t="shared" si="2"/>
        <v>0</v>
      </c>
      <c r="BP18" s="8">
        <f t="shared" si="3"/>
        <v>0</v>
      </c>
      <c r="BQ18" s="8">
        <f t="shared" si="4"/>
        <v>0</v>
      </c>
      <c r="BR18" s="8">
        <f t="shared" si="5"/>
        <v>0</v>
      </c>
      <c r="BS18" s="15">
        <f t="shared" si="6"/>
        <v>0</v>
      </c>
      <c r="BT18" s="15" t="str">
        <f t="shared" si="7"/>
        <v>OK - No Upgrade</v>
      </c>
      <c r="BU18" s="15" t="str">
        <f t="shared" si="8"/>
        <v>OK - Balanced</v>
      </c>
    </row>
    <row r="19" spans="1:73" ht="15.75" customHeight="1" x14ac:dyDescent="0.25">
      <c r="A19" s="8" t="s">
        <v>38</v>
      </c>
      <c r="B19" s="8" t="s">
        <v>658</v>
      </c>
      <c r="C19" s="8" t="s">
        <v>124</v>
      </c>
      <c r="D19" s="8" t="s">
        <v>703</v>
      </c>
      <c r="E19" s="8" t="s">
        <v>704</v>
      </c>
      <c r="F19" s="8" t="s">
        <v>43</v>
      </c>
      <c r="G19" s="8"/>
      <c r="H19" s="8">
        <v>315</v>
      </c>
      <c r="I19" s="8" t="s">
        <v>705</v>
      </c>
      <c r="J19" s="8">
        <v>1</v>
      </c>
      <c r="K19" s="8">
        <v>245</v>
      </c>
      <c r="L19" s="8">
        <v>244</v>
      </c>
      <c r="M19" s="8">
        <v>245</v>
      </c>
      <c r="N19" s="8">
        <v>419</v>
      </c>
      <c r="O19" s="8">
        <v>425</v>
      </c>
      <c r="P19" s="8">
        <v>425</v>
      </c>
      <c r="Q19" s="9" t="s">
        <v>47</v>
      </c>
      <c r="R19" s="16"/>
      <c r="S19" s="10">
        <v>90</v>
      </c>
      <c r="T19" s="10">
        <v>14</v>
      </c>
      <c r="U19" s="10">
        <v>142</v>
      </c>
      <c r="V19" s="11">
        <v>106</v>
      </c>
      <c r="W19" s="12" t="s">
        <v>47</v>
      </c>
      <c r="X19" s="17"/>
      <c r="Y19" s="13">
        <v>155</v>
      </c>
      <c r="Z19" s="13">
        <v>158</v>
      </c>
      <c r="AA19" s="13">
        <v>154</v>
      </c>
      <c r="AB19" s="14">
        <v>25</v>
      </c>
      <c r="AC19" s="9"/>
      <c r="AD19" s="16"/>
      <c r="AE19" s="10"/>
      <c r="AF19" s="10"/>
      <c r="AG19" s="10"/>
      <c r="AH19" s="11"/>
      <c r="AI19" s="12"/>
      <c r="AJ19" s="17"/>
      <c r="AK19" s="13"/>
      <c r="AL19" s="13"/>
      <c r="AM19" s="13"/>
      <c r="AN19" s="14"/>
      <c r="AO19" s="9"/>
      <c r="AP19" s="16"/>
      <c r="AQ19" s="10"/>
      <c r="AR19" s="10"/>
      <c r="AS19" s="10"/>
      <c r="AT19" s="11"/>
      <c r="AU19" s="12"/>
      <c r="AV19" s="17"/>
      <c r="AW19" s="13"/>
      <c r="AX19" s="13"/>
      <c r="AY19" s="13"/>
      <c r="AZ19" s="14"/>
      <c r="BA19" s="9"/>
      <c r="BB19" s="16"/>
      <c r="BC19" s="10"/>
      <c r="BD19" s="10"/>
      <c r="BE19" s="10"/>
      <c r="BF19" s="11"/>
      <c r="BG19" s="12"/>
      <c r="BH19" s="17"/>
      <c r="BI19" s="13"/>
      <c r="BJ19" s="13"/>
      <c r="BK19" s="13"/>
      <c r="BL19" s="14"/>
      <c r="BM19" s="8">
        <f t="shared" si="0"/>
        <v>245</v>
      </c>
      <c r="BN19" s="8">
        <f t="shared" si="1"/>
        <v>172</v>
      </c>
      <c r="BO19" s="8">
        <f t="shared" si="2"/>
        <v>296</v>
      </c>
      <c r="BP19" s="8">
        <f t="shared" si="3"/>
        <v>131</v>
      </c>
      <c r="BQ19" s="8">
        <f t="shared" si="4"/>
        <v>296</v>
      </c>
      <c r="BR19" s="8">
        <f t="shared" si="5"/>
        <v>172</v>
      </c>
      <c r="BS19" s="15">
        <f t="shared" si="6"/>
        <v>68.19551408188012</v>
      </c>
      <c r="BT19" s="15" t="str">
        <f t="shared" si="7"/>
        <v>OK - No Upgrade</v>
      </c>
      <c r="BU19" s="15" t="str">
        <f t="shared" si="8"/>
        <v>Need to Balance</v>
      </c>
    </row>
    <row r="20" spans="1:73" ht="15.75" customHeight="1" x14ac:dyDescent="0.25">
      <c r="A20" s="8" t="s">
        <v>38</v>
      </c>
      <c r="B20" s="8" t="s">
        <v>658</v>
      </c>
      <c r="C20" s="8" t="s">
        <v>124</v>
      </c>
      <c r="D20" s="8" t="s">
        <v>706</v>
      </c>
      <c r="E20" s="8" t="s">
        <v>707</v>
      </c>
      <c r="F20" s="8" t="s">
        <v>43</v>
      </c>
      <c r="G20" s="8"/>
      <c r="H20" s="8">
        <v>100</v>
      </c>
      <c r="I20" s="8" t="s">
        <v>708</v>
      </c>
      <c r="J20" s="8">
        <v>1</v>
      </c>
      <c r="K20" s="8">
        <v>247</v>
      </c>
      <c r="L20" s="8">
        <v>245</v>
      </c>
      <c r="M20" s="8">
        <v>248</v>
      </c>
      <c r="N20" s="8">
        <v>427</v>
      </c>
      <c r="O20" s="8">
        <v>431</v>
      </c>
      <c r="P20" s="8">
        <v>427</v>
      </c>
      <c r="Q20" s="9" t="s">
        <v>47</v>
      </c>
      <c r="R20" s="16"/>
      <c r="S20" s="10">
        <v>16</v>
      </c>
      <c r="T20" s="10">
        <v>36</v>
      </c>
      <c r="U20" s="10">
        <v>13</v>
      </c>
      <c r="V20" s="11">
        <v>20</v>
      </c>
      <c r="W20" s="12"/>
      <c r="X20" s="17"/>
      <c r="Y20" s="13"/>
      <c r="Z20" s="13"/>
      <c r="AA20" s="13"/>
      <c r="AB20" s="14"/>
      <c r="AC20" s="9"/>
      <c r="AD20" s="16"/>
      <c r="AE20" s="10"/>
      <c r="AF20" s="10"/>
      <c r="AG20" s="10"/>
      <c r="AH20" s="11"/>
      <c r="AI20" s="12"/>
      <c r="AJ20" s="17"/>
      <c r="AK20" s="13"/>
      <c r="AL20" s="13"/>
      <c r="AM20" s="13"/>
      <c r="AN20" s="14"/>
      <c r="AO20" s="9"/>
      <c r="AP20" s="16"/>
      <c r="AQ20" s="10"/>
      <c r="AR20" s="10"/>
      <c r="AS20" s="10"/>
      <c r="AT20" s="11"/>
      <c r="AU20" s="12"/>
      <c r="AV20" s="17"/>
      <c r="AW20" s="13"/>
      <c r="AX20" s="13"/>
      <c r="AY20" s="13"/>
      <c r="AZ20" s="14"/>
      <c r="BA20" s="9"/>
      <c r="BB20" s="16"/>
      <c r="BC20" s="10"/>
      <c r="BD20" s="10"/>
      <c r="BE20" s="10"/>
      <c r="BF20" s="11"/>
      <c r="BG20" s="12"/>
      <c r="BH20" s="17"/>
      <c r="BI20" s="13"/>
      <c r="BJ20" s="13"/>
      <c r="BK20" s="13"/>
      <c r="BL20" s="14"/>
      <c r="BM20" s="8">
        <f t="shared" si="0"/>
        <v>16</v>
      </c>
      <c r="BN20" s="8">
        <f t="shared" si="1"/>
        <v>36</v>
      </c>
      <c r="BO20" s="8">
        <f t="shared" si="2"/>
        <v>13</v>
      </c>
      <c r="BP20" s="8">
        <f t="shared" si="3"/>
        <v>20</v>
      </c>
      <c r="BQ20" s="8">
        <f t="shared" si="4"/>
        <v>36</v>
      </c>
      <c r="BR20" s="8">
        <f t="shared" si="5"/>
        <v>13</v>
      </c>
      <c r="BS20" s="15">
        <f t="shared" si="6"/>
        <v>26.62508501394878</v>
      </c>
      <c r="BT20" s="15" t="str">
        <f t="shared" si="7"/>
        <v>OK - No Upgrade</v>
      </c>
      <c r="BU20" s="15" t="str">
        <f t="shared" si="8"/>
        <v>Need to Balance</v>
      </c>
    </row>
    <row r="21" spans="1:73" ht="15.75" customHeight="1" x14ac:dyDescent="0.25">
      <c r="A21" s="8" t="s">
        <v>38</v>
      </c>
      <c r="B21" s="8" t="s">
        <v>658</v>
      </c>
      <c r="C21" s="8" t="s">
        <v>124</v>
      </c>
      <c r="D21" s="8" t="s">
        <v>709</v>
      </c>
      <c r="E21" s="8" t="s">
        <v>710</v>
      </c>
      <c r="F21" s="8" t="s">
        <v>56</v>
      </c>
      <c r="G21" s="8"/>
      <c r="H21" s="8">
        <v>1000</v>
      </c>
      <c r="I21" s="8" t="s">
        <v>711</v>
      </c>
      <c r="J21" s="8">
        <v>1</v>
      </c>
      <c r="K21" s="8">
        <v>247</v>
      </c>
      <c r="L21" s="8">
        <v>246</v>
      </c>
      <c r="M21" s="8">
        <v>249</v>
      </c>
      <c r="N21" s="8">
        <v>426</v>
      </c>
      <c r="O21" s="8">
        <v>433</v>
      </c>
      <c r="P21" s="8">
        <v>428</v>
      </c>
      <c r="Q21" s="9"/>
      <c r="R21" s="16"/>
      <c r="S21" s="10"/>
      <c r="T21" s="10"/>
      <c r="U21" s="10"/>
      <c r="V21" s="11"/>
      <c r="W21" s="12"/>
      <c r="X21" s="17"/>
      <c r="Y21" s="13"/>
      <c r="Z21" s="13"/>
      <c r="AA21" s="13"/>
      <c r="AB21" s="14"/>
      <c r="AC21" s="9" t="s">
        <v>47</v>
      </c>
      <c r="AD21" s="16"/>
      <c r="AE21" s="10">
        <v>66</v>
      </c>
      <c r="AF21" s="10">
        <v>43</v>
      </c>
      <c r="AG21" s="10">
        <v>49</v>
      </c>
      <c r="AH21" s="11">
        <v>15</v>
      </c>
      <c r="AI21" s="12" t="s">
        <v>47</v>
      </c>
      <c r="AJ21" s="17"/>
      <c r="AK21" s="13">
        <v>6</v>
      </c>
      <c r="AL21" s="13">
        <v>91</v>
      </c>
      <c r="AM21" s="13">
        <v>43</v>
      </c>
      <c r="AN21" s="14">
        <v>57</v>
      </c>
      <c r="AO21" s="9"/>
      <c r="AP21" s="16"/>
      <c r="AQ21" s="10"/>
      <c r="AR21" s="10"/>
      <c r="AS21" s="10"/>
      <c r="AT21" s="11"/>
      <c r="AU21" s="12" t="s">
        <v>47</v>
      </c>
      <c r="AV21" s="17"/>
      <c r="AW21" s="13">
        <v>53</v>
      </c>
      <c r="AX21" s="13">
        <v>52</v>
      </c>
      <c r="AY21" s="13">
        <v>59</v>
      </c>
      <c r="AZ21" s="14">
        <v>12</v>
      </c>
      <c r="BA21" s="9" t="s">
        <v>47</v>
      </c>
      <c r="BB21" s="16"/>
      <c r="BC21" s="10">
        <v>54</v>
      </c>
      <c r="BD21" s="10">
        <v>35</v>
      </c>
      <c r="BE21" s="10">
        <v>32</v>
      </c>
      <c r="BF21" s="11">
        <v>10</v>
      </c>
      <c r="BG21" s="12" t="s">
        <v>47</v>
      </c>
      <c r="BH21" s="17"/>
      <c r="BI21" s="13">
        <v>47</v>
      </c>
      <c r="BJ21" s="13">
        <v>64</v>
      </c>
      <c r="BK21" s="13">
        <v>66</v>
      </c>
      <c r="BL21" s="14">
        <v>7</v>
      </c>
      <c r="BM21" s="8">
        <f t="shared" si="0"/>
        <v>226</v>
      </c>
      <c r="BN21" s="8">
        <f t="shared" si="1"/>
        <v>285</v>
      </c>
      <c r="BO21" s="8">
        <f t="shared" si="2"/>
        <v>249</v>
      </c>
      <c r="BP21" s="8">
        <f t="shared" si="3"/>
        <v>101</v>
      </c>
      <c r="BQ21" s="8">
        <f t="shared" si="4"/>
        <v>285</v>
      </c>
      <c r="BR21" s="8">
        <f t="shared" si="5"/>
        <v>226</v>
      </c>
      <c r="BS21" s="15">
        <f t="shared" si="6"/>
        <v>21.028828854693739</v>
      </c>
      <c r="BT21" s="15" t="str">
        <f t="shared" si="7"/>
        <v>OK - No Upgrade</v>
      </c>
      <c r="BU21" s="15" t="str">
        <f t="shared" si="8"/>
        <v>Need to Balance</v>
      </c>
    </row>
    <row r="22" spans="1:73" ht="15.75" customHeight="1" x14ac:dyDescent="0.25">
      <c r="A22" s="8" t="s">
        <v>38</v>
      </c>
      <c r="B22" s="8" t="s">
        <v>658</v>
      </c>
      <c r="C22" s="8" t="s">
        <v>124</v>
      </c>
      <c r="D22" s="8" t="s">
        <v>712</v>
      </c>
      <c r="E22" s="8" t="s">
        <v>713</v>
      </c>
      <c r="F22" s="8" t="s">
        <v>56</v>
      </c>
      <c r="G22" s="8"/>
      <c r="H22" s="8">
        <v>1000</v>
      </c>
      <c r="I22" s="8" t="s">
        <v>714</v>
      </c>
      <c r="J22" s="8">
        <v>1</v>
      </c>
      <c r="K22" s="8">
        <v>246</v>
      </c>
      <c r="L22" s="8">
        <v>248</v>
      </c>
      <c r="M22" s="8">
        <v>249</v>
      </c>
      <c r="N22" s="8">
        <v>428</v>
      </c>
      <c r="O22" s="8">
        <v>429</v>
      </c>
      <c r="P22" s="8">
        <v>434</v>
      </c>
      <c r="Q22" s="9" t="s">
        <v>47</v>
      </c>
      <c r="R22" s="16"/>
      <c r="S22" s="10">
        <v>114</v>
      </c>
      <c r="T22" s="10">
        <v>103</v>
      </c>
      <c r="U22" s="10">
        <v>62</v>
      </c>
      <c r="V22" s="11">
        <v>38</v>
      </c>
      <c r="W22" s="12" t="s">
        <v>47</v>
      </c>
      <c r="X22" s="17"/>
      <c r="Y22" s="13">
        <v>19</v>
      </c>
      <c r="Z22" s="13">
        <v>25</v>
      </c>
      <c r="AA22" s="13">
        <v>19</v>
      </c>
      <c r="AB22" s="14">
        <v>7</v>
      </c>
      <c r="AC22" s="9" t="s">
        <v>47</v>
      </c>
      <c r="AD22" s="16"/>
      <c r="AE22" s="10">
        <v>47</v>
      </c>
      <c r="AF22" s="10">
        <v>41</v>
      </c>
      <c r="AG22" s="10">
        <v>35</v>
      </c>
      <c r="AH22" s="11">
        <v>15</v>
      </c>
      <c r="AI22" s="12" t="s">
        <v>46</v>
      </c>
      <c r="AJ22" s="17"/>
      <c r="AK22" s="13">
        <v>38</v>
      </c>
      <c r="AL22" s="13">
        <v>61</v>
      </c>
      <c r="AM22" s="13">
        <v>70</v>
      </c>
      <c r="AN22" s="14">
        <v>37</v>
      </c>
      <c r="AO22" s="9" t="s">
        <v>47</v>
      </c>
      <c r="AP22" s="16"/>
      <c r="AQ22" s="10">
        <v>50</v>
      </c>
      <c r="AR22" s="10">
        <v>68</v>
      </c>
      <c r="AS22" s="10">
        <v>24</v>
      </c>
      <c r="AT22" s="11">
        <v>44</v>
      </c>
      <c r="AU22" s="12" t="s">
        <v>47</v>
      </c>
      <c r="AV22" s="17"/>
      <c r="AW22" s="13">
        <v>12</v>
      </c>
      <c r="AX22" s="13">
        <v>0</v>
      </c>
      <c r="AY22" s="13">
        <v>15</v>
      </c>
      <c r="AZ22" s="14">
        <v>12</v>
      </c>
      <c r="BA22" s="9"/>
      <c r="BB22" s="16"/>
      <c r="BC22" s="10"/>
      <c r="BD22" s="10"/>
      <c r="BE22" s="10"/>
      <c r="BF22" s="11"/>
      <c r="BG22" s="12"/>
      <c r="BH22" s="17"/>
      <c r="BI22" s="13"/>
      <c r="BJ22" s="13"/>
      <c r="BK22" s="13"/>
      <c r="BL22" s="14"/>
      <c r="BM22" s="8">
        <f t="shared" si="0"/>
        <v>280</v>
      </c>
      <c r="BN22" s="8">
        <f t="shared" si="1"/>
        <v>298</v>
      </c>
      <c r="BO22" s="8">
        <f t="shared" si="2"/>
        <v>225</v>
      </c>
      <c r="BP22" s="8">
        <f t="shared" si="3"/>
        <v>153</v>
      </c>
      <c r="BQ22" s="8">
        <f t="shared" si="4"/>
        <v>298</v>
      </c>
      <c r="BR22" s="8">
        <f t="shared" si="5"/>
        <v>225</v>
      </c>
      <c r="BS22" s="15">
        <f t="shared" si="6"/>
        <v>22.091268820056488</v>
      </c>
      <c r="BT22" s="15" t="str">
        <f t="shared" si="7"/>
        <v>OK - No Upgrade</v>
      </c>
      <c r="BU22" s="15" t="str">
        <f t="shared" si="8"/>
        <v>Need to Balance</v>
      </c>
    </row>
    <row r="23" spans="1:73" ht="15.75" customHeight="1" x14ac:dyDescent="0.25">
      <c r="A23" s="8" t="s">
        <v>38</v>
      </c>
      <c r="B23" s="8" t="s">
        <v>658</v>
      </c>
      <c r="C23" s="8" t="s">
        <v>124</v>
      </c>
      <c r="D23" s="8" t="s">
        <v>715</v>
      </c>
      <c r="E23" s="8" t="s">
        <v>716</v>
      </c>
      <c r="F23" s="8" t="s">
        <v>56</v>
      </c>
      <c r="G23" s="8"/>
      <c r="H23" s="8">
        <v>1000</v>
      </c>
      <c r="I23" s="8" t="s">
        <v>717</v>
      </c>
      <c r="J23" s="8">
        <v>1</v>
      </c>
      <c r="K23" s="8">
        <v>248</v>
      </c>
      <c r="L23" s="8">
        <v>247</v>
      </c>
      <c r="M23" s="8">
        <v>249</v>
      </c>
      <c r="N23" s="8">
        <v>429</v>
      </c>
      <c r="O23" s="8">
        <v>433</v>
      </c>
      <c r="P23" s="8">
        <v>431</v>
      </c>
      <c r="Q23" s="9" t="s">
        <v>47</v>
      </c>
      <c r="R23" s="16"/>
      <c r="S23" s="10">
        <v>63</v>
      </c>
      <c r="T23" s="10">
        <v>41</v>
      </c>
      <c r="U23" s="10">
        <v>109</v>
      </c>
      <c r="V23" s="11">
        <v>56</v>
      </c>
      <c r="W23" s="12" t="s">
        <v>47</v>
      </c>
      <c r="X23" s="17"/>
      <c r="Y23" s="13">
        <v>61</v>
      </c>
      <c r="Z23" s="13">
        <v>73</v>
      </c>
      <c r="AA23" s="13">
        <v>67</v>
      </c>
      <c r="AB23" s="14">
        <v>20</v>
      </c>
      <c r="AC23" s="9" t="s">
        <v>47</v>
      </c>
      <c r="AD23" s="16"/>
      <c r="AE23" s="10">
        <v>37</v>
      </c>
      <c r="AF23" s="10">
        <v>37</v>
      </c>
      <c r="AG23" s="10">
        <v>43</v>
      </c>
      <c r="AH23" s="11">
        <v>10</v>
      </c>
      <c r="AI23" s="12" t="s">
        <v>47</v>
      </c>
      <c r="AJ23" s="17"/>
      <c r="AK23" s="13">
        <v>55</v>
      </c>
      <c r="AL23" s="13">
        <v>29</v>
      </c>
      <c r="AM23" s="13">
        <v>62</v>
      </c>
      <c r="AN23" s="14">
        <v>34</v>
      </c>
      <c r="AO23" s="9" t="s">
        <v>47</v>
      </c>
      <c r="AP23" s="16"/>
      <c r="AQ23" s="10">
        <v>117</v>
      </c>
      <c r="AR23" s="10">
        <v>83</v>
      </c>
      <c r="AS23" s="10">
        <v>26</v>
      </c>
      <c r="AT23" s="11">
        <v>89</v>
      </c>
      <c r="AU23" s="12" t="s">
        <v>47</v>
      </c>
      <c r="AV23" s="17"/>
      <c r="AW23" s="13">
        <v>78</v>
      </c>
      <c r="AX23" s="13">
        <v>48</v>
      </c>
      <c r="AY23" s="13">
        <v>66</v>
      </c>
      <c r="AZ23" s="14">
        <v>22</v>
      </c>
      <c r="BA23" s="9"/>
      <c r="BB23" s="16"/>
      <c r="BC23" s="10"/>
      <c r="BD23" s="10"/>
      <c r="BE23" s="10"/>
      <c r="BF23" s="11"/>
      <c r="BG23" s="12"/>
      <c r="BH23" s="17"/>
      <c r="BI23" s="13"/>
      <c r="BJ23" s="13"/>
      <c r="BK23" s="13"/>
      <c r="BL23" s="14"/>
      <c r="BM23" s="8">
        <f t="shared" si="0"/>
        <v>411</v>
      </c>
      <c r="BN23" s="8">
        <f t="shared" si="1"/>
        <v>311</v>
      </c>
      <c r="BO23" s="8">
        <f t="shared" si="2"/>
        <v>373</v>
      </c>
      <c r="BP23" s="8">
        <f t="shared" si="3"/>
        <v>231</v>
      </c>
      <c r="BQ23" s="8">
        <f t="shared" si="4"/>
        <v>411</v>
      </c>
      <c r="BR23" s="8">
        <f t="shared" si="5"/>
        <v>311</v>
      </c>
      <c r="BS23" s="15">
        <f t="shared" si="6"/>
        <v>30.539346633973686</v>
      </c>
      <c r="BT23" s="15" t="str">
        <f t="shared" si="7"/>
        <v>OK - No Upgrade</v>
      </c>
      <c r="BU23" s="15" t="str">
        <f t="shared" si="8"/>
        <v>Need to Balance</v>
      </c>
    </row>
    <row r="24" spans="1:73" ht="15.75" customHeight="1" x14ac:dyDescent="0.25">
      <c r="A24" s="8" t="s">
        <v>38</v>
      </c>
      <c r="B24" s="8" t="s">
        <v>658</v>
      </c>
      <c r="C24" s="8" t="s">
        <v>124</v>
      </c>
      <c r="D24" s="8" t="s">
        <v>718</v>
      </c>
      <c r="E24" s="8" t="s">
        <v>719</v>
      </c>
      <c r="F24" s="8" t="s">
        <v>56</v>
      </c>
      <c r="G24" s="8"/>
      <c r="H24" s="8">
        <v>1000</v>
      </c>
      <c r="I24" s="8" t="s">
        <v>720</v>
      </c>
      <c r="J24" s="8">
        <v>1</v>
      </c>
      <c r="K24" s="8">
        <v>239</v>
      </c>
      <c r="L24" s="8">
        <v>241</v>
      </c>
      <c r="M24" s="8">
        <v>243</v>
      </c>
      <c r="N24" s="8">
        <v>415</v>
      </c>
      <c r="O24" s="8">
        <v>414</v>
      </c>
      <c r="P24" s="8">
        <v>423</v>
      </c>
      <c r="Q24" s="9"/>
      <c r="R24" s="16"/>
      <c r="S24" s="10"/>
      <c r="T24" s="10"/>
      <c r="U24" s="10"/>
      <c r="V24" s="11"/>
      <c r="W24" s="12" t="s">
        <v>70</v>
      </c>
      <c r="X24" s="17"/>
      <c r="Y24" s="13">
        <v>130</v>
      </c>
      <c r="Z24" s="13">
        <v>88</v>
      </c>
      <c r="AA24" s="13">
        <v>157</v>
      </c>
      <c r="AB24" s="14">
        <v>28</v>
      </c>
      <c r="AC24" s="9" t="s">
        <v>47</v>
      </c>
      <c r="AD24" s="16"/>
      <c r="AE24" s="10">
        <v>312</v>
      </c>
      <c r="AF24" s="10">
        <v>206</v>
      </c>
      <c r="AG24" s="10">
        <v>175</v>
      </c>
      <c r="AH24" s="11">
        <v>94</v>
      </c>
      <c r="AI24" s="12"/>
      <c r="AJ24" s="17"/>
      <c r="AK24" s="13"/>
      <c r="AL24" s="13"/>
      <c r="AM24" s="13"/>
      <c r="AN24" s="14"/>
      <c r="AO24" s="9" t="s">
        <v>47</v>
      </c>
      <c r="AP24" s="16"/>
      <c r="AQ24" s="10">
        <v>196</v>
      </c>
      <c r="AR24" s="10">
        <v>132</v>
      </c>
      <c r="AS24" s="10">
        <v>119</v>
      </c>
      <c r="AT24" s="11">
        <v>73</v>
      </c>
      <c r="AU24" s="12" t="s">
        <v>47</v>
      </c>
      <c r="AV24" s="17"/>
      <c r="AW24" s="13">
        <v>100</v>
      </c>
      <c r="AX24" s="13">
        <v>109</v>
      </c>
      <c r="AY24" s="13">
        <v>68</v>
      </c>
      <c r="AZ24" s="14">
        <v>42</v>
      </c>
      <c r="BA24" s="9"/>
      <c r="BB24" s="16"/>
      <c r="BC24" s="10"/>
      <c r="BD24" s="10"/>
      <c r="BE24" s="10"/>
      <c r="BF24" s="11"/>
      <c r="BG24" s="12"/>
      <c r="BH24" s="17"/>
      <c r="BI24" s="13"/>
      <c r="BJ24" s="13"/>
      <c r="BK24" s="13"/>
      <c r="BL24" s="14"/>
      <c r="BM24" s="8">
        <f t="shared" si="0"/>
        <v>738</v>
      </c>
      <c r="BN24" s="8">
        <f t="shared" si="1"/>
        <v>535</v>
      </c>
      <c r="BO24" s="8">
        <f t="shared" si="2"/>
        <v>519</v>
      </c>
      <c r="BP24" s="8">
        <f t="shared" si="3"/>
        <v>237</v>
      </c>
      <c r="BQ24" s="8">
        <f t="shared" si="4"/>
        <v>738</v>
      </c>
      <c r="BR24" s="8">
        <f t="shared" si="5"/>
        <v>519</v>
      </c>
      <c r="BS24" s="15">
        <f t="shared" si="6"/>
        <v>53.047520083412003</v>
      </c>
      <c r="BT24" s="15" t="str">
        <f t="shared" si="7"/>
        <v>OK - No Upgrade</v>
      </c>
      <c r="BU24" s="15" t="str">
        <f t="shared" si="8"/>
        <v>Need to Balance</v>
      </c>
    </row>
    <row r="25" spans="1:73" ht="15.75" customHeight="1" x14ac:dyDescent="0.25">
      <c r="A25" s="8" t="s">
        <v>38</v>
      </c>
      <c r="B25" s="8" t="s">
        <v>658</v>
      </c>
      <c r="C25" s="8" t="s">
        <v>124</v>
      </c>
      <c r="D25" s="8" t="s">
        <v>721</v>
      </c>
      <c r="E25" s="8" t="s">
        <v>722</v>
      </c>
      <c r="F25" s="8" t="s">
        <v>56</v>
      </c>
      <c r="G25" s="8"/>
      <c r="H25" s="8">
        <v>1000</v>
      </c>
      <c r="I25" s="8" t="s">
        <v>723</v>
      </c>
      <c r="J25" s="8">
        <v>1</v>
      </c>
      <c r="K25" s="8">
        <v>243</v>
      </c>
      <c r="L25" s="8">
        <v>244</v>
      </c>
      <c r="M25" s="8">
        <v>246</v>
      </c>
      <c r="N25" s="8">
        <v>423</v>
      </c>
      <c r="O25" s="8">
        <v>424</v>
      </c>
      <c r="P25" s="8">
        <v>426</v>
      </c>
      <c r="Q25" s="9"/>
      <c r="R25" s="16"/>
      <c r="S25" s="10"/>
      <c r="T25" s="10"/>
      <c r="U25" s="10"/>
      <c r="V25" s="11"/>
      <c r="W25" s="12"/>
      <c r="X25" s="17"/>
      <c r="Y25" s="13"/>
      <c r="Z25" s="13"/>
      <c r="AA25" s="13"/>
      <c r="AB25" s="14"/>
      <c r="AC25" s="9"/>
      <c r="AD25" s="16"/>
      <c r="AE25" s="10"/>
      <c r="AF25" s="10"/>
      <c r="AG25" s="10"/>
      <c r="AH25" s="11"/>
      <c r="AI25" s="12" t="s">
        <v>47</v>
      </c>
      <c r="AJ25" s="17"/>
      <c r="AK25" s="13">
        <v>0</v>
      </c>
      <c r="AL25" s="13">
        <v>0</v>
      </c>
      <c r="AM25" s="13">
        <v>0</v>
      </c>
      <c r="AN25" s="14">
        <v>0</v>
      </c>
      <c r="AO25" s="9" t="s">
        <v>47</v>
      </c>
      <c r="AP25" s="16"/>
      <c r="AQ25" s="10">
        <v>197</v>
      </c>
      <c r="AR25" s="10">
        <v>159</v>
      </c>
      <c r="AS25" s="10">
        <v>236</v>
      </c>
      <c r="AT25" s="11">
        <v>75</v>
      </c>
      <c r="AU25" s="12" t="s">
        <v>70</v>
      </c>
      <c r="AV25" s="17"/>
      <c r="AW25" s="13">
        <v>123</v>
      </c>
      <c r="AX25" s="13">
        <v>116</v>
      </c>
      <c r="AY25" s="13">
        <v>145</v>
      </c>
      <c r="AZ25" s="14">
        <v>29</v>
      </c>
      <c r="BA25" s="9" t="s">
        <v>70</v>
      </c>
      <c r="BB25" s="16"/>
      <c r="BC25" s="10">
        <v>134</v>
      </c>
      <c r="BD25" s="10">
        <v>42</v>
      </c>
      <c r="BE25" s="10">
        <v>115</v>
      </c>
      <c r="BF25" s="11">
        <v>73</v>
      </c>
      <c r="BG25" s="12" t="s">
        <v>70</v>
      </c>
      <c r="BH25" s="17"/>
      <c r="BI25" s="13">
        <v>198</v>
      </c>
      <c r="BJ25" s="13">
        <v>156</v>
      </c>
      <c r="BK25" s="13">
        <v>112</v>
      </c>
      <c r="BL25" s="14">
        <v>50</v>
      </c>
      <c r="BM25" s="8">
        <f t="shared" si="0"/>
        <v>652</v>
      </c>
      <c r="BN25" s="8">
        <f t="shared" si="1"/>
        <v>473</v>
      </c>
      <c r="BO25" s="8">
        <f t="shared" si="2"/>
        <v>608</v>
      </c>
      <c r="BP25" s="8">
        <f t="shared" si="3"/>
        <v>227</v>
      </c>
      <c r="BQ25" s="8">
        <f t="shared" si="4"/>
        <v>652</v>
      </c>
      <c r="BR25" s="8">
        <f t="shared" si="5"/>
        <v>473</v>
      </c>
      <c r="BS25" s="15">
        <f t="shared" si="6"/>
        <v>47.769268452426608</v>
      </c>
      <c r="BT25" s="15" t="str">
        <f t="shared" si="7"/>
        <v>OK - No Upgrade</v>
      </c>
      <c r="BU25" s="15" t="str">
        <f t="shared" si="8"/>
        <v>Need to Balance</v>
      </c>
    </row>
    <row r="26" spans="1:73" ht="15.75" customHeight="1" x14ac:dyDescent="0.25">
      <c r="A26" s="8" t="s">
        <v>38</v>
      </c>
      <c r="B26" s="8" t="s">
        <v>658</v>
      </c>
      <c r="C26" s="8" t="s">
        <v>124</v>
      </c>
      <c r="D26" s="8" t="s">
        <v>724</v>
      </c>
      <c r="E26" s="8" t="s">
        <v>725</v>
      </c>
      <c r="F26" s="8" t="s">
        <v>56</v>
      </c>
      <c r="G26" s="8"/>
      <c r="H26" s="8">
        <v>1000</v>
      </c>
      <c r="I26" s="8" t="s">
        <v>726</v>
      </c>
      <c r="J26" s="8">
        <v>1</v>
      </c>
      <c r="K26" s="8">
        <v>244</v>
      </c>
      <c r="L26" s="8">
        <v>244</v>
      </c>
      <c r="M26" s="8">
        <v>247</v>
      </c>
      <c r="N26" s="8">
        <v>425</v>
      </c>
      <c r="O26" s="8">
        <v>425</v>
      </c>
      <c r="P26" s="8">
        <v>428</v>
      </c>
      <c r="Q26" s="9" t="s">
        <v>47</v>
      </c>
      <c r="R26" s="16"/>
      <c r="S26" s="10">
        <v>83</v>
      </c>
      <c r="T26" s="10">
        <v>81</v>
      </c>
      <c r="U26" s="10">
        <v>112</v>
      </c>
      <c r="V26" s="11">
        <v>10</v>
      </c>
      <c r="W26" s="12" t="s">
        <v>47</v>
      </c>
      <c r="X26" s="17"/>
      <c r="Y26" s="13">
        <v>122</v>
      </c>
      <c r="Z26" s="13">
        <v>104</v>
      </c>
      <c r="AA26" s="13">
        <v>134</v>
      </c>
      <c r="AB26" s="14">
        <v>25</v>
      </c>
      <c r="AC26" s="9" t="s">
        <v>47</v>
      </c>
      <c r="AD26" s="16"/>
      <c r="AE26" s="10">
        <v>42</v>
      </c>
      <c r="AF26" s="10">
        <v>4</v>
      </c>
      <c r="AG26" s="10">
        <v>47</v>
      </c>
      <c r="AH26" s="11">
        <v>37</v>
      </c>
      <c r="AI26" s="12" t="s">
        <v>47</v>
      </c>
      <c r="AJ26" s="17"/>
      <c r="AK26" s="13">
        <v>13</v>
      </c>
      <c r="AL26" s="13">
        <v>27</v>
      </c>
      <c r="AM26" s="13">
        <v>39</v>
      </c>
      <c r="AN26" s="14">
        <v>18</v>
      </c>
      <c r="AO26" s="9"/>
      <c r="AP26" s="16"/>
      <c r="AQ26" s="10"/>
      <c r="AR26" s="10"/>
      <c r="AS26" s="10"/>
      <c r="AT26" s="11"/>
      <c r="AU26" s="12" t="s">
        <v>47</v>
      </c>
      <c r="AV26" s="17"/>
      <c r="AW26" s="13">
        <v>121</v>
      </c>
      <c r="AX26" s="13">
        <v>94</v>
      </c>
      <c r="AY26" s="13">
        <v>91</v>
      </c>
      <c r="AZ26" s="14">
        <v>20</v>
      </c>
      <c r="BA26" s="9"/>
      <c r="BB26" s="16"/>
      <c r="BC26" s="10"/>
      <c r="BD26" s="10"/>
      <c r="BE26" s="10"/>
      <c r="BF26" s="11"/>
      <c r="BG26" s="12"/>
      <c r="BH26" s="17"/>
      <c r="BI26" s="13"/>
      <c r="BJ26" s="13"/>
      <c r="BK26" s="13"/>
      <c r="BL26" s="14"/>
      <c r="BM26" s="8">
        <f t="shared" si="0"/>
        <v>381</v>
      </c>
      <c r="BN26" s="8">
        <f t="shared" si="1"/>
        <v>310</v>
      </c>
      <c r="BO26" s="8">
        <f t="shared" si="2"/>
        <v>423</v>
      </c>
      <c r="BP26" s="8">
        <f t="shared" si="3"/>
        <v>110</v>
      </c>
      <c r="BQ26" s="8">
        <f t="shared" si="4"/>
        <v>423</v>
      </c>
      <c r="BR26" s="8">
        <f t="shared" si="5"/>
        <v>310</v>
      </c>
      <c r="BS26" s="15">
        <f t="shared" si="6"/>
        <v>31.137943393069488</v>
      </c>
      <c r="BT26" s="15" t="str">
        <f t="shared" si="7"/>
        <v>OK - No Upgrade</v>
      </c>
      <c r="BU26" s="15" t="str">
        <f t="shared" si="8"/>
        <v>Need to Balance</v>
      </c>
    </row>
    <row r="27" spans="1:73" ht="15.75" customHeight="1" x14ac:dyDescent="0.25">
      <c r="A27" s="8" t="s">
        <v>38</v>
      </c>
      <c r="B27" s="8" t="s">
        <v>658</v>
      </c>
      <c r="C27" s="8" t="s">
        <v>124</v>
      </c>
      <c r="D27" s="8" t="s">
        <v>727</v>
      </c>
      <c r="E27" s="8" t="s">
        <v>728</v>
      </c>
      <c r="F27" s="8" t="s">
        <v>56</v>
      </c>
      <c r="G27" s="8"/>
      <c r="H27" s="8">
        <v>1000</v>
      </c>
      <c r="I27" s="8" t="s">
        <v>729</v>
      </c>
      <c r="J27" s="8">
        <v>1</v>
      </c>
      <c r="K27" s="8">
        <v>246</v>
      </c>
      <c r="L27" s="8">
        <v>247</v>
      </c>
      <c r="M27" s="8">
        <v>250</v>
      </c>
      <c r="N27" s="8">
        <v>426</v>
      </c>
      <c r="O27" s="8">
        <v>430</v>
      </c>
      <c r="P27" s="8">
        <v>433</v>
      </c>
      <c r="Q27" s="9"/>
      <c r="R27" s="16"/>
      <c r="S27" s="10"/>
      <c r="T27" s="10"/>
      <c r="U27" s="10"/>
      <c r="V27" s="11"/>
      <c r="W27" s="12" t="s">
        <v>47</v>
      </c>
      <c r="X27" s="17"/>
      <c r="Y27" s="13">
        <v>189</v>
      </c>
      <c r="Z27" s="13">
        <v>126</v>
      </c>
      <c r="AA27" s="13">
        <v>104</v>
      </c>
      <c r="AB27" s="14">
        <v>69</v>
      </c>
      <c r="AC27" s="9" t="s">
        <v>47</v>
      </c>
      <c r="AD27" s="16"/>
      <c r="AE27" s="10">
        <v>81</v>
      </c>
      <c r="AF27" s="10">
        <v>83</v>
      </c>
      <c r="AG27" s="10">
        <v>95</v>
      </c>
      <c r="AH27" s="11">
        <v>16</v>
      </c>
      <c r="AI27" s="12" t="s">
        <v>47</v>
      </c>
      <c r="AJ27" s="17"/>
      <c r="AK27" s="13">
        <v>66</v>
      </c>
      <c r="AL27" s="13">
        <v>73</v>
      </c>
      <c r="AM27" s="13">
        <v>89</v>
      </c>
      <c r="AN27" s="14">
        <v>25</v>
      </c>
      <c r="AO27" s="9" t="s">
        <v>47</v>
      </c>
      <c r="AP27" s="16"/>
      <c r="AQ27" s="10">
        <v>24</v>
      </c>
      <c r="AR27" s="10">
        <v>32</v>
      </c>
      <c r="AS27" s="10">
        <v>15</v>
      </c>
      <c r="AT27" s="11">
        <v>17</v>
      </c>
      <c r="AU27" s="12" t="s">
        <v>47</v>
      </c>
      <c r="AV27" s="17"/>
      <c r="AW27" s="13">
        <v>129</v>
      </c>
      <c r="AX27" s="13">
        <v>197</v>
      </c>
      <c r="AY27" s="13">
        <v>163</v>
      </c>
      <c r="AZ27" s="14">
        <v>32</v>
      </c>
      <c r="BA27" s="9"/>
      <c r="BB27" s="16"/>
      <c r="BC27" s="10"/>
      <c r="BD27" s="10"/>
      <c r="BE27" s="10"/>
      <c r="BF27" s="11"/>
      <c r="BG27" s="12"/>
      <c r="BH27" s="17"/>
      <c r="BI27" s="13"/>
      <c r="BJ27" s="13"/>
      <c r="BK27" s="13"/>
      <c r="BL27" s="14"/>
      <c r="BM27" s="8">
        <f t="shared" si="0"/>
        <v>489</v>
      </c>
      <c r="BN27" s="8">
        <f t="shared" si="1"/>
        <v>511</v>
      </c>
      <c r="BO27" s="8">
        <f t="shared" si="2"/>
        <v>466</v>
      </c>
      <c r="BP27" s="8">
        <f t="shared" si="3"/>
        <v>159</v>
      </c>
      <c r="BQ27" s="8">
        <f t="shared" si="4"/>
        <v>511</v>
      </c>
      <c r="BR27" s="8">
        <f t="shared" si="5"/>
        <v>466</v>
      </c>
      <c r="BS27" s="15">
        <f t="shared" si="6"/>
        <v>37.704321209643865</v>
      </c>
      <c r="BT27" s="15" t="str">
        <f t="shared" si="7"/>
        <v>OK - No Upgrade</v>
      </c>
      <c r="BU27" s="15" t="str">
        <f t="shared" si="8"/>
        <v>OK - Balanced</v>
      </c>
    </row>
    <row r="28" spans="1:73" ht="15.75" customHeight="1" x14ac:dyDescent="0.25">
      <c r="A28" s="8" t="s">
        <v>38</v>
      </c>
      <c r="B28" s="8" t="s">
        <v>658</v>
      </c>
      <c r="C28" s="8" t="s">
        <v>662</v>
      </c>
      <c r="D28" s="8" t="s">
        <v>730</v>
      </c>
      <c r="E28" s="8" t="s">
        <v>731</v>
      </c>
      <c r="F28" s="8" t="s">
        <v>43</v>
      </c>
      <c r="G28" s="8"/>
      <c r="H28" s="8">
        <v>315</v>
      </c>
      <c r="I28" s="8" t="s">
        <v>732</v>
      </c>
      <c r="J28" s="8">
        <v>1</v>
      </c>
      <c r="K28" s="8">
        <v>244</v>
      </c>
      <c r="L28" s="8">
        <v>243</v>
      </c>
      <c r="M28" s="8">
        <v>246</v>
      </c>
      <c r="N28" s="8">
        <v>420</v>
      </c>
      <c r="O28" s="8">
        <v>426</v>
      </c>
      <c r="P28" s="8">
        <v>421</v>
      </c>
      <c r="Q28" s="9" t="s">
        <v>46</v>
      </c>
      <c r="R28" s="16"/>
      <c r="S28" s="10">
        <v>135</v>
      </c>
      <c r="T28" s="10">
        <v>149</v>
      </c>
      <c r="U28" s="10">
        <v>116</v>
      </c>
      <c r="V28" s="11">
        <v>29</v>
      </c>
      <c r="W28" s="12" t="s">
        <v>70</v>
      </c>
      <c r="X28" s="17"/>
      <c r="Y28" s="13">
        <v>118</v>
      </c>
      <c r="Z28" s="13">
        <v>140</v>
      </c>
      <c r="AA28" s="13">
        <v>96</v>
      </c>
      <c r="AB28" s="14">
        <v>36</v>
      </c>
      <c r="AC28" s="9"/>
      <c r="AD28" s="16"/>
      <c r="AE28" s="10"/>
      <c r="AF28" s="10"/>
      <c r="AG28" s="10"/>
      <c r="AH28" s="11"/>
      <c r="AI28" s="12"/>
      <c r="AJ28" s="17"/>
      <c r="AK28" s="13"/>
      <c r="AL28" s="13"/>
      <c r="AM28" s="13"/>
      <c r="AN28" s="14"/>
      <c r="AO28" s="9"/>
      <c r="AP28" s="16"/>
      <c r="AQ28" s="10"/>
      <c r="AR28" s="10"/>
      <c r="AS28" s="10"/>
      <c r="AT28" s="11"/>
      <c r="AU28" s="12"/>
      <c r="AV28" s="17"/>
      <c r="AW28" s="13"/>
      <c r="AX28" s="13"/>
      <c r="AY28" s="13"/>
      <c r="AZ28" s="14"/>
      <c r="BA28" s="9"/>
      <c r="BB28" s="16"/>
      <c r="BC28" s="10"/>
      <c r="BD28" s="10"/>
      <c r="BE28" s="10"/>
      <c r="BF28" s="11"/>
      <c r="BG28" s="12"/>
      <c r="BH28" s="17"/>
      <c r="BI28" s="13"/>
      <c r="BJ28" s="13"/>
      <c r="BK28" s="13"/>
      <c r="BL28" s="14"/>
      <c r="BM28" s="8">
        <f t="shared" si="0"/>
        <v>253</v>
      </c>
      <c r="BN28" s="8">
        <f t="shared" si="1"/>
        <v>289</v>
      </c>
      <c r="BO28" s="8">
        <f t="shared" si="2"/>
        <v>212</v>
      </c>
      <c r="BP28" s="8">
        <f t="shared" si="3"/>
        <v>65</v>
      </c>
      <c r="BQ28" s="8">
        <f t="shared" si="4"/>
        <v>289</v>
      </c>
      <c r="BR28" s="8">
        <f t="shared" si="5"/>
        <v>212</v>
      </c>
      <c r="BS28" s="15">
        <f t="shared" si="6"/>
        <v>66.74169111832073</v>
      </c>
      <c r="BT28" s="15" t="str">
        <f t="shared" si="7"/>
        <v>OK - No Upgrade</v>
      </c>
      <c r="BU28" s="15" t="str">
        <f t="shared" si="8"/>
        <v>Need to Balance</v>
      </c>
    </row>
    <row r="29" spans="1:73" ht="15.75" customHeight="1" x14ac:dyDescent="0.25">
      <c r="A29" s="8" t="s">
        <v>38</v>
      </c>
      <c r="B29" s="8" t="s">
        <v>658</v>
      </c>
      <c r="C29" s="8" t="s">
        <v>662</v>
      </c>
      <c r="D29" s="8" t="s">
        <v>733</v>
      </c>
      <c r="E29" s="8" t="s">
        <v>734</v>
      </c>
      <c r="F29" s="8" t="s">
        <v>56</v>
      </c>
      <c r="G29" s="8"/>
      <c r="H29" s="8">
        <v>1000</v>
      </c>
      <c r="I29" s="8" t="s">
        <v>735</v>
      </c>
      <c r="J29" s="8">
        <v>1</v>
      </c>
      <c r="K29" s="8">
        <v>245</v>
      </c>
      <c r="L29" s="8">
        <v>245</v>
      </c>
      <c r="M29" s="8">
        <v>248</v>
      </c>
      <c r="N29" s="8">
        <v>427</v>
      </c>
      <c r="O29" s="8">
        <v>430</v>
      </c>
      <c r="P29" s="8">
        <v>426</v>
      </c>
      <c r="Q29" s="9" t="s">
        <v>70</v>
      </c>
      <c r="R29" s="16"/>
      <c r="S29" s="10">
        <v>22</v>
      </c>
      <c r="T29" s="10">
        <v>28</v>
      </c>
      <c r="U29" s="10">
        <v>27</v>
      </c>
      <c r="V29" s="11">
        <v>10</v>
      </c>
      <c r="W29" s="12" t="s">
        <v>70</v>
      </c>
      <c r="X29" s="17"/>
      <c r="Y29" s="13">
        <v>92</v>
      </c>
      <c r="Z29" s="13">
        <v>137</v>
      </c>
      <c r="AA29" s="13">
        <v>58</v>
      </c>
      <c r="AB29" s="14">
        <v>57</v>
      </c>
      <c r="AC29" s="9" t="s">
        <v>70</v>
      </c>
      <c r="AD29" s="16"/>
      <c r="AE29" s="10">
        <v>185</v>
      </c>
      <c r="AF29" s="10">
        <v>125</v>
      </c>
      <c r="AG29" s="10">
        <v>110</v>
      </c>
      <c r="AH29" s="11">
        <v>53</v>
      </c>
      <c r="AI29" s="12" t="s">
        <v>70</v>
      </c>
      <c r="AJ29" s="17"/>
      <c r="AK29" s="13">
        <v>123</v>
      </c>
      <c r="AL29" s="13">
        <v>113</v>
      </c>
      <c r="AM29" s="13">
        <v>117</v>
      </c>
      <c r="AN29" s="14">
        <v>19</v>
      </c>
      <c r="AO29" s="9" t="s">
        <v>70</v>
      </c>
      <c r="AP29" s="16"/>
      <c r="AQ29" s="10">
        <v>180</v>
      </c>
      <c r="AR29" s="10">
        <v>148</v>
      </c>
      <c r="AS29" s="10">
        <v>136</v>
      </c>
      <c r="AT29" s="11">
        <v>42</v>
      </c>
      <c r="AU29" s="12" t="s">
        <v>47</v>
      </c>
      <c r="AV29" s="17"/>
      <c r="AW29" s="13">
        <v>28</v>
      </c>
      <c r="AX29" s="13">
        <v>79</v>
      </c>
      <c r="AY29" s="13">
        <v>32</v>
      </c>
      <c r="AZ29" s="14">
        <v>38</v>
      </c>
      <c r="BA29" s="9" t="s">
        <v>47</v>
      </c>
      <c r="BB29" s="16"/>
      <c r="BC29" s="10">
        <v>20</v>
      </c>
      <c r="BD29" s="10">
        <v>34</v>
      </c>
      <c r="BE29" s="10">
        <v>37</v>
      </c>
      <c r="BF29" s="11">
        <v>10</v>
      </c>
      <c r="BG29" s="12"/>
      <c r="BH29" s="17"/>
      <c r="BI29" s="13"/>
      <c r="BJ29" s="13"/>
      <c r="BK29" s="13"/>
      <c r="BL29" s="14"/>
      <c r="BM29" s="8">
        <f t="shared" si="0"/>
        <v>650</v>
      </c>
      <c r="BN29" s="8">
        <f t="shared" si="1"/>
        <v>664</v>
      </c>
      <c r="BO29" s="8">
        <f t="shared" si="2"/>
        <v>517</v>
      </c>
      <c r="BP29" s="8">
        <f t="shared" si="3"/>
        <v>229</v>
      </c>
      <c r="BQ29" s="8">
        <f t="shared" si="4"/>
        <v>664</v>
      </c>
      <c r="BR29" s="8">
        <f t="shared" si="5"/>
        <v>517</v>
      </c>
      <c r="BS29" s="15">
        <f t="shared" si="6"/>
        <v>49.10849013683886</v>
      </c>
      <c r="BT29" s="15" t="str">
        <f t="shared" si="7"/>
        <v>OK - No Upgrade</v>
      </c>
      <c r="BU29" s="15" t="str">
        <f t="shared" si="8"/>
        <v>OK - Balanced</v>
      </c>
    </row>
    <row r="30" spans="1:73" ht="15.75" customHeight="1" x14ac:dyDescent="0.25">
      <c r="A30" s="8" t="s">
        <v>38</v>
      </c>
      <c r="B30" s="8" t="s">
        <v>658</v>
      </c>
      <c r="C30" s="8" t="s">
        <v>662</v>
      </c>
      <c r="D30" s="8" t="s">
        <v>736</v>
      </c>
      <c r="E30" s="8" t="s">
        <v>737</v>
      </c>
      <c r="F30" s="8" t="s">
        <v>56</v>
      </c>
      <c r="G30" s="8"/>
      <c r="H30" s="8">
        <v>1000</v>
      </c>
      <c r="I30" s="8" t="s">
        <v>738</v>
      </c>
      <c r="J30" s="8">
        <v>1</v>
      </c>
      <c r="K30" s="8">
        <v>248</v>
      </c>
      <c r="L30" s="8">
        <v>247</v>
      </c>
      <c r="M30" s="8">
        <v>250</v>
      </c>
      <c r="N30" s="8">
        <v>428</v>
      </c>
      <c r="O30" s="8">
        <v>433</v>
      </c>
      <c r="P30" s="8">
        <v>430</v>
      </c>
      <c r="Q30" s="9" t="s">
        <v>47</v>
      </c>
      <c r="R30" s="16"/>
      <c r="S30" s="10">
        <v>31</v>
      </c>
      <c r="T30" s="10">
        <v>28</v>
      </c>
      <c r="U30" s="10">
        <v>9</v>
      </c>
      <c r="V30" s="11">
        <v>17</v>
      </c>
      <c r="W30" s="12" t="s">
        <v>47</v>
      </c>
      <c r="X30" s="17"/>
      <c r="Y30" s="13">
        <v>40</v>
      </c>
      <c r="Z30" s="13">
        <v>76</v>
      </c>
      <c r="AA30" s="13">
        <v>88</v>
      </c>
      <c r="AB30" s="14">
        <v>22</v>
      </c>
      <c r="AC30" s="9" t="s">
        <v>47</v>
      </c>
      <c r="AD30" s="16"/>
      <c r="AE30" s="10">
        <v>6</v>
      </c>
      <c r="AF30" s="10">
        <v>31</v>
      </c>
      <c r="AG30" s="10">
        <v>0</v>
      </c>
      <c r="AH30" s="11">
        <v>17</v>
      </c>
      <c r="AI30" s="12" t="s">
        <v>47</v>
      </c>
      <c r="AJ30" s="17"/>
      <c r="AK30" s="13">
        <v>71</v>
      </c>
      <c r="AL30" s="13">
        <v>110</v>
      </c>
      <c r="AM30" s="13">
        <v>58</v>
      </c>
      <c r="AN30" s="14">
        <v>11</v>
      </c>
      <c r="AO30" s="9" t="s">
        <v>47</v>
      </c>
      <c r="AP30" s="16"/>
      <c r="AQ30" s="10">
        <v>18</v>
      </c>
      <c r="AR30" s="10">
        <v>11</v>
      </c>
      <c r="AS30" s="10">
        <v>5</v>
      </c>
      <c r="AT30" s="11">
        <v>27</v>
      </c>
      <c r="AU30" s="12" t="s">
        <v>70</v>
      </c>
      <c r="AV30" s="17"/>
      <c r="AW30" s="13">
        <v>32</v>
      </c>
      <c r="AX30" s="13">
        <v>7</v>
      </c>
      <c r="AY30" s="13">
        <v>26</v>
      </c>
      <c r="AZ30" s="14">
        <v>12</v>
      </c>
      <c r="BA30" s="9" t="s">
        <v>70</v>
      </c>
      <c r="BB30" s="16"/>
      <c r="BC30" s="10">
        <v>11</v>
      </c>
      <c r="BD30" s="10">
        <v>12</v>
      </c>
      <c r="BE30" s="10">
        <v>0</v>
      </c>
      <c r="BF30" s="11">
        <v>4</v>
      </c>
      <c r="BG30" s="12" t="s">
        <v>70</v>
      </c>
      <c r="BH30" s="17"/>
      <c r="BI30" s="13">
        <v>16</v>
      </c>
      <c r="BJ30" s="13">
        <v>19</v>
      </c>
      <c r="BK30" s="13">
        <v>28</v>
      </c>
      <c r="BL30" s="14">
        <v>13</v>
      </c>
      <c r="BM30" s="8">
        <f t="shared" si="0"/>
        <v>225</v>
      </c>
      <c r="BN30" s="8">
        <f t="shared" si="1"/>
        <v>294</v>
      </c>
      <c r="BO30" s="8">
        <f t="shared" si="2"/>
        <v>214</v>
      </c>
      <c r="BP30" s="8">
        <f t="shared" si="3"/>
        <v>123</v>
      </c>
      <c r="BQ30" s="8">
        <f t="shared" si="4"/>
        <v>294</v>
      </c>
      <c r="BR30" s="8">
        <f t="shared" si="5"/>
        <v>214</v>
      </c>
      <c r="BS30" s="15">
        <f t="shared" si="6"/>
        <v>21.794741721800694</v>
      </c>
      <c r="BT30" s="15" t="str">
        <f t="shared" si="7"/>
        <v>OK - No Upgrade</v>
      </c>
      <c r="BU30" s="15" t="str">
        <f t="shared" si="8"/>
        <v>Need to Balance</v>
      </c>
    </row>
    <row r="31" spans="1:73" ht="15.75" customHeight="1" x14ac:dyDescent="0.25">
      <c r="A31" s="8" t="s">
        <v>38</v>
      </c>
      <c r="B31" s="8" t="s">
        <v>658</v>
      </c>
      <c r="C31" s="8" t="s">
        <v>662</v>
      </c>
      <c r="D31" s="8" t="s">
        <v>739</v>
      </c>
      <c r="E31" s="8" t="s">
        <v>740</v>
      </c>
      <c r="F31" s="8" t="s">
        <v>56</v>
      </c>
      <c r="G31" s="8"/>
      <c r="H31" s="8">
        <v>1000</v>
      </c>
      <c r="I31" s="8" t="s">
        <v>741</v>
      </c>
      <c r="J31" s="8">
        <v>1</v>
      </c>
      <c r="K31" s="8">
        <v>248</v>
      </c>
      <c r="L31" s="8">
        <v>247</v>
      </c>
      <c r="M31" s="8">
        <v>250</v>
      </c>
      <c r="N31" s="8">
        <v>427</v>
      </c>
      <c r="O31" s="8">
        <v>431</v>
      </c>
      <c r="P31" s="8">
        <v>431</v>
      </c>
      <c r="Q31" s="9" t="s">
        <v>47</v>
      </c>
      <c r="R31" s="16"/>
      <c r="S31" s="10">
        <v>191</v>
      </c>
      <c r="T31" s="10">
        <v>115</v>
      </c>
      <c r="U31" s="10">
        <v>117</v>
      </c>
      <c r="V31" s="11">
        <v>74</v>
      </c>
      <c r="W31" s="12" t="s">
        <v>47</v>
      </c>
      <c r="X31" s="17"/>
      <c r="Y31" s="13">
        <v>27</v>
      </c>
      <c r="Z31" s="13">
        <v>11</v>
      </c>
      <c r="AA31" s="13">
        <v>13</v>
      </c>
      <c r="AB31" s="14">
        <v>14</v>
      </c>
      <c r="AC31" s="9" t="s">
        <v>47</v>
      </c>
      <c r="AD31" s="16"/>
      <c r="AE31" s="10">
        <v>45</v>
      </c>
      <c r="AF31" s="10">
        <v>17</v>
      </c>
      <c r="AG31" s="10">
        <v>20</v>
      </c>
      <c r="AH31" s="11">
        <v>20</v>
      </c>
      <c r="AI31" s="12" t="s">
        <v>47</v>
      </c>
      <c r="AJ31" s="17"/>
      <c r="AK31" s="13">
        <v>45</v>
      </c>
      <c r="AL31" s="13">
        <v>67</v>
      </c>
      <c r="AM31" s="13">
        <v>66</v>
      </c>
      <c r="AN31" s="14">
        <v>17</v>
      </c>
      <c r="AO31" s="9" t="s">
        <v>47</v>
      </c>
      <c r="AP31" s="16"/>
      <c r="AQ31" s="10">
        <v>38</v>
      </c>
      <c r="AR31" s="10">
        <v>35</v>
      </c>
      <c r="AS31" s="10">
        <v>32</v>
      </c>
      <c r="AT31" s="11">
        <v>9</v>
      </c>
      <c r="AU31" s="12" t="s">
        <v>47</v>
      </c>
      <c r="AV31" s="17"/>
      <c r="AW31" s="13">
        <v>46</v>
      </c>
      <c r="AX31" s="13">
        <v>27</v>
      </c>
      <c r="AY31" s="13">
        <v>46</v>
      </c>
      <c r="AZ31" s="14">
        <v>24</v>
      </c>
      <c r="BA31" s="9"/>
      <c r="BB31" s="16"/>
      <c r="BC31" s="10"/>
      <c r="BD31" s="10"/>
      <c r="BE31" s="10"/>
      <c r="BF31" s="11"/>
      <c r="BG31" s="12"/>
      <c r="BH31" s="17"/>
      <c r="BI31" s="13"/>
      <c r="BJ31" s="13"/>
      <c r="BK31" s="13"/>
      <c r="BL31" s="14"/>
      <c r="BM31" s="8">
        <f t="shared" si="0"/>
        <v>392</v>
      </c>
      <c r="BN31" s="8">
        <f t="shared" si="1"/>
        <v>272</v>
      </c>
      <c r="BO31" s="8">
        <f t="shared" si="2"/>
        <v>294</v>
      </c>
      <c r="BP31" s="8">
        <f t="shared" si="3"/>
        <v>158</v>
      </c>
      <c r="BQ31" s="8">
        <f t="shared" si="4"/>
        <v>392</v>
      </c>
      <c r="BR31" s="8">
        <f t="shared" si="5"/>
        <v>272</v>
      </c>
      <c r="BS31" s="15">
        <f t="shared" si="6"/>
        <v>28.991759237410893</v>
      </c>
      <c r="BT31" s="15" t="str">
        <f t="shared" si="7"/>
        <v>OK - No Upgrade</v>
      </c>
      <c r="BU31" s="15" t="str">
        <f t="shared" si="8"/>
        <v>Need to Balance</v>
      </c>
    </row>
    <row r="32" spans="1:73" ht="15.75" customHeight="1" x14ac:dyDescent="0.25">
      <c r="A32" s="8" t="s">
        <v>38</v>
      </c>
      <c r="B32" s="8" t="s">
        <v>658</v>
      </c>
      <c r="C32" s="8" t="s">
        <v>662</v>
      </c>
      <c r="D32" s="8" t="s">
        <v>742</v>
      </c>
      <c r="E32" s="8" t="s">
        <v>743</v>
      </c>
      <c r="F32" s="8" t="s">
        <v>43</v>
      </c>
      <c r="G32" s="8"/>
      <c r="H32" s="8">
        <v>315</v>
      </c>
      <c r="I32" s="8" t="s">
        <v>744</v>
      </c>
      <c r="J32" s="8">
        <v>1</v>
      </c>
      <c r="K32" s="8">
        <v>247</v>
      </c>
      <c r="L32" s="8">
        <v>247</v>
      </c>
      <c r="M32" s="8">
        <v>249</v>
      </c>
      <c r="N32" s="8">
        <v>426</v>
      </c>
      <c r="O32" s="8">
        <v>431</v>
      </c>
      <c r="P32" s="8">
        <v>431</v>
      </c>
      <c r="Q32" s="9" t="s">
        <v>47</v>
      </c>
      <c r="R32" s="16"/>
      <c r="S32" s="10">
        <v>35</v>
      </c>
      <c r="T32" s="10">
        <v>47</v>
      </c>
      <c r="U32" s="10">
        <v>76</v>
      </c>
      <c r="V32" s="11">
        <v>34</v>
      </c>
      <c r="W32" s="12" t="s">
        <v>46</v>
      </c>
      <c r="X32" s="17"/>
      <c r="Y32" s="13">
        <v>153</v>
      </c>
      <c r="Z32" s="13">
        <v>42</v>
      </c>
      <c r="AA32" s="13">
        <v>111</v>
      </c>
      <c r="AB32" s="14">
        <v>108</v>
      </c>
      <c r="AC32" s="9"/>
      <c r="AD32" s="16"/>
      <c r="AE32" s="10"/>
      <c r="AF32" s="10"/>
      <c r="AG32" s="10"/>
      <c r="AH32" s="11"/>
      <c r="AI32" s="12"/>
      <c r="AJ32" s="17"/>
      <c r="AK32" s="13"/>
      <c r="AL32" s="13"/>
      <c r="AM32" s="13"/>
      <c r="AN32" s="14"/>
      <c r="AO32" s="9"/>
      <c r="AP32" s="16"/>
      <c r="AQ32" s="10"/>
      <c r="AR32" s="10"/>
      <c r="AS32" s="10"/>
      <c r="AT32" s="11"/>
      <c r="AU32" s="12"/>
      <c r="AV32" s="17"/>
      <c r="AW32" s="13"/>
      <c r="AX32" s="13"/>
      <c r="AY32" s="13"/>
      <c r="AZ32" s="14"/>
      <c r="BA32" s="9"/>
      <c r="BB32" s="16"/>
      <c r="BC32" s="10"/>
      <c r="BD32" s="10"/>
      <c r="BE32" s="10"/>
      <c r="BF32" s="11"/>
      <c r="BG32" s="12"/>
      <c r="BH32" s="17"/>
      <c r="BI32" s="13"/>
      <c r="BJ32" s="13"/>
      <c r="BK32" s="13"/>
      <c r="BL32" s="14"/>
      <c r="BM32" s="8">
        <f t="shared" si="0"/>
        <v>188</v>
      </c>
      <c r="BN32" s="8">
        <f t="shared" si="1"/>
        <v>89</v>
      </c>
      <c r="BO32" s="8">
        <f t="shared" si="2"/>
        <v>187</v>
      </c>
      <c r="BP32" s="8">
        <f t="shared" si="3"/>
        <v>142</v>
      </c>
      <c r="BQ32" s="8">
        <f t="shared" si="4"/>
        <v>188</v>
      </c>
      <c r="BR32" s="8">
        <f t="shared" si="5"/>
        <v>89</v>
      </c>
      <c r="BS32" s="15">
        <f t="shared" si="6"/>
        <v>44.03697938938928</v>
      </c>
      <c r="BT32" s="15" t="str">
        <f t="shared" si="7"/>
        <v>OK - No Upgrade</v>
      </c>
      <c r="BU32" s="15" t="str">
        <f t="shared" si="8"/>
        <v>Need to Balance</v>
      </c>
    </row>
    <row r="33" spans="1:73" ht="15.75" customHeight="1" x14ac:dyDescent="0.25">
      <c r="A33" s="8" t="s">
        <v>38</v>
      </c>
      <c r="B33" s="8" t="s">
        <v>658</v>
      </c>
      <c r="C33" s="8" t="s">
        <v>662</v>
      </c>
      <c r="D33" s="8" t="s">
        <v>745</v>
      </c>
      <c r="E33" s="8" t="s">
        <v>746</v>
      </c>
      <c r="F33" s="8" t="s">
        <v>56</v>
      </c>
      <c r="G33" s="8"/>
      <c r="H33" s="8">
        <v>1000</v>
      </c>
      <c r="I33" s="8" t="s">
        <v>747</v>
      </c>
      <c r="J33" s="8">
        <v>1</v>
      </c>
      <c r="K33" s="8">
        <v>249</v>
      </c>
      <c r="L33" s="8">
        <v>247</v>
      </c>
      <c r="M33" s="8">
        <v>250</v>
      </c>
      <c r="N33" s="8">
        <v>432</v>
      </c>
      <c r="O33" s="8">
        <v>429</v>
      </c>
      <c r="P33" s="8">
        <v>432</v>
      </c>
      <c r="Q33" s="9" t="s">
        <v>70</v>
      </c>
      <c r="R33" s="16"/>
      <c r="S33" s="10">
        <v>11</v>
      </c>
      <c r="T33" s="10">
        <v>109</v>
      </c>
      <c r="U33" s="10">
        <v>29</v>
      </c>
      <c r="V33" s="11">
        <v>74</v>
      </c>
      <c r="W33" s="12" t="s">
        <v>70</v>
      </c>
      <c r="X33" s="17"/>
      <c r="Y33" s="13">
        <v>62</v>
      </c>
      <c r="Z33" s="13">
        <v>21</v>
      </c>
      <c r="AA33" s="13">
        <v>24</v>
      </c>
      <c r="AB33" s="14">
        <v>39</v>
      </c>
      <c r="AC33" s="9" t="s">
        <v>70</v>
      </c>
      <c r="AD33" s="16"/>
      <c r="AE33" s="10">
        <v>34</v>
      </c>
      <c r="AF33" s="10">
        <v>111</v>
      </c>
      <c r="AG33" s="10">
        <v>126</v>
      </c>
      <c r="AH33" s="11">
        <v>90</v>
      </c>
      <c r="AI33" s="12" t="s">
        <v>70</v>
      </c>
      <c r="AJ33" s="17"/>
      <c r="AK33" s="13">
        <v>2</v>
      </c>
      <c r="AL33" s="13">
        <v>17</v>
      </c>
      <c r="AM33" s="13">
        <v>21</v>
      </c>
      <c r="AN33" s="14">
        <v>16</v>
      </c>
      <c r="AO33" s="9" t="s">
        <v>47</v>
      </c>
      <c r="AP33" s="16"/>
      <c r="AQ33" s="10">
        <v>60</v>
      </c>
      <c r="AR33" s="10">
        <v>76</v>
      </c>
      <c r="AS33" s="10">
        <v>88</v>
      </c>
      <c r="AT33" s="11">
        <v>29</v>
      </c>
      <c r="AU33" s="12"/>
      <c r="AV33" s="17"/>
      <c r="AW33" s="13"/>
      <c r="AX33" s="13"/>
      <c r="AY33" s="13"/>
      <c r="AZ33" s="14"/>
      <c r="BA33" s="9"/>
      <c r="BB33" s="16"/>
      <c r="BC33" s="10"/>
      <c r="BD33" s="10"/>
      <c r="BE33" s="10"/>
      <c r="BF33" s="11"/>
      <c r="BG33" s="12"/>
      <c r="BH33" s="17"/>
      <c r="BI33" s="13"/>
      <c r="BJ33" s="13"/>
      <c r="BK33" s="13"/>
      <c r="BL33" s="14"/>
      <c r="BM33" s="8">
        <f t="shared" si="0"/>
        <v>169</v>
      </c>
      <c r="BN33" s="8">
        <f t="shared" si="1"/>
        <v>334</v>
      </c>
      <c r="BO33" s="8">
        <f t="shared" si="2"/>
        <v>288</v>
      </c>
      <c r="BP33" s="8">
        <f t="shared" si="3"/>
        <v>248</v>
      </c>
      <c r="BQ33" s="8">
        <f t="shared" si="4"/>
        <v>334</v>
      </c>
      <c r="BR33" s="8">
        <f t="shared" si="5"/>
        <v>169</v>
      </c>
      <c r="BS33" s="15">
        <f t="shared" si="6"/>
        <v>24.991414692249815</v>
      </c>
      <c r="BT33" s="15" t="str">
        <f t="shared" si="7"/>
        <v>OK - No Upgrade</v>
      </c>
      <c r="BU33" s="15" t="str">
        <f t="shared" si="8"/>
        <v>Need to Balance</v>
      </c>
    </row>
    <row r="34" spans="1:73" ht="15.75" customHeight="1" x14ac:dyDescent="0.25">
      <c r="A34" s="8" t="s">
        <v>38</v>
      </c>
      <c r="B34" s="8" t="s">
        <v>658</v>
      </c>
      <c r="C34" s="8" t="s">
        <v>389</v>
      </c>
      <c r="D34" s="8" t="s">
        <v>748</v>
      </c>
      <c r="E34" s="8" t="s">
        <v>308</v>
      </c>
      <c r="F34" s="8" t="s">
        <v>56</v>
      </c>
      <c r="G34" s="8"/>
      <c r="H34" s="8">
        <v>500</v>
      </c>
      <c r="I34" s="8" t="s">
        <v>749</v>
      </c>
      <c r="J34" s="8">
        <v>1</v>
      </c>
      <c r="K34" s="8">
        <v>250</v>
      </c>
      <c r="L34" s="8">
        <v>247</v>
      </c>
      <c r="M34" s="8">
        <v>247</v>
      </c>
      <c r="N34" s="8">
        <v>433</v>
      </c>
      <c r="O34" s="8">
        <v>434</v>
      </c>
      <c r="P34" s="8">
        <v>427</v>
      </c>
      <c r="Q34" s="9" t="s">
        <v>70</v>
      </c>
      <c r="R34" s="16"/>
      <c r="S34" s="10">
        <v>89</v>
      </c>
      <c r="T34" s="10">
        <v>75</v>
      </c>
      <c r="U34" s="10">
        <v>59</v>
      </c>
      <c r="V34" s="11">
        <v>95</v>
      </c>
      <c r="W34" s="12" t="s">
        <v>46</v>
      </c>
      <c r="X34" s="17"/>
      <c r="Y34" s="13">
        <v>1</v>
      </c>
      <c r="Z34" s="13">
        <v>12</v>
      </c>
      <c r="AA34" s="13">
        <v>9</v>
      </c>
      <c r="AB34" s="14">
        <v>14</v>
      </c>
      <c r="AC34" s="9" t="s">
        <v>47</v>
      </c>
      <c r="AD34" s="16"/>
      <c r="AE34" s="10">
        <v>30</v>
      </c>
      <c r="AF34" s="10">
        <v>72</v>
      </c>
      <c r="AG34" s="10">
        <v>90</v>
      </c>
      <c r="AH34" s="11">
        <v>15</v>
      </c>
      <c r="AI34" s="12" t="s">
        <v>46</v>
      </c>
      <c r="AJ34" s="17"/>
      <c r="AK34" s="13">
        <v>102</v>
      </c>
      <c r="AL34" s="13">
        <v>71</v>
      </c>
      <c r="AM34" s="13">
        <v>137</v>
      </c>
      <c r="AN34" s="14">
        <v>84</v>
      </c>
      <c r="AO34" s="9" t="s">
        <v>47</v>
      </c>
      <c r="AP34" s="16"/>
      <c r="AQ34" s="10">
        <v>0</v>
      </c>
      <c r="AR34" s="10">
        <v>80</v>
      </c>
      <c r="AS34" s="10">
        <v>2</v>
      </c>
      <c r="AT34" s="11">
        <v>20</v>
      </c>
      <c r="AU34" s="12" t="s">
        <v>47</v>
      </c>
      <c r="AV34" s="17"/>
      <c r="AW34" s="13">
        <v>35</v>
      </c>
      <c r="AX34" s="13">
        <v>5</v>
      </c>
      <c r="AY34" s="13">
        <v>65</v>
      </c>
      <c r="AZ34" s="14">
        <v>48</v>
      </c>
      <c r="BA34" s="9"/>
      <c r="BB34" s="16"/>
      <c r="BC34" s="10"/>
      <c r="BD34" s="10"/>
      <c r="BE34" s="10"/>
      <c r="BF34" s="11"/>
      <c r="BG34" s="12"/>
      <c r="BH34" s="17"/>
      <c r="BI34" s="13"/>
      <c r="BJ34" s="13"/>
      <c r="BK34" s="13"/>
      <c r="BL34" s="14"/>
      <c r="BM34" s="8">
        <f t="shared" si="0"/>
        <v>257</v>
      </c>
      <c r="BN34" s="8">
        <f t="shared" si="1"/>
        <v>315</v>
      </c>
      <c r="BO34" s="8">
        <f t="shared" si="2"/>
        <v>362</v>
      </c>
      <c r="BP34" s="8">
        <f t="shared" si="3"/>
        <v>276</v>
      </c>
      <c r="BQ34" s="8">
        <f t="shared" si="4"/>
        <v>362</v>
      </c>
      <c r="BR34" s="8">
        <f t="shared" si="5"/>
        <v>257</v>
      </c>
      <c r="BS34" s="15">
        <f t="shared" si="6"/>
        <v>54.298407176638243</v>
      </c>
      <c r="BT34" s="15" t="str">
        <f t="shared" si="7"/>
        <v>OK - No Upgrade</v>
      </c>
      <c r="BU34" s="15" t="str">
        <f t="shared" si="8"/>
        <v>Need to Balance</v>
      </c>
    </row>
    <row r="35" spans="1:73" ht="15.75" customHeight="1" x14ac:dyDescent="0.25">
      <c r="A35" s="8" t="s">
        <v>38</v>
      </c>
      <c r="B35" s="8" t="s">
        <v>658</v>
      </c>
      <c r="C35" s="8" t="s">
        <v>662</v>
      </c>
      <c r="D35" s="8" t="s">
        <v>750</v>
      </c>
      <c r="E35" s="8" t="s">
        <v>751</v>
      </c>
      <c r="F35" s="8" t="s">
        <v>56</v>
      </c>
      <c r="G35" s="8"/>
      <c r="H35" s="8">
        <v>1000</v>
      </c>
      <c r="I35" s="8" t="s">
        <v>752</v>
      </c>
      <c r="J35" s="8">
        <v>1</v>
      </c>
      <c r="K35" s="8">
        <v>247</v>
      </c>
      <c r="L35" s="8">
        <v>247</v>
      </c>
      <c r="M35" s="8">
        <v>249</v>
      </c>
      <c r="N35" s="8">
        <v>427</v>
      </c>
      <c r="O35" s="8">
        <v>435</v>
      </c>
      <c r="P35" s="8">
        <v>434</v>
      </c>
      <c r="Q35" s="9"/>
      <c r="R35" s="16"/>
      <c r="S35" s="10"/>
      <c r="T35" s="10"/>
      <c r="U35" s="10"/>
      <c r="V35" s="11"/>
      <c r="W35" s="12" t="s">
        <v>47</v>
      </c>
      <c r="X35" s="17"/>
      <c r="Y35" s="13">
        <v>16</v>
      </c>
      <c r="Z35" s="13">
        <v>6</v>
      </c>
      <c r="AA35" s="13">
        <v>22</v>
      </c>
      <c r="AB35" s="14">
        <v>8</v>
      </c>
      <c r="AC35" s="9" t="s">
        <v>70</v>
      </c>
      <c r="AD35" s="16"/>
      <c r="AE35" s="10">
        <v>48</v>
      </c>
      <c r="AF35" s="10">
        <v>15</v>
      </c>
      <c r="AG35" s="10">
        <v>21</v>
      </c>
      <c r="AH35" s="11">
        <v>30</v>
      </c>
      <c r="AI35" s="12" t="s">
        <v>70</v>
      </c>
      <c r="AJ35" s="17"/>
      <c r="AK35" s="13">
        <v>12</v>
      </c>
      <c r="AL35" s="13">
        <v>1</v>
      </c>
      <c r="AM35" s="13">
        <v>31</v>
      </c>
      <c r="AN35" s="14">
        <v>20</v>
      </c>
      <c r="AO35" s="9" t="s">
        <v>70</v>
      </c>
      <c r="AP35" s="16"/>
      <c r="AQ35" s="10">
        <v>45</v>
      </c>
      <c r="AR35" s="10">
        <v>23</v>
      </c>
      <c r="AS35" s="10">
        <v>48</v>
      </c>
      <c r="AT35" s="11">
        <v>24</v>
      </c>
      <c r="AU35" s="12" t="s">
        <v>70</v>
      </c>
      <c r="AV35" s="17"/>
      <c r="AW35" s="13">
        <v>9</v>
      </c>
      <c r="AX35" s="13">
        <v>46</v>
      </c>
      <c r="AY35" s="13">
        <v>35</v>
      </c>
      <c r="AZ35" s="14">
        <v>34</v>
      </c>
      <c r="BA35" s="9" t="s">
        <v>47</v>
      </c>
      <c r="BB35" s="16"/>
      <c r="BC35" s="10">
        <v>26</v>
      </c>
      <c r="BD35" s="10">
        <v>19</v>
      </c>
      <c r="BE35" s="10">
        <v>5</v>
      </c>
      <c r="BF35" s="11">
        <v>18</v>
      </c>
      <c r="BG35" s="12"/>
      <c r="BH35" s="17"/>
      <c r="BI35" s="13"/>
      <c r="BJ35" s="13"/>
      <c r="BK35" s="13"/>
      <c r="BL35" s="14"/>
      <c r="BM35" s="8">
        <f t="shared" si="0"/>
        <v>156</v>
      </c>
      <c r="BN35" s="8">
        <f t="shared" si="1"/>
        <v>110</v>
      </c>
      <c r="BO35" s="8">
        <f t="shared" si="2"/>
        <v>162</v>
      </c>
      <c r="BP35" s="8">
        <f t="shared" si="3"/>
        <v>134</v>
      </c>
      <c r="BQ35" s="8">
        <f t="shared" si="4"/>
        <v>162</v>
      </c>
      <c r="BR35" s="8">
        <f t="shared" si="5"/>
        <v>110</v>
      </c>
      <c r="BS35" s="15">
        <f t="shared" si="6"/>
        <v>11.981288256276953</v>
      </c>
      <c r="BT35" s="15" t="str">
        <f t="shared" si="7"/>
        <v>OK - No Upgrade</v>
      </c>
      <c r="BU35" s="15" t="str">
        <f t="shared" si="8"/>
        <v>Need to Balance</v>
      </c>
    </row>
    <row r="36" spans="1:73" ht="15.75" customHeight="1" x14ac:dyDescent="0.25">
      <c r="A36" s="8" t="s">
        <v>38</v>
      </c>
      <c r="B36" s="8" t="s">
        <v>658</v>
      </c>
      <c r="C36" s="8" t="s">
        <v>389</v>
      </c>
      <c r="D36" s="8" t="s">
        <v>753</v>
      </c>
      <c r="E36" s="8" t="s">
        <v>754</v>
      </c>
      <c r="F36" s="8" t="s">
        <v>56</v>
      </c>
      <c r="G36" s="8"/>
      <c r="H36" s="8">
        <v>1000</v>
      </c>
      <c r="I36" s="8" t="s">
        <v>755</v>
      </c>
      <c r="J36" s="8">
        <v>1</v>
      </c>
      <c r="K36" s="8">
        <v>248</v>
      </c>
      <c r="L36" s="8">
        <v>246</v>
      </c>
      <c r="M36" s="8">
        <v>247</v>
      </c>
      <c r="N36" s="8">
        <v>429</v>
      </c>
      <c r="O36" s="8">
        <v>430</v>
      </c>
      <c r="P36" s="8">
        <v>427</v>
      </c>
      <c r="Q36" s="9" t="s">
        <v>47</v>
      </c>
      <c r="R36" s="16"/>
      <c r="S36" s="10">
        <v>23</v>
      </c>
      <c r="T36" s="10">
        <v>35</v>
      </c>
      <c r="U36" s="10">
        <v>1</v>
      </c>
      <c r="V36" s="11">
        <v>20</v>
      </c>
      <c r="W36" s="12"/>
      <c r="X36" s="17"/>
      <c r="Y36" s="13"/>
      <c r="Z36" s="13"/>
      <c r="AA36" s="13"/>
      <c r="AB36" s="14"/>
      <c r="AC36" s="9" t="s">
        <v>46</v>
      </c>
      <c r="AD36" s="16"/>
      <c r="AE36" s="10">
        <v>0</v>
      </c>
      <c r="AF36" s="10">
        <v>6</v>
      </c>
      <c r="AG36" s="10">
        <v>0</v>
      </c>
      <c r="AH36" s="11">
        <v>6</v>
      </c>
      <c r="AI36" s="12" t="s">
        <v>46</v>
      </c>
      <c r="AJ36" s="17"/>
      <c r="AK36" s="13">
        <v>44</v>
      </c>
      <c r="AL36" s="13">
        <v>10</v>
      </c>
      <c r="AM36" s="13">
        <v>13</v>
      </c>
      <c r="AN36" s="14">
        <v>31</v>
      </c>
      <c r="AO36" s="9" t="s">
        <v>47</v>
      </c>
      <c r="AP36" s="16"/>
      <c r="AQ36" s="10">
        <v>124</v>
      </c>
      <c r="AR36" s="10">
        <v>57</v>
      </c>
      <c r="AS36" s="10">
        <v>72</v>
      </c>
      <c r="AT36" s="11">
        <v>84</v>
      </c>
      <c r="AU36" s="12" t="s">
        <v>47</v>
      </c>
      <c r="AV36" s="17"/>
      <c r="AW36" s="13">
        <v>18</v>
      </c>
      <c r="AX36" s="13">
        <v>14</v>
      </c>
      <c r="AY36" s="13">
        <v>28</v>
      </c>
      <c r="AZ36" s="14">
        <v>13</v>
      </c>
      <c r="BA36" s="9" t="s">
        <v>47</v>
      </c>
      <c r="BB36" s="16"/>
      <c r="BC36" s="10">
        <v>115</v>
      </c>
      <c r="BD36" s="10">
        <v>135</v>
      </c>
      <c r="BE36" s="10">
        <v>100</v>
      </c>
      <c r="BF36" s="11">
        <v>34</v>
      </c>
      <c r="BG36" s="12" t="s">
        <v>47</v>
      </c>
      <c r="BH36" s="17"/>
      <c r="BI36" s="13">
        <v>69</v>
      </c>
      <c r="BJ36" s="13">
        <v>112</v>
      </c>
      <c r="BK36" s="13">
        <v>89</v>
      </c>
      <c r="BL36" s="14">
        <v>39</v>
      </c>
      <c r="BM36" s="8">
        <f t="shared" ref="BM36:BM67" si="9">SUM(S36,Y36,AE36,AK36,AQ36,AW36,BC36,BI36)</f>
        <v>393</v>
      </c>
      <c r="BN36" s="8">
        <f t="shared" ref="BN36:BN67" si="10">SUM(T36,Z36,AF36,AL36,AR36,AX36,BD36,BJ36)</f>
        <v>369</v>
      </c>
      <c r="BO36" s="8">
        <f t="shared" ref="BO36:BO67" si="11">SUM(U36,AA36,AG36,AM36,AS36,AY36,BE36,BK36)</f>
        <v>303</v>
      </c>
      <c r="BP36" s="8">
        <f t="shared" ref="BP36:BP67" si="12">SUM(V36,AB36,AH36,AN36,AT36,AZ36,BF36,BL36)</f>
        <v>227</v>
      </c>
      <c r="BQ36" s="8">
        <f t="shared" ref="BQ36:BQ67" si="13">MAX(BM36:BO36)</f>
        <v>393</v>
      </c>
      <c r="BR36" s="8">
        <f t="shared" ref="BR36:BR67" si="14">MIN(BM36:BO36)</f>
        <v>303</v>
      </c>
      <c r="BS36" s="15">
        <f t="shared" ref="BS36:BS67" si="15">IF(H36&gt;0,(BQ36*SQRT(3)*IF(N36&gt;0,N36,IF(O36&gt;0,O36,IF(P36&gt;0,P36,415)))/(H36*1000))*100,0)</f>
        <v>29.201857000368996</v>
      </c>
      <c r="BT36" s="15" t="str">
        <f t="shared" ref="BT36:BT67" si="16">IF(BS36&gt;70,"Upgrade","OK - No Upgrade")</f>
        <v>OK - No Upgrade</v>
      </c>
      <c r="BU36" s="15" t="str">
        <f t="shared" ref="BU36:BU67" si="17">IF(IF(AVERAGE(BM36:BO36)&gt;0,((BQ36-AVERAGE(BM36:BO36))/AVERAGE(BM36:BO36))*100,0)&gt;10,"Need to Balance","OK - Balanced")</f>
        <v>Need to Balance</v>
      </c>
    </row>
    <row r="37" spans="1:73" ht="15.75" customHeight="1" x14ac:dyDescent="0.25">
      <c r="A37" s="8" t="s">
        <v>38</v>
      </c>
      <c r="B37" s="8" t="s">
        <v>658</v>
      </c>
      <c r="C37" s="8" t="s">
        <v>662</v>
      </c>
      <c r="D37" s="8" t="s">
        <v>756</v>
      </c>
      <c r="E37" s="8" t="s">
        <v>757</v>
      </c>
      <c r="F37" s="8" t="s">
        <v>56</v>
      </c>
      <c r="G37" s="8"/>
      <c r="H37" s="8">
        <v>1000</v>
      </c>
      <c r="I37" s="8" t="s">
        <v>758</v>
      </c>
      <c r="J37" s="8">
        <v>1</v>
      </c>
      <c r="K37" s="8">
        <v>245</v>
      </c>
      <c r="L37" s="8">
        <v>245</v>
      </c>
      <c r="M37" s="8">
        <v>247</v>
      </c>
      <c r="N37" s="8">
        <v>421</v>
      </c>
      <c r="O37" s="8">
        <v>429</v>
      </c>
      <c r="P37" s="8">
        <v>427</v>
      </c>
      <c r="Q37" s="9" t="s">
        <v>47</v>
      </c>
      <c r="R37" s="16"/>
      <c r="S37" s="10">
        <v>125</v>
      </c>
      <c r="T37" s="10">
        <v>116</v>
      </c>
      <c r="U37" s="10">
        <v>90</v>
      </c>
      <c r="V37" s="11">
        <v>35</v>
      </c>
      <c r="W37" s="12" t="s">
        <v>47</v>
      </c>
      <c r="X37" s="17"/>
      <c r="Y37" s="13">
        <v>79</v>
      </c>
      <c r="Z37" s="13">
        <v>41</v>
      </c>
      <c r="AA37" s="13">
        <v>36</v>
      </c>
      <c r="AB37" s="14">
        <v>18</v>
      </c>
      <c r="AC37" s="9" t="s">
        <v>47</v>
      </c>
      <c r="AD37" s="16"/>
      <c r="AE37" s="10">
        <v>77</v>
      </c>
      <c r="AF37" s="10">
        <v>46</v>
      </c>
      <c r="AG37" s="10">
        <v>52</v>
      </c>
      <c r="AH37" s="11">
        <v>19</v>
      </c>
      <c r="AI37" s="12" t="s">
        <v>47</v>
      </c>
      <c r="AJ37" s="17"/>
      <c r="AK37" s="13">
        <v>58</v>
      </c>
      <c r="AL37" s="13">
        <v>76</v>
      </c>
      <c r="AM37" s="13">
        <v>83</v>
      </c>
      <c r="AN37" s="14">
        <v>32</v>
      </c>
      <c r="AO37" s="9" t="s">
        <v>47</v>
      </c>
      <c r="AP37" s="16"/>
      <c r="AQ37" s="10">
        <v>113</v>
      </c>
      <c r="AR37" s="10">
        <v>79</v>
      </c>
      <c r="AS37" s="10">
        <v>72</v>
      </c>
      <c r="AT37" s="11">
        <v>34</v>
      </c>
      <c r="AU37" s="12" t="s">
        <v>70</v>
      </c>
      <c r="AV37" s="17"/>
      <c r="AW37" s="13">
        <v>189</v>
      </c>
      <c r="AX37" s="13">
        <v>211</v>
      </c>
      <c r="AY37" s="13">
        <v>201</v>
      </c>
      <c r="AZ37" s="14">
        <v>29</v>
      </c>
      <c r="BA37" s="9"/>
      <c r="BB37" s="16"/>
      <c r="BC37" s="10"/>
      <c r="BD37" s="10"/>
      <c r="BE37" s="10"/>
      <c r="BF37" s="11"/>
      <c r="BG37" s="12" t="s">
        <v>46</v>
      </c>
      <c r="BH37" s="17"/>
      <c r="BI37" s="13">
        <v>13</v>
      </c>
      <c r="BJ37" s="13">
        <v>17</v>
      </c>
      <c r="BK37" s="13">
        <v>0</v>
      </c>
      <c r="BL37" s="14">
        <v>14</v>
      </c>
      <c r="BM37" s="8">
        <f t="shared" si="9"/>
        <v>654</v>
      </c>
      <c r="BN37" s="8">
        <f t="shared" si="10"/>
        <v>586</v>
      </c>
      <c r="BO37" s="8">
        <f t="shared" si="11"/>
        <v>534</v>
      </c>
      <c r="BP37" s="8">
        <f t="shared" si="12"/>
        <v>181</v>
      </c>
      <c r="BQ37" s="8">
        <f t="shared" si="13"/>
        <v>654</v>
      </c>
      <c r="BR37" s="8">
        <f t="shared" si="14"/>
        <v>534</v>
      </c>
      <c r="BS37" s="15">
        <f t="shared" si="15"/>
        <v>47.689247705116927</v>
      </c>
      <c r="BT37" s="15" t="str">
        <f t="shared" si="16"/>
        <v>OK - No Upgrade</v>
      </c>
      <c r="BU37" s="15" t="str">
        <f t="shared" si="17"/>
        <v>Need to Balance</v>
      </c>
    </row>
    <row r="38" spans="1:73" ht="15.75" customHeight="1" x14ac:dyDescent="0.25">
      <c r="A38" s="8" t="s">
        <v>38</v>
      </c>
      <c r="B38" s="8" t="s">
        <v>658</v>
      </c>
      <c r="C38" s="8" t="s">
        <v>536</v>
      </c>
      <c r="D38" s="8" t="s">
        <v>759</v>
      </c>
      <c r="E38" s="8" t="s">
        <v>760</v>
      </c>
      <c r="F38" s="8" t="s">
        <v>56</v>
      </c>
      <c r="G38" s="8"/>
      <c r="H38" s="8">
        <v>1000</v>
      </c>
      <c r="I38" s="8" t="s">
        <v>761</v>
      </c>
      <c r="J38" s="8">
        <v>1</v>
      </c>
      <c r="K38" s="8">
        <v>247</v>
      </c>
      <c r="L38" s="8">
        <v>245</v>
      </c>
      <c r="M38" s="8">
        <v>245</v>
      </c>
      <c r="N38" s="8">
        <v>427</v>
      </c>
      <c r="O38" s="8">
        <v>429</v>
      </c>
      <c r="P38" s="8">
        <v>426</v>
      </c>
      <c r="Q38" s="9" t="s">
        <v>70</v>
      </c>
      <c r="R38" s="16"/>
      <c r="S38" s="10">
        <v>114</v>
      </c>
      <c r="T38" s="10">
        <v>105</v>
      </c>
      <c r="U38" s="10">
        <v>102</v>
      </c>
      <c r="V38" s="11">
        <v>2</v>
      </c>
      <c r="W38" s="12" t="s">
        <v>70</v>
      </c>
      <c r="X38" s="17"/>
      <c r="Y38" s="13">
        <v>111</v>
      </c>
      <c r="Z38" s="13">
        <v>117</v>
      </c>
      <c r="AA38" s="13">
        <v>125</v>
      </c>
      <c r="AB38" s="14">
        <v>2</v>
      </c>
      <c r="AC38" s="9" t="s">
        <v>70</v>
      </c>
      <c r="AD38" s="16"/>
      <c r="AE38" s="10">
        <v>40</v>
      </c>
      <c r="AF38" s="10">
        <v>110</v>
      </c>
      <c r="AG38" s="10">
        <v>108</v>
      </c>
      <c r="AH38" s="11">
        <v>61</v>
      </c>
      <c r="AI38" s="12" t="s">
        <v>70</v>
      </c>
      <c r="AJ38" s="17"/>
      <c r="AK38" s="13">
        <v>99</v>
      </c>
      <c r="AL38" s="13">
        <v>90</v>
      </c>
      <c r="AM38" s="13">
        <v>91</v>
      </c>
      <c r="AN38" s="14">
        <v>128</v>
      </c>
      <c r="AO38" s="9" t="s">
        <v>47</v>
      </c>
      <c r="AP38" s="16"/>
      <c r="AQ38" s="10">
        <v>190</v>
      </c>
      <c r="AR38" s="10">
        <v>252</v>
      </c>
      <c r="AS38" s="10">
        <v>240</v>
      </c>
      <c r="AT38" s="11">
        <v>66</v>
      </c>
      <c r="AU38" s="12"/>
      <c r="AV38" s="17"/>
      <c r="AW38" s="13"/>
      <c r="AX38" s="13"/>
      <c r="AY38" s="13"/>
      <c r="AZ38" s="14"/>
      <c r="BA38" s="9"/>
      <c r="BB38" s="16"/>
      <c r="BC38" s="10"/>
      <c r="BD38" s="10"/>
      <c r="BE38" s="10"/>
      <c r="BF38" s="11"/>
      <c r="BG38" s="12"/>
      <c r="BH38" s="17"/>
      <c r="BI38" s="13"/>
      <c r="BJ38" s="13"/>
      <c r="BK38" s="13"/>
      <c r="BL38" s="14"/>
      <c r="BM38" s="8">
        <f t="shared" si="9"/>
        <v>554</v>
      </c>
      <c r="BN38" s="8">
        <f t="shared" si="10"/>
        <v>674</v>
      </c>
      <c r="BO38" s="8">
        <f t="shared" si="11"/>
        <v>666</v>
      </c>
      <c r="BP38" s="8">
        <f t="shared" si="12"/>
        <v>259</v>
      </c>
      <c r="BQ38" s="8">
        <f t="shared" si="13"/>
        <v>674</v>
      </c>
      <c r="BR38" s="8">
        <f t="shared" si="14"/>
        <v>554</v>
      </c>
      <c r="BS38" s="15">
        <f t="shared" si="15"/>
        <v>49.848075831670776</v>
      </c>
      <c r="BT38" s="15" t="str">
        <f t="shared" si="16"/>
        <v>OK - No Upgrade</v>
      </c>
      <c r="BU38" s="15" t="str">
        <f t="shared" si="17"/>
        <v>OK - Balanced</v>
      </c>
    </row>
    <row r="39" spans="1:73" ht="15.75" customHeight="1" x14ac:dyDescent="0.25">
      <c r="A39" s="8" t="s">
        <v>38</v>
      </c>
      <c r="B39" s="8" t="s">
        <v>658</v>
      </c>
      <c r="C39" s="8" t="s">
        <v>536</v>
      </c>
      <c r="D39" s="8" t="s">
        <v>762</v>
      </c>
      <c r="E39" s="8" t="s">
        <v>763</v>
      </c>
      <c r="F39" s="8" t="s">
        <v>56</v>
      </c>
      <c r="G39" s="8"/>
      <c r="H39" s="8">
        <v>500</v>
      </c>
      <c r="I39" s="8" t="s">
        <v>764</v>
      </c>
      <c r="J39" s="8">
        <v>1</v>
      </c>
      <c r="K39" s="8">
        <v>237</v>
      </c>
      <c r="L39" s="8">
        <v>237</v>
      </c>
      <c r="M39" s="8">
        <v>239</v>
      </c>
      <c r="N39" s="8">
        <v>411</v>
      </c>
      <c r="O39" s="8">
        <v>415</v>
      </c>
      <c r="P39" s="8">
        <v>414</v>
      </c>
      <c r="Q39" s="9" t="s">
        <v>47</v>
      </c>
      <c r="R39" s="16"/>
      <c r="S39" s="10">
        <v>10</v>
      </c>
      <c r="T39" s="10">
        <v>0</v>
      </c>
      <c r="U39" s="10">
        <v>6</v>
      </c>
      <c r="V39" s="11">
        <v>6</v>
      </c>
      <c r="W39" s="12" t="s">
        <v>47</v>
      </c>
      <c r="X39" s="17"/>
      <c r="Y39" s="13">
        <v>10</v>
      </c>
      <c r="Z39" s="13">
        <v>0</v>
      </c>
      <c r="AA39" s="13">
        <v>8</v>
      </c>
      <c r="AB39" s="14">
        <v>6</v>
      </c>
      <c r="AC39" s="9"/>
      <c r="AD39" s="16"/>
      <c r="AE39" s="10"/>
      <c r="AF39" s="10"/>
      <c r="AG39" s="10"/>
      <c r="AH39" s="11"/>
      <c r="AI39" s="12"/>
      <c r="AJ39" s="17"/>
      <c r="AK39" s="13"/>
      <c r="AL39" s="13"/>
      <c r="AM39" s="13"/>
      <c r="AN39" s="14"/>
      <c r="AO39" s="9"/>
      <c r="AP39" s="16"/>
      <c r="AQ39" s="10"/>
      <c r="AR39" s="10"/>
      <c r="AS39" s="10"/>
      <c r="AT39" s="11"/>
      <c r="AU39" s="12"/>
      <c r="AV39" s="17"/>
      <c r="AW39" s="13"/>
      <c r="AX39" s="13"/>
      <c r="AY39" s="13"/>
      <c r="AZ39" s="14"/>
      <c r="BA39" s="9"/>
      <c r="BB39" s="16"/>
      <c r="BC39" s="10"/>
      <c r="BD39" s="10"/>
      <c r="BE39" s="10"/>
      <c r="BF39" s="11"/>
      <c r="BG39" s="12"/>
      <c r="BH39" s="17"/>
      <c r="BI39" s="13"/>
      <c r="BJ39" s="13"/>
      <c r="BK39" s="13"/>
      <c r="BL39" s="14"/>
      <c r="BM39" s="8">
        <f t="shared" si="9"/>
        <v>20</v>
      </c>
      <c r="BN39" s="8">
        <f t="shared" si="10"/>
        <v>0</v>
      </c>
      <c r="BO39" s="8">
        <f t="shared" si="11"/>
        <v>14</v>
      </c>
      <c r="BP39" s="8">
        <f t="shared" si="12"/>
        <v>12</v>
      </c>
      <c r="BQ39" s="8">
        <f t="shared" si="13"/>
        <v>20</v>
      </c>
      <c r="BR39" s="8">
        <f t="shared" si="14"/>
        <v>0</v>
      </c>
      <c r="BS39" s="15">
        <f t="shared" si="15"/>
        <v>2.8474915276432342</v>
      </c>
      <c r="BT39" s="15" t="str">
        <f t="shared" si="16"/>
        <v>OK - No Upgrade</v>
      </c>
      <c r="BU39" s="15" t="str">
        <f t="shared" si="17"/>
        <v>Need to Balance</v>
      </c>
    </row>
    <row r="40" spans="1:73" ht="15.75" customHeight="1" x14ac:dyDescent="0.25">
      <c r="A40" s="8" t="s">
        <v>38</v>
      </c>
      <c r="B40" s="8" t="s">
        <v>658</v>
      </c>
      <c r="C40" s="8" t="s">
        <v>536</v>
      </c>
      <c r="D40" s="8" t="s">
        <v>765</v>
      </c>
      <c r="E40" s="8" t="s">
        <v>766</v>
      </c>
      <c r="F40" s="8" t="s">
        <v>56</v>
      </c>
      <c r="G40" s="8"/>
      <c r="H40" s="8">
        <v>1000</v>
      </c>
      <c r="I40" s="8" t="s">
        <v>767</v>
      </c>
      <c r="J40" s="8">
        <v>1</v>
      </c>
      <c r="K40" s="8">
        <v>247</v>
      </c>
      <c r="L40" s="8">
        <v>247</v>
      </c>
      <c r="M40" s="8">
        <v>249</v>
      </c>
      <c r="N40" s="8">
        <v>426</v>
      </c>
      <c r="O40" s="8">
        <v>433</v>
      </c>
      <c r="P40" s="8">
        <v>431</v>
      </c>
      <c r="Q40" s="9" t="s">
        <v>92</v>
      </c>
      <c r="R40" s="16"/>
      <c r="S40" s="10">
        <v>180</v>
      </c>
      <c r="T40" s="10">
        <v>144</v>
      </c>
      <c r="U40" s="10">
        <v>95</v>
      </c>
      <c r="V40" s="11">
        <v>128</v>
      </c>
      <c r="W40" s="12"/>
      <c r="X40" s="17"/>
      <c r="Y40" s="13"/>
      <c r="Z40" s="13"/>
      <c r="AA40" s="13"/>
      <c r="AB40" s="14"/>
      <c r="AC40" s="9"/>
      <c r="AD40" s="16"/>
      <c r="AE40" s="10"/>
      <c r="AF40" s="10"/>
      <c r="AG40" s="10"/>
      <c r="AH40" s="11"/>
      <c r="AI40" s="12"/>
      <c r="AJ40" s="17"/>
      <c r="AK40" s="13"/>
      <c r="AL40" s="13"/>
      <c r="AM40" s="13"/>
      <c r="AN40" s="14"/>
      <c r="AO40" s="9"/>
      <c r="AP40" s="16"/>
      <c r="AQ40" s="10"/>
      <c r="AR40" s="10"/>
      <c r="AS40" s="10"/>
      <c r="AT40" s="11"/>
      <c r="AU40" s="12"/>
      <c r="AV40" s="17"/>
      <c r="AW40" s="13"/>
      <c r="AX40" s="13"/>
      <c r="AY40" s="13"/>
      <c r="AZ40" s="14"/>
      <c r="BA40" s="9"/>
      <c r="BB40" s="16"/>
      <c r="BC40" s="10"/>
      <c r="BD40" s="10"/>
      <c r="BE40" s="10"/>
      <c r="BF40" s="11"/>
      <c r="BG40" s="12"/>
      <c r="BH40" s="17"/>
      <c r="BI40" s="13"/>
      <c r="BJ40" s="13"/>
      <c r="BK40" s="13"/>
      <c r="BL40" s="14"/>
      <c r="BM40" s="8">
        <f t="shared" si="9"/>
        <v>180</v>
      </c>
      <c r="BN40" s="8">
        <f t="shared" si="10"/>
        <v>144</v>
      </c>
      <c r="BO40" s="8">
        <f t="shared" si="11"/>
        <v>95</v>
      </c>
      <c r="BP40" s="8">
        <f t="shared" si="12"/>
        <v>128</v>
      </c>
      <c r="BQ40" s="8">
        <f t="shared" si="13"/>
        <v>180</v>
      </c>
      <c r="BR40" s="8">
        <f t="shared" si="14"/>
        <v>95</v>
      </c>
      <c r="BS40" s="15">
        <f t="shared" si="15"/>
        <v>13.281365592438151</v>
      </c>
      <c r="BT40" s="15" t="str">
        <f t="shared" si="16"/>
        <v>OK - No Upgrade</v>
      </c>
      <c r="BU40" s="15" t="str">
        <f t="shared" si="17"/>
        <v>Need to Balance</v>
      </c>
    </row>
    <row r="41" spans="1:73" ht="15.75" customHeight="1" x14ac:dyDescent="0.25">
      <c r="A41" s="8" t="s">
        <v>38</v>
      </c>
      <c r="B41" s="8" t="s">
        <v>658</v>
      </c>
      <c r="C41" s="8" t="s">
        <v>536</v>
      </c>
      <c r="D41" s="8" t="s">
        <v>768</v>
      </c>
      <c r="E41" s="8" t="s">
        <v>769</v>
      </c>
      <c r="F41" s="8" t="s">
        <v>56</v>
      </c>
      <c r="G41" s="8"/>
      <c r="H41" s="8">
        <v>1000</v>
      </c>
      <c r="I41" s="8" t="s">
        <v>770</v>
      </c>
      <c r="J41" s="8">
        <v>1</v>
      </c>
      <c r="K41" s="8">
        <v>247</v>
      </c>
      <c r="L41" s="8">
        <v>248</v>
      </c>
      <c r="M41" s="8">
        <v>250</v>
      </c>
      <c r="N41" s="8">
        <v>430</v>
      </c>
      <c r="O41" s="8">
        <v>434</v>
      </c>
      <c r="P41" s="8">
        <v>434</v>
      </c>
      <c r="Q41" s="9" t="s">
        <v>70</v>
      </c>
      <c r="R41" s="16"/>
      <c r="S41" s="10">
        <v>38</v>
      </c>
      <c r="T41" s="10">
        <v>28</v>
      </c>
      <c r="U41" s="10">
        <v>38</v>
      </c>
      <c r="V41" s="11">
        <v>5</v>
      </c>
      <c r="W41" s="12" t="s">
        <v>47</v>
      </c>
      <c r="X41" s="17"/>
      <c r="Y41" s="13">
        <v>93</v>
      </c>
      <c r="Z41" s="13">
        <v>94</v>
      </c>
      <c r="AA41" s="13">
        <v>42</v>
      </c>
      <c r="AB41" s="14">
        <v>16</v>
      </c>
      <c r="AC41" s="9" t="s">
        <v>47</v>
      </c>
      <c r="AD41" s="16"/>
      <c r="AE41" s="10">
        <v>67</v>
      </c>
      <c r="AF41" s="10">
        <v>36</v>
      </c>
      <c r="AG41" s="10">
        <v>38</v>
      </c>
      <c r="AH41" s="11">
        <v>13</v>
      </c>
      <c r="AI41" s="12" t="s">
        <v>47</v>
      </c>
      <c r="AJ41" s="17"/>
      <c r="AK41" s="13">
        <v>129</v>
      </c>
      <c r="AL41" s="13">
        <v>56</v>
      </c>
      <c r="AM41" s="13">
        <v>78</v>
      </c>
      <c r="AN41" s="14">
        <v>72</v>
      </c>
      <c r="AO41" s="9" t="s">
        <v>47</v>
      </c>
      <c r="AP41" s="16"/>
      <c r="AQ41" s="10">
        <v>105</v>
      </c>
      <c r="AR41" s="10">
        <v>63</v>
      </c>
      <c r="AS41" s="10">
        <v>89</v>
      </c>
      <c r="AT41" s="11">
        <v>48</v>
      </c>
      <c r="AU41" s="12" t="s">
        <v>47</v>
      </c>
      <c r="AV41" s="17"/>
      <c r="AW41" s="13">
        <v>0</v>
      </c>
      <c r="AX41" s="13">
        <v>0</v>
      </c>
      <c r="AY41" s="13">
        <v>0</v>
      </c>
      <c r="AZ41" s="14">
        <v>0</v>
      </c>
      <c r="BA41" s="9" t="s">
        <v>47</v>
      </c>
      <c r="BB41" s="16"/>
      <c r="BC41" s="10">
        <v>95</v>
      </c>
      <c r="BD41" s="10">
        <v>68</v>
      </c>
      <c r="BE41" s="10">
        <v>76</v>
      </c>
      <c r="BF41" s="11">
        <v>23</v>
      </c>
      <c r="BG41" s="12"/>
      <c r="BH41" s="17"/>
      <c r="BI41" s="13"/>
      <c r="BJ41" s="13"/>
      <c r="BK41" s="13"/>
      <c r="BL41" s="14"/>
      <c r="BM41" s="8">
        <f t="shared" si="9"/>
        <v>527</v>
      </c>
      <c r="BN41" s="8">
        <f t="shared" si="10"/>
        <v>345</v>
      </c>
      <c r="BO41" s="8">
        <f t="shared" si="11"/>
        <v>361</v>
      </c>
      <c r="BP41" s="8">
        <f t="shared" si="12"/>
        <v>177</v>
      </c>
      <c r="BQ41" s="8">
        <f t="shared" si="13"/>
        <v>527</v>
      </c>
      <c r="BR41" s="8">
        <f t="shared" si="14"/>
        <v>345</v>
      </c>
      <c r="BS41" s="15">
        <f t="shared" si="15"/>
        <v>39.25000335031833</v>
      </c>
      <c r="BT41" s="15" t="str">
        <f t="shared" si="16"/>
        <v>OK - No Upgrade</v>
      </c>
      <c r="BU41" s="15" t="str">
        <f t="shared" si="17"/>
        <v>Need to Balance</v>
      </c>
    </row>
    <row r="42" spans="1:73" ht="15.75" customHeight="1" x14ac:dyDescent="0.25">
      <c r="A42" s="8" t="s">
        <v>38</v>
      </c>
      <c r="B42" s="8" t="s">
        <v>658</v>
      </c>
      <c r="C42" s="8" t="s">
        <v>573</v>
      </c>
      <c r="D42" s="8" t="s">
        <v>771</v>
      </c>
      <c r="E42" s="8" t="s">
        <v>772</v>
      </c>
      <c r="F42" s="8" t="s">
        <v>43</v>
      </c>
      <c r="G42" s="8"/>
      <c r="H42" s="8">
        <v>100</v>
      </c>
      <c r="I42" s="8" t="s">
        <v>773</v>
      </c>
      <c r="J42" s="8">
        <v>1</v>
      </c>
      <c r="K42" s="8">
        <v>245</v>
      </c>
      <c r="L42" s="8">
        <v>246</v>
      </c>
      <c r="M42" s="8">
        <v>248</v>
      </c>
      <c r="N42" s="8">
        <v>425</v>
      </c>
      <c r="O42" s="8">
        <v>429</v>
      </c>
      <c r="P42" s="8">
        <v>428</v>
      </c>
      <c r="Q42" s="9" t="s">
        <v>46</v>
      </c>
      <c r="R42" s="16"/>
      <c r="S42" s="10">
        <v>14</v>
      </c>
      <c r="T42" s="10">
        <v>1</v>
      </c>
      <c r="U42" s="10">
        <v>5</v>
      </c>
      <c r="V42" s="11">
        <v>10</v>
      </c>
      <c r="W42" s="12"/>
      <c r="X42" s="17"/>
      <c r="Y42" s="13"/>
      <c r="Z42" s="13"/>
      <c r="AA42" s="13"/>
      <c r="AB42" s="14"/>
      <c r="AC42" s="9"/>
      <c r="AD42" s="16"/>
      <c r="AE42" s="10"/>
      <c r="AF42" s="10"/>
      <c r="AG42" s="10"/>
      <c r="AH42" s="11"/>
      <c r="AI42" s="12"/>
      <c r="AJ42" s="17"/>
      <c r="AK42" s="13"/>
      <c r="AL42" s="13"/>
      <c r="AM42" s="13"/>
      <c r="AN42" s="14"/>
      <c r="AO42" s="9"/>
      <c r="AP42" s="16"/>
      <c r="AQ42" s="10"/>
      <c r="AR42" s="10"/>
      <c r="AS42" s="10"/>
      <c r="AT42" s="11"/>
      <c r="AU42" s="12"/>
      <c r="AV42" s="17"/>
      <c r="AW42" s="13"/>
      <c r="AX42" s="13"/>
      <c r="AY42" s="13"/>
      <c r="AZ42" s="14"/>
      <c r="BA42" s="9"/>
      <c r="BB42" s="16"/>
      <c r="BC42" s="10"/>
      <c r="BD42" s="10"/>
      <c r="BE42" s="10"/>
      <c r="BF42" s="11"/>
      <c r="BG42" s="12"/>
      <c r="BH42" s="17"/>
      <c r="BI42" s="13"/>
      <c r="BJ42" s="13"/>
      <c r="BK42" s="13"/>
      <c r="BL42" s="14"/>
      <c r="BM42" s="8">
        <f t="shared" si="9"/>
        <v>14</v>
      </c>
      <c r="BN42" s="8">
        <f t="shared" si="10"/>
        <v>1</v>
      </c>
      <c r="BO42" s="8">
        <f t="shared" si="11"/>
        <v>5</v>
      </c>
      <c r="BP42" s="8">
        <f t="shared" si="12"/>
        <v>10</v>
      </c>
      <c r="BQ42" s="8">
        <f t="shared" si="13"/>
        <v>14</v>
      </c>
      <c r="BR42" s="8">
        <f t="shared" si="14"/>
        <v>1</v>
      </c>
      <c r="BS42" s="15">
        <f t="shared" si="15"/>
        <v>10.305702305034819</v>
      </c>
      <c r="BT42" s="15" t="str">
        <f t="shared" si="16"/>
        <v>OK - No Upgrade</v>
      </c>
      <c r="BU42" s="15" t="str">
        <f t="shared" si="17"/>
        <v>Need to Balance</v>
      </c>
    </row>
    <row r="43" spans="1:73" ht="15.75" customHeight="1" x14ac:dyDescent="0.25">
      <c r="A43" s="8" t="s">
        <v>38</v>
      </c>
      <c r="B43" s="8" t="s">
        <v>658</v>
      </c>
      <c r="C43" s="8" t="s">
        <v>573</v>
      </c>
      <c r="D43" s="8" t="s">
        <v>774</v>
      </c>
      <c r="E43" s="8" t="s">
        <v>775</v>
      </c>
      <c r="F43" s="8" t="s">
        <v>43</v>
      </c>
      <c r="G43" s="8"/>
      <c r="H43" s="8">
        <v>100</v>
      </c>
      <c r="I43" s="8" t="s">
        <v>776</v>
      </c>
      <c r="J43" s="8">
        <v>1</v>
      </c>
      <c r="K43" s="8">
        <v>259</v>
      </c>
      <c r="L43" s="8">
        <v>258</v>
      </c>
      <c r="M43" s="8">
        <v>257</v>
      </c>
      <c r="N43" s="8">
        <v>451</v>
      </c>
      <c r="O43" s="8">
        <v>442</v>
      </c>
      <c r="P43" s="8">
        <v>432</v>
      </c>
      <c r="Q43" s="9" t="s">
        <v>47</v>
      </c>
      <c r="R43" s="16"/>
      <c r="S43" s="10">
        <v>22</v>
      </c>
      <c r="T43" s="10">
        <v>9</v>
      </c>
      <c r="U43" s="10">
        <v>12</v>
      </c>
      <c r="V43" s="11">
        <v>10</v>
      </c>
      <c r="W43" s="12"/>
      <c r="X43" s="17"/>
      <c r="Y43" s="13"/>
      <c r="Z43" s="13"/>
      <c r="AA43" s="13"/>
      <c r="AB43" s="14"/>
      <c r="AC43" s="9"/>
      <c r="AD43" s="16"/>
      <c r="AE43" s="10"/>
      <c r="AF43" s="10"/>
      <c r="AG43" s="10"/>
      <c r="AH43" s="11"/>
      <c r="AI43" s="12"/>
      <c r="AJ43" s="17"/>
      <c r="AK43" s="13"/>
      <c r="AL43" s="13"/>
      <c r="AM43" s="13"/>
      <c r="AN43" s="14"/>
      <c r="AO43" s="9"/>
      <c r="AP43" s="16"/>
      <c r="AQ43" s="10"/>
      <c r="AR43" s="10"/>
      <c r="AS43" s="10"/>
      <c r="AT43" s="11"/>
      <c r="AU43" s="12"/>
      <c r="AV43" s="17"/>
      <c r="AW43" s="13"/>
      <c r="AX43" s="13"/>
      <c r="AY43" s="13"/>
      <c r="AZ43" s="14"/>
      <c r="BA43" s="9"/>
      <c r="BB43" s="16"/>
      <c r="BC43" s="10"/>
      <c r="BD43" s="10"/>
      <c r="BE43" s="10"/>
      <c r="BF43" s="11"/>
      <c r="BG43" s="12"/>
      <c r="BH43" s="17"/>
      <c r="BI43" s="13"/>
      <c r="BJ43" s="13"/>
      <c r="BK43" s="13"/>
      <c r="BL43" s="14"/>
      <c r="BM43" s="8">
        <f t="shared" si="9"/>
        <v>22</v>
      </c>
      <c r="BN43" s="8">
        <f t="shared" si="10"/>
        <v>9</v>
      </c>
      <c r="BO43" s="8">
        <f t="shared" si="11"/>
        <v>12</v>
      </c>
      <c r="BP43" s="8">
        <f t="shared" si="12"/>
        <v>10</v>
      </c>
      <c r="BQ43" s="8">
        <f t="shared" si="13"/>
        <v>22</v>
      </c>
      <c r="BR43" s="8">
        <f t="shared" si="14"/>
        <v>9</v>
      </c>
      <c r="BS43" s="15">
        <f t="shared" si="15"/>
        <v>17.185408112698397</v>
      </c>
      <c r="BT43" s="15" t="str">
        <f t="shared" si="16"/>
        <v>OK - No Upgrade</v>
      </c>
      <c r="BU43" s="15" t="str">
        <f t="shared" si="17"/>
        <v>Need to Balance</v>
      </c>
    </row>
    <row r="44" spans="1:73" ht="15.75" customHeight="1" x14ac:dyDescent="0.25">
      <c r="A44" s="8" t="s">
        <v>38</v>
      </c>
      <c r="B44" s="8" t="s">
        <v>658</v>
      </c>
      <c r="C44" s="8" t="s">
        <v>573</v>
      </c>
      <c r="D44" s="8" t="s">
        <v>774</v>
      </c>
      <c r="E44" s="8" t="s">
        <v>777</v>
      </c>
      <c r="F44" s="8" t="s">
        <v>43</v>
      </c>
      <c r="G44" s="8"/>
      <c r="H44" s="8">
        <v>100</v>
      </c>
      <c r="I44" s="8"/>
      <c r="J44" s="8">
        <v>1</v>
      </c>
      <c r="K44" s="8"/>
      <c r="L44" s="8"/>
      <c r="M44" s="8"/>
      <c r="N44" s="8"/>
      <c r="O44" s="8"/>
      <c r="P44" s="8"/>
      <c r="Q44" s="9"/>
      <c r="R44" s="16"/>
      <c r="S44" s="10"/>
      <c r="T44" s="10"/>
      <c r="U44" s="10"/>
      <c r="V44" s="11"/>
      <c r="W44" s="12"/>
      <c r="X44" s="17"/>
      <c r="Y44" s="13"/>
      <c r="Z44" s="13"/>
      <c r="AA44" s="13"/>
      <c r="AB44" s="14"/>
      <c r="AC44" s="9"/>
      <c r="AD44" s="16"/>
      <c r="AE44" s="10"/>
      <c r="AF44" s="10"/>
      <c r="AG44" s="10"/>
      <c r="AH44" s="11"/>
      <c r="AI44" s="12"/>
      <c r="AJ44" s="17"/>
      <c r="AK44" s="13"/>
      <c r="AL44" s="13"/>
      <c r="AM44" s="13"/>
      <c r="AN44" s="14"/>
      <c r="AO44" s="9"/>
      <c r="AP44" s="16"/>
      <c r="AQ44" s="10"/>
      <c r="AR44" s="10"/>
      <c r="AS44" s="10"/>
      <c r="AT44" s="11"/>
      <c r="AU44" s="12"/>
      <c r="AV44" s="17"/>
      <c r="AW44" s="13"/>
      <c r="AX44" s="13"/>
      <c r="AY44" s="13"/>
      <c r="AZ44" s="14"/>
      <c r="BA44" s="9"/>
      <c r="BB44" s="16"/>
      <c r="BC44" s="10"/>
      <c r="BD44" s="10"/>
      <c r="BE44" s="10"/>
      <c r="BF44" s="11"/>
      <c r="BG44" s="12"/>
      <c r="BH44" s="17"/>
      <c r="BI44" s="13"/>
      <c r="BJ44" s="13"/>
      <c r="BK44" s="13"/>
      <c r="BL44" s="14"/>
      <c r="BM44" s="8">
        <f t="shared" si="9"/>
        <v>0</v>
      </c>
      <c r="BN44" s="8">
        <f t="shared" si="10"/>
        <v>0</v>
      </c>
      <c r="BO44" s="8">
        <f t="shared" si="11"/>
        <v>0</v>
      </c>
      <c r="BP44" s="8">
        <f t="shared" si="12"/>
        <v>0</v>
      </c>
      <c r="BQ44" s="8">
        <f t="shared" si="13"/>
        <v>0</v>
      </c>
      <c r="BR44" s="8">
        <f t="shared" si="14"/>
        <v>0</v>
      </c>
      <c r="BS44" s="15">
        <f t="shared" si="15"/>
        <v>0</v>
      </c>
      <c r="BT44" s="15" t="str">
        <f t="shared" si="16"/>
        <v>OK - No Upgrade</v>
      </c>
      <c r="BU44" s="15" t="str">
        <f t="shared" si="17"/>
        <v>OK - Balanced</v>
      </c>
    </row>
    <row r="45" spans="1:73" ht="15.75" customHeight="1" x14ac:dyDescent="0.25">
      <c r="A45" s="8" t="s">
        <v>38</v>
      </c>
      <c r="B45" s="8" t="s">
        <v>658</v>
      </c>
      <c r="C45" s="8" t="s">
        <v>573</v>
      </c>
      <c r="D45" s="8" t="s">
        <v>778</v>
      </c>
      <c r="E45" s="8" t="s">
        <v>779</v>
      </c>
      <c r="F45" s="8" t="s">
        <v>56</v>
      </c>
      <c r="G45" s="8"/>
      <c r="H45" s="8">
        <v>1000</v>
      </c>
      <c r="I45" s="8" t="s">
        <v>780</v>
      </c>
      <c r="J45" s="8">
        <v>1</v>
      </c>
      <c r="K45" s="8">
        <v>244</v>
      </c>
      <c r="L45" s="8">
        <v>245</v>
      </c>
      <c r="M45" s="8">
        <v>245</v>
      </c>
      <c r="N45" s="8">
        <v>415</v>
      </c>
      <c r="O45" s="8">
        <v>422</v>
      </c>
      <c r="P45" s="8">
        <v>422</v>
      </c>
      <c r="Q45" s="9" t="s">
        <v>46</v>
      </c>
      <c r="R45" s="16"/>
      <c r="S45" s="10">
        <v>25</v>
      </c>
      <c r="T45" s="10">
        <v>0</v>
      </c>
      <c r="U45" s="10">
        <v>130</v>
      </c>
      <c r="V45" s="11">
        <v>24</v>
      </c>
      <c r="W45" s="12" t="s">
        <v>46</v>
      </c>
      <c r="X45" s="17"/>
      <c r="Y45" s="13">
        <v>0</v>
      </c>
      <c r="Z45" s="13">
        <v>0</v>
      </c>
      <c r="AA45" s="13">
        <v>0</v>
      </c>
      <c r="AB45" s="14">
        <v>0</v>
      </c>
      <c r="AC45" s="9" t="s">
        <v>46</v>
      </c>
      <c r="AD45" s="16"/>
      <c r="AE45" s="10">
        <v>0</v>
      </c>
      <c r="AF45" s="10">
        <v>0</v>
      </c>
      <c r="AG45" s="10">
        <v>0</v>
      </c>
      <c r="AH45" s="11">
        <v>0</v>
      </c>
      <c r="AI45" s="12" t="s">
        <v>132</v>
      </c>
      <c r="AJ45" s="17"/>
      <c r="AK45" s="13">
        <v>40</v>
      </c>
      <c r="AL45" s="13">
        <v>33</v>
      </c>
      <c r="AM45" s="13">
        <v>36</v>
      </c>
      <c r="AN45" s="14">
        <v>8</v>
      </c>
      <c r="AO45" s="9"/>
      <c r="AP45" s="16"/>
      <c r="AQ45" s="10"/>
      <c r="AR45" s="10"/>
      <c r="AS45" s="10"/>
      <c r="AT45" s="11"/>
      <c r="AU45" s="12"/>
      <c r="AV45" s="17"/>
      <c r="AW45" s="13"/>
      <c r="AX45" s="13"/>
      <c r="AY45" s="13"/>
      <c r="AZ45" s="14"/>
      <c r="BA45" s="9"/>
      <c r="BB45" s="16"/>
      <c r="BC45" s="10"/>
      <c r="BD45" s="10"/>
      <c r="BE45" s="10"/>
      <c r="BF45" s="11"/>
      <c r="BG45" s="12"/>
      <c r="BH45" s="17"/>
      <c r="BI45" s="13"/>
      <c r="BJ45" s="13"/>
      <c r="BK45" s="13"/>
      <c r="BL45" s="14"/>
      <c r="BM45" s="8">
        <f t="shared" si="9"/>
        <v>65</v>
      </c>
      <c r="BN45" s="8">
        <f t="shared" si="10"/>
        <v>33</v>
      </c>
      <c r="BO45" s="8">
        <f t="shared" si="11"/>
        <v>166</v>
      </c>
      <c r="BP45" s="8">
        <f t="shared" si="12"/>
        <v>32</v>
      </c>
      <c r="BQ45" s="8">
        <f t="shared" si="13"/>
        <v>166</v>
      </c>
      <c r="BR45" s="8">
        <f t="shared" si="14"/>
        <v>33</v>
      </c>
      <c r="BS45" s="15">
        <f t="shared" si="15"/>
        <v>11.932098013341994</v>
      </c>
      <c r="BT45" s="15" t="str">
        <f t="shared" si="16"/>
        <v>OK - No Upgrade</v>
      </c>
      <c r="BU45" s="15" t="str">
        <f t="shared" si="17"/>
        <v>Need to Balance</v>
      </c>
    </row>
    <row r="46" spans="1:73" ht="15.75" customHeight="1" x14ac:dyDescent="0.25">
      <c r="A46" s="8" t="s">
        <v>38</v>
      </c>
      <c r="B46" s="8" t="s">
        <v>658</v>
      </c>
      <c r="C46" s="8" t="s">
        <v>573</v>
      </c>
      <c r="D46" s="8" t="s">
        <v>781</v>
      </c>
      <c r="E46" s="8" t="s">
        <v>782</v>
      </c>
      <c r="F46" s="8" t="s">
        <v>56</v>
      </c>
      <c r="G46" s="8"/>
      <c r="H46" s="8">
        <v>1000</v>
      </c>
      <c r="I46" s="8" t="s">
        <v>783</v>
      </c>
      <c r="J46" s="8">
        <v>1</v>
      </c>
      <c r="K46" s="8">
        <v>231</v>
      </c>
      <c r="L46" s="8">
        <v>244</v>
      </c>
      <c r="M46" s="8">
        <v>215</v>
      </c>
      <c r="N46" s="8">
        <v>422</v>
      </c>
      <c r="O46" s="8">
        <v>416</v>
      </c>
      <c r="P46" s="8">
        <v>427</v>
      </c>
      <c r="Q46" s="9" t="s">
        <v>70</v>
      </c>
      <c r="R46" s="16"/>
      <c r="S46" s="10">
        <v>43</v>
      </c>
      <c r="T46" s="10">
        <v>25</v>
      </c>
      <c r="U46" s="10">
        <v>46</v>
      </c>
      <c r="V46" s="11">
        <v>25</v>
      </c>
      <c r="W46" s="12" t="s">
        <v>70</v>
      </c>
      <c r="X46" s="17"/>
      <c r="Y46" s="13">
        <v>55</v>
      </c>
      <c r="Z46" s="13">
        <v>62</v>
      </c>
      <c r="AA46" s="13">
        <v>36</v>
      </c>
      <c r="AB46" s="14">
        <v>49</v>
      </c>
      <c r="AC46" s="9" t="s">
        <v>46</v>
      </c>
      <c r="AD46" s="16"/>
      <c r="AE46" s="10">
        <v>0</v>
      </c>
      <c r="AF46" s="10">
        <v>0</v>
      </c>
      <c r="AG46" s="10">
        <v>0</v>
      </c>
      <c r="AH46" s="11">
        <v>0</v>
      </c>
      <c r="AI46" s="12"/>
      <c r="AJ46" s="17"/>
      <c r="AK46" s="13"/>
      <c r="AL46" s="13"/>
      <c r="AM46" s="13"/>
      <c r="AN46" s="14"/>
      <c r="AO46" s="9"/>
      <c r="AP46" s="16"/>
      <c r="AQ46" s="10"/>
      <c r="AR46" s="10"/>
      <c r="AS46" s="10"/>
      <c r="AT46" s="11"/>
      <c r="AU46" s="12"/>
      <c r="AV46" s="17"/>
      <c r="AW46" s="13"/>
      <c r="AX46" s="13"/>
      <c r="AY46" s="13"/>
      <c r="AZ46" s="14"/>
      <c r="BA46" s="9"/>
      <c r="BB46" s="16"/>
      <c r="BC46" s="10"/>
      <c r="BD46" s="10"/>
      <c r="BE46" s="10"/>
      <c r="BF46" s="11"/>
      <c r="BG46" s="12"/>
      <c r="BH46" s="17"/>
      <c r="BI46" s="13"/>
      <c r="BJ46" s="13"/>
      <c r="BK46" s="13"/>
      <c r="BL46" s="14"/>
      <c r="BM46" s="8">
        <f t="shared" si="9"/>
        <v>98</v>
      </c>
      <c r="BN46" s="8">
        <f t="shared" si="10"/>
        <v>87</v>
      </c>
      <c r="BO46" s="8">
        <f t="shared" si="11"/>
        <v>82</v>
      </c>
      <c r="BP46" s="8">
        <f t="shared" si="12"/>
        <v>74</v>
      </c>
      <c r="BQ46" s="8">
        <f t="shared" si="13"/>
        <v>98</v>
      </c>
      <c r="BR46" s="8">
        <f t="shared" si="14"/>
        <v>82</v>
      </c>
      <c r="BS46" s="15">
        <f t="shared" si="15"/>
        <v>7.1630693197818491</v>
      </c>
      <c r="BT46" s="15" t="str">
        <f t="shared" si="16"/>
        <v>OK - No Upgrade</v>
      </c>
      <c r="BU46" s="15" t="str">
        <f t="shared" si="17"/>
        <v>Need to Balance</v>
      </c>
    </row>
    <row r="47" spans="1:73" ht="15.75" customHeight="1" x14ac:dyDescent="0.25">
      <c r="A47" s="8" t="s">
        <v>38</v>
      </c>
      <c r="B47" s="8" t="s">
        <v>658</v>
      </c>
      <c r="C47" s="8" t="s">
        <v>573</v>
      </c>
      <c r="D47" s="8" t="s">
        <v>784</v>
      </c>
      <c r="E47" s="8" t="s">
        <v>785</v>
      </c>
      <c r="F47" s="8" t="s">
        <v>56</v>
      </c>
      <c r="G47" s="8"/>
      <c r="H47" s="8">
        <v>1000</v>
      </c>
      <c r="I47" s="8" t="s">
        <v>786</v>
      </c>
      <c r="J47" s="8">
        <v>1</v>
      </c>
      <c r="K47" s="8">
        <v>245</v>
      </c>
      <c r="L47" s="8">
        <v>245</v>
      </c>
      <c r="M47" s="8">
        <v>246</v>
      </c>
      <c r="N47" s="8">
        <v>425</v>
      </c>
      <c r="O47" s="8">
        <v>419</v>
      </c>
      <c r="P47" s="8">
        <v>428</v>
      </c>
      <c r="Q47" s="9" t="s">
        <v>46</v>
      </c>
      <c r="R47" s="16"/>
      <c r="S47" s="10">
        <v>117</v>
      </c>
      <c r="T47" s="10">
        <v>61</v>
      </c>
      <c r="U47" s="10">
        <v>69</v>
      </c>
      <c r="V47" s="11">
        <v>39</v>
      </c>
      <c r="W47" s="12" t="s">
        <v>46</v>
      </c>
      <c r="X47" s="17"/>
      <c r="Y47" s="13">
        <v>54</v>
      </c>
      <c r="Z47" s="13">
        <v>17</v>
      </c>
      <c r="AA47" s="13">
        <v>73</v>
      </c>
      <c r="AB47" s="14">
        <v>40</v>
      </c>
      <c r="AC47" s="9" t="s">
        <v>46</v>
      </c>
      <c r="AD47" s="16"/>
      <c r="AE47" s="10">
        <v>82</v>
      </c>
      <c r="AF47" s="10">
        <v>54</v>
      </c>
      <c r="AG47" s="10">
        <v>109</v>
      </c>
      <c r="AH47" s="11">
        <v>57</v>
      </c>
      <c r="AI47" s="12" t="s">
        <v>46</v>
      </c>
      <c r="AJ47" s="17"/>
      <c r="AK47" s="13">
        <v>69</v>
      </c>
      <c r="AL47" s="13">
        <v>111</v>
      </c>
      <c r="AM47" s="13">
        <v>58</v>
      </c>
      <c r="AN47" s="14">
        <v>44</v>
      </c>
      <c r="AO47" s="9"/>
      <c r="AP47" s="16"/>
      <c r="AQ47" s="10"/>
      <c r="AR47" s="10"/>
      <c r="AS47" s="10"/>
      <c r="AT47" s="11"/>
      <c r="AU47" s="12"/>
      <c r="AV47" s="17"/>
      <c r="AW47" s="13"/>
      <c r="AX47" s="13"/>
      <c r="AY47" s="13"/>
      <c r="AZ47" s="14"/>
      <c r="BA47" s="9"/>
      <c r="BB47" s="16"/>
      <c r="BC47" s="10"/>
      <c r="BD47" s="10"/>
      <c r="BE47" s="10"/>
      <c r="BF47" s="11"/>
      <c r="BG47" s="12"/>
      <c r="BH47" s="17"/>
      <c r="BI47" s="13"/>
      <c r="BJ47" s="13"/>
      <c r="BK47" s="13"/>
      <c r="BL47" s="14"/>
      <c r="BM47" s="8">
        <f t="shared" si="9"/>
        <v>322</v>
      </c>
      <c r="BN47" s="8">
        <f t="shared" si="10"/>
        <v>243</v>
      </c>
      <c r="BO47" s="8">
        <f t="shared" si="11"/>
        <v>309</v>
      </c>
      <c r="BP47" s="8">
        <f t="shared" si="12"/>
        <v>180</v>
      </c>
      <c r="BQ47" s="8">
        <f t="shared" si="13"/>
        <v>322</v>
      </c>
      <c r="BR47" s="8">
        <f t="shared" si="14"/>
        <v>243</v>
      </c>
      <c r="BS47" s="15">
        <f t="shared" si="15"/>
        <v>23.703115301580084</v>
      </c>
      <c r="BT47" s="15" t="str">
        <f t="shared" si="16"/>
        <v>OK - No Upgrade</v>
      </c>
      <c r="BU47" s="15" t="str">
        <f t="shared" si="17"/>
        <v>Need to Balance</v>
      </c>
    </row>
    <row r="48" spans="1:73" ht="15.75" customHeight="1" x14ac:dyDescent="0.25">
      <c r="A48" s="8" t="s">
        <v>38</v>
      </c>
      <c r="B48" s="8" t="s">
        <v>658</v>
      </c>
      <c r="C48" s="8" t="s">
        <v>573</v>
      </c>
      <c r="D48" s="8" t="s">
        <v>787</v>
      </c>
      <c r="E48" s="8" t="s">
        <v>788</v>
      </c>
      <c r="F48" s="8" t="s">
        <v>56</v>
      </c>
      <c r="G48" s="8"/>
      <c r="H48" s="8">
        <v>1000</v>
      </c>
      <c r="I48" s="8" t="s">
        <v>789</v>
      </c>
      <c r="J48" s="8">
        <v>1</v>
      </c>
      <c r="K48" s="8">
        <v>233</v>
      </c>
      <c r="L48" s="8">
        <v>233</v>
      </c>
      <c r="M48" s="8">
        <v>235</v>
      </c>
      <c r="N48" s="8">
        <v>404</v>
      </c>
      <c r="O48" s="8">
        <v>407</v>
      </c>
      <c r="P48" s="8">
        <v>404</v>
      </c>
      <c r="Q48" s="9" t="s">
        <v>47</v>
      </c>
      <c r="R48" s="16"/>
      <c r="S48" s="10">
        <v>34</v>
      </c>
      <c r="T48" s="10">
        <v>30</v>
      </c>
      <c r="U48" s="10">
        <v>6</v>
      </c>
      <c r="V48" s="11">
        <v>6</v>
      </c>
      <c r="W48" s="12" t="s">
        <v>47</v>
      </c>
      <c r="X48" s="17"/>
      <c r="Y48" s="13">
        <v>4</v>
      </c>
      <c r="Z48" s="13">
        <v>11</v>
      </c>
      <c r="AA48" s="13">
        <v>8</v>
      </c>
      <c r="AB48" s="14">
        <v>7</v>
      </c>
      <c r="AC48" s="9" t="s">
        <v>47</v>
      </c>
      <c r="AD48" s="16"/>
      <c r="AE48" s="10">
        <v>31</v>
      </c>
      <c r="AF48" s="10">
        <v>40</v>
      </c>
      <c r="AG48" s="10">
        <v>24</v>
      </c>
      <c r="AH48" s="11">
        <v>9</v>
      </c>
      <c r="AI48" s="12" t="s">
        <v>47</v>
      </c>
      <c r="AJ48" s="17"/>
      <c r="AK48" s="13">
        <v>13</v>
      </c>
      <c r="AL48" s="13">
        <v>131</v>
      </c>
      <c r="AM48" s="13">
        <v>87</v>
      </c>
      <c r="AN48" s="14">
        <v>96</v>
      </c>
      <c r="AO48" s="9" t="s">
        <v>47</v>
      </c>
      <c r="AP48" s="16"/>
      <c r="AQ48" s="10">
        <v>66</v>
      </c>
      <c r="AR48" s="10">
        <v>25</v>
      </c>
      <c r="AS48" s="10">
        <v>51</v>
      </c>
      <c r="AT48" s="11">
        <v>45</v>
      </c>
      <c r="AU48" s="12"/>
      <c r="AV48" s="17"/>
      <c r="AW48" s="13"/>
      <c r="AX48" s="13"/>
      <c r="AY48" s="13"/>
      <c r="AZ48" s="14"/>
      <c r="BA48" s="9"/>
      <c r="BB48" s="16"/>
      <c r="BC48" s="10"/>
      <c r="BD48" s="10"/>
      <c r="BE48" s="10"/>
      <c r="BF48" s="11"/>
      <c r="BG48" s="12"/>
      <c r="BH48" s="17"/>
      <c r="BI48" s="13"/>
      <c r="BJ48" s="13"/>
      <c r="BK48" s="13"/>
      <c r="BL48" s="14"/>
      <c r="BM48" s="8">
        <f t="shared" si="9"/>
        <v>148</v>
      </c>
      <c r="BN48" s="8">
        <f t="shared" si="10"/>
        <v>237</v>
      </c>
      <c r="BO48" s="8">
        <f t="shared" si="11"/>
        <v>176</v>
      </c>
      <c r="BP48" s="8">
        <f t="shared" si="12"/>
        <v>163</v>
      </c>
      <c r="BQ48" s="8">
        <f t="shared" si="13"/>
        <v>237</v>
      </c>
      <c r="BR48" s="8">
        <f t="shared" si="14"/>
        <v>148</v>
      </c>
      <c r="BS48" s="15">
        <f t="shared" si="15"/>
        <v>16.584040072310483</v>
      </c>
      <c r="BT48" s="15" t="str">
        <f t="shared" si="16"/>
        <v>OK - No Upgrade</v>
      </c>
      <c r="BU48" s="15" t="str">
        <f t="shared" si="17"/>
        <v>Need to Balance</v>
      </c>
    </row>
    <row r="49" spans="1:73" ht="15.75" customHeight="1" x14ac:dyDescent="0.25">
      <c r="A49" s="8" t="s">
        <v>38</v>
      </c>
      <c r="B49" s="8" t="s">
        <v>658</v>
      </c>
      <c r="C49" s="8" t="s">
        <v>573</v>
      </c>
      <c r="D49" s="8" t="s">
        <v>790</v>
      </c>
      <c r="E49" s="8" t="s">
        <v>791</v>
      </c>
      <c r="F49" s="8" t="s">
        <v>43</v>
      </c>
      <c r="G49" s="8"/>
      <c r="H49" s="8">
        <v>315</v>
      </c>
      <c r="I49" s="8" t="s">
        <v>792</v>
      </c>
      <c r="J49" s="8">
        <v>1</v>
      </c>
      <c r="K49" s="8">
        <v>242</v>
      </c>
      <c r="L49" s="8">
        <v>244</v>
      </c>
      <c r="M49" s="8">
        <v>245</v>
      </c>
      <c r="N49" s="8">
        <v>421</v>
      </c>
      <c r="O49" s="8">
        <v>426</v>
      </c>
      <c r="P49" s="8">
        <v>424</v>
      </c>
      <c r="Q49" s="9" t="s">
        <v>47</v>
      </c>
      <c r="R49" s="16"/>
      <c r="S49" s="10">
        <v>40</v>
      </c>
      <c r="T49" s="10">
        <v>11</v>
      </c>
      <c r="U49" s="10">
        <v>30</v>
      </c>
      <c r="V49" s="11">
        <v>23</v>
      </c>
      <c r="W49" s="12" t="s">
        <v>47</v>
      </c>
      <c r="X49" s="17"/>
      <c r="Y49" s="13">
        <v>52</v>
      </c>
      <c r="Z49" s="13">
        <v>45</v>
      </c>
      <c r="AA49" s="13">
        <v>34</v>
      </c>
      <c r="AB49" s="14">
        <v>18</v>
      </c>
      <c r="AC49" s="9"/>
      <c r="AD49" s="16"/>
      <c r="AE49" s="10"/>
      <c r="AF49" s="10"/>
      <c r="AG49" s="10"/>
      <c r="AH49" s="11"/>
      <c r="AI49" s="12"/>
      <c r="AJ49" s="17"/>
      <c r="AK49" s="13"/>
      <c r="AL49" s="13"/>
      <c r="AM49" s="13"/>
      <c r="AN49" s="14"/>
      <c r="AO49" s="9"/>
      <c r="AP49" s="16"/>
      <c r="AQ49" s="10"/>
      <c r="AR49" s="10"/>
      <c r="AS49" s="10"/>
      <c r="AT49" s="11"/>
      <c r="AU49" s="12"/>
      <c r="AV49" s="17"/>
      <c r="AW49" s="13"/>
      <c r="AX49" s="13"/>
      <c r="AY49" s="13"/>
      <c r="AZ49" s="14"/>
      <c r="BA49" s="9"/>
      <c r="BB49" s="16"/>
      <c r="BC49" s="10"/>
      <c r="BD49" s="10"/>
      <c r="BE49" s="10"/>
      <c r="BF49" s="11"/>
      <c r="BG49" s="12"/>
      <c r="BH49" s="17"/>
      <c r="BI49" s="13"/>
      <c r="BJ49" s="13"/>
      <c r="BK49" s="13"/>
      <c r="BL49" s="14"/>
      <c r="BM49" s="8">
        <f t="shared" si="9"/>
        <v>92</v>
      </c>
      <c r="BN49" s="8">
        <f t="shared" si="10"/>
        <v>56</v>
      </c>
      <c r="BO49" s="8">
        <f t="shared" si="11"/>
        <v>64</v>
      </c>
      <c r="BP49" s="8">
        <f t="shared" si="12"/>
        <v>41</v>
      </c>
      <c r="BQ49" s="8">
        <f t="shared" si="13"/>
        <v>92</v>
      </c>
      <c r="BR49" s="8">
        <f t="shared" si="14"/>
        <v>56</v>
      </c>
      <c r="BS49" s="15">
        <f t="shared" si="15"/>
        <v>21.297076786907223</v>
      </c>
      <c r="BT49" s="15" t="str">
        <f t="shared" si="16"/>
        <v>OK - No Upgrade</v>
      </c>
      <c r="BU49" s="15" t="str">
        <f t="shared" si="17"/>
        <v>Need to Balance</v>
      </c>
    </row>
    <row r="50" spans="1:73" ht="15.75" customHeight="1" x14ac:dyDescent="0.25">
      <c r="A50" s="8" t="s">
        <v>38</v>
      </c>
      <c r="B50" s="8" t="s">
        <v>658</v>
      </c>
      <c r="C50" s="8" t="s">
        <v>573</v>
      </c>
      <c r="D50" s="8" t="s">
        <v>793</v>
      </c>
      <c r="E50" s="8" t="s">
        <v>794</v>
      </c>
      <c r="F50" s="8" t="s">
        <v>43</v>
      </c>
      <c r="G50" s="8"/>
      <c r="H50" s="8">
        <v>100</v>
      </c>
      <c r="I50" s="8" t="s">
        <v>795</v>
      </c>
      <c r="J50" s="8">
        <v>1</v>
      </c>
      <c r="K50" s="8">
        <v>245</v>
      </c>
      <c r="L50" s="8">
        <v>245</v>
      </c>
      <c r="M50" s="8">
        <v>256</v>
      </c>
      <c r="N50" s="8">
        <v>424</v>
      </c>
      <c r="O50" s="8">
        <v>427</v>
      </c>
      <c r="P50" s="8">
        <v>428</v>
      </c>
      <c r="Q50" s="9" t="s">
        <v>46</v>
      </c>
      <c r="R50" s="16"/>
      <c r="S50" s="10">
        <v>4</v>
      </c>
      <c r="T50" s="10">
        <v>0</v>
      </c>
      <c r="U50" s="10">
        <v>12</v>
      </c>
      <c r="V50" s="11">
        <v>7</v>
      </c>
      <c r="W50" s="12"/>
      <c r="X50" s="17"/>
      <c r="Y50" s="13"/>
      <c r="Z50" s="13"/>
      <c r="AA50" s="13"/>
      <c r="AB50" s="14"/>
      <c r="AC50" s="9"/>
      <c r="AD50" s="16"/>
      <c r="AE50" s="10"/>
      <c r="AF50" s="10"/>
      <c r="AG50" s="10"/>
      <c r="AH50" s="11"/>
      <c r="AI50" s="12"/>
      <c r="AJ50" s="17"/>
      <c r="AK50" s="13"/>
      <c r="AL50" s="13"/>
      <c r="AM50" s="13"/>
      <c r="AN50" s="14"/>
      <c r="AO50" s="9"/>
      <c r="AP50" s="16"/>
      <c r="AQ50" s="10"/>
      <c r="AR50" s="10"/>
      <c r="AS50" s="10"/>
      <c r="AT50" s="11"/>
      <c r="AU50" s="12"/>
      <c r="AV50" s="17"/>
      <c r="AW50" s="13"/>
      <c r="AX50" s="13"/>
      <c r="AY50" s="13"/>
      <c r="AZ50" s="14"/>
      <c r="BA50" s="9"/>
      <c r="BB50" s="16"/>
      <c r="BC50" s="10"/>
      <c r="BD50" s="10"/>
      <c r="BE50" s="10"/>
      <c r="BF50" s="11"/>
      <c r="BG50" s="12"/>
      <c r="BH50" s="17"/>
      <c r="BI50" s="13"/>
      <c r="BJ50" s="13"/>
      <c r="BK50" s="13"/>
      <c r="BL50" s="14"/>
      <c r="BM50" s="8">
        <f t="shared" si="9"/>
        <v>4</v>
      </c>
      <c r="BN50" s="8">
        <f t="shared" si="10"/>
        <v>0</v>
      </c>
      <c r="BO50" s="8">
        <f t="shared" si="11"/>
        <v>12</v>
      </c>
      <c r="BP50" s="8">
        <f t="shared" si="12"/>
        <v>7</v>
      </c>
      <c r="BQ50" s="8">
        <f t="shared" si="13"/>
        <v>12</v>
      </c>
      <c r="BR50" s="8">
        <f t="shared" si="14"/>
        <v>0</v>
      </c>
      <c r="BS50" s="15">
        <f t="shared" si="15"/>
        <v>8.8126745089104475</v>
      </c>
      <c r="BT50" s="15" t="str">
        <f t="shared" si="16"/>
        <v>OK - No Upgrade</v>
      </c>
      <c r="BU50" s="15" t="str">
        <f t="shared" si="17"/>
        <v>Need to Balance</v>
      </c>
    </row>
    <row r="51" spans="1:73" ht="15.75" customHeight="1" x14ac:dyDescent="0.25">
      <c r="A51" s="8" t="s">
        <v>38</v>
      </c>
      <c r="B51" s="8" t="s">
        <v>658</v>
      </c>
      <c r="C51" s="8" t="s">
        <v>573</v>
      </c>
      <c r="D51" s="8" t="s">
        <v>796</v>
      </c>
      <c r="E51" s="8" t="s">
        <v>797</v>
      </c>
      <c r="F51" s="8" t="s">
        <v>43</v>
      </c>
      <c r="G51" s="8"/>
      <c r="H51" s="8">
        <v>100</v>
      </c>
      <c r="I51" s="8" t="s">
        <v>798</v>
      </c>
      <c r="J51" s="8">
        <v>1</v>
      </c>
      <c r="K51" s="8">
        <v>245</v>
      </c>
      <c r="L51" s="8">
        <v>243</v>
      </c>
      <c r="M51" s="8">
        <v>244</v>
      </c>
      <c r="N51" s="8">
        <v>423</v>
      </c>
      <c r="O51" s="8">
        <v>424</v>
      </c>
      <c r="P51" s="8">
        <v>424</v>
      </c>
      <c r="Q51" s="9" t="s">
        <v>47</v>
      </c>
      <c r="R51" s="16"/>
      <c r="S51" s="10">
        <v>18</v>
      </c>
      <c r="T51" s="10">
        <v>28</v>
      </c>
      <c r="U51" s="10">
        <v>35</v>
      </c>
      <c r="V51" s="11">
        <v>20</v>
      </c>
      <c r="W51" s="12"/>
      <c r="X51" s="17"/>
      <c r="Y51" s="13"/>
      <c r="Z51" s="13"/>
      <c r="AA51" s="13"/>
      <c r="AB51" s="14"/>
      <c r="AC51" s="9"/>
      <c r="AD51" s="16"/>
      <c r="AE51" s="10"/>
      <c r="AF51" s="10"/>
      <c r="AG51" s="10"/>
      <c r="AH51" s="11"/>
      <c r="AI51" s="12"/>
      <c r="AJ51" s="17"/>
      <c r="AK51" s="13"/>
      <c r="AL51" s="13"/>
      <c r="AM51" s="13"/>
      <c r="AN51" s="14"/>
      <c r="AO51" s="9"/>
      <c r="AP51" s="16"/>
      <c r="AQ51" s="10"/>
      <c r="AR51" s="10"/>
      <c r="AS51" s="10"/>
      <c r="AT51" s="11"/>
      <c r="AU51" s="12"/>
      <c r="AV51" s="17"/>
      <c r="AW51" s="13"/>
      <c r="AX51" s="13"/>
      <c r="AY51" s="13"/>
      <c r="AZ51" s="14"/>
      <c r="BA51" s="9"/>
      <c r="BB51" s="16"/>
      <c r="BC51" s="10"/>
      <c r="BD51" s="10"/>
      <c r="BE51" s="10"/>
      <c r="BF51" s="11"/>
      <c r="BG51" s="12"/>
      <c r="BH51" s="17"/>
      <c r="BI51" s="13"/>
      <c r="BJ51" s="13"/>
      <c r="BK51" s="13"/>
      <c r="BL51" s="14"/>
      <c r="BM51" s="8">
        <f t="shared" si="9"/>
        <v>18</v>
      </c>
      <c r="BN51" s="8">
        <f t="shared" si="10"/>
        <v>28</v>
      </c>
      <c r="BO51" s="8">
        <f t="shared" si="11"/>
        <v>35</v>
      </c>
      <c r="BP51" s="8">
        <f t="shared" si="12"/>
        <v>20</v>
      </c>
      <c r="BQ51" s="8">
        <f t="shared" si="13"/>
        <v>35</v>
      </c>
      <c r="BR51" s="8">
        <f t="shared" si="14"/>
        <v>18</v>
      </c>
      <c r="BS51" s="15">
        <f t="shared" si="15"/>
        <v>25.643012206057232</v>
      </c>
      <c r="BT51" s="15" t="str">
        <f t="shared" si="16"/>
        <v>OK - No Upgrade</v>
      </c>
      <c r="BU51" s="15" t="str">
        <f t="shared" si="17"/>
        <v>Need to Balance</v>
      </c>
    </row>
    <row r="52" spans="1:73" ht="15.75" customHeight="1" x14ac:dyDescent="0.25">
      <c r="A52" s="8" t="s">
        <v>38</v>
      </c>
      <c r="B52" s="8" t="s">
        <v>658</v>
      </c>
      <c r="C52" s="8" t="s">
        <v>573</v>
      </c>
      <c r="D52" s="8" t="s">
        <v>799</v>
      </c>
      <c r="E52" s="8" t="s">
        <v>800</v>
      </c>
      <c r="F52" s="8" t="s">
        <v>43</v>
      </c>
      <c r="G52" s="8"/>
      <c r="H52" s="8">
        <v>100</v>
      </c>
      <c r="I52" s="8" t="s">
        <v>801</v>
      </c>
      <c r="J52" s="8">
        <v>1</v>
      </c>
      <c r="K52" s="8">
        <v>244</v>
      </c>
      <c r="L52" s="8">
        <v>240</v>
      </c>
      <c r="M52" s="8">
        <v>244</v>
      </c>
      <c r="N52" s="8">
        <v>422</v>
      </c>
      <c r="O52" s="8">
        <v>424</v>
      </c>
      <c r="P52" s="8">
        <v>420</v>
      </c>
      <c r="Q52" s="9" t="s">
        <v>46</v>
      </c>
      <c r="R52" s="16"/>
      <c r="S52" s="10">
        <v>0</v>
      </c>
      <c r="T52" s="10">
        <v>0</v>
      </c>
      <c r="U52" s="10">
        <v>0</v>
      </c>
      <c r="V52" s="11">
        <v>0</v>
      </c>
      <c r="W52" s="12" t="s">
        <v>47</v>
      </c>
      <c r="X52" s="17"/>
      <c r="Y52" s="13">
        <v>0</v>
      </c>
      <c r="Z52" s="13">
        <v>58</v>
      </c>
      <c r="AA52" s="13">
        <v>23</v>
      </c>
      <c r="AB52" s="14">
        <v>48</v>
      </c>
      <c r="AC52" s="9"/>
      <c r="AD52" s="16"/>
      <c r="AE52" s="10"/>
      <c r="AF52" s="10"/>
      <c r="AG52" s="10"/>
      <c r="AH52" s="11"/>
      <c r="AI52" s="12"/>
      <c r="AJ52" s="17"/>
      <c r="AK52" s="13"/>
      <c r="AL52" s="13"/>
      <c r="AM52" s="13"/>
      <c r="AN52" s="14"/>
      <c r="AO52" s="9"/>
      <c r="AP52" s="16"/>
      <c r="AQ52" s="10"/>
      <c r="AR52" s="10"/>
      <c r="AS52" s="10"/>
      <c r="AT52" s="11"/>
      <c r="AU52" s="12"/>
      <c r="AV52" s="17"/>
      <c r="AW52" s="13"/>
      <c r="AX52" s="13"/>
      <c r="AY52" s="13"/>
      <c r="AZ52" s="14"/>
      <c r="BA52" s="9"/>
      <c r="BB52" s="16"/>
      <c r="BC52" s="10"/>
      <c r="BD52" s="10"/>
      <c r="BE52" s="10"/>
      <c r="BF52" s="11"/>
      <c r="BG52" s="12"/>
      <c r="BH52" s="17"/>
      <c r="BI52" s="13"/>
      <c r="BJ52" s="13"/>
      <c r="BK52" s="13"/>
      <c r="BL52" s="14"/>
      <c r="BM52" s="8">
        <f t="shared" si="9"/>
        <v>0</v>
      </c>
      <c r="BN52" s="8">
        <f t="shared" si="10"/>
        <v>58</v>
      </c>
      <c r="BO52" s="8">
        <f t="shared" si="11"/>
        <v>23</v>
      </c>
      <c r="BP52" s="8">
        <f t="shared" si="12"/>
        <v>48</v>
      </c>
      <c r="BQ52" s="8">
        <f t="shared" si="13"/>
        <v>58</v>
      </c>
      <c r="BR52" s="8">
        <f t="shared" si="14"/>
        <v>0</v>
      </c>
      <c r="BS52" s="15">
        <f t="shared" si="15"/>
        <v>42.39367556605584</v>
      </c>
      <c r="BT52" s="15" t="str">
        <f t="shared" si="16"/>
        <v>OK - No Upgrade</v>
      </c>
      <c r="BU52" s="15" t="str">
        <f t="shared" si="17"/>
        <v>Need to Balance</v>
      </c>
    </row>
    <row r="53" spans="1:73" ht="15.75" customHeight="1" x14ac:dyDescent="0.25">
      <c r="A53" s="8" t="s">
        <v>38</v>
      </c>
      <c r="B53" s="8" t="s">
        <v>658</v>
      </c>
      <c r="C53" s="8" t="s">
        <v>573</v>
      </c>
      <c r="D53" s="8" t="s">
        <v>802</v>
      </c>
      <c r="E53" s="8" t="s">
        <v>803</v>
      </c>
      <c r="F53" s="8" t="s">
        <v>43</v>
      </c>
      <c r="G53" s="8"/>
      <c r="H53" s="8">
        <v>100</v>
      </c>
      <c r="I53" s="8" t="s">
        <v>804</v>
      </c>
      <c r="J53" s="8">
        <v>1</v>
      </c>
      <c r="K53" s="8">
        <v>249</v>
      </c>
      <c r="L53" s="8">
        <v>248</v>
      </c>
      <c r="M53" s="8">
        <v>246</v>
      </c>
      <c r="N53" s="8">
        <v>433</v>
      </c>
      <c r="O53" s="8">
        <v>433</v>
      </c>
      <c r="P53" s="8">
        <v>437</v>
      </c>
      <c r="Q53" s="9" t="s">
        <v>46</v>
      </c>
      <c r="R53" s="16"/>
      <c r="S53" s="10">
        <v>21</v>
      </c>
      <c r="T53" s="10">
        <v>1</v>
      </c>
      <c r="U53" s="10">
        <v>33</v>
      </c>
      <c r="V53" s="11">
        <v>32</v>
      </c>
      <c r="W53" s="12"/>
      <c r="X53" s="17"/>
      <c r="Y53" s="13"/>
      <c r="Z53" s="13"/>
      <c r="AA53" s="13"/>
      <c r="AB53" s="14"/>
      <c r="AC53" s="9"/>
      <c r="AD53" s="16"/>
      <c r="AE53" s="10"/>
      <c r="AF53" s="10"/>
      <c r="AG53" s="10"/>
      <c r="AH53" s="11"/>
      <c r="AI53" s="12"/>
      <c r="AJ53" s="17"/>
      <c r="AK53" s="13"/>
      <c r="AL53" s="13"/>
      <c r="AM53" s="13"/>
      <c r="AN53" s="14"/>
      <c r="AO53" s="9"/>
      <c r="AP53" s="16"/>
      <c r="AQ53" s="10"/>
      <c r="AR53" s="10"/>
      <c r="AS53" s="10"/>
      <c r="AT53" s="11"/>
      <c r="AU53" s="12"/>
      <c r="AV53" s="17"/>
      <c r="AW53" s="13"/>
      <c r="AX53" s="13"/>
      <c r="AY53" s="13"/>
      <c r="AZ53" s="14"/>
      <c r="BA53" s="9"/>
      <c r="BB53" s="16"/>
      <c r="BC53" s="10"/>
      <c r="BD53" s="10"/>
      <c r="BE53" s="10"/>
      <c r="BF53" s="11"/>
      <c r="BG53" s="12"/>
      <c r="BH53" s="17"/>
      <c r="BI53" s="13"/>
      <c r="BJ53" s="13"/>
      <c r="BK53" s="13"/>
      <c r="BL53" s="14"/>
      <c r="BM53" s="8">
        <f t="shared" si="9"/>
        <v>21</v>
      </c>
      <c r="BN53" s="8">
        <f t="shared" si="10"/>
        <v>1</v>
      </c>
      <c r="BO53" s="8">
        <f t="shared" si="11"/>
        <v>33</v>
      </c>
      <c r="BP53" s="8">
        <f t="shared" si="12"/>
        <v>32</v>
      </c>
      <c r="BQ53" s="8">
        <f t="shared" si="13"/>
        <v>33</v>
      </c>
      <c r="BR53" s="8">
        <f t="shared" si="14"/>
        <v>1</v>
      </c>
      <c r="BS53" s="15">
        <f t="shared" si="15"/>
        <v>24.749273989351682</v>
      </c>
      <c r="BT53" s="15" t="str">
        <f t="shared" si="16"/>
        <v>OK - No Upgrade</v>
      </c>
      <c r="BU53" s="15" t="str">
        <f t="shared" si="17"/>
        <v>Need to Balance</v>
      </c>
    </row>
    <row r="54" spans="1:73" ht="15.75" customHeight="1" x14ac:dyDescent="0.25">
      <c r="A54" s="8" t="s">
        <v>38</v>
      </c>
      <c r="B54" s="8" t="s">
        <v>658</v>
      </c>
      <c r="C54" s="8" t="s">
        <v>573</v>
      </c>
      <c r="D54" s="8" t="s">
        <v>805</v>
      </c>
      <c r="E54" s="8" t="s">
        <v>806</v>
      </c>
      <c r="F54" s="8" t="s">
        <v>43</v>
      </c>
      <c r="G54" s="8"/>
      <c r="H54" s="8">
        <v>100</v>
      </c>
      <c r="I54" s="8" t="s">
        <v>807</v>
      </c>
      <c r="J54" s="8">
        <v>1</v>
      </c>
      <c r="K54" s="8">
        <v>241</v>
      </c>
      <c r="L54" s="8">
        <v>242</v>
      </c>
      <c r="M54" s="8">
        <v>244</v>
      </c>
      <c r="N54" s="8">
        <v>418</v>
      </c>
      <c r="O54" s="8">
        <v>423</v>
      </c>
      <c r="P54" s="8">
        <v>423</v>
      </c>
      <c r="Q54" s="9" t="s">
        <v>47</v>
      </c>
      <c r="R54" s="16"/>
      <c r="S54" s="10">
        <v>45</v>
      </c>
      <c r="T54" s="10">
        <v>27</v>
      </c>
      <c r="U54" s="10">
        <v>32</v>
      </c>
      <c r="V54" s="11">
        <v>15</v>
      </c>
      <c r="W54" s="12"/>
      <c r="X54" s="17"/>
      <c r="Y54" s="13"/>
      <c r="Z54" s="13"/>
      <c r="AA54" s="13"/>
      <c r="AB54" s="14"/>
      <c r="AC54" s="9"/>
      <c r="AD54" s="16"/>
      <c r="AE54" s="10"/>
      <c r="AF54" s="10"/>
      <c r="AG54" s="10"/>
      <c r="AH54" s="11"/>
      <c r="AI54" s="12"/>
      <c r="AJ54" s="17"/>
      <c r="AK54" s="13"/>
      <c r="AL54" s="13"/>
      <c r="AM54" s="13"/>
      <c r="AN54" s="14"/>
      <c r="AO54" s="9"/>
      <c r="AP54" s="16"/>
      <c r="AQ54" s="10"/>
      <c r="AR54" s="10"/>
      <c r="AS54" s="10"/>
      <c r="AT54" s="11"/>
      <c r="AU54" s="12"/>
      <c r="AV54" s="17"/>
      <c r="AW54" s="13"/>
      <c r="AX54" s="13"/>
      <c r="AY54" s="13"/>
      <c r="AZ54" s="14"/>
      <c r="BA54" s="9"/>
      <c r="BB54" s="16"/>
      <c r="BC54" s="10"/>
      <c r="BD54" s="10"/>
      <c r="BE54" s="10"/>
      <c r="BF54" s="11"/>
      <c r="BG54" s="12"/>
      <c r="BH54" s="17"/>
      <c r="BI54" s="13"/>
      <c r="BJ54" s="13"/>
      <c r="BK54" s="13"/>
      <c r="BL54" s="14"/>
      <c r="BM54" s="8">
        <f t="shared" si="9"/>
        <v>45</v>
      </c>
      <c r="BN54" s="8">
        <f t="shared" si="10"/>
        <v>27</v>
      </c>
      <c r="BO54" s="8">
        <f t="shared" si="11"/>
        <v>32</v>
      </c>
      <c r="BP54" s="8">
        <f t="shared" si="12"/>
        <v>15</v>
      </c>
      <c r="BQ54" s="8">
        <f t="shared" si="13"/>
        <v>45</v>
      </c>
      <c r="BR54" s="8">
        <f t="shared" si="14"/>
        <v>27</v>
      </c>
      <c r="BS54" s="15">
        <f t="shared" si="15"/>
        <v>32.579875690370585</v>
      </c>
      <c r="BT54" s="15" t="str">
        <f t="shared" si="16"/>
        <v>OK - No Upgrade</v>
      </c>
      <c r="BU54" s="15" t="str">
        <f t="shared" si="17"/>
        <v>Need to Balance</v>
      </c>
    </row>
    <row r="55" spans="1:73" ht="15.75" customHeight="1" x14ac:dyDescent="0.25">
      <c r="A55" s="8" t="s">
        <v>38</v>
      </c>
      <c r="B55" s="8" t="s">
        <v>658</v>
      </c>
      <c r="C55" s="8" t="s">
        <v>573</v>
      </c>
      <c r="D55" s="8" t="s">
        <v>808</v>
      </c>
      <c r="E55" s="8" t="s">
        <v>809</v>
      </c>
      <c r="F55" s="8" t="s">
        <v>43</v>
      </c>
      <c r="G55" s="8"/>
      <c r="H55" s="8">
        <v>100</v>
      </c>
      <c r="I55" s="8" t="s">
        <v>810</v>
      </c>
      <c r="J55" s="8">
        <v>1</v>
      </c>
      <c r="K55" s="8">
        <v>244</v>
      </c>
      <c r="L55" s="8">
        <v>244</v>
      </c>
      <c r="M55" s="8">
        <v>245</v>
      </c>
      <c r="N55" s="8">
        <v>423</v>
      </c>
      <c r="O55" s="8">
        <v>425</v>
      </c>
      <c r="P55" s="8">
        <v>425</v>
      </c>
      <c r="Q55" s="9" t="s">
        <v>46</v>
      </c>
      <c r="R55" s="16"/>
      <c r="S55" s="10">
        <v>11</v>
      </c>
      <c r="T55" s="10">
        <v>8</v>
      </c>
      <c r="U55" s="10">
        <v>25</v>
      </c>
      <c r="V55" s="11">
        <v>15</v>
      </c>
      <c r="W55" s="12"/>
      <c r="X55" s="17"/>
      <c r="Y55" s="13"/>
      <c r="Z55" s="13"/>
      <c r="AA55" s="13"/>
      <c r="AB55" s="14"/>
      <c r="AC55" s="9"/>
      <c r="AD55" s="16"/>
      <c r="AE55" s="10"/>
      <c r="AF55" s="10"/>
      <c r="AG55" s="10"/>
      <c r="AH55" s="11"/>
      <c r="AI55" s="12"/>
      <c r="AJ55" s="17"/>
      <c r="AK55" s="13"/>
      <c r="AL55" s="13"/>
      <c r="AM55" s="13"/>
      <c r="AN55" s="14"/>
      <c r="AO55" s="9"/>
      <c r="AP55" s="16"/>
      <c r="AQ55" s="10"/>
      <c r="AR55" s="10"/>
      <c r="AS55" s="10"/>
      <c r="AT55" s="11"/>
      <c r="AU55" s="12"/>
      <c r="AV55" s="17"/>
      <c r="AW55" s="13"/>
      <c r="AX55" s="13"/>
      <c r="AY55" s="13"/>
      <c r="AZ55" s="14"/>
      <c r="BA55" s="9"/>
      <c r="BB55" s="16"/>
      <c r="BC55" s="10"/>
      <c r="BD55" s="10"/>
      <c r="BE55" s="10"/>
      <c r="BF55" s="11"/>
      <c r="BG55" s="12"/>
      <c r="BH55" s="17"/>
      <c r="BI55" s="13"/>
      <c r="BJ55" s="13"/>
      <c r="BK55" s="13"/>
      <c r="BL55" s="14"/>
      <c r="BM55" s="8">
        <f t="shared" si="9"/>
        <v>11</v>
      </c>
      <c r="BN55" s="8">
        <f t="shared" si="10"/>
        <v>8</v>
      </c>
      <c r="BO55" s="8">
        <f t="shared" si="11"/>
        <v>25</v>
      </c>
      <c r="BP55" s="8">
        <f t="shared" si="12"/>
        <v>15</v>
      </c>
      <c r="BQ55" s="8">
        <f t="shared" si="13"/>
        <v>25</v>
      </c>
      <c r="BR55" s="8">
        <f t="shared" si="14"/>
        <v>8</v>
      </c>
      <c r="BS55" s="15">
        <f t="shared" si="15"/>
        <v>18.316437290040877</v>
      </c>
      <c r="BT55" s="15" t="str">
        <f t="shared" si="16"/>
        <v>OK - No Upgrade</v>
      </c>
      <c r="BU55" s="15" t="str">
        <f t="shared" si="17"/>
        <v>Need to Balance</v>
      </c>
    </row>
    <row r="56" spans="1:73" ht="15.75" customHeight="1" x14ac:dyDescent="0.25">
      <c r="A56" s="8" t="s">
        <v>38</v>
      </c>
      <c r="B56" s="8" t="s">
        <v>658</v>
      </c>
      <c r="C56" s="8" t="s">
        <v>573</v>
      </c>
      <c r="D56" s="8" t="s">
        <v>811</v>
      </c>
      <c r="E56" s="8" t="s">
        <v>812</v>
      </c>
      <c r="F56" s="8" t="s">
        <v>43</v>
      </c>
      <c r="G56" s="8"/>
      <c r="H56" s="8">
        <v>100</v>
      </c>
      <c r="I56" s="8" t="s">
        <v>813</v>
      </c>
      <c r="J56" s="8">
        <v>1</v>
      </c>
      <c r="K56" s="8">
        <v>244</v>
      </c>
      <c r="L56" s="8">
        <v>243</v>
      </c>
      <c r="M56" s="8">
        <v>246</v>
      </c>
      <c r="N56" s="8">
        <v>421</v>
      </c>
      <c r="O56" s="8">
        <v>426</v>
      </c>
      <c r="P56" s="8">
        <v>425</v>
      </c>
      <c r="Q56" s="9" t="s">
        <v>46</v>
      </c>
      <c r="R56" s="16"/>
      <c r="S56" s="10">
        <v>9</v>
      </c>
      <c r="T56" s="10">
        <v>11</v>
      </c>
      <c r="U56" s="10">
        <v>0</v>
      </c>
      <c r="V56" s="11">
        <v>9</v>
      </c>
      <c r="W56" s="12"/>
      <c r="X56" s="17"/>
      <c r="Y56" s="13"/>
      <c r="Z56" s="13"/>
      <c r="AA56" s="13"/>
      <c r="AB56" s="14"/>
      <c r="AC56" s="9"/>
      <c r="AD56" s="16"/>
      <c r="AE56" s="10"/>
      <c r="AF56" s="10"/>
      <c r="AG56" s="10"/>
      <c r="AH56" s="11"/>
      <c r="AI56" s="12"/>
      <c r="AJ56" s="17"/>
      <c r="AK56" s="13"/>
      <c r="AL56" s="13"/>
      <c r="AM56" s="13"/>
      <c r="AN56" s="14"/>
      <c r="AO56" s="9"/>
      <c r="AP56" s="16"/>
      <c r="AQ56" s="10"/>
      <c r="AR56" s="10"/>
      <c r="AS56" s="10"/>
      <c r="AT56" s="11"/>
      <c r="AU56" s="12"/>
      <c r="AV56" s="17"/>
      <c r="AW56" s="13"/>
      <c r="AX56" s="13"/>
      <c r="AY56" s="13"/>
      <c r="AZ56" s="14"/>
      <c r="BA56" s="9"/>
      <c r="BB56" s="16"/>
      <c r="BC56" s="10"/>
      <c r="BD56" s="10"/>
      <c r="BE56" s="10"/>
      <c r="BF56" s="11"/>
      <c r="BG56" s="12"/>
      <c r="BH56" s="17"/>
      <c r="BI56" s="13"/>
      <c r="BJ56" s="13"/>
      <c r="BK56" s="13"/>
      <c r="BL56" s="14"/>
      <c r="BM56" s="8">
        <f t="shared" si="9"/>
        <v>9</v>
      </c>
      <c r="BN56" s="8">
        <f t="shared" si="10"/>
        <v>11</v>
      </c>
      <c r="BO56" s="8">
        <f t="shared" si="11"/>
        <v>0</v>
      </c>
      <c r="BP56" s="8">
        <f t="shared" si="12"/>
        <v>9</v>
      </c>
      <c r="BQ56" s="8">
        <f t="shared" si="13"/>
        <v>11</v>
      </c>
      <c r="BR56" s="8">
        <f t="shared" si="14"/>
        <v>0</v>
      </c>
      <c r="BS56" s="15">
        <f t="shared" si="15"/>
        <v>8.0211272898514707</v>
      </c>
      <c r="BT56" s="15" t="str">
        <f t="shared" si="16"/>
        <v>OK - No Upgrade</v>
      </c>
      <c r="BU56" s="15" t="str">
        <f t="shared" si="17"/>
        <v>Need to Balance</v>
      </c>
    </row>
    <row r="57" spans="1:73" ht="15.75" customHeight="1" x14ac:dyDescent="0.25">
      <c r="A57" s="8" t="s">
        <v>38</v>
      </c>
      <c r="B57" s="8" t="s">
        <v>658</v>
      </c>
      <c r="C57" s="8" t="s">
        <v>573</v>
      </c>
      <c r="D57" s="8" t="s">
        <v>814</v>
      </c>
      <c r="E57" s="8" t="s">
        <v>815</v>
      </c>
      <c r="F57" s="8" t="s">
        <v>56</v>
      </c>
      <c r="G57" s="8"/>
      <c r="H57" s="8">
        <v>1000</v>
      </c>
      <c r="I57" s="8" t="s">
        <v>816</v>
      </c>
      <c r="J57" s="8">
        <v>1</v>
      </c>
      <c r="K57" s="8">
        <v>244</v>
      </c>
      <c r="L57" s="8">
        <v>244</v>
      </c>
      <c r="M57" s="8">
        <v>245</v>
      </c>
      <c r="N57" s="8">
        <v>422</v>
      </c>
      <c r="O57" s="8">
        <v>426</v>
      </c>
      <c r="P57" s="8">
        <v>425</v>
      </c>
      <c r="Q57" s="9" t="s">
        <v>47</v>
      </c>
      <c r="R57" s="16"/>
      <c r="S57" s="10">
        <v>0</v>
      </c>
      <c r="T57" s="10">
        <v>0</v>
      </c>
      <c r="U57" s="10">
        <v>0</v>
      </c>
      <c r="V57" s="11">
        <v>0</v>
      </c>
      <c r="W57" s="12" t="s">
        <v>47</v>
      </c>
      <c r="X57" s="17"/>
      <c r="Y57" s="13">
        <v>32</v>
      </c>
      <c r="Z57" s="13">
        <v>1</v>
      </c>
      <c r="AA57" s="13">
        <v>46</v>
      </c>
      <c r="AB57" s="14">
        <v>44</v>
      </c>
      <c r="AC57" s="9" t="s">
        <v>47</v>
      </c>
      <c r="AD57" s="16"/>
      <c r="AE57" s="10">
        <v>97</v>
      </c>
      <c r="AF57" s="10">
        <v>51</v>
      </c>
      <c r="AG57" s="10">
        <v>86</v>
      </c>
      <c r="AH57" s="11">
        <v>40</v>
      </c>
      <c r="AI57" s="12" t="s">
        <v>47</v>
      </c>
      <c r="AJ57" s="17"/>
      <c r="AK57" s="13">
        <v>17</v>
      </c>
      <c r="AL57" s="13">
        <v>5</v>
      </c>
      <c r="AM57" s="13">
        <v>19</v>
      </c>
      <c r="AN57" s="14">
        <v>18</v>
      </c>
      <c r="AO57" s="9"/>
      <c r="AP57" s="16"/>
      <c r="AQ57" s="10"/>
      <c r="AR57" s="10"/>
      <c r="AS57" s="10"/>
      <c r="AT57" s="11"/>
      <c r="AU57" s="12"/>
      <c r="AV57" s="17"/>
      <c r="AW57" s="13"/>
      <c r="AX57" s="13"/>
      <c r="AY57" s="13"/>
      <c r="AZ57" s="14"/>
      <c r="BA57" s="9"/>
      <c r="BB57" s="16"/>
      <c r="BC57" s="10"/>
      <c r="BD57" s="10"/>
      <c r="BE57" s="10"/>
      <c r="BF57" s="11"/>
      <c r="BG57" s="12"/>
      <c r="BH57" s="17"/>
      <c r="BI57" s="13"/>
      <c r="BJ57" s="13"/>
      <c r="BK57" s="13"/>
      <c r="BL57" s="14"/>
      <c r="BM57" s="8">
        <f t="shared" si="9"/>
        <v>146</v>
      </c>
      <c r="BN57" s="8">
        <f t="shared" si="10"/>
        <v>57</v>
      </c>
      <c r="BO57" s="8">
        <f t="shared" si="11"/>
        <v>151</v>
      </c>
      <c r="BP57" s="8">
        <f t="shared" si="12"/>
        <v>102</v>
      </c>
      <c r="BQ57" s="8">
        <f t="shared" si="13"/>
        <v>151</v>
      </c>
      <c r="BR57" s="8">
        <f t="shared" si="14"/>
        <v>57</v>
      </c>
      <c r="BS57" s="15">
        <f t="shared" si="15"/>
        <v>11.036974155990398</v>
      </c>
      <c r="BT57" s="15" t="str">
        <f t="shared" si="16"/>
        <v>OK - No Upgrade</v>
      </c>
      <c r="BU57" s="15" t="str">
        <f t="shared" si="17"/>
        <v>Need to Balance</v>
      </c>
    </row>
    <row r="58" spans="1:73" ht="15.75" customHeight="1" x14ac:dyDescent="0.25">
      <c r="A58" s="8" t="s">
        <v>38</v>
      </c>
      <c r="B58" s="8" t="s">
        <v>658</v>
      </c>
      <c r="C58" s="8" t="s">
        <v>573</v>
      </c>
      <c r="D58" s="8" t="s">
        <v>817</v>
      </c>
      <c r="E58" s="8" t="s">
        <v>818</v>
      </c>
      <c r="F58" s="8" t="s">
        <v>43</v>
      </c>
      <c r="G58" s="8"/>
      <c r="H58" s="8">
        <v>315</v>
      </c>
      <c r="I58" s="8" t="s">
        <v>819</v>
      </c>
      <c r="J58" s="8">
        <v>1</v>
      </c>
      <c r="K58" s="8">
        <v>243</v>
      </c>
      <c r="L58" s="8">
        <v>244</v>
      </c>
      <c r="M58" s="8">
        <v>246</v>
      </c>
      <c r="N58" s="8">
        <v>422</v>
      </c>
      <c r="O58" s="8">
        <v>426</v>
      </c>
      <c r="P58" s="8">
        <v>426</v>
      </c>
      <c r="Q58" s="9" t="s">
        <v>46</v>
      </c>
      <c r="R58" s="16"/>
      <c r="S58" s="10">
        <v>43</v>
      </c>
      <c r="T58" s="10">
        <v>22</v>
      </c>
      <c r="U58" s="10">
        <v>54</v>
      </c>
      <c r="V58" s="11">
        <v>50</v>
      </c>
      <c r="W58" s="12" t="s">
        <v>334</v>
      </c>
      <c r="X58" s="17"/>
      <c r="Y58" s="13">
        <v>0</v>
      </c>
      <c r="Z58" s="13">
        <v>0</v>
      </c>
      <c r="AA58" s="13">
        <v>0</v>
      </c>
      <c r="AB58" s="14">
        <v>0</v>
      </c>
      <c r="AC58" s="9"/>
      <c r="AD58" s="16"/>
      <c r="AE58" s="10"/>
      <c r="AF58" s="10"/>
      <c r="AG58" s="10"/>
      <c r="AH58" s="11"/>
      <c r="AI58" s="12"/>
      <c r="AJ58" s="17"/>
      <c r="AK58" s="13"/>
      <c r="AL58" s="13"/>
      <c r="AM58" s="13"/>
      <c r="AN58" s="14"/>
      <c r="AO58" s="9"/>
      <c r="AP58" s="16"/>
      <c r="AQ58" s="10"/>
      <c r="AR58" s="10"/>
      <c r="AS58" s="10"/>
      <c r="AT58" s="11"/>
      <c r="AU58" s="12"/>
      <c r="AV58" s="17"/>
      <c r="AW58" s="13"/>
      <c r="AX58" s="13"/>
      <c r="AY58" s="13"/>
      <c r="AZ58" s="14"/>
      <c r="BA58" s="9"/>
      <c r="BB58" s="16"/>
      <c r="BC58" s="10"/>
      <c r="BD58" s="10"/>
      <c r="BE58" s="10"/>
      <c r="BF58" s="11"/>
      <c r="BG58" s="12"/>
      <c r="BH58" s="17"/>
      <c r="BI58" s="13"/>
      <c r="BJ58" s="13"/>
      <c r="BK58" s="13"/>
      <c r="BL58" s="14"/>
      <c r="BM58" s="8">
        <f t="shared" si="9"/>
        <v>43</v>
      </c>
      <c r="BN58" s="8">
        <f t="shared" si="10"/>
        <v>22</v>
      </c>
      <c r="BO58" s="8">
        <f t="shared" si="11"/>
        <v>54</v>
      </c>
      <c r="BP58" s="8">
        <f t="shared" si="12"/>
        <v>50</v>
      </c>
      <c r="BQ58" s="8">
        <f t="shared" si="13"/>
        <v>54</v>
      </c>
      <c r="BR58" s="8">
        <f t="shared" si="14"/>
        <v>22</v>
      </c>
      <c r="BS58" s="15">
        <f t="shared" si="15"/>
        <v>12.530150413612562</v>
      </c>
      <c r="BT58" s="15" t="str">
        <f t="shared" si="16"/>
        <v>OK - No Upgrade</v>
      </c>
      <c r="BU58" s="15" t="str">
        <f t="shared" si="17"/>
        <v>Need to Balance</v>
      </c>
    </row>
    <row r="59" spans="1:73" ht="15.75" customHeight="1" x14ac:dyDescent="0.25">
      <c r="A59" s="8" t="s">
        <v>38</v>
      </c>
      <c r="B59" s="8" t="s">
        <v>658</v>
      </c>
      <c r="C59" s="8" t="s">
        <v>573</v>
      </c>
      <c r="D59" s="8" t="s">
        <v>820</v>
      </c>
      <c r="E59" s="8" t="s">
        <v>821</v>
      </c>
      <c r="F59" s="8" t="s">
        <v>43</v>
      </c>
      <c r="G59" s="8"/>
      <c r="H59" s="8">
        <v>315</v>
      </c>
      <c r="I59" s="8" t="s">
        <v>822</v>
      </c>
      <c r="J59" s="8">
        <v>1</v>
      </c>
      <c r="K59" s="8">
        <v>243</v>
      </c>
      <c r="L59" s="8">
        <v>244</v>
      </c>
      <c r="M59" s="8">
        <v>245</v>
      </c>
      <c r="N59" s="8">
        <v>422</v>
      </c>
      <c r="O59" s="8">
        <v>425</v>
      </c>
      <c r="P59" s="8">
        <v>425</v>
      </c>
      <c r="Q59" s="9" t="s">
        <v>47</v>
      </c>
      <c r="R59" s="16"/>
      <c r="S59" s="10">
        <v>33</v>
      </c>
      <c r="T59" s="10">
        <v>14</v>
      </c>
      <c r="U59" s="10">
        <v>41</v>
      </c>
      <c r="V59" s="11">
        <v>28</v>
      </c>
      <c r="W59" s="12" t="s">
        <v>47</v>
      </c>
      <c r="X59" s="17"/>
      <c r="Y59" s="13">
        <v>6</v>
      </c>
      <c r="Z59" s="13">
        <v>0</v>
      </c>
      <c r="AA59" s="13">
        <v>32</v>
      </c>
      <c r="AB59" s="14">
        <v>27</v>
      </c>
      <c r="AC59" s="9"/>
      <c r="AD59" s="16"/>
      <c r="AE59" s="10"/>
      <c r="AF59" s="10"/>
      <c r="AG59" s="10"/>
      <c r="AH59" s="11"/>
      <c r="AI59" s="12"/>
      <c r="AJ59" s="17"/>
      <c r="AK59" s="13"/>
      <c r="AL59" s="13"/>
      <c r="AM59" s="13"/>
      <c r="AN59" s="14"/>
      <c r="AO59" s="9"/>
      <c r="AP59" s="16"/>
      <c r="AQ59" s="10"/>
      <c r="AR59" s="10"/>
      <c r="AS59" s="10"/>
      <c r="AT59" s="11"/>
      <c r="AU59" s="12"/>
      <c r="AV59" s="17"/>
      <c r="AW59" s="13"/>
      <c r="AX59" s="13"/>
      <c r="AY59" s="13"/>
      <c r="AZ59" s="14"/>
      <c r="BA59" s="9"/>
      <c r="BB59" s="16"/>
      <c r="BC59" s="10"/>
      <c r="BD59" s="10"/>
      <c r="BE59" s="10"/>
      <c r="BF59" s="11"/>
      <c r="BG59" s="12"/>
      <c r="BH59" s="17"/>
      <c r="BI59" s="13"/>
      <c r="BJ59" s="13"/>
      <c r="BK59" s="13"/>
      <c r="BL59" s="14"/>
      <c r="BM59" s="8">
        <f t="shared" si="9"/>
        <v>39</v>
      </c>
      <c r="BN59" s="8">
        <f t="shared" si="10"/>
        <v>14</v>
      </c>
      <c r="BO59" s="8">
        <f t="shared" si="11"/>
        <v>73</v>
      </c>
      <c r="BP59" s="8">
        <f t="shared" si="12"/>
        <v>55</v>
      </c>
      <c r="BQ59" s="8">
        <f t="shared" si="13"/>
        <v>73</v>
      </c>
      <c r="BR59" s="8">
        <f t="shared" si="14"/>
        <v>14</v>
      </c>
      <c r="BS59" s="15">
        <f t="shared" si="15"/>
        <v>16.93890704062439</v>
      </c>
      <c r="BT59" s="15" t="str">
        <f t="shared" si="16"/>
        <v>OK - No Upgrade</v>
      </c>
      <c r="BU59" s="15" t="str">
        <f t="shared" si="17"/>
        <v>Need to Balance</v>
      </c>
    </row>
    <row r="60" spans="1:73" ht="15.75" customHeight="1" x14ac:dyDescent="0.25">
      <c r="A60" s="8" t="s">
        <v>38</v>
      </c>
      <c r="B60" s="8" t="s">
        <v>658</v>
      </c>
      <c r="C60" s="8" t="s">
        <v>573</v>
      </c>
      <c r="D60" s="8" t="s">
        <v>823</v>
      </c>
      <c r="E60" s="8" t="s">
        <v>824</v>
      </c>
      <c r="F60" s="8" t="s">
        <v>43</v>
      </c>
      <c r="G60" s="8"/>
      <c r="H60" s="8">
        <v>315</v>
      </c>
      <c r="I60" s="8" t="s">
        <v>825</v>
      </c>
      <c r="J60" s="8">
        <v>1</v>
      </c>
      <c r="K60" s="8">
        <v>257</v>
      </c>
      <c r="L60" s="8">
        <v>256</v>
      </c>
      <c r="M60" s="8">
        <v>259</v>
      </c>
      <c r="N60" s="8">
        <v>445</v>
      </c>
      <c r="O60" s="8">
        <v>449</v>
      </c>
      <c r="P60" s="8">
        <v>448</v>
      </c>
      <c r="Q60" s="9" t="s">
        <v>47</v>
      </c>
      <c r="R60" s="16"/>
      <c r="S60" s="10">
        <v>0</v>
      </c>
      <c r="T60" s="10">
        <v>21</v>
      </c>
      <c r="U60" s="10">
        <v>19</v>
      </c>
      <c r="V60" s="11">
        <v>19</v>
      </c>
      <c r="W60" s="12"/>
      <c r="X60" s="17"/>
      <c r="Y60" s="13"/>
      <c r="Z60" s="13"/>
      <c r="AA60" s="13"/>
      <c r="AB60" s="14"/>
      <c r="AC60" s="9"/>
      <c r="AD60" s="16"/>
      <c r="AE60" s="10"/>
      <c r="AF60" s="10"/>
      <c r="AG60" s="10"/>
      <c r="AH60" s="11"/>
      <c r="AI60" s="12"/>
      <c r="AJ60" s="17"/>
      <c r="AK60" s="13"/>
      <c r="AL60" s="13"/>
      <c r="AM60" s="13"/>
      <c r="AN60" s="14"/>
      <c r="AO60" s="9"/>
      <c r="AP60" s="16"/>
      <c r="AQ60" s="10"/>
      <c r="AR60" s="10"/>
      <c r="AS60" s="10"/>
      <c r="AT60" s="11"/>
      <c r="AU60" s="12"/>
      <c r="AV60" s="17"/>
      <c r="AW60" s="13"/>
      <c r="AX60" s="13"/>
      <c r="AY60" s="13"/>
      <c r="AZ60" s="14"/>
      <c r="BA60" s="9"/>
      <c r="BB60" s="16"/>
      <c r="BC60" s="10"/>
      <c r="BD60" s="10"/>
      <c r="BE60" s="10"/>
      <c r="BF60" s="11"/>
      <c r="BG60" s="12"/>
      <c r="BH60" s="17"/>
      <c r="BI60" s="13"/>
      <c r="BJ60" s="13"/>
      <c r="BK60" s="13"/>
      <c r="BL60" s="14"/>
      <c r="BM60" s="8">
        <f t="shared" si="9"/>
        <v>0</v>
      </c>
      <c r="BN60" s="8">
        <f t="shared" si="10"/>
        <v>21</v>
      </c>
      <c r="BO60" s="8">
        <f t="shared" si="11"/>
        <v>19</v>
      </c>
      <c r="BP60" s="8">
        <f t="shared" si="12"/>
        <v>19</v>
      </c>
      <c r="BQ60" s="8">
        <f t="shared" si="13"/>
        <v>21</v>
      </c>
      <c r="BR60" s="8">
        <f t="shared" si="14"/>
        <v>0</v>
      </c>
      <c r="BS60" s="15">
        <f t="shared" si="15"/>
        <v>5.1384173957876689</v>
      </c>
      <c r="BT60" s="15" t="str">
        <f t="shared" si="16"/>
        <v>OK - No Upgrade</v>
      </c>
      <c r="BU60" s="15" t="str">
        <f t="shared" si="17"/>
        <v>Need to Balance</v>
      </c>
    </row>
    <row r="61" spans="1:73" ht="15.75" customHeight="1" x14ac:dyDescent="0.25">
      <c r="A61" s="8" t="s">
        <v>38</v>
      </c>
      <c r="B61" s="8" t="s">
        <v>658</v>
      </c>
      <c r="C61" s="8" t="s">
        <v>573</v>
      </c>
      <c r="D61" s="8" t="s">
        <v>826</v>
      </c>
      <c r="E61" s="8" t="s">
        <v>827</v>
      </c>
      <c r="F61" s="8" t="s">
        <v>56</v>
      </c>
      <c r="G61" s="8"/>
      <c r="H61" s="8">
        <v>1000</v>
      </c>
      <c r="I61" s="8" t="s">
        <v>828</v>
      </c>
      <c r="J61" s="8">
        <v>1</v>
      </c>
      <c r="K61" s="8">
        <v>244</v>
      </c>
      <c r="L61" s="8">
        <v>244</v>
      </c>
      <c r="M61" s="8">
        <v>247</v>
      </c>
      <c r="N61" s="8">
        <v>421</v>
      </c>
      <c r="O61" s="8">
        <v>426</v>
      </c>
      <c r="P61" s="8">
        <v>426</v>
      </c>
      <c r="Q61" s="9" t="s">
        <v>47</v>
      </c>
      <c r="R61" s="16"/>
      <c r="S61" s="10">
        <v>21</v>
      </c>
      <c r="T61" s="10">
        <v>12</v>
      </c>
      <c r="U61" s="10">
        <v>39</v>
      </c>
      <c r="V61" s="11">
        <v>25</v>
      </c>
      <c r="W61" s="12" t="s">
        <v>47</v>
      </c>
      <c r="X61" s="17"/>
      <c r="Y61" s="13">
        <v>20</v>
      </c>
      <c r="Z61" s="13">
        <v>42</v>
      </c>
      <c r="AA61" s="13">
        <v>30</v>
      </c>
      <c r="AB61" s="14">
        <v>11</v>
      </c>
      <c r="AC61" s="9" t="s">
        <v>47</v>
      </c>
      <c r="AD61" s="16"/>
      <c r="AE61" s="10">
        <v>80</v>
      </c>
      <c r="AF61" s="10">
        <v>82</v>
      </c>
      <c r="AG61" s="10">
        <v>54</v>
      </c>
      <c r="AH61" s="11">
        <v>39</v>
      </c>
      <c r="AI61" s="12" t="s">
        <v>47</v>
      </c>
      <c r="AJ61" s="17"/>
      <c r="AK61" s="13">
        <v>13</v>
      </c>
      <c r="AL61" s="13">
        <v>1</v>
      </c>
      <c r="AM61" s="13">
        <v>0</v>
      </c>
      <c r="AN61" s="14">
        <v>13</v>
      </c>
      <c r="AO61" s="9" t="s">
        <v>47</v>
      </c>
      <c r="AP61" s="16"/>
      <c r="AQ61" s="10">
        <v>129</v>
      </c>
      <c r="AR61" s="10">
        <v>68</v>
      </c>
      <c r="AS61" s="10">
        <v>44</v>
      </c>
      <c r="AT61" s="11">
        <v>67</v>
      </c>
      <c r="AU61" s="12"/>
      <c r="AV61" s="17"/>
      <c r="AW61" s="13"/>
      <c r="AX61" s="13"/>
      <c r="AY61" s="13"/>
      <c r="AZ61" s="14"/>
      <c r="BA61" s="9"/>
      <c r="BB61" s="16"/>
      <c r="BC61" s="10"/>
      <c r="BD61" s="10"/>
      <c r="BE61" s="10"/>
      <c r="BF61" s="11"/>
      <c r="BG61" s="12"/>
      <c r="BH61" s="17"/>
      <c r="BI61" s="13"/>
      <c r="BJ61" s="13"/>
      <c r="BK61" s="13"/>
      <c r="BL61" s="14"/>
      <c r="BM61" s="8">
        <f t="shared" si="9"/>
        <v>263</v>
      </c>
      <c r="BN61" s="8">
        <f t="shared" si="10"/>
        <v>205</v>
      </c>
      <c r="BO61" s="8">
        <f t="shared" si="11"/>
        <v>167</v>
      </c>
      <c r="BP61" s="8">
        <f t="shared" si="12"/>
        <v>155</v>
      </c>
      <c r="BQ61" s="8">
        <f t="shared" si="13"/>
        <v>263</v>
      </c>
      <c r="BR61" s="8">
        <f t="shared" si="14"/>
        <v>167</v>
      </c>
      <c r="BS61" s="15">
        <f t="shared" si="15"/>
        <v>19.177786156644881</v>
      </c>
      <c r="BT61" s="15" t="str">
        <f t="shared" si="16"/>
        <v>OK - No Upgrade</v>
      </c>
      <c r="BU61" s="15" t="str">
        <f t="shared" si="17"/>
        <v>Need to Balance</v>
      </c>
    </row>
    <row r="62" spans="1:73" ht="15.75" customHeight="1" x14ac:dyDescent="0.25">
      <c r="A62" s="8" t="s">
        <v>38</v>
      </c>
      <c r="B62" s="8" t="s">
        <v>658</v>
      </c>
      <c r="C62" s="8" t="s">
        <v>573</v>
      </c>
      <c r="D62" s="8" t="s">
        <v>829</v>
      </c>
      <c r="E62" s="8" t="s">
        <v>830</v>
      </c>
      <c r="F62" s="8" t="s">
        <v>56</v>
      </c>
      <c r="G62" s="8"/>
      <c r="H62" s="8">
        <v>1000</v>
      </c>
      <c r="I62" s="8" t="s">
        <v>831</v>
      </c>
      <c r="J62" s="8">
        <v>1</v>
      </c>
      <c r="K62" s="8">
        <v>245</v>
      </c>
      <c r="L62" s="8">
        <v>245</v>
      </c>
      <c r="M62" s="8">
        <v>247</v>
      </c>
      <c r="N62" s="8">
        <v>424</v>
      </c>
      <c r="O62" s="8">
        <v>429</v>
      </c>
      <c r="P62" s="8">
        <v>428</v>
      </c>
      <c r="Q62" s="9"/>
      <c r="R62" s="16"/>
      <c r="S62" s="10"/>
      <c r="T62" s="10"/>
      <c r="U62" s="10"/>
      <c r="V62" s="11"/>
      <c r="W62" s="12"/>
      <c r="X62" s="17"/>
      <c r="Y62" s="13"/>
      <c r="Z62" s="13"/>
      <c r="AA62" s="13"/>
      <c r="AB62" s="14"/>
      <c r="AC62" s="9"/>
      <c r="AD62" s="16"/>
      <c r="AE62" s="10"/>
      <c r="AF62" s="10"/>
      <c r="AG62" s="10"/>
      <c r="AH62" s="11"/>
      <c r="AI62" s="12"/>
      <c r="AJ62" s="17"/>
      <c r="AK62" s="13"/>
      <c r="AL62" s="13"/>
      <c r="AM62" s="13"/>
      <c r="AN62" s="14"/>
      <c r="AO62" s="9"/>
      <c r="AP62" s="16"/>
      <c r="AQ62" s="10"/>
      <c r="AR62" s="10"/>
      <c r="AS62" s="10"/>
      <c r="AT62" s="11"/>
      <c r="AU62" s="12"/>
      <c r="AV62" s="17"/>
      <c r="AW62" s="13"/>
      <c r="AX62" s="13"/>
      <c r="AY62" s="13"/>
      <c r="AZ62" s="14"/>
      <c r="BA62" s="9"/>
      <c r="BB62" s="16"/>
      <c r="BC62" s="10"/>
      <c r="BD62" s="10"/>
      <c r="BE62" s="10"/>
      <c r="BF62" s="11"/>
      <c r="BG62" s="12" t="s">
        <v>47</v>
      </c>
      <c r="BH62" s="17"/>
      <c r="BI62" s="13">
        <v>29</v>
      </c>
      <c r="BJ62" s="13">
        <v>35</v>
      </c>
      <c r="BK62" s="13">
        <v>56</v>
      </c>
      <c r="BL62" s="14">
        <v>28</v>
      </c>
      <c r="BM62" s="8">
        <f t="shared" si="9"/>
        <v>29</v>
      </c>
      <c r="BN62" s="8">
        <f t="shared" si="10"/>
        <v>35</v>
      </c>
      <c r="BO62" s="8">
        <f t="shared" si="11"/>
        <v>56</v>
      </c>
      <c r="BP62" s="8">
        <f t="shared" si="12"/>
        <v>28</v>
      </c>
      <c r="BQ62" s="8">
        <f t="shared" si="13"/>
        <v>56</v>
      </c>
      <c r="BR62" s="8">
        <f t="shared" si="14"/>
        <v>29</v>
      </c>
      <c r="BS62" s="15">
        <f t="shared" si="15"/>
        <v>4.1125814374915421</v>
      </c>
      <c r="BT62" s="15" t="str">
        <f t="shared" si="16"/>
        <v>OK - No Upgrade</v>
      </c>
      <c r="BU62" s="15" t="str">
        <f t="shared" si="17"/>
        <v>Need to Balance</v>
      </c>
    </row>
    <row r="63" spans="1:73" ht="15.75" customHeight="1" x14ac:dyDescent="0.25">
      <c r="A63" s="8" t="s">
        <v>38</v>
      </c>
      <c r="B63" s="8" t="s">
        <v>658</v>
      </c>
      <c r="C63" s="8" t="s">
        <v>573</v>
      </c>
      <c r="D63" s="8" t="s">
        <v>832</v>
      </c>
      <c r="E63" s="8" t="s">
        <v>833</v>
      </c>
      <c r="F63" s="8" t="s">
        <v>56</v>
      </c>
      <c r="G63" s="8"/>
      <c r="H63" s="8">
        <v>500</v>
      </c>
      <c r="I63" s="8" t="s">
        <v>834</v>
      </c>
      <c r="J63" s="8">
        <v>1</v>
      </c>
      <c r="K63" s="8">
        <v>246</v>
      </c>
      <c r="L63" s="8">
        <v>246</v>
      </c>
      <c r="M63" s="8">
        <v>248</v>
      </c>
      <c r="N63" s="8">
        <v>424</v>
      </c>
      <c r="O63" s="8">
        <v>429</v>
      </c>
      <c r="P63" s="8">
        <v>433</v>
      </c>
      <c r="Q63" s="9" t="s">
        <v>47</v>
      </c>
      <c r="R63" s="16"/>
      <c r="S63" s="10">
        <v>61</v>
      </c>
      <c r="T63" s="10">
        <v>28</v>
      </c>
      <c r="U63" s="10">
        <v>45</v>
      </c>
      <c r="V63" s="11">
        <v>28</v>
      </c>
      <c r="W63" s="12" t="s">
        <v>47</v>
      </c>
      <c r="X63" s="17"/>
      <c r="Y63" s="13">
        <v>0</v>
      </c>
      <c r="Z63" s="13">
        <v>0</v>
      </c>
      <c r="AA63" s="13">
        <v>0</v>
      </c>
      <c r="AB63" s="14">
        <v>0</v>
      </c>
      <c r="AC63" s="9" t="s">
        <v>47</v>
      </c>
      <c r="AD63" s="16"/>
      <c r="AE63" s="10">
        <v>23</v>
      </c>
      <c r="AF63" s="10">
        <v>18</v>
      </c>
      <c r="AG63" s="10">
        <v>52</v>
      </c>
      <c r="AH63" s="11">
        <v>28</v>
      </c>
      <c r="AI63" s="12" t="s">
        <v>47</v>
      </c>
      <c r="AJ63" s="17"/>
      <c r="AK63" s="13">
        <v>60</v>
      </c>
      <c r="AL63" s="13">
        <v>0</v>
      </c>
      <c r="AM63" s="13">
        <v>11</v>
      </c>
      <c r="AN63" s="14">
        <v>59</v>
      </c>
      <c r="AO63" s="9"/>
      <c r="AP63" s="16"/>
      <c r="AQ63" s="10"/>
      <c r="AR63" s="10"/>
      <c r="AS63" s="10"/>
      <c r="AT63" s="11"/>
      <c r="AU63" s="12"/>
      <c r="AV63" s="17"/>
      <c r="AW63" s="13"/>
      <c r="AX63" s="13"/>
      <c r="AY63" s="13"/>
      <c r="AZ63" s="14"/>
      <c r="BA63" s="9"/>
      <c r="BB63" s="16"/>
      <c r="BC63" s="10"/>
      <c r="BD63" s="10"/>
      <c r="BE63" s="10"/>
      <c r="BF63" s="11"/>
      <c r="BG63" s="12"/>
      <c r="BH63" s="17"/>
      <c r="BI63" s="13"/>
      <c r="BJ63" s="13"/>
      <c r="BK63" s="13"/>
      <c r="BL63" s="14"/>
      <c r="BM63" s="8">
        <f t="shared" si="9"/>
        <v>144</v>
      </c>
      <c r="BN63" s="8">
        <f t="shared" si="10"/>
        <v>46</v>
      </c>
      <c r="BO63" s="8">
        <f t="shared" si="11"/>
        <v>108</v>
      </c>
      <c r="BP63" s="8">
        <f t="shared" si="12"/>
        <v>115</v>
      </c>
      <c r="BQ63" s="8">
        <f t="shared" si="13"/>
        <v>144</v>
      </c>
      <c r="BR63" s="8">
        <f t="shared" si="14"/>
        <v>46</v>
      </c>
      <c r="BS63" s="15">
        <f t="shared" si="15"/>
        <v>21.150418821385074</v>
      </c>
      <c r="BT63" s="15" t="str">
        <f t="shared" si="16"/>
        <v>OK - No Upgrade</v>
      </c>
      <c r="BU63" s="15" t="str">
        <f t="shared" si="17"/>
        <v>Need to Balance</v>
      </c>
    </row>
    <row r="64" spans="1:73" ht="15.75" customHeight="1" x14ac:dyDescent="0.25">
      <c r="A64" s="8" t="s">
        <v>38</v>
      </c>
      <c r="B64" s="8" t="s">
        <v>658</v>
      </c>
      <c r="C64" s="8" t="s">
        <v>573</v>
      </c>
      <c r="D64" s="8" t="s">
        <v>835</v>
      </c>
      <c r="E64" s="8" t="s">
        <v>836</v>
      </c>
      <c r="F64" s="8" t="s">
        <v>43</v>
      </c>
      <c r="G64" s="8"/>
      <c r="H64" s="8">
        <v>315</v>
      </c>
      <c r="I64" s="8" t="s">
        <v>837</v>
      </c>
      <c r="J64" s="8">
        <v>1</v>
      </c>
      <c r="K64" s="8">
        <v>243</v>
      </c>
      <c r="L64" s="8">
        <v>243</v>
      </c>
      <c r="M64" s="8">
        <v>245</v>
      </c>
      <c r="N64" s="8">
        <v>420</v>
      </c>
      <c r="O64" s="8">
        <v>424</v>
      </c>
      <c r="P64" s="8">
        <v>424</v>
      </c>
      <c r="Q64" s="9" t="s">
        <v>47</v>
      </c>
      <c r="R64" s="16"/>
      <c r="S64" s="10">
        <v>32</v>
      </c>
      <c r="T64" s="10">
        <v>27</v>
      </c>
      <c r="U64" s="10">
        <v>42</v>
      </c>
      <c r="V64" s="11">
        <v>15</v>
      </c>
      <c r="W64" s="12" t="s">
        <v>70</v>
      </c>
      <c r="X64" s="17"/>
      <c r="Y64" s="13">
        <v>57</v>
      </c>
      <c r="Z64" s="13">
        <v>50</v>
      </c>
      <c r="AA64" s="13">
        <v>47</v>
      </c>
      <c r="AB64" s="14">
        <v>18</v>
      </c>
      <c r="AC64" s="9"/>
      <c r="AD64" s="16"/>
      <c r="AE64" s="10"/>
      <c r="AF64" s="10"/>
      <c r="AG64" s="10"/>
      <c r="AH64" s="11"/>
      <c r="AI64" s="12"/>
      <c r="AJ64" s="17"/>
      <c r="AK64" s="13"/>
      <c r="AL64" s="13"/>
      <c r="AM64" s="13"/>
      <c r="AN64" s="14"/>
      <c r="AO64" s="9"/>
      <c r="AP64" s="16"/>
      <c r="AQ64" s="10"/>
      <c r="AR64" s="10"/>
      <c r="AS64" s="10"/>
      <c r="AT64" s="11"/>
      <c r="AU64" s="12"/>
      <c r="AV64" s="17"/>
      <c r="AW64" s="13"/>
      <c r="AX64" s="13"/>
      <c r="AY64" s="13"/>
      <c r="AZ64" s="14"/>
      <c r="BA64" s="9"/>
      <c r="BB64" s="16"/>
      <c r="BC64" s="10"/>
      <c r="BD64" s="10"/>
      <c r="BE64" s="10"/>
      <c r="BF64" s="11"/>
      <c r="BG64" s="12"/>
      <c r="BH64" s="17"/>
      <c r="BI64" s="13"/>
      <c r="BJ64" s="13"/>
      <c r="BK64" s="13"/>
      <c r="BL64" s="14"/>
      <c r="BM64" s="8">
        <f t="shared" si="9"/>
        <v>89</v>
      </c>
      <c r="BN64" s="8">
        <f t="shared" si="10"/>
        <v>77</v>
      </c>
      <c r="BO64" s="8">
        <f t="shared" si="11"/>
        <v>89</v>
      </c>
      <c r="BP64" s="8">
        <f t="shared" si="12"/>
        <v>33</v>
      </c>
      <c r="BQ64" s="8">
        <f t="shared" si="13"/>
        <v>89</v>
      </c>
      <c r="BR64" s="8">
        <f t="shared" si="14"/>
        <v>77</v>
      </c>
      <c r="BS64" s="15">
        <f t="shared" si="15"/>
        <v>20.553669583150675</v>
      </c>
      <c r="BT64" s="15" t="str">
        <f t="shared" si="16"/>
        <v>OK - No Upgrade</v>
      </c>
      <c r="BU64" s="15" t="str">
        <f t="shared" si="17"/>
        <v>OK - Balanced</v>
      </c>
    </row>
    <row r="65" spans="1:73" ht="15.75" customHeight="1" x14ac:dyDescent="0.25">
      <c r="A65" s="8" t="s">
        <v>38</v>
      </c>
      <c r="B65" s="8" t="s">
        <v>658</v>
      </c>
      <c r="C65" s="8" t="s">
        <v>573</v>
      </c>
      <c r="D65" s="8" t="s">
        <v>838</v>
      </c>
      <c r="E65" s="8" t="s">
        <v>839</v>
      </c>
      <c r="F65" s="8" t="s">
        <v>43</v>
      </c>
      <c r="G65" s="8"/>
      <c r="H65" s="8">
        <v>315</v>
      </c>
      <c r="I65" s="8" t="s">
        <v>840</v>
      </c>
      <c r="J65" s="8">
        <v>1</v>
      </c>
      <c r="K65" s="8">
        <v>245</v>
      </c>
      <c r="L65" s="8">
        <v>24</v>
      </c>
      <c r="M65" s="8">
        <v>247</v>
      </c>
      <c r="N65" s="8">
        <v>426</v>
      </c>
      <c r="O65" s="8">
        <v>429</v>
      </c>
      <c r="P65" s="8">
        <v>427</v>
      </c>
      <c r="Q65" s="9" t="s">
        <v>47</v>
      </c>
      <c r="R65" s="16"/>
      <c r="S65" s="10">
        <v>2</v>
      </c>
      <c r="T65" s="10">
        <v>15</v>
      </c>
      <c r="U65" s="10">
        <v>4</v>
      </c>
      <c r="V65" s="11">
        <v>9</v>
      </c>
      <c r="W65" s="12"/>
      <c r="X65" s="17"/>
      <c r="Y65" s="13"/>
      <c r="Z65" s="13"/>
      <c r="AA65" s="13"/>
      <c r="AB65" s="14"/>
      <c r="AC65" s="9"/>
      <c r="AD65" s="16"/>
      <c r="AE65" s="10"/>
      <c r="AF65" s="10"/>
      <c r="AG65" s="10"/>
      <c r="AH65" s="11"/>
      <c r="AI65" s="12"/>
      <c r="AJ65" s="17"/>
      <c r="AK65" s="13"/>
      <c r="AL65" s="13"/>
      <c r="AM65" s="13"/>
      <c r="AN65" s="14"/>
      <c r="AO65" s="9"/>
      <c r="AP65" s="16"/>
      <c r="AQ65" s="10"/>
      <c r="AR65" s="10"/>
      <c r="AS65" s="10"/>
      <c r="AT65" s="11"/>
      <c r="AU65" s="12"/>
      <c r="AV65" s="17"/>
      <c r="AW65" s="13"/>
      <c r="AX65" s="13"/>
      <c r="AY65" s="13"/>
      <c r="AZ65" s="14"/>
      <c r="BA65" s="9"/>
      <c r="BB65" s="16"/>
      <c r="BC65" s="10"/>
      <c r="BD65" s="10"/>
      <c r="BE65" s="10"/>
      <c r="BF65" s="11"/>
      <c r="BG65" s="12"/>
      <c r="BH65" s="17"/>
      <c r="BI65" s="13"/>
      <c r="BJ65" s="13"/>
      <c r="BK65" s="13"/>
      <c r="BL65" s="14"/>
      <c r="BM65" s="8">
        <f t="shared" si="9"/>
        <v>2</v>
      </c>
      <c r="BN65" s="8">
        <f t="shared" si="10"/>
        <v>15</v>
      </c>
      <c r="BO65" s="8">
        <f t="shared" si="11"/>
        <v>4</v>
      </c>
      <c r="BP65" s="8">
        <f t="shared" si="12"/>
        <v>9</v>
      </c>
      <c r="BQ65" s="8">
        <f t="shared" si="13"/>
        <v>15</v>
      </c>
      <c r="BR65" s="8">
        <f t="shared" si="14"/>
        <v>2</v>
      </c>
      <c r="BS65" s="15">
        <f t="shared" si="15"/>
        <v>3.5135887810682935</v>
      </c>
      <c r="BT65" s="15" t="str">
        <f t="shared" si="16"/>
        <v>OK - No Upgrade</v>
      </c>
      <c r="BU65" s="15" t="str">
        <f t="shared" si="17"/>
        <v>Need to Balance</v>
      </c>
    </row>
    <row r="66" spans="1:73" ht="15.75" customHeight="1" x14ac:dyDescent="0.25">
      <c r="A66" s="8" t="s">
        <v>38</v>
      </c>
      <c r="B66" s="8" t="s">
        <v>658</v>
      </c>
      <c r="C66" s="8" t="s">
        <v>573</v>
      </c>
      <c r="D66" s="8" t="s">
        <v>841</v>
      </c>
      <c r="E66" s="8" t="s">
        <v>842</v>
      </c>
      <c r="F66" s="8" t="s">
        <v>43</v>
      </c>
      <c r="G66" s="8"/>
      <c r="H66" s="8">
        <v>100</v>
      </c>
      <c r="I66" s="8" t="s">
        <v>843</v>
      </c>
      <c r="J66" s="8">
        <v>1</v>
      </c>
      <c r="K66" s="8">
        <v>244</v>
      </c>
      <c r="L66" s="8">
        <v>244</v>
      </c>
      <c r="M66" s="8">
        <v>246</v>
      </c>
      <c r="N66" s="8">
        <v>422</v>
      </c>
      <c r="O66" s="8">
        <v>424</v>
      </c>
      <c r="P66" s="8">
        <v>425</v>
      </c>
      <c r="Q66" s="9" t="s">
        <v>47</v>
      </c>
      <c r="R66" s="16"/>
      <c r="S66" s="10">
        <v>83</v>
      </c>
      <c r="T66" s="10">
        <v>77</v>
      </c>
      <c r="U66" s="10">
        <v>99</v>
      </c>
      <c r="V66" s="11">
        <v>19</v>
      </c>
      <c r="W66" s="12"/>
      <c r="X66" s="17"/>
      <c r="Y66" s="13"/>
      <c r="Z66" s="13"/>
      <c r="AA66" s="13"/>
      <c r="AB66" s="14"/>
      <c r="AC66" s="9"/>
      <c r="AD66" s="16"/>
      <c r="AE66" s="10"/>
      <c r="AF66" s="10"/>
      <c r="AG66" s="10"/>
      <c r="AH66" s="11"/>
      <c r="AI66" s="12"/>
      <c r="AJ66" s="17"/>
      <c r="AK66" s="13"/>
      <c r="AL66" s="13"/>
      <c r="AM66" s="13"/>
      <c r="AN66" s="14"/>
      <c r="AO66" s="9"/>
      <c r="AP66" s="16"/>
      <c r="AQ66" s="10"/>
      <c r="AR66" s="10"/>
      <c r="AS66" s="10"/>
      <c r="AT66" s="11"/>
      <c r="AU66" s="12"/>
      <c r="AV66" s="17"/>
      <c r="AW66" s="13"/>
      <c r="AX66" s="13"/>
      <c r="AY66" s="13"/>
      <c r="AZ66" s="14"/>
      <c r="BA66" s="9"/>
      <c r="BB66" s="16"/>
      <c r="BC66" s="10"/>
      <c r="BD66" s="10"/>
      <c r="BE66" s="10"/>
      <c r="BF66" s="11"/>
      <c r="BG66" s="12"/>
      <c r="BH66" s="17"/>
      <c r="BI66" s="13"/>
      <c r="BJ66" s="13"/>
      <c r="BK66" s="13"/>
      <c r="BL66" s="14"/>
      <c r="BM66" s="8">
        <f t="shared" si="9"/>
        <v>83</v>
      </c>
      <c r="BN66" s="8">
        <f t="shared" si="10"/>
        <v>77</v>
      </c>
      <c r="BO66" s="8">
        <f t="shared" si="11"/>
        <v>99</v>
      </c>
      <c r="BP66" s="8">
        <f t="shared" si="12"/>
        <v>19</v>
      </c>
      <c r="BQ66" s="8">
        <f t="shared" si="13"/>
        <v>99</v>
      </c>
      <c r="BR66" s="8">
        <f t="shared" si="14"/>
        <v>77</v>
      </c>
      <c r="BS66" s="15">
        <f t="shared" si="15"/>
        <v>72.361618638612541</v>
      </c>
      <c r="BT66" s="15" t="str">
        <f t="shared" si="16"/>
        <v>Upgrade</v>
      </c>
      <c r="BU66" s="15" t="str">
        <f t="shared" si="17"/>
        <v>Need to Balance</v>
      </c>
    </row>
    <row r="67" spans="1:73" ht="15.75" customHeight="1" x14ac:dyDescent="0.25">
      <c r="A67" s="8" t="s">
        <v>38</v>
      </c>
      <c r="B67" s="8" t="s">
        <v>658</v>
      </c>
      <c r="C67" s="8" t="s">
        <v>573</v>
      </c>
      <c r="D67" s="8" t="s">
        <v>844</v>
      </c>
      <c r="E67" s="8" t="s">
        <v>845</v>
      </c>
      <c r="F67" s="8" t="s">
        <v>43</v>
      </c>
      <c r="G67" s="8"/>
      <c r="H67" s="8">
        <v>100</v>
      </c>
      <c r="I67" s="8" t="s">
        <v>846</v>
      </c>
      <c r="J67" s="8">
        <v>1</v>
      </c>
      <c r="K67" s="8">
        <v>243</v>
      </c>
      <c r="L67" s="8">
        <v>244</v>
      </c>
      <c r="M67" s="8">
        <v>244</v>
      </c>
      <c r="N67" s="8">
        <v>420</v>
      </c>
      <c r="O67" s="8">
        <v>424</v>
      </c>
      <c r="P67" s="8">
        <v>425</v>
      </c>
      <c r="Q67" s="9" t="s">
        <v>46</v>
      </c>
      <c r="R67" s="16"/>
      <c r="S67" s="10">
        <v>36</v>
      </c>
      <c r="T67" s="10">
        <v>0</v>
      </c>
      <c r="U67" s="10">
        <v>22</v>
      </c>
      <c r="V67" s="11">
        <v>27</v>
      </c>
      <c r="W67" s="12" t="s">
        <v>47</v>
      </c>
      <c r="X67" s="17"/>
      <c r="Y67" s="13">
        <v>34</v>
      </c>
      <c r="Z67" s="13">
        <v>38</v>
      </c>
      <c r="AA67" s="13">
        <v>25</v>
      </c>
      <c r="AB67" s="14">
        <v>12</v>
      </c>
      <c r="AC67" s="9"/>
      <c r="AD67" s="16"/>
      <c r="AE67" s="10"/>
      <c r="AF67" s="10"/>
      <c r="AG67" s="10"/>
      <c r="AH67" s="11"/>
      <c r="AI67" s="12"/>
      <c r="AJ67" s="17"/>
      <c r="AK67" s="13"/>
      <c r="AL67" s="13"/>
      <c r="AM67" s="13"/>
      <c r="AN67" s="14"/>
      <c r="AO67" s="9"/>
      <c r="AP67" s="16"/>
      <c r="AQ67" s="10"/>
      <c r="AR67" s="10"/>
      <c r="AS67" s="10"/>
      <c r="AT67" s="11"/>
      <c r="AU67" s="12"/>
      <c r="AV67" s="17"/>
      <c r="AW67" s="13"/>
      <c r="AX67" s="13"/>
      <c r="AY67" s="13"/>
      <c r="AZ67" s="14"/>
      <c r="BA67" s="9"/>
      <c r="BB67" s="16"/>
      <c r="BC67" s="10"/>
      <c r="BD67" s="10"/>
      <c r="BE67" s="10"/>
      <c r="BF67" s="11"/>
      <c r="BG67" s="12"/>
      <c r="BH67" s="17"/>
      <c r="BI67" s="13"/>
      <c r="BJ67" s="13"/>
      <c r="BK67" s="13"/>
      <c r="BL67" s="14"/>
      <c r="BM67" s="8">
        <f t="shared" si="9"/>
        <v>70</v>
      </c>
      <c r="BN67" s="8">
        <f t="shared" si="10"/>
        <v>38</v>
      </c>
      <c r="BO67" s="8">
        <f t="shared" si="11"/>
        <v>47</v>
      </c>
      <c r="BP67" s="8">
        <f t="shared" si="12"/>
        <v>39</v>
      </c>
      <c r="BQ67" s="8">
        <f t="shared" si="13"/>
        <v>70</v>
      </c>
      <c r="BR67" s="8">
        <f t="shared" si="14"/>
        <v>38</v>
      </c>
      <c r="BS67" s="15">
        <f t="shared" si="15"/>
        <v>50.922293742524992</v>
      </c>
      <c r="BT67" s="15" t="str">
        <f t="shared" si="16"/>
        <v>OK - No Upgrade</v>
      </c>
      <c r="BU67" s="15" t="str">
        <f t="shared" si="17"/>
        <v>Need to Balance</v>
      </c>
    </row>
    <row r="68" spans="1:73" ht="15.75" customHeight="1" x14ac:dyDescent="0.25">
      <c r="A68" s="8" t="s">
        <v>38</v>
      </c>
      <c r="B68" s="8" t="s">
        <v>658</v>
      </c>
      <c r="C68" s="8" t="s">
        <v>573</v>
      </c>
      <c r="D68" s="8" t="s">
        <v>847</v>
      </c>
      <c r="E68" s="8" t="s">
        <v>848</v>
      </c>
      <c r="F68" s="8" t="s">
        <v>43</v>
      </c>
      <c r="G68" s="8"/>
      <c r="H68" s="8">
        <v>315</v>
      </c>
      <c r="I68" s="8" t="s">
        <v>849</v>
      </c>
      <c r="J68" s="8">
        <v>1</v>
      </c>
      <c r="K68" s="8">
        <v>236</v>
      </c>
      <c r="L68" s="8">
        <v>236</v>
      </c>
      <c r="M68" s="8">
        <v>238</v>
      </c>
      <c r="N68" s="8">
        <v>409</v>
      </c>
      <c r="O68" s="8">
        <v>413</v>
      </c>
      <c r="P68" s="8">
        <v>411</v>
      </c>
      <c r="Q68" s="9" t="s">
        <v>47</v>
      </c>
      <c r="R68" s="16"/>
      <c r="S68" s="10">
        <v>0</v>
      </c>
      <c r="T68" s="10">
        <v>0</v>
      </c>
      <c r="U68" s="10">
        <v>0</v>
      </c>
      <c r="V68" s="11">
        <v>0</v>
      </c>
      <c r="W68" s="12"/>
      <c r="X68" s="17"/>
      <c r="Y68" s="13"/>
      <c r="Z68" s="13"/>
      <c r="AA68" s="13"/>
      <c r="AB68" s="14"/>
      <c r="AC68" s="9"/>
      <c r="AD68" s="16"/>
      <c r="AE68" s="10"/>
      <c r="AF68" s="10"/>
      <c r="AG68" s="10"/>
      <c r="AH68" s="11"/>
      <c r="AI68" s="12"/>
      <c r="AJ68" s="17"/>
      <c r="AK68" s="13"/>
      <c r="AL68" s="13"/>
      <c r="AM68" s="13"/>
      <c r="AN68" s="14"/>
      <c r="AO68" s="9"/>
      <c r="AP68" s="16"/>
      <c r="AQ68" s="10"/>
      <c r="AR68" s="10"/>
      <c r="AS68" s="10"/>
      <c r="AT68" s="11"/>
      <c r="AU68" s="12"/>
      <c r="AV68" s="17"/>
      <c r="AW68" s="13"/>
      <c r="AX68" s="13"/>
      <c r="AY68" s="13"/>
      <c r="AZ68" s="14"/>
      <c r="BA68" s="9"/>
      <c r="BB68" s="16"/>
      <c r="BC68" s="10"/>
      <c r="BD68" s="10"/>
      <c r="BE68" s="10"/>
      <c r="BF68" s="11"/>
      <c r="BG68" s="12"/>
      <c r="BH68" s="17"/>
      <c r="BI68" s="13"/>
      <c r="BJ68" s="13"/>
      <c r="BK68" s="13"/>
      <c r="BL68" s="14"/>
      <c r="BM68" s="8">
        <f t="shared" ref="BM68:BM73" si="18">SUM(S68,Y68,AE68,AK68,AQ68,AW68,BC68,BI68)</f>
        <v>0</v>
      </c>
      <c r="BN68" s="8">
        <f t="shared" ref="BN68:BN73" si="19">SUM(T68,Z68,AF68,AL68,AR68,AX68,BD68,BJ68)</f>
        <v>0</v>
      </c>
      <c r="BO68" s="8">
        <f t="shared" ref="BO68:BO73" si="20">SUM(U68,AA68,AG68,AM68,AS68,AY68,BE68,BK68)</f>
        <v>0</v>
      </c>
      <c r="BP68" s="8">
        <f t="shared" ref="BP68:BP73" si="21">SUM(V68,AB68,AH68,AN68,AT68,AZ68,BF68,BL68)</f>
        <v>0</v>
      </c>
      <c r="BQ68" s="8">
        <f t="shared" ref="BQ68:BQ73" si="22">MAX(BM68:BO68)</f>
        <v>0</v>
      </c>
      <c r="BR68" s="8">
        <f t="shared" ref="BR68:BR73" si="23">MIN(BM68:BO68)</f>
        <v>0</v>
      </c>
      <c r="BS68" s="15">
        <f t="shared" ref="BS68:BS73" si="24">IF(H68&gt;0,(BQ68*SQRT(3)*IF(N68&gt;0,N68,IF(O68&gt;0,O68,IF(P68&gt;0,P68,415)))/(H68*1000))*100,0)</f>
        <v>0</v>
      </c>
      <c r="BT68" s="15" t="str">
        <f t="shared" ref="BT68:BT99" si="25">IF(BS68&gt;70,"Upgrade","OK - No Upgrade")</f>
        <v>OK - No Upgrade</v>
      </c>
      <c r="BU68" s="15" t="str">
        <f t="shared" ref="BU68:BU73" si="26">IF(IF(AVERAGE(BM68:BO68)&gt;0,((BQ68-AVERAGE(BM68:BO68))/AVERAGE(BM68:BO68))*100,0)&gt;10,"Need to Balance","OK - Balanced")</f>
        <v>OK - Balanced</v>
      </c>
    </row>
    <row r="69" spans="1:73" ht="15.75" customHeight="1" x14ac:dyDescent="0.25">
      <c r="A69" s="8" t="s">
        <v>38</v>
      </c>
      <c r="B69" s="8" t="s">
        <v>658</v>
      </c>
      <c r="C69" s="8" t="s">
        <v>573</v>
      </c>
      <c r="D69" s="8" t="s">
        <v>850</v>
      </c>
      <c r="E69" s="8" t="s">
        <v>851</v>
      </c>
      <c r="F69" s="8" t="s">
        <v>43</v>
      </c>
      <c r="G69" s="8"/>
      <c r="H69" s="8">
        <v>100</v>
      </c>
      <c r="I69" s="8" t="s">
        <v>852</v>
      </c>
      <c r="J69" s="8">
        <v>1</v>
      </c>
      <c r="K69" s="8">
        <v>249</v>
      </c>
      <c r="L69" s="8">
        <v>249</v>
      </c>
      <c r="M69" s="8">
        <v>251</v>
      </c>
      <c r="N69" s="8">
        <v>433</v>
      </c>
      <c r="O69" s="8">
        <v>436</v>
      </c>
      <c r="P69" s="8">
        <v>435</v>
      </c>
      <c r="Q69" s="9" t="s">
        <v>47</v>
      </c>
      <c r="R69" s="16"/>
      <c r="S69" s="10">
        <v>0</v>
      </c>
      <c r="T69" s="10">
        <v>0</v>
      </c>
      <c r="U69" s="10">
        <v>2</v>
      </c>
      <c r="V69" s="11">
        <v>2</v>
      </c>
      <c r="W69" s="12" t="s">
        <v>334</v>
      </c>
      <c r="X69" s="17"/>
      <c r="Y69" s="13">
        <v>5</v>
      </c>
      <c r="Z69" s="13">
        <v>7</v>
      </c>
      <c r="AA69" s="13">
        <v>5</v>
      </c>
      <c r="AB69" s="14">
        <v>2</v>
      </c>
      <c r="AC69" s="9"/>
      <c r="AD69" s="16"/>
      <c r="AE69" s="10"/>
      <c r="AF69" s="10"/>
      <c r="AG69" s="10"/>
      <c r="AH69" s="11"/>
      <c r="AI69" s="12"/>
      <c r="AJ69" s="17"/>
      <c r="AK69" s="13"/>
      <c r="AL69" s="13"/>
      <c r="AM69" s="13"/>
      <c r="AN69" s="14"/>
      <c r="AO69" s="9"/>
      <c r="AP69" s="16"/>
      <c r="AQ69" s="10"/>
      <c r="AR69" s="10"/>
      <c r="AS69" s="10"/>
      <c r="AT69" s="11"/>
      <c r="AU69" s="12"/>
      <c r="AV69" s="17"/>
      <c r="AW69" s="13"/>
      <c r="AX69" s="13"/>
      <c r="AY69" s="13"/>
      <c r="AZ69" s="14"/>
      <c r="BA69" s="9"/>
      <c r="BB69" s="16"/>
      <c r="BC69" s="10"/>
      <c r="BD69" s="10"/>
      <c r="BE69" s="10"/>
      <c r="BF69" s="11"/>
      <c r="BG69" s="12"/>
      <c r="BH69" s="17"/>
      <c r="BI69" s="13"/>
      <c r="BJ69" s="13"/>
      <c r="BK69" s="13"/>
      <c r="BL69" s="14"/>
      <c r="BM69" s="8">
        <f t="shared" si="18"/>
        <v>5</v>
      </c>
      <c r="BN69" s="8">
        <f t="shared" si="19"/>
        <v>7</v>
      </c>
      <c r="BO69" s="8">
        <f t="shared" si="20"/>
        <v>7</v>
      </c>
      <c r="BP69" s="8">
        <f t="shared" si="21"/>
        <v>4</v>
      </c>
      <c r="BQ69" s="8">
        <f t="shared" si="22"/>
        <v>7</v>
      </c>
      <c r="BR69" s="8">
        <f t="shared" si="23"/>
        <v>5</v>
      </c>
      <c r="BS69" s="15">
        <f t="shared" si="24"/>
        <v>5.249845997741267</v>
      </c>
      <c r="BT69" s="15" t="str">
        <f t="shared" si="25"/>
        <v>OK - No Upgrade</v>
      </c>
      <c r="BU69" s="15" t="str">
        <f t="shared" si="26"/>
        <v>Need to Balance</v>
      </c>
    </row>
    <row r="70" spans="1:73" ht="15.75" customHeight="1" x14ac:dyDescent="0.25">
      <c r="A70" s="8" t="s">
        <v>38</v>
      </c>
      <c r="B70" s="8" t="s">
        <v>658</v>
      </c>
      <c r="C70" s="8" t="s">
        <v>662</v>
      </c>
      <c r="D70" s="8" t="s">
        <v>853</v>
      </c>
      <c r="E70" s="8" t="s">
        <v>854</v>
      </c>
      <c r="F70" s="8" t="s">
        <v>43</v>
      </c>
      <c r="G70" s="8"/>
      <c r="H70" s="8">
        <v>315</v>
      </c>
      <c r="I70" s="8" t="s">
        <v>855</v>
      </c>
      <c r="J70" s="8">
        <v>1</v>
      </c>
      <c r="K70" s="8">
        <v>250</v>
      </c>
      <c r="L70" s="8">
        <v>249</v>
      </c>
      <c r="M70" s="8">
        <v>250</v>
      </c>
      <c r="N70" s="8">
        <v>431</v>
      </c>
      <c r="O70" s="8">
        <v>434</v>
      </c>
      <c r="P70" s="8">
        <v>434</v>
      </c>
      <c r="Q70" s="9" t="s">
        <v>46</v>
      </c>
      <c r="R70" s="16"/>
      <c r="S70" s="10">
        <v>12</v>
      </c>
      <c r="T70" s="10">
        <v>31</v>
      </c>
      <c r="U70" s="10">
        <v>92</v>
      </c>
      <c r="V70" s="11">
        <v>71</v>
      </c>
      <c r="W70" s="12" t="s">
        <v>47</v>
      </c>
      <c r="X70" s="17"/>
      <c r="Y70" s="13">
        <v>14</v>
      </c>
      <c r="Z70" s="13">
        <v>15</v>
      </c>
      <c r="AA70" s="13">
        <v>13</v>
      </c>
      <c r="AB70" s="14">
        <v>5</v>
      </c>
      <c r="AC70" s="9"/>
      <c r="AD70" s="16"/>
      <c r="AE70" s="10"/>
      <c r="AF70" s="10"/>
      <c r="AG70" s="10"/>
      <c r="AH70" s="11"/>
      <c r="AI70" s="12"/>
      <c r="AJ70" s="17"/>
      <c r="AK70" s="13"/>
      <c r="AL70" s="13"/>
      <c r="AM70" s="13"/>
      <c r="AN70" s="14"/>
      <c r="AO70" s="9"/>
      <c r="AP70" s="16"/>
      <c r="AQ70" s="10"/>
      <c r="AR70" s="10"/>
      <c r="AS70" s="10"/>
      <c r="AT70" s="11"/>
      <c r="AU70" s="12"/>
      <c r="AV70" s="17"/>
      <c r="AW70" s="13"/>
      <c r="AX70" s="13"/>
      <c r="AY70" s="13"/>
      <c r="AZ70" s="14"/>
      <c r="BA70" s="9"/>
      <c r="BB70" s="16"/>
      <c r="BC70" s="10"/>
      <c r="BD70" s="10"/>
      <c r="BE70" s="10"/>
      <c r="BF70" s="11"/>
      <c r="BG70" s="12"/>
      <c r="BH70" s="17"/>
      <c r="BI70" s="13"/>
      <c r="BJ70" s="13"/>
      <c r="BK70" s="13"/>
      <c r="BL70" s="14"/>
      <c r="BM70" s="8">
        <f t="shared" si="18"/>
        <v>26</v>
      </c>
      <c r="BN70" s="8">
        <f t="shared" si="19"/>
        <v>46</v>
      </c>
      <c r="BO70" s="8">
        <f t="shared" si="20"/>
        <v>105</v>
      </c>
      <c r="BP70" s="8">
        <f t="shared" si="21"/>
        <v>76</v>
      </c>
      <c r="BQ70" s="8">
        <f t="shared" si="22"/>
        <v>105</v>
      </c>
      <c r="BR70" s="8">
        <f t="shared" si="23"/>
        <v>26</v>
      </c>
      <c r="BS70" s="15">
        <f t="shared" si="24"/>
        <v>24.883796602072866</v>
      </c>
      <c r="BT70" s="15" t="str">
        <f t="shared" si="25"/>
        <v>OK - No Upgrade</v>
      </c>
      <c r="BU70" s="15" t="str">
        <f t="shared" si="26"/>
        <v>Need to Balance</v>
      </c>
    </row>
    <row r="71" spans="1:73" ht="15.75" customHeight="1" x14ac:dyDescent="0.25">
      <c r="A71" s="8" t="s">
        <v>38</v>
      </c>
      <c r="B71" s="8" t="s">
        <v>658</v>
      </c>
      <c r="C71" s="8" t="s">
        <v>662</v>
      </c>
      <c r="D71" s="8" t="s">
        <v>856</v>
      </c>
      <c r="E71" s="8" t="s">
        <v>857</v>
      </c>
      <c r="F71" s="8" t="s">
        <v>56</v>
      </c>
      <c r="G71" s="8"/>
      <c r="H71" s="8">
        <v>1000</v>
      </c>
      <c r="I71" s="8" t="s">
        <v>858</v>
      </c>
      <c r="J71" s="8">
        <v>1</v>
      </c>
      <c r="K71" s="8">
        <v>250</v>
      </c>
      <c r="L71" s="8">
        <v>249</v>
      </c>
      <c r="M71" s="8">
        <v>253</v>
      </c>
      <c r="N71" s="8">
        <v>423</v>
      </c>
      <c r="O71" s="8">
        <v>438</v>
      </c>
      <c r="P71" s="8">
        <v>437</v>
      </c>
      <c r="Q71" s="9" t="s">
        <v>47</v>
      </c>
      <c r="R71" s="16"/>
      <c r="S71" s="10">
        <v>28</v>
      </c>
      <c r="T71" s="10">
        <v>85</v>
      </c>
      <c r="U71" s="10">
        <v>51</v>
      </c>
      <c r="V71" s="11">
        <v>48</v>
      </c>
      <c r="W71" s="12" t="s">
        <v>47</v>
      </c>
      <c r="X71" s="17"/>
      <c r="Y71" s="13">
        <v>39</v>
      </c>
      <c r="Z71" s="13">
        <v>58</v>
      </c>
      <c r="AA71" s="13">
        <v>54</v>
      </c>
      <c r="AB71" s="14">
        <v>20</v>
      </c>
      <c r="AC71" s="9" t="s">
        <v>47</v>
      </c>
      <c r="AD71" s="16"/>
      <c r="AE71" s="10">
        <v>213</v>
      </c>
      <c r="AF71" s="10">
        <v>138</v>
      </c>
      <c r="AG71" s="10">
        <v>153</v>
      </c>
      <c r="AH71" s="11">
        <v>58</v>
      </c>
      <c r="AI71" s="12" t="s">
        <v>70</v>
      </c>
      <c r="AJ71" s="17"/>
      <c r="AK71" s="13">
        <v>14</v>
      </c>
      <c r="AL71" s="13">
        <v>0</v>
      </c>
      <c r="AM71" s="13">
        <v>0</v>
      </c>
      <c r="AN71" s="14">
        <v>11</v>
      </c>
      <c r="AO71" s="9"/>
      <c r="AP71" s="16"/>
      <c r="AQ71" s="10"/>
      <c r="AR71" s="10"/>
      <c r="AS71" s="10"/>
      <c r="AT71" s="11"/>
      <c r="AU71" s="12"/>
      <c r="AV71" s="17"/>
      <c r="AW71" s="13"/>
      <c r="AX71" s="13"/>
      <c r="AY71" s="13"/>
      <c r="AZ71" s="14"/>
      <c r="BA71" s="9"/>
      <c r="BB71" s="16"/>
      <c r="BC71" s="10"/>
      <c r="BD71" s="10"/>
      <c r="BE71" s="10"/>
      <c r="BF71" s="11"/>
      <c r="BG71" s="12"/>
      <c r="BH71" s="17"/>
      <c r="BI71" s="13"/>
      <c r="BJ71" s="13"/>
      <c r="BK71" s="13"/>
      <c r="BL71" s="14"/>
      <c r="BM71" s="8">
        <f t="shared" si="18"/>
        <v>294</v>
      </c>
      <c r="BN71" s="8">
        <f t="shared" si="19"/>
        <v>281</v>
      </c>
      <c r="BO71" s="8">
        <f t="shared" si="20"/>
        <v>258</v>
      </c>
      <c r="BP71" s="8">
        <f t="shared" si="21"/>
        <v>137</v>
      </c>
      <c r="BQ71" s="8">
        <f t="shared" si="22"/>
        <v>294</v>
      </c>
      <c r="BR71" s="8">
        <f t="shared" si="23"/>
        <v>258</v>
      </c>
      <c r="BS71" s="15">
        <f t="shared" si="24"/>
        <v>21.540130253088069</v>
      </c>
      <c r="BT71" s="15" t="str">
        <f t="shared" si="25"/>
        <v>OK - No Upgrade</v>
      </c>
      <c r="BU71" s="15" t="str">
        <f t="shared" si="26"/>
        <v>OK - Balanced</v>
      </c>
    </row>
    <row r="72" spans="1:73" ht="15.75" customHeight="1" x14ac:dyDescent="0.25">
      <c r="A72" s="8" t="s">
        <v>38</v>
      </c>
      <c r="B72" s="8" t="s">
        <v>658</v>
      </c>
      <c r="C72" s="8" t="s">
        <v>573</v>
      </c>
      <c r="D72" s="8"/>
      <c r="E72" s="8" t="s">
        <v>859</v>
      </c>
      <c r="F72" s="8" t="s">
        <v>56</v>
      </c>
      <c r="G72" s="8"/>
      <c r="H72" s="8">
        <v>500</v>
      </c>
      <c r="I72" s="8" t="s">
        <v>860</v>
      </c>
      <c r="J72" s="8">
        <v>1</v>
      </c>
      <c r="K72" s="8">
        <v>244</v>
      </c>
      <c r="L72" s="8">
        <v>244</v>
      </c>
      <c r="M72" s="8">
        <v>246</v>
      </c>
      <c r="N72" s="8">
        <v>422</v>
      </c>
      <c r="O72" s="8">
        <v>427</v>
      </c>
      <c r="P72" s="8">
        <v>426</v>
      </c>
      <c r="Q72" s="9"/>
      <c r="R72" s="16"/>
      <c r="S72" s="10"/>
      <c r="T72" s="10"/>
      <c r="U72" s="10"/>
      <c r="V72" s="11"/>
      <c r="W72" s="12" t="s">
        <v>70</v>
      </c>
      <c r="X72" s="17"/>
      <c r="Y72" s="13">
        <v>140</v>
      </c>
      <c r="Z72" s="13">
        <v>127</v>
      </c>
      <c r="AA72" s="13">
        <v>121</v>
      </c>
      <c r="AB72" s="14">
        <v>126</v>
      </c>
      <c r="AC72" s="9"/>
      <c r="AD72" s="16"/>
      <c r="AE72" s="10"/>
      <c r="AF72" s="10"/>
      <c r="AG72" s="10"/>
      <c r="AH72" s="11"/>
      <c r="AI72" s="12"/>
      <c r="AJ72" s="17"/>
      <c r="AK72" s="13">
        <v>68</v>
      </c>
      <c r="AL72" s="13">
        <v>83</v>
      </c>
      <c r="AM72" s="13">
        <v>50</v>
      </c>
      <c r="AN72" s="14">
        <v>69</v>
      </c>
      <c r="AO72" s="9"/>
      <c r="AP72" s="16"/>
      <c r="AQ72" s="10"/>
      <c r="AR72" s="10"/>
      <c r="AS72" s="10"/>
      <c r="AT72" s="11"/>
      <c r="AU72" s="12"/>
      <c r="AV72" s="17"/>
      <c r="AW72" s="13"/>
      <c r="AX72" s="13"/>
      <c r="AY72" s="13"/>
      <c r="AZ72" s="14"/>
      <c r="BA72" s="9"/>
      <c r="BB72" s="16"/>
      <c r="BC72" s="10"/>
      <c r="BD72" s="10"/>
      <c r="BE72" s="10"/>
      <c r="BF72" s="11"/>
      <c r="BG72" s="12"/>
      <c r="BH72" s="17"/>
      <c r="BI72" s="13"/>
      <c r="BJ72" s="13"/>
      <c r="BK72" s="13"/>
      <c r="BL72" s="14"/>
      <c r="BM72" s="8">
        <f t="shared" si="18"/>
        <v>208</v>
      </c>
      <c r="BN72" s="8">
        <f t="shared" si="19"/>
        <v>210</v>
      </c>
      <c r="BO72" s="8">
        <f t="shared" si="20"/>
        <v>171</v>
      </c>
      <c r="BP72" s="8">
        <f t="shared" si="21"/>
        <v>195</v>
      </c>
      <c r="BQ72" s="8">
        <f t="shared" si="22"/>
        <v>210</v>
      </c>
      <c r="BR72" s="8">
        <f t="shared" si="23"/>
        <v>171</v>
      </c>
      <c r="BS72" s="15">
        <f t="shared" si="24"/>
        <v>30.698868513350774</v>
      </c>
      <c r="BT72" s="15" t="str">
        <f t="shared" si="25"/>
        <v>OK - No Upgrade</v>
      </c>
      <c r="BU72" s="15" t="str">
        <f t="shared" si="26"/>
        <v>OK - Balanced</v>
      </c>
    </row>
    <row r="73" spans="1:73" ht="15.75" customHeight="1" x14ac:dyDescent="0.25">
      <c r="A73" s="8" t="s">
        <v>38</v>
      </c>
      <c r="B73" s="8" t="s">
        <v>658</v>
      </c>
      <c r="C73" s="8" t="s">
        <v>573</v>
      </c>
      <c r="D73" s="8"/>
      <c r="E73" s="8" t="s">
        <v>861</v>
      </c>
      <c r="F73" s="8" t="s">
        <v>56</v>
      </c>
      <c r="G73" s="8"/>
      <c r="H73" s="8">
        <v>1000</v>
      </c>
      <c r="I73" s="8" t="s">
        <v>862</v>
      </c>
      <c r="J73" s="8">
        <v>1</v>
      </c>
      <c r="K73" s="8">
        <v>232</v>
      </c>
      <c r="L73" s="8">
        <v>233</v>
      </c>
      <c r="M73" s="8">
        <v>235</v>
      </c>
      <c r="N73" s="8">
        <v>399</v>
      </c>
      <c r="O73" s="8">
        <v>405</v>
      </c>
      <c r="P73" s="8">
        <v>406</v>
      </c>
      <c r="Q73" s="9"/>
      <c r="R73" s="16"/>
      <c r="S73" s="10"/>
      <c r="T73" s="10"/>
      <c r="U73" s="10"/>
      <c r="V73" s="11"/>
      <c r="W73" s="12"/>
      <c r="X73" s="17"/>
      <c r="Y73" s="13"/>
      <c r="Z73" s="13"/>
      <c r="AA73" s="13"/>
      <c r="AB73" s="14"/>
      <c r="AC73" s="9"/>
      <c r="AD73" s="16"/>
      <c r="AE73" s="10"/>
      <c r="AF73" s="10"/>
      <c r="AG73" s="10"/>
      <c r="AH73" s="11"/>
      <c r="AI73" s="12" t="s">
        <v>70</v>
      </c>
      <c r="AJ73" s="17"/>
      <c r="AK73" s="13">
        <v>62</v>
      </c>
      <c r="AL73" s="13">
        <v>79</v>
      </c>
      <c r="AM73" s="13">
        <v>76</v>
      </c>
      <c r="AN73" s="14">
        <v>17</v>
      </c>
      <c r="AO73" s="9"/>
      <c r="AP73" s="16"/>
      <c r="AQ73" s="10"/>
      <c r="AR73" s="10"/>
      <c r="AS73" s="10"/>
      <c r="AT73" s="11"/>
      <c r="AU73" s="12" t="s">
        <v>70</v>
      </c>
      <c r="AV73" s="17"/>
      <c r="AW73" s="13">
        <v>129</v>
      </c>
      <c r="AX73" s="13">
        <v>92</v>
      </c>
      <c r="AY73" s="13">
        <v>94</v>
      </c>
      <c r="AZ73" s="14">
        <v>41</v>
      </c>
      <c r="BA73" s="9" t="s">
        <v>70</v>
      </c>
      <c r="BB73" s="16"/>
      <c r="BC73" s="10">
        <v>83</v>
      </c>
      <c r="BD73" s="10">
        <v>69</v>
      </c>
      <c r="BE73" s="10">
        <v>111</v>
      </c>
      <c r="BF73" s="11">
        <v>38</v>
      </c>
      <c r="BG73" s="12" t="s">
        <v>70</v>
      </c>
      <c r="BH73" s="17"/>
      <c r="BI73" s="13">
        <v>123</v>
      </c>
      <c r="BJ73" s="13">
        <v>128</v>
      </c>
      <c r="BK73" s="13">
        <v>117</v>
      </c>
      <c r="BL73" s="14">
        <v>21</v>
      </c>
      <c r="BM73" s="8">
        <f t="shared" si="18"/>
        <v>397</v>
      </c>
      <c r="BN73" s="8">
        <f t="shared" si="19"/>
        <v>368</v>
      </c>
      <c r="BO73" s="8">
        <f t="shared" si="20"/>
        <v>398</v>
      </c>
      <c r="BP73" s="8">
        <f t="shared" si="21"/>
        <v>117</v>
      </c>
      <c r="BQ73" s="8">
        <f t="shared" si="22"/>
        <v>398</v>
      </c>
      <c r="BR73" s="8">
        <f t="shared" si="23"/>
        <v>368</v>
      </c>
      <c r="BS73" s="15">
        <f t="shared" si="24"/>
        <v>27.505313234355285</v>
      </c>
      <c r="BT73" s="15" t="str">
        <f t="shared" si="25"/>
        <v>OK - No Upgrade</v>
      </c>
      <c r="BU73" s="15" t="str">
        <f t="shared" si="26"/>
        <v>OK - Balanced</v>
      </c>
    </row>
  </sheetData>
  <mergeCells count="79">
    <mergeCell ref="BU1:BU3"/>
    <mergeCell ref="BI2:BI3"/>
    <mergeCell ref="AE2:AE3"/>
    <mergeCell ref="AG2:AG3"/>
    <mergeCell ref="Y2:Y3"/>
    <mergeCell ref="AQ2:AQ3"/>
    <mergeCell ref="AS2:AS3"/>
    <mergeCell ref="AY2:AY3"/>
    <mergeCell ref="BK2:BK3"/>
    <mergeCell ref="AZ2:AZ3"/>
    <mergeCell ref="BB2:BB3"/>
    <mergeCell ref="BL2:BL3"/>
    <mergeCell ref="BN2:BN3"/>
    <mergeCell ref="AU1:AZ1"/>
    <mergeCell ref="AJ2:AJ3"/>
    <mergeCell ref="AL2:AL3"/>
    <mergeCell ref="BR1:BR3"/>
    <mergeCell ref="H1:H3"/>
    <mergeCell ref="AR2:AR3"/>
    <mergeCell ref="AT2:AT3"/>
    <mergeCell ref="E1:E3"/>
    <mergeCell ref="BF2:BF3"/>
    <mergeCell ref="K2:M2"/>
    <mergeCell ref="F1:F3"/>
    <mergeCell ref="J1:J3"/>
    <mergeCell ref="R2:R3"/>
    <mergeCell ref="AD2:AD3"/>
    <mergeCell ref="AN2:AN3"/>
    <mergeCell ref="AP2:AP3"/>
    <mergeCell ref="A1:A3"/>
    <mergeCell ref="BA1:BF1"/>
    <mergeCell ref="C1:C3"/>
    <mergeCell ref="D1:D2"/>
    <mergeCell ref="BQ1:BQ3"/>
    <mergeCell ref="BS1:BS3"/>
    <mergeCell ref="BA2:BA3"/>
    <mergeCell ref="S2:S3"/>
    <mergeCell ref="BC2:BC3"/>
    <mergeCell ref="K1:P1"/>
    <mergeCell ref="BM2:BM3"/>
    <mergeCell ref="BO2:BO3"/>
    <mergeCell ref="W1:AB1"/>
    <mergeCell ref="Q1:V1"/>
    <mergeCell ref="BP2:BP3"/>
    <mergeCell ref="AC1:AH1"/>
    <mergeCell ref="AO1:AT1"/>
    <mergeCell ref="Z2:Z3"/>
    <mergeCell ref="B1:B3"/>
    <mergeCell ref="AI1:AN1"/>
    <mergeCell ref="V2:V3"/>
    <mergeCell ref="X2:X3"/>
    <mergeCell ref="BG1:BL1"/>
    <mergeCell ref="BD2:BD3"/>
    <mergeCell ref="AV2:AV3"/>
    <mergeCell ref="AX2:AX3"/>
    <mergeCell ref="I1:I3"/>
    <mergeCell ref="BH2:BH3"/>
    <mergeCell ref="BJ2:BJ3"/>
    <mergeCell ref="AF2:AF3"/>
    <mergeCell ref="AH2:AH3"/>
    <mergeCell ref="Q2:Q3"/>
    <mergeCell ref="AI2:AI3"/>
    <mergeCell ref="AK2:AK3"/>
    <mergeCell ref="N2:P2"/>
    <mergeCell ref="G1:G3"/>
    <mergeCell ref="U2:U3"/>
    <mergeCell ref="BT1:BT3"/>
    <mergeCell ref="BE2:BE3"/>
    <mergeCell ref="W2:W3"/>
    <mergeCell ref="BG2:BG3"/>
    <mergeCell ref="AA2:AA3"/>
    <mergeCell ref="AC2:AC3"/>
    <mergeCell ref="AM2:AM3"/>
    <mergeCell ref="AO2:AO3"/>
    <mergeCell ref="BM1:BP1"/>
    <mergeCell ref="AU2:AU3"/>
    <mergeCell ref="AW2:AW3"/>
    <mergeCell ref="AB2:AB3"/>
    <mergeCell ref="T2:T3"/>
  </mergeCells>
  <dataValidations count="1">
    <dataValidation type="list" allowBlank="1" errorTitle="Invalid value" error="Please choose Cu or Al" promptTitle="Cable Type" prompt="Choose cable material" sqref="R4:R73 BH4:BH73 BB4:BB73 AV4:AV73 AP4:AP73 AJ4:AJ73 AD4:AD73 X4:X73" xr:uid="{00000000-0002-0000-0300-000000000000}">
      <formula1>"Cu,Al"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U51"/>
  <sheetViews>
    <sheetView workbookViewId="0"/>
  </sheetViews>
  <sheetFormatPr defaultRowHeight="15" x14ac:dyDescent="0.25"/>
  <cols>
    <col min="1" max="1" width="12.85546875" customWidth="1"/>
    <col min="2" max="2" width="14.85546875" customWidth="1"/>
    <col min="3" max="3" width="9.85546875" customWidth="1"/>
    <col min="4" max="4" width="20.85546875" customWidth="1"/>
    <col min="5" max="5" width="8.85546875" customWidth="1"/>
    <col min="6" max="6" width="10.85546875" customWidth="1"/>
    <col min="7" max="7" width="5.85546875" customWidth="1"/>
    <col min="8" max="8" width="9.85546875" customWidth="1"/>
    <col min="9" max="9" width="10.85546875" customWidth="1"/>
    <col min="10" max="10" width="5.85546875" customWidth="1"/>
    <col min="11" max="11" width="7.85546875" customWidth="1"/>
    <col min="12" max="16" width="6.85546875" customWidth="1"/>
    <col min="17" max="17" width="8.85546875" customWidth="1"/>
    <col min="18" max="21" width="6.85546875" customWidth="1"/>
    <col min="22" max="22" width="8.85546875" customWidth="1"/>
    <col min="23" max="26" width="6.85546875" customWidth="1"/>
    <col min="27" max="27" width="8.85546875" customWidth="1"/>
    <col min="28" max="31" width="6.85546875" customWidth="1"/>
    <col min="32" max="32" width="8.85546875" customWidth="1"/>
    <col min="33" max="36" width="6.85546875" customWidth="1"/>
    <col min="37" max="37" width="8.85546875" customWidth="1"/>
    <col min="38" max="41" width="6.85546875" customWidth="1"/>
    <col min="42" max="42" width="8.85546875" customWidth="1"/>
    <col min="43" max="46" width="6.85546875" customWidth="1"/>
    <col min="47" max="47" width="8.85546875" customWidth="1"/>
    <col min="48" max="51" width="6.85546875" customWidth="1"/>
    <col min="52" max="52" width="8.85546875" customWidth="1"/>
    <col min="53" max="60" width="6.85546875" customWidth="1"/>
    <col min="61" max="62" width="7.85546875" customWidth="1"/>
    <col min="63" max="63" width="9.85546875" customWidth="1"/>
    <col min="64" max="65" width="24.85546875" customWidth="1"/>
  </cols>
  <sheetData>
    <row r="1" spans="1:73" ht="19.5" customHeight="1" x14ac:dyDescent="0.25">
      <c r="A1" s="21" t="s">
        <v>0</v>
      </c>
      <c r="B1" s="21" t="s">
        <v>1</v>
      </c>
      <c r="C1" s="21" t="s">
        <v>2</v>
      </c>
      <c r="D1" s="38" t="s">
        <v>3</v>
      </c>
      <c r="E1" s="21" t="s">
        <v>4</v>
      </c>
      <c r="F1" s="40" t="s">
        <v>5</v>
      </c>
      <c r="G1" s="21" t="s">
        <v>6</v>
      </c>
      <c r="H1" s="21" t="s">
        <v>7</v>
      </c>
      <c r="I1" s="21" t="s">
        <v>8</v>
      </c>
      <c r="J1" s="41" t="s">
        <v>9</v>
      </c>
      <c r="K1" s="18" t="s">
        <v>10</v>
      </c>
      <c r="L1" s="19"/>
      <c r="M1" s="19"/>
      <c r="N1" s="19"/>
      <c r="O1" s="19"/>
      <c r="P1" s="20"/>
      <c r="Q1" s="29" t="s">
        <v>11</v>
      </c>
      <c r="R1" s="30"/>
      <c r="S1" s="30"/>
      <c r="T1" s="30"/>
      <c r="U1" s="30"/>
      <c r="V1" s="31"/>
      <c r="W1" s="29" t="s">
        <v>12</v>
      </c>
      <c r="X1" s="30"/>
      <c r="Y1" s="30"/>
      <c r="Z1" s="30"/>
      <c r="AA1" s="30"/>
      <c r="AB1" s="31"/>
      <c r="AC1" s="29" t="s">
        <v>13</v>
      </c>
      <c r="AD1" s="30"/>
      <c r="AE1" s="30"/>
      <c r="AF1" s="30"/>
      <c r="AG1" s="30"/>
      <c r="AH1" s="31"/>
      <c r="AI1" s="29" t="s">
        <v>14</v>
      </c>
      <c r="AJ1" s="30"/>
      <c r="AK1" s="30"/>
      <c r="AL1" s="30"/>
      <c r="AM1" s="30"/>
      <c r="AN1" s="31"/>
      <c r="AO1" s="29" t="s">
        <v>15</v>
      </c>
      <c r="AP1" s="30"/>
      <c r="AQ1" s="30"/>
      <c r="AR1" s="30"/>
      <c r="AS1" s="30"/>
      <c r="AT1" s="31"/>
      <c r="AU1" s="29" t="s">
        <v>16</v>
      </c>
      <c r="AV1" s="30"/>
      <c r="AW1" s="30"/>
      <c r="AX1" s="30"/>
      <c r="AY1" s="30"/>
      <c r="AZ1" s="31"/>
      <c r="BA1" s="29" t="s">
        <v>17</v>
      </c>
      <c r="BB1" s="30"/>
      <c r="BC1" s="30"/>
      <c r="BD1" s="30"/>
      <c r="BE1" s="30"/>
      <c r="BF1" s="31"/>
      <c r="BG1" s="29" t="s">
        <v>18</v>
      </c>
      <c r="BH1" s="30"/>
      <c r="BI1" s="30"/>
      <c r="BJ1" s="30"/>
      <c r="BK1" s="30"/>
      <c r="BL1" s="31"/>
      <c r="BM1" s="37" t="s">
        <v>19</v>
      </c>
      <c r="BN1" s="19"/>
      <c r="BO1" s="19"/>
      <c r="BP1" s="20"/>
      <c r="BQ1" s="18" t="s">
        <v>20</v>
      </c>
      <c r="BR1" s="18" t="s">
        <v>21</v>
      </c>
      <c r="BS1" s="39" t="s">
        <v>22</v>
      </c>
      <c r="BT1" s="26" t="s">
        <v>23</v>
      </c>
      <c r="BU1" s="26" t="s">
        <v>24</v>
      </c>
    </row>
    <row r="2" spans="1:73" ht="19.5" customHeight="1" x14ac:dyDescent="0.25">
      <c r="A2" s="22"/>
      <c r="B2" s="22"/>
      <c r="C2" s="22"/>
      <c r="D2" s="23"/>
      <c r="E2" s="22"/>
      <c r="F2" s="22"/>
      <c r="G2" s="22"/>
      <c r="H2" s="22"/>
      <c r="I2" s="22"/>
      <c r="J2" s="22"/>
      <c r="K2" s="18" t="s">
        <v>25</v>
      </c>
      <c r="L2" s="19"/>
      <c r="M2" s="20"/>
      <c r="N2" s="18" t="s">
        <v>26</v>
      </c>
      <c r="O2" s="19"/>
      <c r="P2" s="20"/>
      <c r="Q2" s="27" t="s">
        <v>27</v>
      </c>
      <c r="R2" s="34" t="s">
        <v>5</v>
      </c>
      <c r="S2" s="36" t="s">
        <v>28</v>
      </c>
      <c r="T2" s="35" t="s">
        <v>29</v>
      </c>
      <c r="U2" s="24" t="s">
        <v>30</v>
      </c>
      <c r="V2" s="32" t="s">
        <v>31</v>
      </c>
      <c r="W2" s="27" t="s">
        <v>27</v>
      </c>
      <c r="X2" s="34" t="s">
        <v>5</v>
      </c>
      <c r="Y2" s="36" t="s">
        <v>28</v>
      </c>
      <c r="Z2" s="35" t="s">
        <v>29</v>
      </c>
      <c r="AA2" s="24" t="s">
        <v>30</v>
      </c>
      <c r="AB2" s="32" t="s">
        <v>31</v>
      </c>
      <c r="AC2" s="27" t="s">
        <v>27</v>
      </c>
      <c r="AD2" s="34" t="s">
        <v>5</v>
      </c>
      <c r="AE2" s="36" t="s">
        <v>28</v>
      </c>
      <c r="AF2" s="35" t="s">
        <v>29</v>
      </c>
      <c r="AG2" s="24" t="s">
        <v>30</v>
      </c>
      <c r="AH2" s="32" t="s">
        <v>31</v>
      </c>
      <c r="AI2" s="27" t="s">
        <v>27</v>
      </c>
      <c r="AJ2" s="34" t="s">
        <v>5</v>
      </c>
      <c r="AK2" s="36" t="s">
        <v>28</v>
      </c>
      <c r="AL2" s="35" t="s">
        <v>29</v>
      </c>
      <c r="AM2" s="24" t="s">
        <v>30</v>
      </c>
      <c r="AN2" s="32" t="s">
        <v>31</v>
      </c>
      <c r="AO2" s="27" t="s">
        <v>27</v>
      </c>
      <c r="AP2" s="34" t="s">
        <v>5</v>
      </c>
      <c r="AQ2" s="36" t="s">
        <v>28</v>
      </c>
      <c r="AR2" s="35" t="s">
        <v>29</v>
      </c>
      <c r="AS2" s="24" t="s">
        <v>30</v>
      </c>
      <c r="AT2" s="32" t="s">
        <v>31</v>
      </c>
      <c r="AU2" s="27" t="s">
        <v>27</v>
      </c>
      <c r="AV2" s="34" t="s">
        <v>5</v>
      </c>
      <c r="AW2" s="36" t="s">
        <v>28</v>
      </c>
      <c r="AX2" s="35" t="s">
        <v>29</v>
      </c>
      <c r="AY2" s="24" t="s">
        <v>30</v>
      </c>
      <c r="AZ2" s="32" t="s">
        <v>31</v>
      </c>
      <c r="BA2" s="27" t="s">
        <v>27</v>
      </c>
      <c r="BB2" s="34" t="s">
        <v>5</v>
      </c>
      <c r="BC2" s="36" t="s">
        <v>28</v>
      </c>
      <c r="BD2" s="35" t="s">
        <v>29</v>
      </c>
      <c r="BE2" s="24" t="s">
        <v>30</v>
      </c>
      <c r="BF2" s="32" t="s">
        <v>31</v>
      </c>
      <c r="BG2" s="27" t="s">
        <v>27</v>
      </c>
      <c r="BH2" s="34" t="s">
        <v>5</v>
      </c>
      <c r="BI2" s="36" t="s">
        <v>28</v>
      </c>
      <c r="BJ2" s="35" t="s">
        <v>29</v>
      </c>
      <c r="BK2" s="24" t="s">
        <v>30</v>
      </c>
      <c r="BL2" s="32" t="s">
        <v>31</v>
      </c>
      <c r="BM2" s="37" t="s">
        <v>28</v>
      </c>
      <c r="BN2" s="37" t="s">
        <v>29</v>
      </c>
      <c r="BO2" s="37" t="s">
        <v>30</v>
      </c>
      <c r="BP2" s="37" t="s">
        <v>31</v>
      </c>
      <c r="BQ2" s="22"/>
      <c r="BR2" s="22"/>
      <c r="BS2" s="22"/>
      <c r="BT2" s="22"/>
      <c r="BU2" s="22"/>
    </row>
    <row r="3" spans="1:73" ht="19.5" customHeight="1" x14ac:dyDescent="0.25">
      <c r="A3" s="23"/>
      <c r="B3" s="23"/>
      <c r="C3" s="23"/>
      <c r="D3" s="1"/>
      <c r="E3" s="23"/>
      <c r="F3" s="23"/>
      <c r="G3" s="23"/>
      <c r="H3" s="23"/>
      <c r="I3" s="23"/>
      <c r="J3" s="23"/>
      <c r="K3" s="2" t="s">
        <v>32</v>
      </c>
      <c r="L3" s="3" t="s">
        <v>33</v>
      </c>
      <c r="M3" s="4" t="s">
        <v>34</v>
      </c>
      <c r="N3" s="5" t="s">
        <v>35</v>
      </c>
      <c r="O3" s="6" t="s">
        <v>36</v>
      </c>
      <c r="P3" s="7" t="s">
        <v>37</v>
      </c>
      <c r="Q3" s="28"/>
      <c r="R3" s="25"/>
      <c r="S3" s="25"/>
      <c r="T3" s="25"/>
      <c r="U3" s="25"/>
      <c r="V3" s="33"/>
      <c r="W3" s="28"/>
      <c r="X3" s="25"/>
      <c r="Y3" s="25"/>
      <c r="Z3" s="25"/>
      <c r="AA3" s="25"/>
      <c r="AB3" s="33"/>
      <c r="AC3" s="28"/>
      <c r="AD3" s="25"/>
      <c r="AE3" s="25"/>
      <c r="AF3" s="25"/>
      <c r="AG3" s="25"/>
      <c r="AH3" s="33"/>
      <c r="AI3" s="28"/>
      <c r="AJ3" s="25"/>
      <c r="AK3" s="25"/>
      <c r="AL3" s="25"/>
      <c r="AM3" s="25"/>
      <c r="AN3" s="33"/>
      <c r="AO3" s="28"/>
      <c r="AP3" s="25"/>
      <c r="AQ3" s="25"/>
      <c r="AR3" s="25"/>
      <c r="AS3" s="25"/>
      <c r="AT3" s="33"/>
      <c r="AU3" s="28"/>
      <c r="AV3" s="25"/>
      <c r="AW3" s="25"/>
      <c r="AX3" s="25"/>
      <c r="AY3" s="25"/>
      <c r="AZ3" s="33"/>
      <c r="BA3" s="28"/>
      <c r="BB3" s="25"/>
      <c r="BC3" s="25"/>
      <c r="BD3" s="25"/>
      <c r="BE3" s="25"/>
      <c r="BF3" s="33"/>
      <c r="BG3" s="28"/>
      <c r="BH3" s="25"/>
      <c r="BI3" s="25"/>
      <c r="BJ3" s="25"/>
      <c r="BK3" s="25"/>
      <c r="BL3" s="33"/>
      <c r="BM3" s="23"/>
      <c r="BN3" s="23"/>
      <c r="BO3" s="23"/>
      <c r="BP3" s="23"/>
      <c r="BQ3" s="23"/>
      <c r="BR3" s="23"/>
      <c r="BS3" s="23"/>
      <c r="BT3" s="23"/>
      <c r="BU3" s="23"/>
    </row>
    <row r="4" spans="1:73" ht="15.75" customHeight="1" x14ac:dyDescent="0.25">
      <c r="A4" s="8" t="s">
        <v>38</v>
      </c>
      <c r="B4" s="8" t="s">
        <v>863</v>
      </c>
      <c r="C4" s="8" t="s">
        <v>124</v>
      </c>
      <c r="D4" s="8" t="s">
        <v>864</v>
      </c>
      <c r="E4" s="8" t="s">
        <v>865</v>
      </c>
      <c r="F4" s="8" t="s">
        <v>56</v>
      </c>
      <c r="G4" s="8" t="s">
        <v>44</v>
      </c>
      <c r="H4" s="8">
        <v>1000</v>
      </c>
      <c r="I4" s="8" t="s">
        <v>211</v>
      </c>
      <c r="J4" s="8">
        <v>1</v>
      </c>
      <c r="K4" s="8">
        <v>243</v>
      </c>
      <c r="L4" s="8">
        <v>243</v>
      </c>
      <c r="M4" s="8">
        <v>245</v>
      </c>
      <c r="N4" s="8">
        <v>422</v>
      </c>
      <c r="O4" s="8">
        <v>422</v>
      </c>
      <c r="P4" s="8">
        <v>425</v>
      </c>
      <c r="Q4" s="9" t="s">
        <v>47</v>
      </c>
      <c r="R4" s="16"/>
      <c r="S4" s="10">
        <v>35</v>
      </c>
      <c r="T4" s="10">
        <v>20</v>
      </c>
      <c r="U4" s="10">
        <v>16</v>
      </c>
      <c r="V4" s="11">
        <v>17</v>
      </c>
      <c r="W4" s="12" t="s">
        <v>47</v>
      </c>
      <c r="X4" s="17"/>
      <c r="Y4" s="13">
        <v>141</v>
      </c>
      <c r="Z4" s="13">
        <v>109</v>
      </c>
      <c r="AA4" s="13">
        <v>129</v>
      </c>
      <c r="AB4" s="14">
        <v>64</v>
      </c>
      <c r="AC4" s="9" t="s">
        <v>47</v>
      </c>
      <c r="AD4" s="16"/>
      <c r="AE4" s="10">
        <v>11</v>
      </c>
      <c r="AF4" s="10">
        <v>42</v>
      </c>
      <c r="AG4" s="10">
        <v>13</v>
      </c>
      <c r="AH4" s="11">
        <v>29</v>
      </c>
      <c r="AI4" s="12" t="s">
        <v>47</v>
      </c>
      <c r="AJ4" s="17"/>
      <c r="AK4" s="13">
        <v>174</v>
      </c>
      <c r="AL4" s="13">
        <v>153</v>
      </c>
      <c r="AM4" s="13">
        <v>78</v>
      </c>
      <c r="AN4" s="14">
        <v>101</v>
      </c>
      <c r="AO4" s="9" t="s">
        <v>47</v>
      </c>
      <c r="AP4" s="16"/>
      <c r="AQ4" s="10">
        <v>39</v>
      </c>
      <c r="AR4" s="10">
        <v>48</v>
      </c>
      <c r="AS4" s="10">
        <v>23</v>
      </c>
      <c r="AT4" s="11">
        <v>25</v>
      </c>
      <c r="AU4" s="12" t="s">
        <v>47</v>
      </c>
      <c r="AV4" s="17"/>
      <c r="AW4" s="13">
        <v>78</v>
      </c>
      <c r="AX4" s="13">
        <v>119</v>
      </c>
      <c r="AY4" s="13">
        <v>69</v>
      </c>
      <c r="AZ4" s="14">
        <v>25</v>
      </c>
      <c r="BA4" s="9"/>
      <c r="BB4" s="16"/>
      <c r="BC4" s="10"/>
      <c r="BD4" s="10"/>
      <c r="BE4" s="10"/>
      <c r="BF4" s="11"/>
      <c r="BG4" s="12"/>
      <c r="BH4" s="17"/>
      <c r="BI4" s="13"/>
      <c r="BJ4" s="13"/>
      <c r="BK4" s="13"/>
      <c r="BL4" s="14"/>
      <c r="BM4" s="8">
        <f t="shared" ref="BM4:BM51" si="0">SUM(S4,Y4,AE4,AK4,AQ4,AW4,BC4,BI4)</f>
        <v>478</v>
      </c>
      <c r="BN4" s="8">
        <f t="shared" ref="BN4:BN51" si="1">SUM(T4,Z4,AF4,AL4,AR4,AX4,BD4,BJ4)</f>
        <v>491</v>
      </c>
      <c r="BO4" s="8">
        <f t="shared" ref="BO4:BO51" si="2">SUM(U4,AA4,AG4,AM4,AS4,AY4,BE4,BK4)</f>
        <v>328</v>
      </c>
      <c r="BP4" s="8">
        <f t="shared" ref="BP4:BP51" si="3">SUM(V4,AB4,AH4,AN4,AT4,AZ4,BF4,BL4)</f>
        <v>261</v>
      </c>
      <c r="BQ4" s="8">
        <f t="shared" ref="BQ4:BQ51" si="4">MAX(BM4:BO4)</f>
        <v>491</v>
      </c>
      <c r="BR4" s="8">
        <f t="shared" ref="BR4:BR51" si="5">MIN(BM4:BO4)</f>
        <v>328</v>
      </c>
      <c r="BS4" s="15">
        <f t="shared" ref="BS4:BS51" si="6">IF(H4&gt;0,(BQ4*SQRT(3)*IF(N4&gt;0,N4,IF(O4&gt;0,O4,IF(P4&gt;0,P4,415)))/(H4*1000))*100,0)</f>
        <v>35.888439142988652</v>
      </c>
      <c r="BT4" s="15" t="str">
        <f t="shared" ref="BT4:BT51" si="7">IF(BS4&gt;70,"Upgrade","OK - No Upgrade")</f>
        <v>OK - No Upgrade</v>
      </c>
      <c r="BU4" s="15" t="str">
        <f t="shared" ref="BU4:BU51" si="8">IF(IF(AVERAGE(BM4:BO4)&gt;0,((BQ4-AVERAGE(BM4:BO4))/AVERAGE(BM4:BO4))*100,0)&gt;10,"Need to Balance","OK - Balanced")</f>
        <v>Need to Balance</v>
      </c>
    </row>
    <row r="5" spans="1:73" ht="15.75" customHeight="1" x14ac:dyDescent="0.25">
      <c r="A5" s="8" t="s">
        <v>38</v>
      </c>
      <c r="B5" s="8" t="s">
        <v>863</v>
      </c>
      <c r="C5" s="8" t="s">
        <v>124</v>
      </c>
      <c r="D5" s="8" t="s">
        <v>866</v>
      </c>
      <c r="E5" s="8" t="s">
        <v>867</v>
      </c>
      <c r="F5" s="8" t="s">
        <v>43</v>
      </c>
      <c r="G5" s="8" t="s">
        <v>44</v>
      </c>
      <c r="H5" s="8">
        <v>315</v>
      </c>
      <c r="I5" s="8" t="s">
        <v>214</v>
      </c>
      <c r="J5" s="8">
        <v>1</v>
      </c>
      <c r="K5" s="8">
        <v>245</v>
      </c>
      <c r="L5" s="8">
        <v>245</v>
      </c>
      <c r="M5" s="8">
        <v>247</v>
      </c>
      <c r="N5" s="8">
        <v>425</v>
      </c>
      <c r="O5" s="8">
        <v>429</v>
      </c>
      <c r="P5" s="8">
        <v>428</v>
      </c>
      <c r="Q5" s="9" t="s">
        <v>70</v>
      </c>
      <c r="R5" s="16"/>
      <c r="S5" s="10">
        <v>2</v>
      </c>
      <c r="T5" s="10">
        <v>0</v>
      </c>
      <c r="U5" s="10">
        <v>0</v>
      </c>
      <c r="V5" s="11">
        <v>0</v>
      </c>
      <c r="W5" s="12"/>
      <c r="X5" s="17"/>
      <c r="Y5" s="13"/>
      <c r="Z5" s="13"/>
      <c r="AA5" s="13"/>
      <c r="AB5" s="14"/>
      <c r="AC5" s="9"/>
      <c r="AD5" s="16"/>
      <c r="AE5" s="10"/>
      <c r="AF5" s="10"/>
      <c r="AG5" s="10"/>
      <c r="AH5" s="11"/>
      <c r="AI5" s="12"/>
      <c r="AJ5" s="17"/>
      <c r="AK5" s="13"/>
      <c r="AL5" s="13"/>
      <c r="AM5" s="13"/>
      <c r="AN5" s="14"/>
      <c r="AO5" s="9"/>
      <c r="AP5" s="16"/>
      <c r="AQ5" s="10"/>
      <c r="AR5" s="10"/>
      <c r="AS5" s="10"/>
      <c r="AT5" s="11"/>
      <c r="AU5" s="12"/>
      <c r="AV5" s="17"/>
      <c r="AW5" s="13"/>
      <c r="AX5" s="13"/>
      <c r="AY5" s="13"/>
      <c r="AZ5" s="14"/>
      <c r="BA5" s="9"/>
      <c r="BB5" s="16"/>
      <c r="BC5" s="10"/>
      <c r="BD5" s="10"/>
      <c r="BE5" s="10"/>
      <c r="BF5" s="11"/>
      <c r="BG5" s="12"/>
      <c r="BH5" s="17"/>
      <c r="BI5" s="13"/>
      <c r="BJ5" s="13"/>
      <c r="BK5" s="13"/>
      <c r="BL5" s="14"/>
      <c r="BM5" s="8">
        <f t="shared" si="0"/>
        <v>2</v>
      </c>
      <c r="BN5" s="8">
        <f t="shared" si="1"/>
        <v>0</v>
      </c>
      <c r="BO5" s="8">
        <f t="shared" si="2"/>
        <v>0</v>
      </c>
      <c r="BP5" s="8">
        <f t="shared" si="3"/>
        <v>0</v>
      </c>
      <c r="BQ5" s="8">
        <f t="shared" si="4"/>
        <v>2</v>
      </c>
      <c r="BR5" s="8">
        <f t="shared" si="5"/>
        <v>0</v>
      </c>
      <c r="BS5" s="15">
        <f t="shared" si="6"/>
        <v>0.46737878934398269</v>
      </c>
      <c r="BT5" s="15" t="str">
        <f t="shared" si="7"/>
        <v>OK - No Upgrade</v>
      </c>
      <c r="BU5" s="15" t="str">
        <f t="shared" si="8"/>
        <v>Need to Balance</v>
      </c>
    </row>
    <row r="6" spans="1:73" ht="15.75" customHeight="1" x14ac:dyDescent="0.25">
      <c r="A6" s="8" t="s">
        <v>38</v>
      </c>
      <c r="B6" s="8" t="s">
        <v>863</v>
      </c>
      <c r="C6" s="8" t="s">
        <v>124</v>
      </c>
      <c r="D6" s="8" t="s">
        <v>868</v>
      </c>
      <c r="E6" s="8" t="s">
        <v>869</v>
      </c>
      <c r="F6" s="8" t="s">
        <v>56</v>
      </c>
      <c r="G6" s="8" t="s">
        <v>44</v>
      </c>
      <c r="H6" s="8">
        <v>1000</v>
      </c>
      <c r="I6" s="8" t="s">
        <v>217</v>
      </c>
      <c r="J6" s="8">
        <v>1</v>
      </c>
      <c r="K6" s="8">
        <v>242</v>
      </c>
      <c r="L6" s="8">
        <v>243</v>
      </c>
      <c r="M6" s="8">
        <v>243</v>
      </c>
      <c r="N6" s="8">
        <v>426</v>
      </c>
      <c r="O6" s="8">
        <v>420</v>
      </c>
      <c r="P6" s="8">
        <v>422</v>
      </c>
      <c r="Q6" s="9" t="s">
        <v>47</v>
      </c>
      <c r="R6" s="16"/>
      <c r="S6" s="10">
        <v>142</v>
      </c>
      <c r="T6" s="10">
        <v>86</v>
      </c>
      <c r="U6" s="10">
        <v>80</v>
      </c>
      <c r="V6" s="11">
        <v>30</v>
      </c>
      <c r="W6" s="12" t="s">
        <v>46</v>
      </c>
      <c r="X6" s="17"/>
      <c r="Y6" s="13">
        <v>71</v>
      </c>
      <c r="Z6" s="13">
        <v>99</v>
      </c>
      <c r="AA6" s="13">
        <v>70</v>
      </c>
      <c r="AB6" s="14">
        <v>25</v>
      </c>
      <c r="AC6" s="9" t="s">
        <v>47</v>
      </c>
      <c r="AD6" s="16"/>
      <c r="AE6" s="10">
        <v>42</v>
      </c>
      <c r="AF6" s="10">
        <v>36</v>
      </c>
      <c r="AG6" s="10">
        <v>17</v>
      </c>
      <c r="AH6" s="11">
        <v>20</v>
      </c>
      <c r="AI6" s="12" t="s">
        <v>46</v>
      </c>
      <c r="AJ6" s="17"/>
      <c r="AK6" s="13">
        <v>33</v>
      </c>
      <c r="AL6" s="13">
        <v>29</v>
      </c>
      <c r="AM6" s="13">
        <v>114</v>
      </c>
      <c r="AN6" s="14">
        <v>76</v>
      </c>
      <c r="AO6" s="9" t="s">
        <v>46</v>
      </c>
      <c r="AP6" s="16"/>
      <c r="AQ6" s="10">
        <v>158</v>
      </c>
      <c r="AR6" s="10">
        <v>137</v>
      </c>
      <c r="AS6" s="10">
        <v>227</v>
      </c>
      <c r="AT6" s="11">
        <v>46</v>
      </c>
      <c r="AU6" s="12" t="s">
        <v>46</v>
      </c>
      <c r="AV6" s="17"/>
      <c r="AW6" s="13">
        <v>88</v>
      </c>
      <c r="AX6" s="13">
        <v>153</v>
      </c>
      <c r="AY6" s="13">
        <v>185</v>
      </c>
      <c r="AZ6" s="14">
        <v>68</v>
      </c>
      <c r="BA6" s="9" t="s">
        <v>46</v>
      </c>
      <c r="BB6" s="16"/>
      <c r="BC6" s="10">
        <v>116</v>
      </c>
      <c r="BD6" s="10">
        <v>17</v>
      </c>
      <c r="BE6" s="10">
        <v>105</v>
      </c>
      <c r="BF6" s="11">
        <v>92</v>
      </c>
      <c r="BG6" s="12"/>
      <c r="BH6" s="17"/>
      <c r="BI6" s="13"/>
      <c r="BJ6" s="13"/>
      <c r="BK6" s="13"/>
      <c r="BL6" s="14"/>
      <c r="BM6" s="8">
        <f t="shared" si="0"/>
        <v>650</v>
      </c>
      <c r="BN6" s="8">
        <f t="shared" si="1"/>
        <v>557</v>
      </c>
      <c r="BO6" s="8">
        <f t="shared" si="2"/>
        <v>798</v>
      </c>
      <c r="BP6" s="8">
        <f t="shared" si="3"/>
        <v>357</v>
      </c>
      <c r="BQ6" s="8">
        <f t="shared" si="4"/>
        <v>798</v>
      </c>
      <c r="BR6" s="8">
        <f t="shared" si="5"/>
        <v>557</v>
      </c>
      <c r="BS6" s="15">
        <f t="shared" si="6"/>
        <v>58.880720793142459</v>
      </c>
      <c r="BT6" s="15" t="str">
        <f t="shared" si="7"/>
        <v>OK - No Upgrade</v>
      </c>
      <c r="BU6" s="15" t="str">
        <f t="shared" si="8"/>
        <v>Need to Balance</v>
      </c>
    </row>
    <row r="7" spans="1:73" ht="15.75" customHeight="1" x14ac:dyDescent="0.25">
      <c r="A7" s="8" t="s">
        <v>38</v>
      </c>
      <c r="B7" s="8" t="s">
        <v>863</v>
      </c>
      <c r="C7" s="8" t="s">
        <v>124</v>
      </c>
      <c r="D7" s="8" t="s">
        <v>870</v>
      </c>
      <c r="E7" s="8" t="s">
        <v>871</v>
      </c>
      <c r="F7" s="8" t="s">
        <v>56</v>
      </c>
      <c r="G7" s="8" t="s">
        <v>44</v>
      </c>
      <c r="H7" s="8">
        <v>500</v>
      </c>
      <c r="I7" s="8" t="s">
        <v>872</v>
      </c>
      <c r="J7" s="8">
        <v>1</v>
      </c>
      <c r="K7" s="8">
        <v>244</v>
      </c>
      <c r="L7" s="8">
        <v>244</v>
      </c>
      <c r="M7" s="8">
        <v>243</v>
      </c>
      <c r="N7" s="8">
        <v>425</v>
      </c>
      <c r="O7" s="8">
        <v>423</v>
      </c>
      <c r="P7" s="8">
        <v>420</v>
      </c>
      <c r="Q7" s="9" t="s">
        <v>46</v>
      </c>
      <c r="R7" s="16"/>
      <c r="S7" s="10">
        <v>62</v>
      </c>
      <c r="T7" s="10">
        <v>35</v>
      </c>
      <c r="U7" s="10">
        <v>41</v>
      </c>
      <c r="V7" s="11">
        <v>17</v>
      </c>
      <c r="W7" s="12" t="s">
        <v>47</v>
      </c>
      <c r="X7" s="17"/>
      <c r="Y7" s="13">
        <v>51</v>
      </c>
      <c r="Z7" s="13">
        <v>41</v>
      </c>
      <c r="AA7" s="13">
        <v>62</v>
      </c>
      <c r="AB7" s="14">
        <v>35</v>
      </c>
      <c r="AC7" s="9" t="s">
        <v>47</v>
      </c>
      <c r="AD7" s="16"/>
      <c r="AE7" s="10">
        <v>12</v>
      </c>
      <c r="AF7" s="10">
        <v>4</v>
      </c>
      <c r="AG7" s="10">
        <v>12</v>
      </c>
      <c r="AH7" s="11">
        <v>9</v>
      </c>
      <c r="AI7" s="12"/>
      <c r="AJ7" s="17"/>
      <c r="AK7" s="13"/>
      <c r="AL7" s="13"/>
      <c r="AM7" s="13"/>
      <c r="AN7" s="14"/>
      <c r="AO7" s="9"/>
      <c r="AP7" s="16"/>
      <c r="AQ7" s="10"/>
      <c r="AR7" s="10"/>
      <c r="AS7" s="10"/>
      <c r="AT7" s="11"/>
      <c r="AU7" s="12"/>
      <c r="AV7" s="17"/>
      <c r="AW7" s="13"/>
      <c r="AX7" s="13"/>
      <c r="AY7" s="13"/>
      <c r="AZ7" s="14"/>
      <c r="BA7" s="9"/>
      <c r="BB7" s="16"/>
      <c r="BC7" s="10"/>
      <c r="BD7" s="10"/>
      <c r="BE7" s="10"/>
      <c r="BF7" s="11"/>
      <c r="BG7" s="12"/>
      <c r="BH7" s="17"/>
      <c r="BI7" s="13"/>
      <c r="BJ7" s="13"/>
      <c r="BK7" s="13"/>
      <c r="BL7" s="14"/>
      <c r="BM7" s="8">
        <f t="shared" si="0"/>
        <v>125</v>
      </c>
      <c r="BN7" s="8">
        <f t="shared" si="1"/>
        <v>80</v>
      </c>
      <c r="BO7" s="8">
        <f t="shared" si="2"/>
        <v>115</v>
      </c>
      <c r="BP7" s="8">
        <f t="shared" si="3"/>
        <v>61</v>
      </c>
      <c r="BQ7" s="8">
        <f t="shared" si="4"/>
        <v>125</v>
      </c>
      <c r="BR7" s="8">
        <f t="shared" si="5"/>
        <v>80</v>
      </c>
      <c r="BS7" s="15">
        <f t="shared" si="6"/>
        <v>18.403039830419317</v>
      </c>
      <c r="BT7" s="15" t="str">
        <f t="shared" si="7"/>
        <v>OK - No Upgrade</v>
      </c>
      <c r="BU7" s="15" t="str">
        <f t="shared" si="8"/>
        <v>Need to Balance</v>
      </c>
    </row>
    <row r="8" spans="1:73" ht="15.75" customHeight="1" x14ac:dyDescent="0.25">
      <c r="A8" s="8" t="s">
        <v>38</v>
      </c>
      <c r="B8" s="8" t="s">
        <v>863</v>
      </c>
      <c r="C8" s="8" t="s">
        <v>124</v>
      </c>
      <c r="D8" s="8" t="s">
        <v>873</v>
      </c>
      <c r="E8" s="8" t="s">
        <v>874</v>
      </c>
      <c r="F8" s="8" t="s">
        <v>56</v>
      </c>
      <c r="G8" s="8" t="s">
        <v>44</v>
      </c>
      <c r="H8" s="8">
        <v>1000</v>
      </c>
      <c r="I8" s="8" t="s">
        <v>875</v>
      </c>
      <c r="J8" s="8">
        <v>1</v>
      </c>
      <c r="K8" s="8">
        <v>244</v>
      </c>
      <c r="L8" s="8">
        <v>244</v>
      </c>
      <c r="M8" s="8">
        <v>247</v>
      </c>
      <c r="N8" s="8">
        <v>423</v>
      </c>
      <c r="O8" s="8">
        <v>426</v>
      </c>
      <c r="P8" s="8">
        <v>425</v>
      </c>
      <c r="Q8" s="9"/>
      <c r="R8" s="16"/>
      <c r="S8" s="10"/>
      <c r="T8" s="10"/>
      <c r="U8" s="10"/>
      <c r="V8" s="11"/>
      <c r="W8" s="12" t="s">
        <v>46</v>
      </c>
      <c r="X8" s="17"/>
      <c r="Y8" s="13">
        <v>17</v>
      </c>
      <c r="Z8" s="13">
        <v>104</v>
      </c>
      <c r="AA8" s="13">
        <v>22</v>
      </c>
      <c r="AB8" s="14">
        <v>74</v>
      </c>
      <c r="AC8" s="9" t="s">
        <v>47</v>
      </c>
      <c r="AD8" s="16"/>
      <c r="AE8" s="10">
        <v>89</v>
      </c>
      <c r="AF8" s="10">
        <v>150</v>
      </c>
      <c r="AG8" s="10">
        <v>76</v>
      </c>
      <c r="AH8" s="11">
        <v>74</v>
      </c>
      <c r="AI8" s="12" t="s">
        <v>46</v>
      </c>
      <c r="AJ8" s="17"/>
      <c r="AK8" s="13">
        <v>84</v>
      </c>
      <c r="AL8" s="13">
        <v>87</v>
      </c>
      <c r="AM8" s="13">
        <v>130</v>
      </c>
      <c r="AN8" s="14">
        <v>36</v>
      </c>
      <c r="AO8" s="9" t="s">
        <v>47</v>
      </c>
      <c r="AP8" s="16"/>
      <c r="AQ8" s="10">
        <v>98</v>
      </c>
      <c r="AR8" s="10">
        <v>69</v>
      </c>
      <c r="AS8" s="10">
        <v>44</v>
      </c>
      <c r="AT8" s="11">
        <v>45</v>
      </c>
      <c r="AU8" s="12"/>
      <c r="AV8" s="17"/>
      <c r="AW8" s="13"/>
      <c r="AX8" s="13"/>
      <c r="AY8" s="13"/>
      <c r="AZ8" s="14"/>
      <c r="BA8" s="9"/>
      <c r="BB8" s="16"/>
      <c r="BC8" s="10"/>
      <c r="BD8" s="10"/>
      <c r="BE8" s="10"/>
      <c r="BF8" s="11"/>
      <c r="BG8" s="12"/>
      <c r="BH8" s="17"/>
      <c r="BI8" s="13"/>
      <c r="BJ8" s="13"/>
      <c r="BK8" s="13"/>
      <c r="BL8" s="14"/>
      <c r="BM8" s="8">
        <f t="shared" si="0"/>
        <v>288</v>
      </c>
      <c r="BN8" s="8">
        <f t="shared" si="1"/>
        <v>410</v>
      </c>
      <c r="BO8" s="8">
        <f t="shared" si="2"/>
        <v>272</v>
      </c>
      <c r="BP8" s="8">
        <f t="shared" si="3"/>
        <v>229</v>
      </c>
      <c r="BQ8" s="8">
        <f t="shared" si="4"/>
        <v>410</v>
      </c>
      <c r="BR8" s="8">
        <f t="shared" si="5"/>
        <v>272</v>
      </c>
      <c r="BS8" s="15">
        <f t="shared" si="6"/>
        <v>30.038957155667035</v>
      </c>
      <c r="BT8" s="15" t="str">
        <f t="shared" si="7"/>
        <v>OK - No Upgrade</v>
      </c>
      <c r="BU8" s="15" t="str">
        <f t="shared" si="8"/>
        <v>Need to Balance</v>
      </c>
    </row>
    <row r="9" spans="1:73" ht="15.75" customHeight="1" x14ac:dyDescent="0.25">
      <c r="A9" s="8" t="s">
        <v>38</v>
      </c>
      <c r="B9" s="8" t="s">
        <v>863</v>
      </c>
      <c r="C9" s="8" t="s">
        <v>124</v>
      </c>
      <c r="D9" s="8" t="s">
        <v>876</v>
      </c>
      <c r="E9" s="8" t="s">
        <v>877</v>
      </c>
      <c r="F9" s="8" t="s">
        <v>56</v>
      </c>
      <c r="G9" s="8" t="s">
        <v>44</v>
      </c>
      <c r="H9" s="8">
        <v>500</v>
      </c>
      <c r="I9" s="8" t="s">
        <v>878</v>
      </c>
      <c r="J9" s="8">
        <v>1</v>
      </c>
      <c r="K9" s="8">
        <v>248</v>
      </c>
      <c r="L9" s="8">
        <v>248</v>
      </c>
      <c r="M9" s="8">
        <v>250</v>
      </c>
      <c r="N9" s="8">
        <v>430</v>
      </c>
      <c r="O9" s="8">
        <v>433</v>
      </c>
      <c r="P9" s="8">
        <v>432</v>
      </c>
      <c r="Q9" s="9" t="s">
        <v>46</v>
      </c>
      <c r="R9" s="16"/>
      <c r="S9" s="10">
        <v>34</v>
      </c>
      <c r="T9" s="10">
        <v>39</v>
      </c>
      <c r="U9" s="10">
        <v>26</v>
      </c>
      <c r="V9" s="11">
        <v>16</v>
      </c>
      <c r="W9" s="12"/>
      <c r="X9" s="17"/>
      <c r="Y9" s="13"/>
      <c r="Z9" s="13"/>
      <c r="AA9" s="13"/>
      <c r="AB9" s="14"/>
      <c r="AC9" s="9"/>
      <c r="AD9" s="16"/>
      <c r="AE9" s="10"/>
      <c r="AF9" s="10"/>
      <c r="AG9" s="10"/>
      <c r="AH9" s="11"/>
      <c r="AI9" s="12"/>
      <c r="AJ9" s="17"/>
      <c r="AK9" s="13"/>
      <c r="AL9" s="13"/>
      <c r="AM9" s="13"/>
      <c r="AN9" s="14"/>
      <c r="AO9" s="9"/>
      <c r="AP9" s="16"/>
      <c r="AQ9" s="10"/>
      <c r="AR9" s="10"/>
      <c r="AS9" s="10"/>
      <c r="AT9" s="11"/>
      <c r="AU9" s="12"/>
      <c r="AV9" s="17"/>
      <c r="AW9" s="13"/>
      <c r="AX9" s="13"/>
      <c r="AY9" s="13"/>
      <c r="AZ9" s="14"/>
      <c r="BA9" s="9"/>
      <c r="BB9" s="16"/>
      <c r="BC9" s="10"/>
      <c r="BD9" s="10"/>
      <c r="BE9" s="10"/>
      <c r="BF9" s="11"/>
      <c r="BG9" s="12"/>
      <c r="BH9" s="17"/>
      <c r="BI9" s="13"/>
      <c r="BJ9" s="13"/>
      <c r="BK9" s="13"/>
      <c r="BL9" s="14"/>
      <c r="BM9" s="8">
        <f t="shared" si="0"/>
        <v>34</v>
      </c>
      <c r="BN9" s="8">
        <f t="shared" si="1"/>
        <v>39</v>
      </c>
      <c r="BO9" s="8">
        <f t="shared" si="2"/>
        <v>26</v>
      </c>
      <c r="BP9" s="8">
        <f t="shared" si="3"/>
        <v>16</v>
      </c>
      <c r="BQ9" s="8">
        <f t="shared" si="4"/>
        <v>39</v>
      </c>
      <c r="BR9" s="8">
        <f t="shared" si="5"/>
        <v>26</v>
      </c>
      <c r="BS9" s="15">
        <f t="shared" si="6"/>
        <v>5.8092984085860149</v>
      </c>
      <c r="BT9" s="15" t="str">
        <f t="shared" si="7"/>
        <v>OK - No Upgrade</v>
      </c>
      <c r="BU9" s="15" t="str">
        <f t="shared" si="8"/>
        <v>Need to Balance</v>
      </c>
    </row>
    <row r="10" spans="1:73" ht="15.75" customHeight="1" x14ac:dyDescent="0.25">
      <c r="A10" s="8" t="s">
        <v>38</v>
      </c>
      <c r="B10" s="8" t="s">
        <v>863</v>
      </c>
      <c r="C10" s="8" t="s">
        <v>124</v>
      </c>
      <c r="D10" s="8" t="s">
        <v>879</v>
      </c>
      <c r="E10" s="8" t="s">
        <v>880</v>
      </c>
      <c r="F10" s="8" t="s">
        <v>43</v>
      </c>
      <c r="G10" s="8" t="s">
        <v>44</v>
      </c>
      <c r="H10" s="8">
        <v>315</v>
      </c>
      <c r="I10" s="8" t="s">
        <v>881</v>
      </c>
      <c r="J10" s="8">
        <v>1</v>
      </c>
      <c r="K10" s="8">
        <v>234</v>
      </c>
      <c r="L10" s="8">
        <v>240</v>
      </c>
      <c r="M10" s="8">
        <v>242</v>
      </c>
      <c r="N10" s="8">
        <v>414</v>
      </c>
      <c r="O10" s="8">
        <v>428</v>
      </c>
      <c r="P10" s="8">
        <v>424</v>
      </c>
      <c r="Q10" s="9" t="s">
        <v>47</v>
      </c>
      <c r="R10" s="16"/>
      <c r="S10" s="10">
        <v>121</v>
      </c>
      <c r="T10" s="10">
        <v>54</v>
      </c>
      <c r="U10" s="10">
        <v>41</v>
      </c>
      <c r="V10" s="11">
        <v>69</v>
      </c>
      <c r="W10" s="12" t="s">
        <v>47</v>
      </c>
      <c r="X10" s="17"/>
      <c r="Y10" s="13">
        <v>76</v>
      </c>
      <c r="Z10" s="13">
        <v>87</v>
      </c>
      <c r="AA10" s="13">
        <v>103</v>
      </c>
      <c r="AB10" s="14">
        <v>22</v>
      </c>
      <c r="AC10" s="9"/>
      <c r="AD10" s="16"/>
      <c r="AE10" s="10"/>
      <c r="AF10" s="10"/>
      <c r="AG10" s="10"/>
      <c r="AH10" s="11"/>
      <c r="AI10" s="12"/>
      <c r="AJ10" s="17"/>
      <c r="AK10" s="13"/>
      <c r="AL10" s="13"/>
      <c r="AM10" s="13"/>
      <c r="AN10" s="14"/>
      <c r="AO10" s="9"/>
      <c r="AP10" s="16"/>
      <c r="AQ10" s="10"/>
      <c r="AR10" s="10"/>
      <c r="AS10" s="10"/>
      <c r="AT10" s="11"/>
      <c r="AU10" s="12"/>
      <c r="AV10" s="17"/>
      <c r="AW10" s="13"/>
      <c r="AX10" s="13"/>
      <c r="AY10" s="13"/>
      <c r="AZ10" s="14"/>
      <c r="BA10" s="9"/>
      <c r="BB10" s="16"/>
      <c r="BC10" s="10"/>
      <c r="BD10" s="10"/>
      <c r="BE10" s="10"/>
      <c r="BF10" s="11"/>
      <c r="BG10" s="12"/>
      <c r="BH10" s="17"/>
      <c r="BI10" s="13"/>
      <c r="BJ10" s="13"/>
      <c r="BK10" s="13"/>
      <c r="BL10" s="14"/>
      <c r="BM10" s="8">
        <f t="shared" si="0"/>
        <v>197</v>
      </c>
      <c r="BN10" s="8">
        <f t="shared" si="1"/>
        <v>141</v>
      </c>
      <c r="BO10" s="8">
        <f t="shared" si="2"/>
        <v>144</v>
      </c>
      <c r="BP10" s="8">
        <f t="shared" si="3"/>
        <v>91</v>
      </c>
      <c r="BQ10" s="8">
        <f t="shared" si="4"/>
        <v>197</v>
      </c>
      <c r="BR10" s="8">
        <f t="shared" si="5"/>
        <v>141</v>
      </c>
      <c r="BS10" s="15">
        <f t="shared" si="6"/>
        <v>44.845269766254759</v>
      </c>
      <c r="BT10" s="15" t="str">
        <f t="shared" si="7"/>
        <v>OK - No Upgrade</v>
      </c>
      <c r="BU10" s="15" t="str">
        <f t="shared" si="8"/>
        <v>Need to Balance</v>
      </c>
    </row>
    <row r="11" spans="1:73" ht="15.75" customHeight="1" x14ac:dyDescent="0.25">
      <c r="A11" s="8" t="s">
        <v>38</v>
      </c>
      <c r="B11" s="8" t="s">
        <v>863</v>
      </c>
      <c r="C11" s="8" t="s">
        <v>124</v>
      </c>
      <c r="D11" s="8" t="s">
        <v>882</v>
      </c>
      <c r="E11" s="8" t="s">
        <v>883</v>
      </c>
      <c r="F11" s="8" t="s">
        <v>43</v>
      </c>
      <c r="G11" s="8" t="s">
        <v>44</v>
      </c>
      <c r="H11" s="8">
        <v>315</v>
      </c>
      <c r="I11" s="8" t="s">
        <v>884</v>
      </c>
      <c r="J11" s="8">
        <v>1</v>
      </c>
      <c r="K11" s="8">
        <v>241</v>
      </c>
      <c r="L11" s="8">
        <v>243</v>
      </c>
      <c r="M11" s="8">
        <v>244</v>
      </c>
      <c r="N11" s="8">
        <v>418</v>
      </c>
      <c r="O11" s="8">
        <v>424</v>
      </c>
      <c r="P11" s="8">
        <v>421</v>
      </c>
      <c r="Q11" s="9" t="s">
        <v>47</v>
      </c>
      <c r="R11" s="16"/>
      <c r="S11" s="10">
        <v>118</v>
      </c>
      <c r="T11" s="10">
        <v>125</v>
      </c>
      <c r="U11" s="10">
        <v>149</v>
      </c>
      <c r="V11" s="11">
        <v>18</v>
      </c>
      <c r="W11" s="12" t="s">
        <v>47</v>
      </c>
      <c r="X11" s="17"/>
      <c r="Y11" s="13">
        <v>197</v>
      </c>
      <c r="Z11" s="13">
        <v>129</v>
      </c>
      <c r="AA11" s="13">
        <v>129</v>
      </c>
      <c r="AB11" s="14">
        <v>65</v>
      </c>
      <c r="AC11" s="9"/>
      <c r="AD11" s="16"/>
      <c r="AE11" s="10"/>
      <c r="AF11" s="10"/>
      <c r="AG11" s="10"/>
      <c r="AH11" s="11"/>
      <c r="AI11" s="12"/>
      <c r="AJ11" s="17"/>
      <c r="AK11" s="13"/>
      <c r="AL11" s="13"/>
      <c r="AM11" s="13"/>
      <c r="AN11" s="14"/>
      <c r="AO11" s="9"/>
      <c r="AP11" s="16"/>
      <c r="AQ11" s="10"/>
      <c r="AR11" s="10"/>
      <c r="AS11" s="10"/>
      <c r="AT11" s="11"/>
      <c r="AU11" s="12"/>
      <c r="AV11" s="17"/>
      <c r="AW11" s="13"/>
      <c r="AX11" s="13"/>
      <c r="AY11" s="13"/>
      <c r="AZ11" s="14"/>
      <c r="BA11" s="9"/>
      <c r="BB11" s="16"/>
      <c r="BC11" s="10"/>
      <c r="BD11" s="10"/>
      <c r="BE11" s="10"/>
      <c r="BF11" s="11"/>
      <c r="BG11" s="12"/>
      <c r="BH11" s="17"/>
      <c r="BI11" s="13"/>
      <c r="BJ11" s="13"/>
      <c r="BK11" s="13"/>
      <c r="BL11" s="14"/>
      <c r="BM11" s="8">
        <f t="shared" si="0"/>
        <v>315</v>
      </c>
      <c r="BN11" s="8">
        <f t="shared" si="1"/>
        <v>254</v>
      </c>
      <c r="BO11" s="8">
        <f t="shared" si="2"/>
        <v>278</v>
      </c>
      <c r="BP11" s="8">
        <f t="shared" si="3"/>
        <v>83</v>
      </c>
      <c r="BQ11" s="8">
        <f t="shared" si="4"/>
        <v>315</v>
      </c>
      <c r="BR11" s="8">
        <f t="shared" si="5"/>
        <v>254</v>
      </c>
      <c r="BS11" s="15">
        <f t="shared" si="6"/>
        <v>72.399723756379075</v>
      </c>
      <c r="BT11" s="15" t="str">
        <f t="shared" si="7"/>
        <v>Upgrade</v>
      </c>
      <c r="BU11" s="15" t="str">
        <f t="shared" si="8"/>
        <v>Need to Balance</v>
      </c>
    </row>
    <row r="12" spans="1:73" ht="15.75" customHeight="1" x14ac:dyDescent="0.25">
      <c r="A12" s="8" t="s">
        <v>38</v>
      </c>
      <c r="B12" s="8" t="s">
        <v>863</v>
      </c>
      <c r="C12" s="8" t="s">
        <v>124</v>
      </c>
      <c r="D12" s="8" t="s">
        <v>885</v>
      </c>
      <c r="E12" s="8" t="s">
        <v>886</v>
      </c>
      <c r="F12" s="8" t="s">
        <v>43</v>
      </c>
      <c r="G12" s="8" t="s">
        <v>44</v>
      </c>
      <c r="H12" s="8">
        <v>315</v>
      </c>
      <c r="I12" s="8" t="s">
        <v>887</v>
      </c>
      <c r="J12" s="8">
        <v>1</v>
      </c>
      <c r="K12" s="8">
        <v>246</v>
      </c>
      <c r="L12" s="8">
        <v>246</v>
      </c>
      <c r="M12" s="8">
        <v>247</v>
      </c>
      <c r="N12" s="8">
        <v>426</v>
      </c>
      <c r="O12" s="8">
        <v>430</v>
      </c>
      <c r="P12" s="8">
        <v>429</v>
      </c>
      <c r="Q12" s="9" t="s">
        <v>47</v>
      </c>
      <c r="R12" s="16"/>
      <c r="S12" s="10">
        <v>69</v>
      </c>
      <c r="T12" s="10">
        <v>49</v>
      </c>
      <c r="U12" s="10">
        <v>55</v>
      </c>
      <c r="V12" s="11">
        <v>25</v>
      </c>
      <c r="W12" s="12"/>
      <c r="X12" s="17"/>
      <c r="Y12" s="13"/>
      <c r="Z12" s="13"/>
      <c r="AA12" s="13"/>
      <c r="AB12" s="14"/>
      <c r="AC12" s="9"/>
      <c r="AD12" s="16"/>
      <c r="AE12" s="10"/>
      <c r="AF12" s="10"/>
      <c r="AG12" s="10"/>
      <c r="AH12" s="11"/>
      <c r="AI12" s="12"/>
      <c r="AJ12" s="17"/>
      <c r="AK12" s="13"/>
      <c r="AL12" s="13"/>
      <c r="AM12" s="13"/>
      <c r="AN12" s="14"/>
      <c r="AO12" s="9"/>
      <c r="AP12" s="16"/>
      <c r="AQ12" s="10"/>
      <c r="AR12" s="10"/>
      <c r="AS12" s="10"/>
      <c r="AT12" s="11"/>
      <c r="AU12" s="12"/>
      <c r="AV12" s="17"/>
      <c r="AW12" s="13"/>
      <c r="AX12" s="13"/>
      <c r="AY12" s="13"/>
      <c r="AZ12" s="14"/>
      <c r="BA12" s="9"/>
      <c r="BB12" s="16"/>
      <c r="BC12" s="10"/>
      <c r="BD12" s="10"/>
      <c r="BE12" s="10"/>
      <c r="BF12" s="11"/>
      <c r="BG12" s="12"/>
      <c r="BH12" s="17"/>
      <c r="BI12" s="13"/>
      <c r="BJ12" s="13"/>
      <c r="BK12" s="13"/>
      <c r="BL12" s="14"/>
      <c r="BM12" s="8">
        <f t="shared" si="0"/>
        <v>69</v>
      </c>
      <c r="BN12" s="8">
        <f t="shared" si="1"/>
        <v>49</v>
      </c>
      <c r="BO12" s="8">
        <f t="shared" si="2"/>
        <v>55</v>
      </c>
      <c r="BP12" s="8">
        <f t="shared" si="3"/>
        <v>25</v>
      </c>
      <c r="BQ12" s="8">
        <f t="shared" si="4"/>
        <v>69</v>
      </c>
      <c r="BR12" s="8">
        <f t="shared" si="5"/>
        <v>49</v>
      </c>
      <c r="BS12" s="15">
        <f t="shared" si="6"/>
        <v>16.162508392914152</v>
      </c>
      <c r="BT12" s="15" t="str">
        <f t="shared" si="7"/>
        <v>OK - No Upgrade</v>
      </c>
      <c r="BU12" s="15" t="str">
        <f t="shared" si="8"/>
        <v>Need to Balance</v>
      </c>
    </row>
    <row r="13" spans="1:73" ht="15.75" customHeight="1" x14ac:dyDescent="0.25">
      <c r="A13" s="8" t="s">
        <v>38</v>
      </c>
      <c r="B13" s="8" t="s">
        <v>863</v>
      </c>
      <c r="C13" s="8" t="s">
        <v>512</v>
      </c>
      <c r="D13" s="8" t="s">
        <v>888</v>
      </c>
      <c r="E13" s="8" t="s">
        <v>889</v>
      </c>
      <c r="F13" s="8" t="s">
        <v>43</v>
      </c>
      <c r="G13" s="8" t="s">
        <v>44</v>
      </c>
      <c r="H13" s="8">
        <v>100</v>
      </c>
      <c r="I13" s="8" t="s">
        <v>890</v>
      </c>
      <c r="J13" s="8">
        <v>1</v>
      </c>
      <c r="K13" s="8">
        <v>248</v>
      </c>
      <c r="L13" s="8">
        <v>249</v>
      </c>
      <c r="M13" s="8">
        <v>251</v>
      </c>
      <c r="N13" s="8">
        <v>432</v>
      </c>
      <c r="O13" s="8">
        <v>435</v>
      </c>
      <c r="P13" s="8">
        <v>434</v>
      </c>
      <c r="Q13" s="9" t="s">
        <v>47</v>
      </c>
      <c r="R13" s="16"/>
      <c r="S13" s="10">
        <v>9</v>
      </c>
      <c r="T13" s="10">
        <v>0</v>
      </c>
      <c r="U13" s="10">
        <v>0</v>
      </c>
      <c r="V13" s="11">
        <v>9</v>
      </c>
      <c r="W13" s="12"/>
      <c r="X13" s="17"/>
      <c r="Y13" s="13"/>
      <c r="Z13" s="13"/>
      <c r="AA13" s="13"/>
      <c r="AB13" s="14"/>
      <c r="AC13" s="9"/>
      <c r="AD13" s="16"/>
      <c r="AE13" s="10"/>
      <c r="AF13" s="10"/>
      <c r="AG13" s="10"/>
      <c r="AH13" s="11"/>
      <c r="AI13" s="12"/>
      <c r="AJ13" s="17"/>
      <c r="AK13" s="13"/>
      <c r="AL13" s="13"/>
      <c r="AM13" s="13"/>
      <c r="AN13" s="14"/>
      <c r="AO13" s="9"/>
      <c r="AP13" s="16"/>
      <c r="AQ13" s="10"/>
      <c r="AR13" s="10"/>
      <c r="AS13" s="10"/>
      <c r="AT13" s="11"/>
      <c r="AU13" s="12"/>
      <c r="AV13" s="17"/>
      <c r="AW13" s="13"/>
      <c r="AX13" s="13"/>
      <c r="AY13" s="13"/>
      <c r="AZ13" s="14"/>
      <c r="BA13" s="9"/>
      <c r="BB13" s="16"/>
      <c r="BC13" s="10"/>
      <c r="BD13" s="10"/>
      <c r="BE13" s="10"/>
      <c r="BF13" s="11"/>
      <c r="BG13" s="12"/>
      <c r="BH13" s="17"/>
      <c r="BI13" s="13"/>
      <c r="BJ13" s="13"/>
      <c r="BK13" s="13"/>
      <c r="BL13" s="14"/>
      <c r="BM13" s="8">
        <f t="shared" si="0"/>
        <v>9</v>
      </c>
      <c r="BN13" s="8">
        <f t="shared" si="1"/>
        <v>0</v>
      </c>
      <c r="BO13" s="8">
        <f t="shared" si="2"/>
        <v>0</v>
      </c>
      <c r="BP13" s="8">
        <f t="shared" si="3"/>
        <v>9</v>
      </c>
      <c r="BQ13" s="8">
        <f t="shared" si="4"/>
        <v>9</v>
      </c>
      <c r="BR13" s="8">
        <f t="shared" si="5"/>
        <v>0</v>
      </c>
      <c r="BS13" s="15">
        <f t="shared" si="6"/>
        <v>6.7342135398277936</v>
      </c>
      <c r="BT13" s="15" t="str">
        <f t="shared" si="7"/>
        <v>OK - No Upgrade</v>
      </c>
      <c r="BU13" s="15" t="str">
        <f t="shared" si="8"/>
        <v>Need to Balance</v>
      </c>
    </row>
    <row r="14" spans="1:73" ht="15.75" customHeight="1" x14ac:dyDescent="0.25">
      <c r="A14" s="8" t="s">
        <v>38</v>
      </c>
      <c r="B14" s="8" t="s">
        <v>863</v>
      </c>
      <c r="C14" s="8" t="s">
        <v>512</v>
      </c>
      <c r="D14" s="8" t="s">
        <v>891</v>
      </c>
      <c r="E14" s="8" t="s">
        <v>892</v>
      </c>
      <c r="F14" s="8" t="s">
        <v>43</v>
      </c>
      <c r="G14" s="8" t="s">
        <v>44</v>
      </c>
      <c r="H14" s="8">
        <v>100</v>
      </c>
      <c r="I14" s="8" t="s">
        <v>893</v>
      </c>
      <c r="J14" s="8">
        <v>1</v>
      </c>
      <c r="K14" s="8">
        <v>248</v>
      </c>
      <c r="L14" s="8">
        <v>247</v>
      </c>
      <c r="M14" s="8">
        <v>240</v>
      </c>
      <c r="N14" s="8">
        <v>430</v>
      </c>
      <c r="O14" s="8">
        <v>432</v>
      </c>
      <c r="P14" s="8">
        <v>430</v>
      </c>
      <c r="Q14" s="9" t="s">
        <v>46</v>
      </c>
      <c r="R14" s="16"/>
      <c r="S14" s="10">
        <v>11</v>
      </c>
      <c r="T14" s="10">
        <v>37</v>
      </c>
      <c r="U14" s="10">
        <v>1</v>
      </c>
      <c r="V14" s="11">
        <v>28</v>
      </c>
      <c r="W14" s="12" t="s">
        <v>46</v>
      </c>
      <c r="X14" s="17"/>
      <c r="Y14" s="13">
        <v>2</v>
      </c>
      <c r="Z14" s="13">
        <v>0</v>
      </c>
      <c r="AA14" s="13">
        <v>28</v>
      </c>
      <c r="AB14" s="14">
        <v>25</v>
      </c>
      <c r="AC14" s="9"/>
      <c r="AD14" s="16"/>
      <c r="AE14" s="10"/>
      <c r="AF14" s="10"/>
      <c r="AG14" s="10"/>
      <c r="AH14" s="11"/>
      <c r="AI14" s="12"/>
      <c r="AJ14" s="17"/>
      <c r="AK14" s="13"/>
      <c r="AL14" s="13"/>
      <c r="AM14" s="13"/>
      <c r="AN14" s="14"/>
      <c r="AO14" s="9"/>
      <c r="AP14" s="16"/>
      <c r="AQ14" s="10"/>
      <c r="AR14" s="10"/>
      <c r="AS14" s="10"/>
      <c r="AT14" s="11"/>
      <c r="AU14" s="12"/>
      <c r="AV14" s="17"/>
      <c r="AW14" s="13"/>
      <c r="AX14" s="13"/>
      <c r="AY14" s="13"/>
      <c r="AZ14" s="14"/>
      <c r="BA14" s="9"/>
      <c r="BB14" s="16"/>
      <c r="BC14" s="10"/>
      <c r="BD14" s="10"/>
      <c r="BE14" s="10"/>
      <c r="BF14" s="11"/>
      <c r="BG14" s="12"/>
      <c r="BH14" s="17"/>
      <c r="BI14" s="13"/>
      <c r="BJ14" s="13"/>
      <c r="BK14" s="13"/>
      <c r="BL14" s="14"/>
      <c r="BM14" s="8">
        <f t="shared" si="0"/>
        <v>13</v>
      </c>
      <c r="BN14" s="8">
        <f t="shared" si="1"/>
        <v>37</v>
      </c>
      <c r="BO14" s="8">
        <f t="shared" si="2"/>
        <v>29</v>
      </c>
      <c r="BP14" s="8">
        <f t="shared" si="3"/>
        <v>53</v>
      </c>
      <c r="BQ14" s="8">
        <f t="shared" si="4"/>
        <v>37</v>
      </c>
      <c r="BR14" s="8">
        <f t="shared" si="5"/>
        <v>13</v>
      </c>
      <c r="BS14" s="15">
        <f t="shared" si="6"/>
        <v>27.556928348420833</v>
      </c>
      <c r="BT14" s="15" t="str">
        <f t="shared" si="7"/>
        <v>OK - No Upgrade</v>
      </c>
      <c r="BU14" s="15" t="str">
        <f t="shared" si="8"/>
        <v>Need to Balance</v>
      </c>
    </row>
    <row r="15" spans="1:73" ht="15.75" customHeight="1" x14ac:dyDescent="0.25">
      <c r="A15" s="8" t="s">
        <v>38</v>
      </c>
      <c r="B15" s="8" t="s">
        <v>863</v>
      </c>
      <c r="C15" s="8" t="s">
        <v>512</v>
      </c>
      <c r="D15" s="8" t="s">
        <v>894</v>
      </c>
      <c r="E15" s="8" t="s">
        <v>895</v>
      </c>
      <c r="F15" s="8" t="s">
        <v>43</v>
      </c>
      <c r="G15" s="8" t="s">
        <v>44</v>
      </c>
      <c r="H15" s="8">
        <v>315</v>
      </c>
      <c r="I15" s="8" t="s">
        <v>233</v>
      </c>
      <c r="J15" s="8">
        <v>1</v>
      </c>
      <c r="K15" s="8">
        <v>248</v>
      </c>
      <c r="L15" s="8">
        <v>248</v>
      </c>
      <c r="M15" s="8">
        <v>251</v>
      </c>
      <c r="N15" s="8">
        <v>430</v>
      </c>
      <c r="O15" s="8">
        <v>435</v>
      </c>
      <c r="P15" s="8">
        <v>434</v>
      </c>
      <c r="Q15" s="9" t="s">
        <v>47</v>
      </c>
      <c r="R15" s="16"/>
      <c r="S15" s="10">
        <v>21</v>
      </c>
      <c r="T15" s="10">
        <v>3</v>
      </c>
      <c r="U15" s="10">
        <v>0</v>
      </c>
      <c r="V15" s="11">
        <v>14</v>
      </c>
      <c r="W15" s="12" t="s">
        <v>47</v>
      </c>
      <c r="X15" s="17"/>
      <c r="Y15" s="13">
        <v>0</v>
      </c>
      <c r="Z15" s="13">
        <v>0</v>
      </c>
      <c r="AA15" s="13">
        <v>0</v>
      </c>
      <c r="AB15" s="14">
        <v>3</v>
      </c>
      <c r="AC15" s="9"/>
      <c r="AD15" s="16"/>
      <c r="AE15" s="10"/>
      <c r="AF15" s="10"/>
      <c r="AG15" s="10"/>
      <c r="AH15" s="11"/>
      <c r="AI15" s="12"/>
      <c r="AJ15" s="17"/>
      <c r="AK15" s="13"/>
      <c r="AL15" s="13"/>
      <c r="AM15" s="13"/>
      <c r="AN15" s="14"/>
      <c r="AO15" s="9"/>
      <c r="AP15" s="16"/>
      <c r="AQ15" s="10"/>
      <c r="AR15" s="10"/>
      <c r="AS15" s="10"/>
      <c r="AT15" s="11"/>
      <c r="AU15" s="12"/>
      <c r="AV15" s="17"/>
      <c r="AW15" s="13"/>
      <c r="AX15" s="13"/>
      <c r="AY15" s="13"/>
      <c r="AZ15" s="14"/>
      <c r="BA15" s="9"/>
      <c r="BB15" s="16"/>
      <c r="BC15" s="10"/>
      <c r="BD15" s="10"/>
      <c r="BE15" s="10"/>
      <c r="BF15" s="11"/>
      <c r="BG15" s="12"/>
      <c r="BH15" s="17"/>
      <c r="BI15" s="13"/>
      <c r="BJ15" s="13"/>
      <c r="BK15" s="13"/>
      <c r="BL15" s="14"/>
      <c r="BM15" s="8">
        <f t="shared" si="0"/>
        <v>21</v>
      </c>
      <c r="BN15" s="8">
        <f t="shared" si="1"/>
        <v>3</v>
      </c>
      <c r="BO15" s="8">
        <f t="shared" si="2"/>
        <v>0</v>
      </c>
      <c r="BP15" s="8">
        <f t="shared" si="3"/>
        <v>17</v>
      </c>
      <c r="BQ15" s="8">
        <f t="shared" si="4"/>
        <v>21</v>
      </c>
      <c r="BR15" s="8">
        <f t="shared" si="5"/>
        <v>0</v>
      </c>
      <c r="BS15" s="15">
        <f t="shared" si="6"/>
        <v>4.9652123150307812</v>
      </c>
      <c r="BT15" s="15" t="str">
        <f t="shared" si="7"/>
        <v>OK - No Upgrade</v>
      </c>
      <c r="BU15" s="15" t="str">
        <f t="shared" si="8"/>
        <v>Need to Balance</v>
      </c>
    </row>
    <row r="16" spans="1:73" ht="15.75" customHeight="1" x14ac:dyDescent="0.25">
      <c r="A16" s="8" t="s">
        <v>38</v>
      </c>
      <c r="B16" s="8" t="s">
        <v>863</v>
      </c>
      <c r="C16" s="8" t="s">
        <v>512</v>
      </c>
      <c r="D16" s="8" t="s">
        <v>896</v>
      </c>
      <c r="E16" s="8" t="s">
        <v>897</v>
      </c>
      <c r="F16" s="8" t="s">
        <v>56</v>
      </c>
      <c r="G16" s="8" t="s">
        <v>44</v>
      </c>
      <c r="H16" s="8">
        <v>1000</v>
      </c>
      <c r="I16" s="8" t="s">
        <v>898</v>
      </c>
      <c r="J16" s="8">
        <v>1</v>
      </c>
      <c r="K16" s="8">
        <v>249</v>
      </c>
      <c r="L16" s="8">
        <v>249</v>
      </c>
      <c r="M16" s="8">
        <v>251</v>
      </c>
      <c r="N16" s="8">
        <v>429</v>
      </c>
      <c r="O16" s="8">
        <v>429</v>
      </c>
      <c r="P16" s="8">
        <v>432</v>
      </c>
      <c r="Q16" s="9" t="s">
        <v>47</v>
      </c>
      <c r="R16" s="16"/>
      <c r="S16" s="10">
        <v>70</v>
      </c>
      <c r="T16" s="10">
        <v>104</v>
      </c>
      <c r="U16" s="10">
        <v>62</v>
      </c>
      <c r="V16" s="11">
        <v>62</v>
      </c>
      <c r="W16" s="12" t="s">
        <v>47</v>
      </c>
      <c r="X16" s="17"/>
      <c r="Y16" s="13">
        <v>158</v>
      </c>
      <c r="Z16" s="13">
        <v>153</v>
      </c>
      <c r="AA16" s="13">
        <v>176</v>
      </c>
      <c r="AB16" s="14">
        <v>51</v>
      </c>
      <c r="AC16" s="9" t="s">
        <v>47</v>
      </c>
      <c r="AD16" s="16"/>
      <c r="AE16" s="10">
        <v>76</v>
      </c>
      <c r="AF16" s="10">
        <v>33</v>
      </c>
      <c r="AG16" s="10">
        <v>45</v>
      </c>
      <c r="AH16" s="11">
        <v>34</v>
      </c>
      <c r="AI16" s="12"/>
      <c r="AJ16" s="17"/>
      <c r="AK16" s="13"/>
      <c r="AL16" s="13"/>
      <c r="AM16" s="13"/>
      <c r="AN16" s="14"/>
      <c r="AO16" s="9"/>
      <c r="AP16" s="16"/>
      <c r="AQ16" s="10"/>
      <c r="AR16" s="10"/>
      <c r="AS16" s="10"/>
      <c r="AT16" s="11"/>
      <c r="AU16" s="12"/>
      <c r="AV16" s="17"/>
      <c r="AW16" s="13"/>
      <c r="AX16" s="13"/>
      <c r="AY16" s="13"/>
      <c r="AZ16" s="14"/>
      <c r="BA16" s="9"/>
      <c r="BB16" s="16"/>
      <c r="BC16" s="10"/>
      <c r="BD16" s="10"/>
      <c r="BE16" s="10"/>
      <c r="BF16" s="11"/>
      <c r="BG16" s="12"/>
      <c r="BH16" s="17"/>
      <c r="BI16" s="13"/>
      <c r="BJ16" s="13"/>
      <c r="BK16" s="13"/>
      <c r="BL16" s="14"/>
      <c r="BM16" s="8">
        <f t="shared" si="0"/>
        <v>304</v>
      </c>
      <c r="BN16" s="8">
        <f t="shared" si="1"/>
        <v>290</v>
      </c>
      <c r="BO16" s="8">
        <f t="shared" si="2"/>
        <v>283</v>
      </c>
      <c r="BP16" s="8">
        <f t="shared" si="3"/>
        <v>147</v>
      </c>
      <c r="BQ16" s="8">
        <f t="shared" si="4"/>
        <v>304</v>
      </c>
      <c r="BR16" s="8">
        <f t="shared" si="5"/>
        <v>283</v>
      </c>
      <c r="BS16" s="15">
        <f t="shared" si="6"/>
        <v>22.588713811990267</v>
      </c>
      <c r="BT16" s="15" t="str">
        <f t="shared" si="7"/>
        <v>OK - No Upgrade</v>
      </c>
      <c r="BU16" s="15" t="str">
        <f t="shared" si="8"/>
        <v>OK - Balanced</v>
      </c>
    </row>
    <row r="17" spans="1:73" ht="15.75" customHeight="1" x14ac:dyDescent="0.25">
      <c r="A17" s="8" t="s">
        <v>38</v>
      </c>
      <c r="B17" s="8" t="s">
        <v>863</v>
      </c>
      <c r="C17" s="8" t="s">
        <v>512</v>
      </c>
      <c r="D17" s="8" t="s">
        <v>899</v>
      </c>
      <c r="E17" s="8" t="s">
        <v>900</v>
      </c>
      <c r="F17" s="8" t="s">
        <v>43</v>
      </c>
      <c r="G17" s="8" t="s">
        <v>44</v>
      </c>
      <c r="H17" s="8">
        <v>315</v>
      </c>
      <c r="I17" s="8" t="s">
        <v>901</v>
      </c>
      <c r="J17" s="8">
        <v>1</v>
      </c>
      <c r="K17" s="8">
        <v>239</v>
      </c>
      <c r="L17" s="8">
        <v>249</v>
      </c>
      <c r="M17" s="8">
        <v>251</v>
      </c>
      <c r="N17" s="8">
        <v>432</v>
      </c>
      <c r="O17" s="8">
        <v>435</v>
      </c>
      <c r="P17" s="8">
        <v>434</v>
      </c>
      <c r="Q17" s="9" t="s">
        <v>46</v>
      </c>
      <c r="R17" s="16"/>
      <c r="S17" s="10">
        <v>27</v>
      </c>
      <c r="T17" s="10">
        <v>17</v>
      </c>
      <c r="U17" s="10">
        <v>44</v>
      </c>
      <c r="V17" s="11">
        <v>22</v>
      </c>
      <c r="W17" s="12" t="s">
        <v>46</v>
      </c>
      <c r="X17" s="17"/>
      <c r="Y17" s="13">
        <v>10</v>
      </c>
      <c r="Z17" s="13">
        <v>1</v>
      </c>
      <c r="AA17" s="13">
        <v>9</v>
      </c>
      <c r="AB17" s="14">
        <v>8</v>
      </c>
      <c r="AC17" s="9"/>
      <c r="AD17" s="16"/>
      <c r="AE17" s="10"/>
      <c r="AF17" s="10"/>
      <c r="AG17" s="10"/>
      <c r="AH17" s="11"/>
      <c r="AI17" s="12"/>
      <c r="AJ17" s="17"/>
      <c r="AK17" s="13"/>
      <c r="AL17" s="13"/>
      <c r="AM17" s="13"/>
      <c r="AN17" s="14"/>
      <c r="AO17" s="9"/>
      <c r="AP17" s="16"/>
      <c r="AQ17" s="10"/>
      <c r="AR17" s="10"/>
      <c r="AS17" s="10"/>
      <c r="AT17" s="11"/>
      <c r="AU17" s="12"/>
      <c r="AV17" s="17"/>
      <c r="AW17" s="13"/>
      <c r="AX17" s="13"/>
      <c r="AY17" s="13"/>
      <c r="AZ17" s="14"/>
      <c r="BA17" s="9"/>
      <c r="BB17" s="16"/>
      <c r="BC17" s="10"/>
      <c r="BD17" s="10"/>
      <c r="BE17" s="10"/>
      <c r="BF17" s="11"/>
      <c r="BG17" s="12"/>
      <c r="BH17" s="17"/>
      <c r="BI17" s="13"/>
      <c r="BJ17" s="13"/>
      <c r="BK17" s="13"/>
      <c r="BL17" s="14"/>
      <c r="BM17" s="8">
        <f t="shared" si="0"/>
        <v>37</v>
      </c>
      <c r="BN17" s="8">
        <f t="shared" si="1"/>
        <v>18</v>
      </c>
      <c r="BO17" s="8">
        <f t="shared" si="2"/>
        <v>53</v>
      </c>
      <c r="BP17" s="8">
        <f t="shared" si="3"/>
        <v>30</v>
      </c>
      <c r="BQ17" s="8">
        <f t="shared" si="4"/>
        <v>53</v>
      </c>
      <c r="BR17" s="8">
        <f t="shared" si="5"/>
        <v>18</v>
      </c>
      <c r="BS17" s="15">
        <f t="shared" si="6"/>
        <v>12.589535012729208</v>
      </c>
      <c r="BT17" s="15" t="str">
        <f t="shared" si="7"/>
        <v>OK - No Upgrade</v>
      </c>
      <c r="BU17" s="15" t="str">
        <f t="shared" si="8"/>
        <v>Need to Balance</v>
      </c>
    </row>
    <row r="18" spans="1:73" ht="15.75" customHeight="1" x14ac:dyDescent="0.25">
      <c r="A18" s="8" t="s">
        <v>38</v>
      </c>
      <c r="B18" s="8" t="s">
        <v>863</v>
      </c>
      <c r="C18" s="8" t="s">
        <v>389</v>
      </c>
      <c r="D18" s="8" t="s">
        <v>902</v>
      </c>
      <c r="E18" s="8" t="s">
        <v>903</v>
      </c>
      <c r="F18" s="8" t="s">
        <v>56</v>
      </c>
      <c r="G18" s="8" t="s">
        <v>44</v>
      </c>
      <c r="H18" s="8">
        <v>1000</v>
      </c>
      <c r="I18" s="8"/>
      <c r="J18" s="8">
        <v>1</v>
      </c>
      <c r="K18" s="8">
        <v>244</v>
      </c>
      <c r="L18" s="8">
        <v>243</v>
      </c>
      <c r="M18" s="8">
        <v>246</v>
      </c>
      <c r="N18" s="8"/>
      <c r="O18" s="8"/>
      <c r="P18" s="8"/>
      <c r="Q18" s="9"/>
      <c r="R18" s="16"/>
      <c r="S18" s="10"/>
      <c r="T18" s="10"/>
      <c r="U18" s="10"/>
      <c r="V18" s="11"/>
      <c r="W18" s="12"/>
      <c r="X18" s="17"/>
      <c r="Y18" s="13"/>
      <c r="Z18" s="13"/>
      <c r="AA18" s="13"/>
      <c r="AB18" s="14"/>
      <c r="AC18" s="9"/>
      <c r="AD18" s="16"/>
      <c r="AE18" s="10"/>
      <c r="AF18" s="10"/>
      <c r="AG18" s="10"/>
      <c r="AH18" s="11"/>
      <c r="AI18" s="12"/>
      <c r="AJ18" s="17"/>
      <c r="AK18" s="13"/>
      <c r="AL18" s="13"/>
      <c r="AM18" s="13"/>
      <c r="AN18" s="14"/>
      <c r="AO18" s="9"/>
      <c r="AP18" s="16"/>
      <c r="AQ18" s="10"/>
      <c r="AR18" s="10"/>
      <c r="AS18" s="10"/>
      <c r="AT18" s="11"/>
      <c r="AU18" s="12"/>
      <c r="AV18" s="17"/>
      <c r="AW18" s="13"/>
      <c r="AX18" s="13"/>
      <c r="AY18" s="13"/>
      <c r="AZ18" s="14"/>
      <c r="BA18" s="9"/>
      <c r="BB18" s="16"/>
      <c r="BC18" s="10"/>
      <c r="BD18" s="10"/>
      <c r="BE18" s="10"/>
      <c r="BF18" s="11"/>
      <c r="BG18" s="12"/>
      <c r="BH18" s="17"/>
      <c r="BI18" s="13"/>
      <c r="BJ18" s="13"/>
      <c r="BK18" s="13"/>
      <c r="BL18" s="14"/>
      <c r="BM18" s="8">
        <f t="shared" si="0"/>
        <v>0</v>
      </c>
      <c r="BN18" s="8">
        <f t="shared" si="1"/>
        <v>0</v>
      </c>
      <c r="BO18" s="8">
        <f t="shared" si="2"/>
        <v>0</v>
      </c>
      <c r="BP18" s="8">
        <f t="shared" si="3"/>
        <v>0</v>
      </c>
      <c r="BQ18" s="8">
        <f t="shared" si="4"/>
        <v>0</v>
      </c>
      <c r="BR18" s="8">
        <f t="shared" si="5"/>
        <v>0</v>
      </c>
      <c r="BS18" s="15">
        <f t="shared" si="6"/>
        <v>0</v>
      </c>
      <c r="BT18" s="15" t="str">
        <f t="shared" si="7"/>
        <v>OK - No Upgrade</v>
      </c>
      <c r="BU18" s="15" t="str">
        <f t="shared" si="8"/>
        <v>OK - Balanced</v>
      </c>
    </row>
    <row r="19" spans="1:73" ht="15.75" customHeight="1" x14ac:dyDescent="0.25">
      <c r="A19" s="8" t="s">
        <v>904</v>
      </c>
      <c r="B19" s="8" t="s">
        <v>863</v>
      </c>
      <c r="C19" s="8" t="s">
        <v>905</v>
      </c>
      <c r="D19" s="8"/>
      <c r="E19" s="8" t="s">
        <v>906</v>
      </c>
      <c r="F19" s="8" t="s">
        <v>56</v>
      </c>
      <c r="G19" s="8" t="s">
        <v>44</v>
      </c>
      <c r="H19" s="8">
        <v>500</v>
      </c>
      <c r="I19" s="8" t="s">
        <v>907</v>
      </c>
      <c r="J19" s="8">
        <v>1</v>
      </c>
      <c r="K19" s="8">
        <v>239</v>
      </c>
      <c r="L19" s="8">
        <v>238</v>
      </c>
      <c r="M19" s="8">
        <v>241</v>
      </c>
      <c r="N19" s="8">
        <v>413</v>
      </c>
      <c r="O19" s="8">
        <v>415</v>
      </c>
      <c r="P19" s="8">
        <v>418</v>
      </c>
      <c r="Q19" s="9"/>
      <c r="R19" s="16"/>
      <c r="S19" s="10"/>
      <c r="T19" s="10"/>
      <c r="U19" s="10"/>
      <c r="V19" s="11"/>
      <c r="W19" s="12"/>
      <c r="X19" s="17"/>
      <c r="Y19" s="13"/>
      <c r="Z19" s="13"/>
      <c r="AA19" s="13"/>
      <c r="AB19" s="14"/>
      <c r="AC19" s="9" t="s">
        <v>47</v>
      </c>
      <c r="AD19" s="16"/>
      <c r="AE19" s="10">
        <v>120</v>
      </c>
      <c r="AF19" s="10">
        <v>79</v>
      </c>
      <c r="AG19" s="10">
        <v>77</v>
      </c>
      <c r="AH19" s="11">
        <v>35</v>
      </c>
      <c r="AI19" s="12" t="s">
        <v>47</v>
      </c>
      <c r="AJ19" s="17"/>
      <c r="AK19" s="13">
        <v>39</v>
      </c>
      <c r="AL19" s="13">
        <v>42</v>
      </c>
      <c r="AM19" s="13">
        <v>39</v>
      </c>
      <c r="AN19" s="14">
        <v>13</v>
      </c>
      <c r="AO19" s="9" t="s">
        <v>47</v>
      </c>
      <c r="AP19" s="16"/>
      <c r="AQ19" s="10">
        <v>14</v>
      </c>
      <c r="AR19" s="10">
        <v>25</v>
      </c>
      <c r="AS19" s="10">
        <v>19</v>
      </c>
      <c r="AT19" s="11">
        <v>16</v>
      </c>
      <c r="AU19" s="12"/>
      <c r="AV19" s="17"/>
      <c r="AW19" s="13"/>
      <c r="AX19" s="13"/>
      <c r="AY19" s="13"/>
      <c r="AZ19" s="14"/>
      <c r="BA19" s="9"/>
      <c r="BB19" s="16"/>
      <c r="BC19" s="10"/>
      <c r="BD19" s="10"/>
      <c r="BE19" s="10"/>
      <c r="BF19" s="11"/>
      <c r="BG19" s="12"/>
      <c r="BH19" s="17"/>
      <c r="BI19" s="13"/>
      <c r="BJ19" s="13"/>
      <c r="BK19" s="13"/>
      <c r="BL19" s="14"/>
      <c r="BM19" s="8">
        <f t="shared" si="0"/>
        <v>173</v>
      </c>
      <c r="BN19" s="8">
        <f t="shared" si="1"/>
        <v>146</v>
      </c>
      <c r="BO19" s="8">
        <f t="shared" si="2"/>
        <v>135</v>
      </c>
      <c r="BP19" s="8">
        <f t="shared" si="3"/>
        <v>64</v>
      </c>
      <c r="BQ19" s="8">
        <f t="shared" si="4"/>
        <v>173</v>
      </c>
      <c r="BR19" s="8">
        <f t="shared" si="5"/>
        <v>135</v>
      </c>
      <c r="BS19" s="15">
        <f t="shared" si="6"/>
        <v>24.750659629997742</v>
      </c>
      <c r="BT19" s="15" t="str">
        <f t="shared" si="7"/>
        <v>OK - No Upgrade</v>
      </c>
      <c r="BU19" s="15" t="str">
        <f t="shared" si="8"/>
        <v>Need to Balance</v>
      </c>
    </row>
    <row r="20" spans="1:73" ht="15.75" customHeight="1" x14ac:dyDescent="0.25">
      <c r="A20" s="8" t="s">
        <v>904</v>
      </c>
      <c r="B20" s="8" t="s">
        <v>863</v>
      </c>
      <c r="C20" s="8" t="s">
        <v>905</v>
      </c>
      <c r="D20" s="8" t="s">
        <v>908</v>
      </c>
      <c r="E20" s="8" t="s">
        <v>909</v>
      </c>
      <c r="F20" s="8" t="s">
        <v>56</v>
      </c>
      <c r="G20" s="8" t="s">
        <v>44</v>
      </c>
      <c r="H20" s="8">
        <v>1000</v>
      </c>
      <c r="I20" s="8" t="s">
        <v>910</v>
      </c>
      <c r="J20" s="8">
        <v>1</v>
      </c>
      <c r="K20" s="8">
        <v>239</v>
      </c>
      <c r="L20" s="8">
        <v>239</v>
      </c>
      <c r="M20" s="8">
        <v>241</v>
      </c>
      <c r="N20" s="8">
        <v>414</v>
      </c>
      <c r="O20" s="8">
        <v>416</v>
      </c>
      <c r="P20" s="8">
        <v>419</v>
      </c>
      <c r="Q20" s="9"/>
      <c r="R20" s="16"/>
      <c r="S20" s="10"/>
      <c r="T20" s="10"/>
      <c r="U20" s="10"/>
      <c r="V20" s="11"/>
      <c r="W20" s="12"/>
      <c r="X20" s="17"/>
      <c r="Y20" s="13"/>
      <c r="Z20" s="13"/>
      <c r="AA20" s="13"/>
      <c r="AB20" s="14"/>
      <c r="AC20" s="9"/>
      <c r="AD20" s="16"/>
      <c r="AE20" s="10"/>
      <c r="AF20" s="10"/>
      <c r="AG20" s="10"/>
      <c r="AH20" s="11"/>
      <c r="AI20" s="12" t="s">
        <v>47</v>
      </c>
      <c r="AJ20" s="17"/>
      <c r="AK20" s="13">
        <v>124</v>
      </c>
      <c r="AL20" s="13">
        <v>101</v>
      </c>
      <c r="AM20" s="13">
        <v>72</v>
      </c>
      <c r="AN20" s="14">
        <v>62</v>
      </c>
      <c r="AO20" s="9" t="s">
        <v>47</v>
      </c>
      <c r="AP20" s="16"/>
      <c r="AQ20" s="10">
        <v>105</v>
      </c>
      <c r="AR20" s="10">
        <v>94</v>
      </c>
      <c r="AS20" s="10">
        <v>70</v>
      </c>
      <c r="AT20" s="11">
        <v>63</v>
      </c>
      <c r="AU20" s="12" t="s">
        <v>47</v>
      </c>
      <c r="AV20" s="17"/>
      <c r="AW20" s="13">
        <v>65</v>
      </c>
      <c r="AX20" s="13">
        <v>55</v>
      </c>
      <c r="AY20" s="13">
        <v>51</v>
      </c>
      <c r="AZ20" s="14">
        <v>9</v>
      </c>
      <c r="BA20" s="9" t="s">
        <v>70</v>
      </c>
      <c r="BB20" s="16"/>
      <c r="BC20" s="10">
        <v>15</v>
      </c>
      <c r="BD20" s="10">
        <v>26</v>
      </c>
      <c r="BE20" s="10">
        <v>12</v>
      </c>
      <c r="BF20" s="11">
        <v>15</v>
      </c>
      <c r="BG20" s="12" t="s">
        <v>70</v>
      </c>
      <c r="BH20" s="17"/>
      <c r="BI20" s="13">
        <v>47</v>
      </c>
      <c r="BJ20" s="13">
        <v>36</v>
      </c>
      <c r="BK20" s="13">
        <v>18</v>
      </c>
      <c r="BL20" s="14">
        <v>30</v>
      </c>
      <c r="BM20" s="8">
        <f t="shared" si="0"/>
        <v>356</v>
      </c>
      <c r="BN20" s="8">
        <f t="shared" si="1"/>
        <v>312</v>
      </c>
      <c r="BO20" s="8">
        <f t="shared" si="2"/>
        <v>223</v>
      </c>
      <c r="BP20" s="8">
        <f t="shared" si="3"/>
        <v>179</v>
      </c>
      <c r="BQ20" s="8">
        <f t="shared" si="4"/>
        <v>356</v>
      </c>
      <c r="BR20" s="8">
        <f t="shared" si="5"/>
        <v>223</v>
      </c>
      <c r="BS20" s="15">
        <f t="shared" si="6"/>
        <v>25.527657622273136</v>
      </c>
      <c r="BT20" s="15" t="str">
        <f t="shared" si="7"/>
        <v>OK - No Upgrade</v>
      </c>
      <c r="BU20" s="15" t="str">
        <f t="shared" si="8"/>
        <v>Need to Balance</v>
      </c>
    </row>
    <row r="21" spans="1:73" ht="15.75" customHeight="1" x14ac:dyDescent="0.25">
      <c r="A21" s="8" t="s">
        <v>904</v>
      </c>
      <c r="B21" s="8" t="s">
        <v>863</v>
      </c>
      <c r="C21" s="8" t="s">
        <v>905</v>
      </c>
      <c r="D21" s="8" t="s">
        <v>911</v>
      </c>
      <c r="E21" s="8" t="s">
        <v>912</v>
      </c>
      <c r="F21" s="8" t="s">
        <v>43</v>
      </c>
      <c r="G21" s="8" t="s">
        <v>44</v>
      </c>
      <c r="H21" s="8">
        <v>315</v>
      </c>
      <c r="I21" s="8" t="s">
        <v>913</v>
      </c>
      <c r="J21" s="8">
        <v>1</v>
      </c>
      <c r="K21" s="8">
        <v>238</v>
      </c>
      <c r="L21" s="8">
        <v>236</v>
      </c>
      <c r="M21" s="8">
        <v>238</v>
      </c>
      <c r="N21" s="8">
        <v>410</v>
      </c>
      <c r="O21" s="8">
        <v>412</v>
      </c>
      <c r="P21" s="8">
        <v>413</v>
      </c>
      <c r="Q21" s="9" t="s">
        <v>46</v>
      </c>
      <c r="R21" s="16"/>
      <c r="S21" s="10">
        <v>58</v>
      </c>
      <c r="T21" s="10">
        <v>86</v>
      </c>
      <c r="U21" s="10">
        <v>58</v>
      </c>
      <c r="V21" s="11">
        <v>18</v>
      </c>
      <c r="W21" s="12" t="s">
        <v>46</v>
      </c>
      <c r="X21" s="17"/>
      <c r="Y21" s="13">
        <v>13</v>
      </c>
      <c r="Z21" s="13">
        <v>2</v>
      </c>
      <c r="AA21" s="13">
        <v>95</v>
      </c>
      <c r="AB21" s="14">
        <v>84</v>
      </c>
      <c r="AC21" s="9"/>
      <c r="AD21" s="16"/>
      <c r="AE21" s="10"/>
      <c r="AF21" s="10"/>
      <c r="AG21" s="10"/>
      <c r="AH21" s="11"/>
      <c r="AI21" s="12"/>
      <c r="AJ21" s="17"/>
      <c r="AK21" s="13"/>
      <c r="AL21" s="13"/>
      <c r="AM21" s="13"/>
      <c r="AN21" s="14"/>
      <c r="AO21" s="9"/>
      <c r="AP21" s="16"/>
      <c r="AQ21" s="10"/>
      <c r="AR21" s="10"/>
      <c r="AS21" s="10"/>
      <c r="AT21" s="11"/>
      <c r="AU21" s="12"/>
      <c r="AV21" s="17"/>
      <c r="AW21" s="13"/>
      <c r="AX21" s="13"/>
      <c r="AY21" s="13"/>
      <c r="AZ21" s="14"/>
      <c r="BA21" s="9"/>
      <c r="BB21" s="16"/>
      <c r="BC21" s="10"/>
      <c r="BD21" s="10"/>
      <c r="BE21" s="10"/>
      <c r="BF21" s="11"/>
      <c r="BG21" s="12"/>
      <c r="BH21" s="17"/>
      <c r="BI21" s="13"/>
      <c r="BJ21" s="13"/>
      <c r="BK21" s="13"/>
      <c r="BL21" s="14"/>
      <c r="BM21" s="8">
        <f t="shared" si="0"/>
        <v>71</v>
      </c>
      <c r="BN21" s="8">
        <f t="shared" si="1"/>
        <v>88</v>
      </c>
      <c r="BO21" s="8">
        <f t="shared" si="2"/>
        <v>153</v>
      </c>
      <c r="BP21" s="8">
        <f t="shared" si="3"/>
        <v>102</v>
      </c>
      <c r="BQ21" s="8">
        <f t="shared" si="4"/>
        <v>153</v>
      </c>
      <c r="BR21" s="8">
        <f t="shared" si="5"/>
        <v>71</v>
      </c>
      <c r="BS21" s="15">
        <f t="shared" si="6"/>
        <v>34.492554653585927</v>
      </c>
      <c r="BT21" s="15" t="str">
        <f t="shared" si="7"/>
        <v>OK - No Upgrade</v>
      </c>
      <c r="BU21" s="15" t="str">
        <f t="shared" si="8"/>
        <v>Need to Balance</v>
      </c>
    </row>
    <row r="22" spans="1:73" ht="15.75" customHeight="1" x14ac:dyDescent="0.25">
      <c r="A22" s="8" t="s">
        <v>904</v>
      </c>
      <c r="B22" s="8" t="s">
        <v>863</v>
      </c>
      <c r="C22" s="8" t="s">
        <v>905</v>
      </c>
      <c r="D22" s="8" t="s">
        <v>914</v>
      </c>
      <c r="E22" s="8" t="s">
        <v>915</v>
      </c>
      <c r="F22" s="8" t="s">
        <v>43</v>
      </c>
      <c r="G22" s="8" t="s">
        <v>44</v>
      </c>
      <c r="H22" s="8">
        <v>315</v>
      </c>
      <c r="I22" s="8" t="s">
        <v>916</v>
      </c>
      <c r="J22" s="8">
        <v>1</v>
      </c>
      <c r="K22" s="8">
        <v>238</v>
      </c>
      <c r="L22" s="8">
        <v>237</v>
      </c>
      <c r="M22" s="8">
        <v>241</v>
      </c>
      <c r="N22" s="8">
        <v>413</v>
      </c>
      <c r="O22" s="8">
        <v>416</v>
      </c>
      <c r="P22" s="8">
        <v>419</v>
      </c>
      <c r="Q22" s="9" t="s">
        <v>46</v>
      </c>
      <c r="R22" s="16"/>
      <c r="S22" s="10">
        <v>0</v>
      </c>
      <c r="T22" s="10">
        <v>0</v>
      </c>
      <c r="U22" s="10">
        <v>0</v>
      </c>
      <c r="V22" s="11">
        <v>0</v>
      </c>
      <c r="W22" s="12" t="s">
        <v>46</v>
      </c>
      <c r="X22" s="17"/>
      <c r="Y22" s="13">
        <v>72</v>
      </c>
      <c r="Z22" s="13">
        <v>56</v>
      </c>
      <c r="AA22" s="13">
        <v>46</v>
      </c>
      <c r="AB22" s="14">
        <v>17</v>
      </c>
      <c r="AC22" s="9"/>
      <c r="AD22" s="16"/>
      <c r="AE22" s="10"/>
      <c r="AF22" s="10"/>
      <c r="AG22" s="10"/>
      <c r="AH22" s="11"/>
      <c r="AI22" s="12"/>
      <c r="AJ22" s="17"/>
      <c r="AK22" s="13"/>
      <c r="AL22" s="13"/>
      <c r="AM22" s="13"/>
      <c r="AN22" s="14"/>
      <c r="AO22" s="9"/>
      <c r="AP22" s="16"/>
      <c r="AQ22" s="10"/>
      <c r="AR22" s="10"/>
      <c r="AS22" s="10"/>
      <c r="AT22" s="11"/>
      <c r="AU22" s="12"/>
      <c r="AV22" s="17"/>
      <c r="AW22" s="13"/>
      <c r="AX22" s="13"/>
      <c r="AY22" s="13"/>
      <c r="AZ22" s="14"/>
      <c r="BA22" s="9"/>
      <c r="BB22" s="16"/>
      <c r="BC22" s="10"/>
      <c r="BD22" s="10"/>
      <c r="BE22" s="10"/>
      <c r="BF22" s="11"/>
      <c r="BG22" s="12"/>
      <c r="BH22" s="17"/>
      <c r="BI22" s="13"/>
      <c r="BJ22" s="13"/>
      <c r="BK22" s="13"/>
      <c r="BL22" s="14"/>
      <c r="BM22" s="8">
        <f t="shared" si="0"/>
        <v>72</v>
      </c>
      <c r="BN22" s="8">
        <f t="shared" si="1"/>
        <v>56</v>
      </c>
      <c r="BO22" s="8">
        <f t="shared" si="2"/>
        <v>46</v>
      </c>
      <c r="BP22" s="8">
        <f t="shared" si="3"/>
        <v>17</v>
      </c>
      <c r="BQ22" s="8">
        <f t="shared" si="4"/>
        <v>72</v>
      </c>
      <c r="BR22" s="8">
        <f t="shared" si="5"/>
        <v>46</v>
      </c>
      <c r="BS22" s="15">
        <f t="shared" si="6"/>
        <v>16.350559623450202</v>
      </c>
      <c r="BT22" s="15" t="str">
        <f t="shared" si="7"/>
        <v>OK - No Upgrade</v>
      </c>
      <c r="BU22" s="15" t="str">
        <f t="shared" si="8"/>
        <v>Need to Balance</v>
      </c>
    </row>
    <row r="23" spans="1:73" ht="15.75" customHeight="1" x14ac:dyDescent="0.25">
      <c r="A23" s="8" t="s">
        <v>904</v>
      </c>
      <c r="B23" s="8" t="s">
        <v>863</v>
      </c>
      <c r="C23" s="8" t="s">
        <v>905</v>
      </c>
      <c r="D23" s="8" t="s">
        <v>917</v>
      </c>
      <c r="E23" s="8" t="s">
        <v>918</v>
      </c>
      <c r="F23" s="8" t="s">
        <v>56</v>
      </c>
      <c r="G23" s="8"/>
      <c r="H23" s="8">
        <v>1000</v>
      </c>
      <c r="I23" s="8" t="s">
        <v>919</v>
      </c>
      <c r="J23" s="8">
        <v>1</v>
      </c>
      <c r="K23" s="8">
        <v>241</v>
      </c>
      <c r="L23" s="8">
        <v>249</v>
      </c>
      <c r="M23" s="8">
        <v>242</v>
      </c>
      <c r="N23" s="8">
        <v>416</v>
      </c>
      <c r="O23" s="8">
        <v>418</v>
      </c>
      <c r="P23" s="8">
        <v>422</v>
      </c>
      <c r="Q23" s="9" t="s">
        <v>47</v>
      </c>
      <c r="R23" s="16"/>
      <c r="S23" s="10"/>
      <c r="T23" s="10"/>
      <c r="U23" s="10"/>
      <c r="V23" s="11"/>
      <c r="W23" s="12"/>
      <c r="X23" s="17"/>
      <c r="Y23" s="13"/>
      <c r="Z23" s="13"/>
      <c r="AA23" s="13"/>
      <c r="AB23" s="14"/>
      <c r="AC23" s="9"/>
      <c r="AD23" s="16"/>
      <c r="AE23" s="10"/>
      <c r="AF23" s="10"/>
      <c r="AG23" s="10"/>
      <c r="AH23" s="11"/>
      <c r="AI23" s="12" t="s">
        <v>47</v>
      </c>
      <c r="AJ23" s="17"/>
      <c r="AK23" s="13">
        <v>17</v>
      </c>
      <c r="AL23" s="13">
        <v>0</v>
      </c>
      <c r="AM23" s="13">
        <v>0</v>
      </c>
      <c r="AN23" s="14">
        <v>14</v>
      </c>
      <c r="AO23" s="9" t="s">
        <v>47</v>
      </c>
      <c r="AP23" s="16"/>
      <c r="AQ23" s="10">
        <v>78</v>
      </c>
      <c r="AR23" s="10">
        <v>74</v>
      </c>
      <c r="AS23" s="10">
        <v>42</v>
      </c>
      <c r="AT23" s="11">
        <v>36</v>
      </c>
      <c r="AU23" s="12" t="s">
        <v>47</v>
      </c>
      <c r="AV23" s="17"/>
      <c r="AW23" s="13">
        <v>100</v>
      </c>
      <c r="AX23" s="13">
        <v>46</v>
      </c>
      <c r="AY23" s="13">
        <v>48</v>
      </c>
      <c r="AZ23" s="14">
        <v>52</v>
      </c>
      <c r="BA23" s="9"/>
      <c r="BB23" s="16"/>
      <c r="BC23" s="10"/>
      <c r="BD23" s="10"/>
      <c r="BE23" s="10"/>
      <c r="BF23" s="11"/>
      <c r="BG23" s="12"/>
      <c r="BH23" s="17"/>
      <c r="BI23" s="13"/>
      <c r="BJ23" s="13"/>
      <c r="BK23" s="13"/>
      <c r="BL23" s="14"/>
      <c r="BM23" s="8">
        <f t="shared" si="0"/>
        <v>195</v>
      </c>
      <c r="BN23" s="8">
        <f t="shared" si="1"/>
        <v>120</v>
      </c>
      <c r="BO23" s="8">
        <f t="shared" si="2"/>
        <v>90</v>
      </c>
      <c r="BP23" s="8">
        <f t="shared" si="3"/>
        <v>102</v>
      </c>
      <c r="BQ23" s="8">
        <f t="shared" si="4"/>
        <v>195</v>
      </c>
      <c r="BR23" s="8">
        <f t="shared" si="5"/>
        <v>90</v>
      </c>
      <c r="BS23" s="15">
        <f t="shared" si="6"/>
        <v>14.050396150998731</v>
      </c>
      <c r="BT23" s="15" t="str">
        <f t="shared" si="7"/>
        <v>OK - No Upgrade</v>
      </c>
      <c r="BU23" s="15" t="str">
        <f t="shared" si="8"/>
        <v>Need to Balance</v>
      </c>
    </row>
    <row r="24" spans="1:73" ht="15.75" customHeight="1" x14ac:dyDescent="0.25">
      <c r="A24" s="8" t="s">
        <v>904</v>
      </c>
      <c r="B24" s="8" t="s">
        <v>863</v>
      </c>
      <c r="C24" s="8" t="s">
        <v>905</v>
      </c>
      <c r="D24" s="8" t="s">
        <v>920</v>
      </c>
      <c r="E24" s="8" t="s">
        <v>921</v>
      </c>
      <c r="F24" s="8" t="s">
        <v>43</v>
      </c>
      <c r="G24" s="8"/>
      <c r="H24" s="8">
        <v>315</v>
      </c>
      <c r="I24" s="8" t="s">
        <v>922</v>
      </c>
      <c r="J24" s="8">
        <v>1</v>
      </c>
      <c r="K24" s="8">
        <v>238</v>
      </c>
      <c r="L24" s="8">
        <v>237</v>
      </c>
      <c r="M24" s="8">
        <v>240</v>
      </c>
      <c r="N24" s="8">
        <v>409</v>
      </c>
      <c r="O24" s="8">
        <v>418</v>
      </c>
      <c r="P24" s="8">
        <v>413</v>
      </c>
      <c r="Q24" s="9" t="s">
        <v>47</v>
      </c>
      <c r="R24" s="16"/>
      <c r="S24" s="10">
        <v>135</v>
      </c>
      <c r="T24" s="10">
        <v>137</v>
      </c>
      <c r="U24" s="10">
        <v>145</v>
      </c>
      <c r="V24" s="11">
        <v>11</v>
      </c>
      <c r="W24" s="12" t="s">
        <v>47</v>
      </c>
      <c r="X24" s="17"/>
      <c r="Y24" s="13">
        <v>158</v>
      </c>
      <c r="Z24" s="13">
        <v>56</v>
      </c>
      <c r="AA24" s="13">
        <v>20</v>
      </c>
      <c r="AB24" s="14">
        <v>120</v>
      </c>
      <c r="AC24" s="9"/>
      <c r="AD24" s="16"/>
      <c r="AE24" s="10"/>
      <c r="AF24" s="10"/>
      <c r="AG24" s="10"/>
      <c r="AH24" s="11"/>
      <c r="AI24" s="12"/>
      <c r="AJ24" s="17"/>
      <c r="AK24" s="13"/>
      <c r="AL24" s="13"/>
      <c r="AM24" s="13"/>
      <c r="AN24" s="14"/>
      <c r="AO24" s="9"/>
      <c r="AP24" s="16"/>
      <c r="AQ24" s="10"/>
      <c r="AR24" s="10"/>
      <c r="AS24" s="10"/>
      <c r="AT24" s="11"/>
      <c r="AU24" s="12"/>
      <c r="AV24" s="17"/>
      <c r="AW24" s="13"/>
      <c r="AX24" s="13"/>
      <c r="AY24" s="13"/>
      <c r="AZ24" s="14"/>
      <c r="BA24" s="9"/>
      <c r="BB24" s="16"/>
      <c r="BC24" s="10"/>
      <c r="BD24" s="10"/>
      <c r="BE24" s="10"/>
      <c r="BF24" s="11"/>
      <c r="BG24" s="12"/>
      <c r="BH24" s="17"/>
      <c r="BI24" s="13"/>
      <c r="BJ24" s="13"/>
      <c r="BK24" s="13"/>
      <c r="BL24" s="14"/>
      <c r="BM24" s="8">
        <f t="shared" si="0"/>
        <v>293</v>
      </c>
      <c r="BN24" s="8">
        <f t="shared" si="1"/>
        <v>193</v>
      </c>
      <c r="BO24" s="8">
        <f t="shared" si="2"/>
        <v>165</v>
      </c>
      <c r="BP24" s="8">
        <f t="shared" si="3"/>
        <v>131</v>
      </c>
      <c r="BQ24" s="8">
        <f t="shared" si="4"/>
        <v>293</v>
      </c>
      <c r="BR24" s="8">
        <f t="shared" si="5"/>
        <v>165</v>
      </c>
      <c r="BS24" s="15">
        <f t="shared" si="6"/>
        <v>65.893261151311606</v>
      </c>
      <c r="BT24" s="15" t="str">
        <f t="shared" si="7"/>
        <v>OK - No Upgrade</v>
      </c>
      <c r="BU24" s="15" t="str">
        <f t="shared" si="8"/>
        <v>Need to Balance</v>
      </c>
    </row>
    <row r="25" spans="1:73" ht="15.75" customHeight="1" x14ac:dyDescent="0.25">
      <c r="A25" s="8" t="s">
        <v>904</v>
      </c>
      <c r="B25" s="8" t="s">
        <v>863</v>
      </c>
      <c r="C25" s="8" t="s">
        <v>905</v>
      </c>
      <c r="D25" s="8" t="s">
        <v>923</v>
      </c>
      <c r="E25" s="8" t="s">
        <v>924</v>
      </c>
      <c r="F25" s="8" t="s">
        <v>43</v>
      </c>
      <c r="G25" s="8"/>
      <c r="H25" s="8">
        <v>315</v>
      </c>
      <c r="I25" s="8" t="s">
        <v>925</v>
      </c>
      <c r="J25" s="8">
        <v>1</v>
      </c>
      <c r="K25" s="8">
        <v>239</v>
      </c>
      <c r="L25" s="8">
        <v>240</v>
      </c>
      <c r="M25" s="8">
        <v>242</v>
      </c>
      <c r="N25" s="8">
        <v>413</v>
      </c>
      <c r="O25" s="8">
        <v>420</v>
      </c>
      <c r="P25" s="8">
        <v>418</v>
      </c>
      <c r="Q25" s="9" t="s">
        <v>46</v>
      </c>
      <c r="R25" s="16"/>
      <c r="S25" s="10">
        <v>107</v>
      </c>
      <c r="T25" s="10">
        <v>31</v>
      </c>
      <c r="U25" s="10">
        <v>8</v>
      </c>
      <c r="V25" s="11">
        <v>80</v>
      </c>
      <c r="W25" s="12" t="s">
        <v>46</v>
      </c>
      <c r="X25" s="17"/>
      <c r="Y25" s="13">
        <v>63</v>
      </c>
      <c r="Z25" s="13">
        <v>36</v>
      </c>
      <c r="AA25" s="13">
        <v>95</v>
      </c>
      <c r="AB25" s="14">
        <v>44</v>
      </c>
      <c r="AC25" s="9"/>
      <c r="AD25" s="16"/>
      <c r="AE25" s="10"/>
      <c r="AF25" s="10"/>
      <c r="AG25" s="10"/>
      <c r="AH25" s="11"/>
      <c r="AI25" s="12"/>
      <c r="AJ25" s="17"/>
      <c r="AK25" s="13"/>
      <c r="AL25" s="13"/>
      <c r="AM25" s="13"/>
      <c r="AN25" s="14"/>
      <c r="AO25" s="9"/>
      <c r="AP25" s="16"/>
      <c r="AQ25" s="10"/>
      <c r="AR25" s="10"/>
      <c r="AS25" s="10"/>
      <c r="AT25" s="11"/>
      <c r="AU25" s="12"/>
      <c r="AV25" s="17"/>
      <c r="AW25" s="13"/>
      <c r="AX25" s="13"/>
      <c r="AY25" s="13"/>
      <c r="AZ25" s="14"/>
      <c r="BA25" s="9"/>
      <c r="BB25" s="16"/>
      <c r="BC25" s="10"/>
      <c r="BD25" s="10"/>
      <c r="BE25" s="10"/>
      <c r="BF25" s="11"/>
      <c r="BG25" s="12"/>
      <c r="BH25" s="17"/>
      <c r="BI25" s="13"/>
      <c r="BJ25" s="13"/>
      <c r="BK25" s="13"/>
      <c r="BL25" s="14"/>
      <c r="BM25" s="8">
        <f t="shared" si="0"/>
        <v>170</v>
      </c>
      <c r="BN25" s="8">
        <f t="shared" si="1"/>
        <v>67</v>
      </c>
      <c r="BO25" s="8">
        <f t="shared" si="2"/>
        <v>103</v>
      </c>
      <c r="BP25" s="8">
        <f t="shared" si="3"/>
        <v>124</v>
      </c>
      <c r="BQ25" s="8">
        <f t="shared" si="4"/>
        <v>170</v>
      </c>
      <c r="BR25" s="8">
        <f t="shared" si="5"/>
        <v>67</v>
      </c>
      <c r="BS25" s="15">
        <f t="shared" si="6"/>
        <v>38.605487999812979</v>
      </c>
      <c r="BT25" s="15" t="str">
        <f t="shared" si="7"/>
        <v>OK - No Upgrade</v>
      </c>
      <c r="BU25" s="15" t="str">
        <f t="shared" si="8"/>
        <v>Need to Balance</v>
      </c>
    </row>
    <row r="26" spans="1:73" ht="15.75" customHeight="1" x14ac:dyDescent="0.25">
      <c r="A26" s="8" t="s">
        <v>904</v>
      </c>
      <c r="B26" s="8" t="s">
        <v>863</v>
      </c>
      <c r="C26" s="8" t="s">
        <v>905</v>
      </c>
      <c r="D26" s="8" t="s">
        <v>926</v>
      </c>
      <c r="E26" s="8" t="s">
        <v>927</v>
      </c>
      <c r="F26" s="8" t="s">
        <v>43</v>
      </c>
      <c r="G26" s="8"/>
      <c r="H26" s="8">
        <v>315</v>
      </c>
      <c r="I26" s="8" t="s">
        <v>928</v>
      </c>
      <c r="J26" s="8">
        <v>1</v>
      </c>
      <c r="K26" s="8">
        <v>245</v>
      </c>
      <c r="L26" s="8">
        <v>244</v>
      </c>
      <c r="M26" s="8">
        <v>247</v>
      </c>
      <c r="N26" s="8">
        <v>425</v>
      </c>
      <c r="O26" s="8">
        <v>428</v>
      </c>
      <c r="P26" s="8">
        <v>426</v>
      </c>
      <c r="Q26" s="9" t="s">
        <v>47</v>
      </c>
      <c r="R26" s="16"/>
      <c r="S26" s="10">
        <v>34</v>
      </c>
      <c r="T26" s="10">
        <v>95</v>
      </c>
      <c r="U26" s="10">
        <v>87</v>
      </c>
      <c r="V26" s="11">
        <v>40</v>
      </c>
      <c r="W26" s="12" t="s">
        <v>46</v>
      </c>
      <c r="X26" s="17"/>
      <c r="Y26" s="13">
        <v>114</v>
      </c>
      <c r="Z26" s="13">
        <v>44</v>
      </c>
      <c r="AA26" s="13">
        <v>71</v>
      </c>
      <c r="AB26" s="14">
        <v>48</v>
      </c>
      <c r="AC26" s="9"/>
      <c r="AD26" s="16"/>
      <c r="AE26" s="10"/>
      <c r="AF26" s="10"/>
      <c r="AG26" s="10"/>
      <c r="AH26" s="11"/>
      <c r="AI26" s="12"/>
      <c r="AJ26" s="17"/>
      <c r="AK26" s="13"/>
      <c r="AL26" s="13"/>
      <c r="AM26" s="13"/>
      <c r="AN26" s="14"/>
      <c r="AO26" s="9"/>
      <c r="AP26" s="16"/>
      <c r="AQ26" s="10"/>
      <c r="AR26" s="10"/>
      <c r="AS26" s="10"/>
      <c r="AT26" s="11"/>
      <c r="AU26" s="12"/>
      <c r="AV26" s="17"/>
      <c r="AW26" s="13"/>
      <c r="AX26" s="13"/>
      <c r="AY26" s="13"/>
      <c r="AZ26" s="14"/>
      <c r="BA26" s="9"/>
      <c r="BB26" s="16"/>
      <c r="BC26" s="10"/>
      <c r="BD26" s="10"/>
      <c r="BE26" s="10"/>
      <c r="BF26" s="11"/>
      <c r="BG26" s="12"/>
      <c r="BH26" s="17"/>
      <c r="BI26" s="13"/>
      <c r="BJ26" s="13"/>
      <c r="BK26" s="13"/>
      <c r="BL26" s="14"/>
      <c r="BM26" s="8">
        <f t="shared" si="0"/>
        <v>148</v>
      </c>
      <c r="BN26" s="8">
        <f t="shared" si="1"/>
        <v>139</v>
      </c>
      <c r="BO26" s="8">
        <f t="shared" si="2"/>
        <v>158</v>
      </c>
      <c r="BP26" s="8">
        <f t="shared" si="3"/>
        <v>88</v>
      </c>
      <c r="BQ26" s="8">
        <f t="shared" si="4"/>
        <v>158</v>
      </c>
      <c r="BR26" s="8">
        <f t="shared" si="5"/>
        <v>139</v>
      </c>
      <c r="BS26" s="15">
        <f t="shared" si="6"/>
        <v>36.922924358174633</v>
      </c>
      <c r="BT26" s="15" t="str">
        <f t="shared" si="7"/>
        <v>OK - No Upgrade</v>
      </c>
      <c r="BU26" s="15" t="str">
        <f t="shared" si="8"/>
        <v>OK - Balanced</v>
      </c>
    </row>
    <row r="27" spans="1:73" ht="15.75" customHeight="1" x14ac:dyDescent="0.25">
      <c r="A27" s="8" t="s">
        <v>904</v>
      </c>
      <c r="B27" s="8" t="s">
        <v>863</v>
      </c>
      <c r="C27" s="8" t="s">
        <v>905</v>
      </c>
      <c r="D27" s="8" t="s">
        <v>929</v>
      </c>
      <c r="E27" s="8" t="s">
        <v>930</v>
      </c>
      <c r="F27" s="8" t="s">
        <v>43</v>
      </c>
      <c r="G27" s="8"/>
      <c r="H27" s="8">
        <v>315</v>
      </c>
      <c r="I27" s="8" t="s">
        <v>931</v>
      </c>
      <c r="J27" s="8">
        <v>1</v>
      </c>
      <c r="K27" s="8">
        <v>240</v>
      </c>
      <c r="L27" s="8">
        <v>239</v>
      </c>
      <c r="M27" s="8">
        <v>242</v>
      </c>
      <c r="N27" s="8">
        <v>414</v>
      </c>
      <c r="O27" s="8">
        <v>420</v>
      </c>
      <c r="P27" s="8">
        <v>420</v>
      </c>
      <c r="Q27" s="9" t="s">
        <v>46</v>
      </c>
      <c r="R27" s="16"/>
      <c r="S27" s="10">
        <v>113</v>
      </c>
      <c r="T27" s="10">
        <v>62</v>
      </c>
      <c r="U27" s="10">
        <v>104</v>
      </c>
      <c r="V27" s="11">
        <v>52</v>
      </c>
      <c r="W27" s="12"/>
      <c r="X27" s="17"/>
      <c r="Y27" s="13"/>
      <c r="Z27" s="13"/>
      <c r="AA27" s="13"/>
      <c r="AB27" s="14"/>
      <c r="AC27" s="9"/>
      <c r="AD27" s="16"/>
      <c r="AE27" s="10"/>
      <c r="AF27" s="10"/>
      <c r="AG27" s="10"/>
      <c r="AH27" s="11"/>
      <c r="AI27" s="12"/>
      <c r="AJ27" s="17"/>
      <c r="AK27" s="13"/>
      <c r="AL27" s="13"/>
      <c r="AM27" s="13"/>
      <c r="AN27" s="14"/>
      <c r="AO27" s="9"/>
      <c r="AP27" s="16"/>
      <c r="AQ27" s="10"/>
      <c r="AR27" s="10"/>
      <c r="AS27" s="10"/>
      <c r="AT27" s="11"/>
      <c r="AU27" s="12"/>
      <c r="AV27" s="17"/>
      <c r="AW27" s="13"/>
      <c r="AX27" s="13"/>
      <c r="AY27" s="13"/>
      <c r="AZ27" s="14"/>
      <c r="BA27" s="9"/>
      <c r="BB27" s="16"/>
      <c r="BC27" s="10"/>
      <c r="BD27" s="10"/>
      <c r="BE27" s="10"/>
      <c r="BF27" s="11"/>
      <c r="BG27" s="12"/>
      <c r="BH27" s="17"/>
      <c r="BI27" s="13"/>
      <c r="BJ27" s="13"/>
      <c r="BK27" s="13"/>
      <c r="BL27" s="14"/>
      <c r="BM27" s="8">
        <f t="shared" si="0"/>
        <v>113</v>
      </c>
      <c r="BN27" s="8">
        <f t="shared" si="1"/>
        <v>62</v>
      </c>
      <c r="BO27" s="8">
        <f t="shared" si="2"/>
        <v>104</v>
      </c>
      <c r="BP27" s="8">
        <f t="shared" si="3"/>
        <v>52</v>
      </c>
      <c r="BQ27" s="8">
        <f t="shared" si="4"/>
        <v>113</v>
      </c>
      <c r="BR27" s="8">
        <f t="shared" si="5"/>
        <v>62</v>
      </c>
      <c r="BS27" s="15">
        <f t="shared" si="6"/>
        <v>25.723428850694351</v>
      </c>
      <c r="BT27" s="15" t="str">
        <f t="shared" si="7"/>
        <v>OK - No Upgrade</v>
      </c>
      <c r="BU27" s="15" t="str">
        <f t="shared" si="8"/>
        <v>Need to Balance</v>
      </c>
    </row>
    <row r="28" spans="1:73" ht="15.75" customHeight="1" x14ac:dyDescent="0.25">
      <c r="A28" s="8" t="s">
        <v>904</v>
      </c>
      <c r="B28" s="8" t="s">
        <v>863</v>
      </c>
      <c r="C28" s="8" t="s">
        <v>905</v>
      </c>
      <c r="D28" s="8" t="s">
        <v>932</v>
      </c>
      <c r="E28" s="8" t="s">
        <v>933</v>
      </c>
      <c r="F28" s="8" t="s">
        <v>43</v>
      </c>
      <c r="G28" s="8"/>
      <c r="H28" s="8">
        <v>200</v>
      </c>
      <c r="I28" s="8" t="s">
        <v>934</v>
      </c>
      <c r="J28" s="8">
        <v>1</v>
      </c>
      <c r="K28" s="8">
        <v>249</v>
      </c>
      <c r="L28" s="8">
        <v>251</v>
      </c>
      <c r="M28" s="8">
        <v>249</v>
      </c>
      <c r="N28" s="8">
        <v>435</v>
      </c>
      <c r="O28" s="8">
        <v>430</v>
      </c>
      <c r="P28" s="8">
        <v>434</v>
      </c>
      <c r="Q28" s="9" t="s">
        <v>70</v>
      </c>
      <c r="R28" s="16"/>
      <c r="S28" s="10">
        <v>98</v>
      </c>
      <c r="T28" s="10">
        <v>115</v>
      </c>
      <c r="U28" s="10">
        <v>98</v>
      </c>
      <c r="V28" s="11">
        <v>17</v>
      </c>
      <c r="W28" s="12"/>
      <c r="X28" s="17"/>
      <c r="Y28" s="13"/>
      <c r="Z28" s="13"/>
      <c r="AA28" s="13"/>
      <c r="AB28" s="14"/>
      <c r="AC28" s="9"/>
      <c r="AD28" s="16"/>
      <c r="AE28" s="10"/>
      <c r="AF28" s="10"/>
      <c r="AG28" s="10"/>
      <c r="AH28" s="11"/>
      <c r="AI28" s="12"/>
      <c r="AJ28" s="17"/>
      <c r="AK28" s="13"/>
      <c r="AL28" s="13"/>
      <c r="AM28" s="13"/>
      <c r="AN28" s="14"/>
      <c r="AO28" s="9"/>
      <c r="AP28" s="16"/>
      <c r="AQ28" s="10"/>
      <c r="AR28" s="10"/>
      <c r="AS28" s="10"/>
      <c r="AT28" s="11"/>
      <c r="AU28" s="12"/>
      <c r="AV28" s="17"/>
      <c r="AW28" s="13"/>
      <c r="AX28" s="13"/>
      <c r="AY28" s="13"/>
      <c r="AZ28" s="14"/>
      <c r="BA28" s="9"/>
      <c r="BB28" s="16"/>
      <c r="BC28" s="10"/>
      <c r="BD28" s="10"/>
      <c r="BE28" s="10"/>
      <c r="BF28" s="11"/>
      <c r="BG28" s="12"/>
      <c r="BH28" s="17"/>
      <c r="BI28" s="13"/>
      <c r="BJ28" s="13"/>
      <c r="BK28" s="13"/>
      <c r="BL28" s="14"/>
      <c r="BM28" s="8">
        <f t="shared" si="0"/>
        <v>98</v>
      </c>
      <c r="BN28" s="8">
        <f t="shared" si="1"/>
        <v>115</v>
      </c>
      <c r="BO28" s="8">
        <f t="shared" si="2"/>
        <v>98</v>
      </c>
      <c r="BP28" s="8">
        <f t="shared" si="3"/>
        <v>17</v>
      </c>
      <c r="BQ28" s="8">
        <f t="shared" si="4"/>
        <v>115</v>
      </c>
      <c r="BR28" s="8">
        <f t="shared" si="5"/>
        <v>98</v>
      </c>
      <c r="BS28" s="15">
        <f t="shared" si="6"/>
        <v>43.32292082431654</v>
      </c>
      <c r="BT28" s="15" t="str">
        <f t="shared" si="7"/>
        <v>OK - No Upgrade</v>
      </c>
      <c r="BU28" s="15" t="str">
        <f t="shared" si="8"/>
        <v>Need to Balance</v>
      </c>
    </row>
    <row r="29" spans="1:73" ht="15.75" customHeight="1" x14ac:dyDescent="0.25">
      <c r="A29" s="8" t="s">
        <v>904</v>
      </c>
      <c r="B29" s="8" t="s">
        <v>863</v>
      </c>
      <c r="C29" s="8" t="s">
        <v>905</v>
      </c>
      <c r="D29" s="8" t="s">
        <v>935</v>
      </c>
      <c r="E29" s="8" t="s">
        <v>936</v>
      </c>
      <c r="F29" s="8" t="s">
        <v>56</v>
      </c>
      <c r="G29" s="8"/>
      <c r="H29" s="8">
        <v>1000</v>
      </c>
      <c r="I29" s="8" t="s">
        <v>937</v>
      </c>
      <c r="J29" s="8">
        <v>1</v>
      </c>
      <c r="K29" s="8">
        <v>252</v>
      </c>
      <c r="L29" s="8">
        <v>251</v>
      </c>
      <c r="M29" s="8">
        <v>250</v>
      </c>
      <c r="N29" s="8">
        <v>438</v>
      </c>
      <c r="O29" s="8">
        <v>437</v>
      </c>
      <c r="P29" s="8">
        <v>433</v>
      </c>
      <c r="Q29" s="9"/>
      <c r="R29" s="16"/>
      <c r="S29" s="10"/>
      <c r="T29" s="10"/>
      <c r="U29" s="10"/>
      <c r="V29" s="11"/>
      <c r="W29" s="12"/>
      <c r="X29" s="17"/>
      <c r="Y29" s="13"/>
      <c r="Z29" s="13"/>
      <c r="AA29" s="13"/>
      <c r="AB29" s="14"/>
      <c r="AC29" s="9"/>
      <c r="AD29" s="16"/>
      <c r="AE29" s="10"/>
      <c r="AF29" s="10"/>
      <c r="AG29" s="10"/>
      <c r="AH29" s="11"/>
      <c r="AI29" s="12"/>
      <c r="AJ29" s="17"/>
      <c r="AK29" s="13"/>
      <c r="AL29" s="13"/>
      <c r="AM29" s="13"/>
      <c r="AN29" s="14"/>
      <c r="AO29" s="9"/>
      <c r="AP29" s="16"/>
      <c r="AQ29" s="10"/>
      <c r="AR29" s="10"/>
      <c r="AS29" s="10"/>
      <c r="AT29" s="11"/>
      <c r="AU29" s="12" t="s">
        <v>47</v>
      </c>
      <c r="AV29" s="17"/>
      <c r="AW29" s="13">
        <v>140</v>
      </c>
      <c r="AX29" s="13">
        <v>78</v>
      </c>
      <c r="AY29" s="13">
        <v>131</v>
      </c>
      <c r="AZ29" s="14">
        <v>55</v>
      </c>
      <c r="BA29" s="9" t="s">
        <v>47</v>
      </c>
      <c r="BB29" s="16"/>
      <c r="BC29" s="10">
        <v>10</v>
      </c>
      <c r="BD29" s="10">
        <v>23</v>
      </c>
      <c r="BE29" s="10">
        <v>20</v>
      </c>
      <c r="BF29" s="11">
        <v>11</v>
      </c>
      <c r="BG29" s="12" t="s">
        <v>47</v>
      </c>
      <c r="BH29" s="17"/>
      <c r="BI29" s="13">
        <v>77</v>
      </c>
      <c r="BJ29" s="13">
        <v>32</v>
      </c>
      <c r="BK29" s="13">
        <v>1</v>
      </c>
      <c r="BL29" s="14">
        <v>68</v>
      </c>
      <c r="BM29" s="8">
        <f t="shared" si="0"/>
        <v>227</v>
      </c>
      <c r="BN29" s="8">
        <f t="shared" si="1"/>
        <v>133</v>
      </c>
      <c r="BO29" s="8">
        <f t="shared" si="2"/>
        <v>152</v>
      </c>
      <c r="BP29" s="8">
        <f t="shared" si="3"/>
        <v>134</v>
      </c>
      <c r="BQ29" s="8">
        <f t="shared" si="4"/>
        <v>227</v>
      </c>
      <c r="BR29" s="8">
        <f t="shared" si="5"/>
        <v>133</v>
      </c>
      <c r="BS29" s="15">
        <f t="shared" si="6"/>
        <v>17.22108835933432</v>
      </c>
      <c r="BT29" s="15" t="str">
        <f t="shared" si="7"/>
        <v>OK - No Upgrade</v>
      </c>
      <c r="BU29" s="15" t="str">
        <f t="shared" si="8"/>
        <v>Need to Balance</v>
      </c>
    </row>
    <row r="30" spans="1:73" ht="15.75" customHeight="1" x14ac:dyDescent="0.25">
      <c r="A30" s="8" t="s">
        <v>904</v>
      </c>
      <c r="B30" s="8" t="s">
        <v>863</v>
      </c>
      <c r="C30" s="8" t="s">
        <v>938</v>
      </c>
      <c r="D30" s="8" t="s">
        <v>939</v>
      </c>
      <c r="E30" s="8" t="s">
        <v>940</v>
      </c>
      <c r="F30" s="8" t="s">
        <v>43</v>
      </c>
      <c r="G30" s="8"/>
      <c r="H30" s="8">
        <v>315</v>
      </c>
      <c r="I30" s="8" t="s">
        <v>941</v>
      </c>
      <c r="J30" s="8">
        <v>1</v>
      </c>
      <c r="K30" s="8">
        <v>248</v>
      </c>
      <c r="L30" s="8">
        <v>247</v>
      </c>
      <c r="M30" s="8">
        <v>248</v>
      </c>
      <c r="N30" s="8">
        <v>430</v>
      </c>
      <c r="O30" s="8">
        <v>430</v>
      </c>
      <c r="P30" s="8">
        <v>431</v>
      </c>
      <c r="Q30" s="9" t="s">
        <v>47</v>
      </c>
      <c r="R30" s="16"/>
      <c r="S30" s="10">
        <v>85</v>
      </c>
      <c r="T30" s="10">
        <v>67</v>
      </c>
      <c r="U30" s="10">
        <v>115</v>
      </c>
      <c r="V30" s="11">
        <v>50</v>
      </c>
      <c r="W30" s="12"/>
      <c r="X30" s="17"/>
      <c r="Y30" s="13"/>
      <c r="Z30" s="13"/>
      <c r="AA30" s="13"/>
      <c r="AB30" s="14"/>
      <c r="AC30" s="9"/>
      <c r="AD30" s="16"/>
      <c r="AE30" s="10"/>
      <c r="AF30" s="10"/>
      <c r="AG30" s="10"/>
      <c r="AH30" s="11"/>
      <c r="AI30" s="12"/>
      <c r="AJ30" s="17"/>
      <c r="AK30" s="13"/>
      <c r="AL30" s="13"/>
      <c r="AM30" s="13"/>
      <c r="AN30" s="14"/>
      <c r="AO30" s="9"/>
      <c r="AP30" s="16"/>
      <c r="AQ30" s="10"/>
      <c r="AR30" s="10"/>
      <c r="AS30" s="10"/>
      <c r="AT30" s="11"/>
      <c r="AU30" s="12"/>
      <c r="AV30" s="17"/>
      <c r="AW30" s="13"/>
      <c r="AX30" s="13"/>
      <c r="AY30" s="13"/>
      <c r="AZ30" s="14"/>
      <c r="BA30" s="9"/>
      <c r="BB30" s="16"/>
      <c r="BC30" s="10"/>
      <c r="BD30" s="10"/>
      <c r="BE30" s="10"/>
      <c r="BF30" s="11"/>
      <c r="BG30" s="12"/>
      <c r="BH30" s="17"/>
      <c r="BI30" s="13"/>
      <c r="BJ30" s="13"/>
      <c r="BK30" s="13"/>
      <c r="BL30" s="14"/>
      <c r="BM30" s="8">
        <f t="shared" si="0"/>
        <v>85</v>
      </c>
      <c r="BN30" s="8">
        <f t="shared" si="1"/>
        <v>67</v>
      </c>
      <c r="BO30" s="8">
        <f t="shared" si="2"/>
        <v>115</v>
      </c>
      <c r="BP30" s="8">
        <f t="shared" si="3"/>
        <v>50</v>
      </c>
      <c r="BQ30" s="8">
        <f t="shared" si="4"/>
        <v>115</v>
      </c>
      <c r="BR30" s="8">
        <f t="shared" si="5"/>
        <v>67</v>
      </c>
      <c r="BS30" s="15">
        <f t="shared" si="6"/>
        <v>27.190448391835233</v>
      </c>
      <c r="BT30" s="15" t="str">
        <f t="shared" si="7"/>
        <v>OK - No Upgrade</v>
      </c>
      <c r="BU30" s="15" t="str">
        <f t="shared" si="8"/>
        <v>Need to Balance</v>
      </c>
    </row>
    <row r="31" spans="1:73" ht="15.75" customHeight="1" x14ac:dyDescent="0.25">
      <c r="A31" s="8" t="s">
        <v>904</v>
      </c>
      <c r="B31" s="8" t="s">
        <v>863</v>
      </c>
      <c r="C31" s="8" t="s">
        <v>938</v>
      </c>
      <c r="D31" s="8" t="s">
        <v>942</v>
      </c>
      <c r="E31" s="8" t="s">
        <v>943</v>
      </c>
      <c r="F31" s="8" t="s">
        <v>43</v>
      </c>
      <c r="G31" s="8"/>
      <c r="H31" s="8">
        <v>315</v>
      </c>
      <c r="I31" s="8" t="s">
        <v>944</v>
      </c>
      <c r="J31" s="8">
        <v>1</v>
      </c>
      <c r="K31" s="8">
        <v>253</v>
      </c>
      <c r="L31" s="8">
        <v>251</v>
      </c>
      <c r="M31" s="8">
        <v>250</v>
      </c>
      <c r="N31" s="8">
        <v>436</v>
      </c>
      <c r="O31" s="8">
        <v>435</v>
      </c>
      <c r="P31" s="8">
        <v>434</v>
      </c>
      <c r="Q31" s="9" t="s">
        <v>47</v>
      </c>
      <c r="R31" s="16"/>
      <c r="S31" s="10">
        <v>120</v>
      </c>
      <c r="T31" s="10">
        <v>150</v>
      </c>
      <c r="U31" s="10">
        <v>218</v>
      </c>
      <c r="V31" s="11">
        <v>60</v>
      </c>
      <c r="W31" s="12" t="s">
        <v>47</v>
      </c>
      <c r="X31" s="17"/>
      <c r="Y31" s="13">
        <v>10</v>
      </c>
      <c r="Z31" s="13">
        <v>25</v>
      </c>
      <c r="AA31" s="13">
        <v>7</v>
      </c>
      <c r="AB31" s="14">
        <v>8</v>
      </c>
      <c r="AC31" s="9"/>
      <c r="AD31" s="16"/>
      <c r="AE31" s="10"/>
      <c r="AF31" s="10"/>
      <c r="AG31" s="10"/>
      <c r="AH31" s="11"/>
      <c r="AI31" s="12"/>
      <c r="AJ31" s="17"/>
      <c r="AK31" s="13"/>
      <c r="AL31" s="13"/>
      <c r="AM31" s="13"/>
      <c r="AN31" s="14"/>
      <c r="AO31" s="9"/>
      <c r="AP31" s="16"/>
      <c r="AQ31" s="10"/>
      <c r="AR31" s="10"/>
      <c r="AS31" s="10"/>
      <c r="AT31" s="11"/>
      <c r="AU31" s="12"/>
      <c r="AV31" s="17"/>
      <c r="AW31" s="13"/>
      <c r="AX31" s="13"/>
      <c r="AY31" s="13"/>
      <c r="AZ31" s="14"/>
      <c r="BA31" s="9"/>
      <c r="BB31" s="16"/>
      <c r="BC31" s="10"/>
      <c r="BD31" s="10"/>
      <c r="BE31" s="10"/>
      <c r="BF31" s="11"/>
      <c r="BG31" s="12"/>
      <c r="BH31" s="17"/>
      <c r="BI31" s="13"/>
      <c r="BJ31" s="13"/>
      <c r="BK31" s="13"/>
      <c r="BL31" s="14"/>
      <c r="BM31" s="8">
        <f t="shared" si="0"/>
        <v>130</v>
      </c>
      <c r="BN31" s="8">
        <f t="shared" si="1"/>
        <v>175</v>
      </c>
      <c r="BO31" s="8">
        <f t="shared" si="2"/>
        <v>225</v>
      </c>
      <c r="BP31" s="8">
        <f t="shared" si="3"/>
        <v>68</v>
      </c>
      <c r="BQ31" s="8">
        <f t="shared" si="4"/>
        <v>225</v>
      </c>
      <c r="BR31" s="8">
        <f t="shared" si="5"/>
        <v>130</v>
      </c>
      <c r="BS31" s="15">
        <f t="shared" si="6"/>
        <v>53.94101086428789</v>
      </c>
      <c r="BT31" s="15" t="str">
        <f t="shared" si="7"/>
        <v>OK - No Upgrade</v>
      </c>
      <c r="BU31" s="15" t="str">
        <f t="shared" si="8"/>
        <v>Need to Balance</v>
      </c>
    </row>
    <row r="32" spans="1:73" ht="15.75" customHeight="1" x14ac:dyDescent="0.25">
      <c r="A32" s="8" t="s">
        <v>904</v>
      </c>
      <c r="B32" s="8" t="s">
        <v>863</v>
      </c>
      <c r="C32" s="8" t="s">
        <v>938</v>
      </c>
      <c r="D32" s="8" t="s">
        <v>945</v>
      </c>
      <c r="E32" s="8" t="s">
        <v>946</v>
      </c>
      <c r="F32" s="8" t="s">
        <v>43</v>
      </c>
      <c r="G32" s="8"/>
      <c r="H32" s="8">
        <v>315</v>
      </c>
      <c r="I32" s="8" t="s">
        <v>947</v>
      </c>
      <c r="J32" s="8">
        <v>1</v>
      </c>
      <c r="K32" s="8">
        <v>249</v>
      </c>
      <c r="L32" s="8">
        <v>248</v>
      </c>
      <c r="M32" s="8">
        <v>249</v>
      </c>
      <c r="N32" s="8">
        <v>431</v>
      </c>
      <c r="O32" s="8">
        <v>430</v>
      </c>
      <c r="P32" s="8">
        <v>430</v>
      </c>
      <c r="Q32" s="9" t="s">
        <v>47</v>
      </c>
      <c r="R32" s="16"/>
      <c r="S32" s="10">
        <v>50</v>
      </c>
      <c r="T32" s="10">
        <v>65</v>
      </c>
      <c r="U32" s="10">
        <v>110</v>
      </c>
      <c r="V32" s="11">
        <v>35</v>
      </c>
      <c r="W32" s="12" t="s">
        <v>47</v>
      </c>
      <c r="X32" s="17"/>
      <c r="Y32" s="13">
        <v>20</v>
      </c>
      <c r="Z32" s="13">
        <v>12</v>
      </c>
      <c r="AA32" s="13">
        <v>18</v>
      </c>
      <c r="AB32" s="14">
        <v>5</v>
      </c>
      <c r="AC32" s="9"/>
      <c r="AD32" s="16"/>
      <c r="AE32" s="10"/>
      <c r="AF32" s="10"/>
      <c r="AG32" s="10"/>
      <c r="AH32" s="11"/>
      <c r="AI32" s="12"/>
      <c r="AJ32" s="17"/>
      <c r="AK32" s="13"/>
      <c r="AL32" s="13"/>
      <c r="AM32" s="13"/>
      <c r="AN32" s="14"/>
      <c r="AO32" s="9"/>
      <c r="AP32" s="16"/>
      <c r="AQ32" s="10"/>
      <c r="AR32" s="10"/>
      <c r="AS32" s="10"/>
      <c r="AT32" s="11"/>
      <c r="AU32" s="12"/>
      <c r="AV32" s="17"/>
      <c r="AW32" s="13"/>
      <c r="AX32" s="13"/>
      <c r="AY32" s="13"/>
      <c r="AZ32" s="14"/>
      <c r="BA32" s="9"/>
      <c r="BB32" s="16"/>
      <c r="BC32" s="10"/>
      <c r="BD32" s="10"/>
      <c r="BE32" s="10"/>
      <c r="BF32" s="11"/>
      <c r="BG32" s="12"/>
      <c r="BH32" s="17"/>
      <c r="BI32" s="13"/>
      <c r="BJ32" s="13"/>
      <c r="BK32" s="13"/>
      <c r="BL32" s="14"/>
      <c r="BM32" s="8">
        <f t="shared" si="0"/>
        <v>70</v>
      </c>
      <c r="BN32" s="8">
        <f t="shared" si="1"/>
        <v>77</v>
      </c>
      <c r="BO32" s="8">
        <f t="shared" si="2"/>
        <v>128</v>
      </c>
      <c r="BP32" s="8">
        <f t="shared" si="3"/>
        <v>40</v>
      </c>
      <c r="BQ32" s="8">
        <f t="shared" si="4"/>
        <v>128</v>
      </c>
      <c r="BR32" s="8">
        <f t="shared" si="5"/>
        <v>70</v>
      </c>
      <c r="BS32" s="15">
        <f t="shared" si="6"/>
        <v>30.334533000622166</v>
      </c>
      <c r="BT32" s="15" t="str">
        <f t="shared" si="7"/>
        <v>OK - No Upgrade</v>
      </c>
      <c r="BU32" s="15" t="str">
        <f t="shared" si="8"/>
        <v>Need to Balance</v>
      </c>
    </row>
    <row r="33" spans="1:73" ht="15.75" customHeight="1" x14ac:dyDescent="0.25">
      <c r="A33" s="8" t="s">
        <v>904</v>
      </c>
      <c r="B33" s="8" t="s">
        <v>863</v>
      </c>
      <c r="C33" s="8" t="s">
        <v>938</v>
      </c>
      <c r="D33" s="8" t="s">
        <v>948</v>
      </c>
      <c r="E33" s="8" t="s">
        <v>949</v>
      </c>
      <c r="F33" s="8" t="s">
        <v>56</v>
      </c>
      <c r="G33" s="8"/>
      <c r="H33" s="8">
        <v>1000</v>
      </c>
      <c r="I33" s="8" t="s">
        <v>950</v>
      </c>
      <c r="J33" s="8">
        <v>1</v>
      </c>
      <c r="K33" s="8">
        <v>252</v>
      </c>
      <c r="L33" s="8">
        <v>251</v>
      </c>
      <c r="M33" s="8">
        <v>253</v>
      </c>
      <c r="N33" s="8">
        <v>436</v>
      </c>
      <c r="O33" s="8">
        <v>437</v>
      </c>
      <c r="P33" s="8">
        <v>437</v>
      </c>
      <c r="Q33" s="9"/>
      <c r="R33" s="16"/>
      <c r="S33" s="10"/>
      <c r="T33" s="10"/>
      <c r="U33" s="10"/>
      <c r="V33" s="11"/>
      <c r="W33" s="12" t="s">
        <v>47</v>
      </c>
      <c r="X33" s="17"/>
      <c r="Y33" s="13">
        <v>30</v>
      </c>
      <c r="Z33" s="13">
        <v>135</v>
      </c>
      <c r="AA33" s="13">
        <v>45</v>
      </c>
      <c r="AB33" s="14">
        <v>88</v>
      </c>
      <c r="AC33" s="9" t="s">
        <v>46</v>
      </c>
      <c r="AD33" s="16"/>
      <c r="AE33" s="10">
        <v>75</v>
      </c>
      <c r="AF33" s="10">
        <v>95</v>
      </c>
      <c r="AG33" s="10">
        <v>135</v>
      </c>
      <c r="AH33" s="11">
        <v>60</v>
      </c>
      <c r="AI33" s="12" t="s">
        <v>46</v>
      </c>
      <c r="AJ33" s="17"/>
      <c r="AK33" s="13">
        <v>20</v>
      </c>
      <c r="AL33" s="13">
        <v>31</v>
      </c>
      <c r="AM33" s="13">
        <v>10</v>
      </c>
      <c r="AN33" s="14">
        <v>15</v>
      </c>
      <c r="AO33" s="9" t="s">
        <v>46</v>
      </c>
      <c r="AP33" s="16"/>
      <c r="AQ33" s="10">
        <v>95</v>
      </c>
      <c r="AR33" s="10">
        <v>85</v>
      </c>
      <c r="AS33" s="10">
        <v>75</v>
      </c>
      <c r="AT33" s="11">
        <v>25</v>
      </c>
      <c r="AU33" s="12" t="s">
        <v>47</v>
      </c>
      <c r="AV33" s="17"/>
      <c r="AW33" s="13">
        <v>65</v>
      </c>
      <c r="AX33" s="13">
        <v>60</v>
      </c>
      <c r="AY33" s="13">
        <v>80</v>
      </c>
      <c r="AZ33" s="14">
        <v>35</v>
      </c>
      <c r="BA33" s="9" t="s">
        <v>47</v>
      </c>
      <c r="BB33" s="16"/>
      <c r="BC33" s="10">
        <v>75</v>
      </c>
      <c r="BD33" s="10">
        <v>95</v>
      </c>
      <c r="BE33" s="10">
        <v>88</v>
      </c>
      <c r="BF33" s="11">
        <v>40</v>
      </c>
      <c r="BG33" s="12" t="s">
        <v>47</v>
      </c>
      <c r="BH33" s="17"/>
      <c r="BI33" s="13">
        <v>110</v>
      </c>
      <c r="BJ33" s="13">
        <v>75</v>
      </c>
      <c r="BK33" s="13">
        <v>160</v>
      </c>
      <c r="BL33" s="14">
        <v>93</v>
      </c>
      <c r="BM33" s="8">
        <f t="shared" si="0"/>
        <v>470</v>
      </c>
      <c r="BN33" s="8">
        <f t="shared" si="1"/>
        <v>576</v>
      </c>
      <c r="BO33" s="8">
        <f t="shared" si="2"/>
        <v>593</v>
      </c>
      <c r="BP33" s="8">
        <f t="shared" si="3"/>
        <v>356</v>
      </c>
      <c r="BQ33" s="8">
        <f t="shared" si="4"/>
        <v>593</v>
      </c>
      <c r="BR33" s="8">
        <f t="shared" si="5"/>
        <v>470</v>
      </c>
      <c r="BS33" s="15">
        <f t="shared" si="6"/>
        <v>44.781827219531799</v>
      </c>
      <c r="BT33" s="15" t="str">
        <f t="shared" si="7"/>
        <v>OK - No Upgrade</v>
      </c>
      <c r="BU33" s="15" t="str">
        <f t="shared" si="8"/>
        <v>OK - Balanced</v>
      </c>
    </row>
    <row r="34" spans="1:73" ht="15.75" customHeight="1" x14ac:dyDescent="0.25">
      <c r="A34" s="8" t="s">
        <v>904</v>
      </c>
      <c r="B34" s="8" t="s">
        <v>863</v>
      </c>
      <c r="C34" s="8" t="s">
        <v>938</v>
      </c>
      <c r="D34" s="8" t="s">
        <v>951</v>
      </c>
      <c r="E34" s="8" t="s">
        <v>952</v>
      </c>
      <c r="F34" s="8" t="s">
        <v>43</v>
      </c>
      <c r="G34" s="8"/>
      <c r="H34" s="8">
        <v>315</v>
      </c>
      <c r="I34" s="8" t="s">
        <v>953</v>
      </c>
      <c r="J34" s="8">
        <v>1</v>
      </c>
      <c r="K34" s="8">
        <v>244</v>
      </c>
      <c r="L34" s="8">
        <v>246</v>
      </c>
      <c r="M34" s="8">
        <v>246</v>
      </c>
      <c r="N34" s="8">
        <v>426</v>
      </c>
      <c r="O34" s="8">
        <v>425</v>
      </c>
      <c r="P34" s="8">
        <v>427</v>
      </c>
      <c r="Q34" s="9" t="s">
        <v>46</v>
      </c>
      <c r="R34" s="16"/>
      <c r="S34" s="10">
        <v>145</v>
      </c>
      <c r="T34" s="10">
        <v>95</v>
      </c>
      <c r="U34" s="10">
        <v>151</v>
      </c>
      <c r="V34" s="11">
        <v>50</v>
      </c>
      <c r="W34" s="12" t="s">
        <v>46</v>
      </c>
      <c r="X34" s="17"/>
      <c r="Y34" s="13">
        <v>60</v>
      </c>
      <c r="Z34" s="13">
        <v>40</v>
      </c>
      <c r="AA34" s="13">
        <v>51</v>
      </c>
      <c r="AB34" s="14">
        <v>11</v>
      </c>
      <c r="AC34" s="9"/>
      <c r="AD34" s="16"/>
      <c r="AE34" s="10"/>
      <c r="AF34" s="10"/>
      <c r="AG34" s="10"/>
      <c r="AH34" s="11"/>
      <c r="AI34" s="12"/>
      <c r="AJ34" s="17"/>
      <c r="AK34" s="13"/>
      <c r="AL34" s="13"/>
      <c r="AM34" s="13"/>
      <c r="AN34" s="14"/>
      <c r="AO34" s="9"/>
      <c r="AP34" s="16"/>
      <c r="AQ34" s="10"/>
      <c r="AR34" s="10"/>
      <c r="AS34" s="10"/>
      <c r="AT34" s="11"/>
      <c r="AU34" s="12"/>
      <c r="AV34" s="17"/>
      <c r="AW34" s="13"/>
      <c r="AX34" s="13"/>
      <c r="AY34" s="13"/>
      <c r="AZ34" s="14"/>
      <c r="BA34" s="9"/>
      <c r="BB34" s="16"/>
      <c r="BC34" s="10"/>
      <c r="BD34" s="10"/>
      <c r="BE34" s="10"/>
      <c r="BF34" s="11"/>
      <c r="BG34" s="12"/>
      <c r="BH34" s="17"/>
      <c r="BI34" s="13"/>
      <c r="BJ34" s="13"/>
      <c r="BK34" s="13"/>
      <c r="BL34" s="14"/>
      <c r="BM34" s="8">
        <f t="shared" si="0"/>
        <v>205</v>
      </c>
      <c r="BN34" s="8">
        <f t="shared" si="1"/>
        <v>135</v>
      </c>
      <c r="BO34" s="8">
        <f t="shared" si="2"/>
        <v>202</v>
      </c>
      <c r="BP34" s="8">
        <f t="shared" si="3"/>
        <v>61</v>
      </c>
      <c r="BQ34" s="8">
        <f t="shared" si="4"/>
        <v>205</v>
      </c>
      <c r="BR34" s="8">
        <f t="shared" si="5"/>
        <v>135</v>
      </c>
      <c r="BS34" s="15">
        <f t="shared" si="6"/>
        <v>48.019046674600013</v>
      </c>
      <c r="BT34" s="15" t="str">
        <f t="shared" si="7"/>
        <v>OK - No Upgrade</v>
      </c>
      <c r="BU34" s="15" t="str">
        <f t="shared" si="8"/>
        <v>Need to Balance</v>
      </c>
    </row>
    <row r="35" spans="1:73" ht="15.75" customHeight="1" x14ac:dyDescent="0.25">
      <c r="A35" s="8" t="s">
        <v>904</v>
      </c>
      <c r="B35" s="8" t="s">
        <v>863</v>
      </c>
      <c r="C35" s="8" t="s">
        <v>938</v>
      </c>
      <c r="D35" s="8" t="s">
        <v>954</v>
      </c>
      <c r="E35" s="8" t="s">
        <v>955</v>
      </c>
      <c r="F35" s="8" t="s">
        <v>43</v>
      </c>
      <c r="G35" s="8"/>
      <c r="H35" s="8">
        <v>315</v>
      </c>
      <c r="I35" s="8" t="s">
        <v>956</v>
      </c>
      <c r="J35" s="8">
        <v>1</v>
      </c>
      <c r="K35" s="8">
        <v>246</v>
      </c>
      <c r="L35" s="8">
        <v>245</v>
      </c>
      <c r="M35" s="8">
        <v>247</v>
      </c>
      <c r="N35" s="8">
        <v>426</v>
      </c>
      <c r="O35" s="8">
        <v>427</v>
      </c>
      <c r="P35" s="8">
        <v>428</v>
      </c>
      <c r="Q35" s="9" t="s">
        <v>46</v>
      </c>
      <c r="R35" s="16"/>
      <c r="S35" s="10">
        <v>85</v>
      </c>
      <c r="T35" s="10">
        <v>115</v>
      </c>
      <c r="U35" s="10">
        <v>75</v>
      </c>
      <c r="V35" s="11">
        <v>60</v>
      </c>
      <c r="W35" s="12" t="s">
        <v>46</v>
      </c>
      <c r="X35" s="17"/>
      <c r="Y35" s="13">
        <v>87</v>
      </c>
      <c r="Z35" s="13">
        <v>50</v>
      </c>
      <c r="AA35" s="13">
        <v>30</v>
      </c>
      <c r="AB35" s="14">
        <v>16</v>
      </c>
      <c r="AC35" s="9"/>
      <c r="AD35" s="16"/>
      <c r="AE35" s="10"/>
      <c r="AF35" s="10"/>
      <c r="AG35" s="10"/>
      <c r="AH35" s="11"/>
      <c r="AI35" s="12"/>
      <c r="AJ35" s="17"/>
      <c r="AK35" s="13"/>
      <c r="AL35" s="13"/>
      <c r="AM35" s="13"/>
      <c r="AN35" s="14"/>
      <c r="AO35" s="9"/>
      <c r="AP35" s="16"/>
      <c r="AQ35" s="10"/>
      <c r="AR35" s="10"/>
      <c r="AS35" s="10"/>
      <c r="AT35" s="11"/>
      <c r="AU35" s="12"/>
      <c r="AV35" s="17"/>
      <c r="AW35" s="13"/>
      <c r="AX35" s="13"/>
      <c r="AY35" s="13"/>
      <c r="AZ35" s="14"/>
      <c r="BA35" s="9"/>
      <c r="BB35" s="16"/>
      <c r="BC35" s="10"/>
      <c r="BD35" s="10"/>
      <c r="BE35" s="10"/>
      <c r="BF35" s="11"/>
      <c r="BG35" s="12"/>
      <c r="BH35" s="17"/>
      <c r="BI35" s="13"/>
      <c r="BJ35" s="13"/>
      <c r="BK35" s="13"/>
      <c r="BL35" s="14"/>
      <c r="BM35" s="8">
        <f t="shared" si="0"/>
        <v>172</v>
      </c>
      <c r="BN35" s="8">
        <f t="shared" si="1"/>
        <v>165</v>
      </c>
      <c r="BO35" s="8">
        <f t="shared" si="2"/>
        <v>105</v>
      </c>
      <c r="BP35" s="8">
        <f t="shared" si="3"/>
        <v>76</v>
      </c>
      <c r="BQ35" s="8">
        <f t="shared" si="4"/>
        <v>172</v>
      </c>
      <c r="BR35" s="8">
        <f t="shared" si="5"/>
        <v>105</v>
      </c>
      <c r="BS35" s="15">
        <f t="shared" si="6"/>
        <v>40.289151356249761</v>
      </c>
      <c r="BT35" s="15" t="str">
        <f t="shared" si="7"/>
        <v>OK - No Upgrade</v>
      </c>
      <c r="BU35" s="15" t="str">
        <f t="shared" si="8"/>
        <v>Need to Balance</v>
      </c>
    </row>
    <row r="36" spans="1:73" ht="15.75" customHeight="1" x14ac:dyDescent="0.25">
      <c r="A36" s="8" t="s">
        <v>904</v>
      </c>
      <c r="B36" s="8" t="s">
        <v>863</v>
      </c>
      <c r="C36" s="8" t="s">
        <v>938</v>
      </c>
      <c r="D36" s="8" t="s">
        <v>957</v>
      </c>
      <c r="E36" s="8" t="s">
        <v>958</v>
      </c>
      <c r="F36" s="8" t="s">
        <v>43</v>
      </c>
      <c r="G36" s="8"/>
      <c r="H36" s="8">
        <v>315</v>
      </c>
      <c r="I36" s="8" t="s">
        <v>959</v>
      </c>
      <c r="J36" s="8">
        <v>1</v>
      </c>
      <c r="K36" s="8">
        <v>246</v>
      </c>
      <c r="L36" s="8">
        <v>246</v>
      </c>
      <c r="M36" s="8">
        <v>246</v>
      </c>
      <c r="N36" s="8">
        <v>427</v>
      </c>
      <c r="O36" s="8">
        <v>428</v>
      </c>
      <c r="P36" s="8">
        <v>425</v>
      </c>
      <c r="Q36" s="9" t="s">
        <v>47</v>
      </c>
      <c r="R36" s="16"/>
      <c r="S36" s="10">
        <v>95</v>
      </c>
      <c r="T36" s="10">
        <v>35</v>
      </c>
      <c r="U36" s="10">
        <v>34</v>
      </c>
      <c r="V36" s="11">
        <v>41</v>
      </c>
      <c r="W36" s="12" t="s">
        <v>47</v>
      </c>
      <c r="X36" s="17"/>
      <c r="Y36" s="13">
        <v>67</v>
      </c>
      <c r="Z36" s="13">
        <v>85</v>
      </c>
      <c r="AA36" s="13">
        <v>57</v>
      </c>
      <c r="AB36" s="14">
        <v>12</v>
      </c>
      <c r="AC36" s="9"/>
      <c r="AD36" s="16"/>
      <c r="AE36" s="10"/>
      <c r="AF36" s="10"/>
      <c r="AG36" s="10"/>
      <c r="AH36" s="11"/>
      <c r="AI36" s="12"/>
      <c r="AJ36" s="17"/>
      <c r="AK36" s="13"/>
      <c r="AL36" s="13"/>
      <c r="AM36" s="13"/>
      <c r="AN36" s="14"/>
      <c r="AO36" s="9"/>
      <c r="AP36" s="16"/>
      <c r="AQ36" s="10"/>
      <c r="AR36" s="10"/>
      <c r="AS36" s="10"/>
      <c r="AT36" s="11"/>
      <c r="AU36" s="12"/>
      <c r="AV36" s="17"/>
      <c r="AW36" s="13"/>
      <c r="AX36" s="13"/>
      <c r="AY36" s="13"/>
      <c r="AZ36" s="14"/>
      <c r="BA36" s="9"/>
      <c r="BB36" s="16"/>
      <c r="BC36" s="10"/>
      <c r="BD36" s="10"/>
      <c r="BE36" s="10"/>
      <c r="BF36" s="11"/>
      <c r="BG36" s="12"/>
      <c r="BH36" s="17"/>
      <c r="BI36" s="13"/>
      <c r="BJ36" s="13"/>
      <c r="BK36" s="13"/>
      <c r="BL36" s="14"/>
      <c r="BM36" s="8">
        <f t="shared" si="0"/>
        <v>162</v>
      </c>
      <c r="BN36" s="8">
        <f t="shared" si="1"/>
        <v>120</v>
      </c>
      <c r="BO36" s="8">
        <f t="shared" si="2"/>
        <v>91</v>
      </c>
      <c r="BP36" s="8">
        <f t="shared" si="3"/>
        <v>53</v>
      </c>
      <c r="BQ36" s="8">
        <f t="shared" si="4"/>
        <v>162</v>
      </c>
      <c r="BR36" s="8">
        <f t="shared" si="5"/>
        <v>91</v>
      </c>
      <c r="BS36" s="15">
        <f t="shared" si="6"/>
        <v>38.035835734212547</v>
      </c>
      <c r="BT36" s="15" t="str">
        <f t="shared" si="7"/>
        <v>OK - No Upgrade</v>
      </c>
      <c r="BU36" s="15" t="str">
        <f t="shared" si="8"/>
        <v>Need to Balance</v>
      </c>
    </row>
    <row r="37" spans="1:73" ht="15.75" customHeight="1" x14ac:dyDescent="0.25">
      <c r="A37" s="8" t="s">
        <v>904</v>
      </c>
      <c r="B37" s="8" t="s">
        <v>863</v>
      </c>
      <c r="C37" s="8" t="s">
        <v>938</v>
      </c>
      <c r="D37" s="8" t="s">
        <v>960</v>
      </c>
      <c r="E37" s="8" t="s">
        <v>961</v>
      </c>
      <c r="F37" s="8" t="s">
        <v>56</v>
      </c>
      <c r="G37" s="8"/>
      <c r="H37" s="8">
        <v>1000</v>
      </c>
      <c r="I37" s="8" t="s">
        <v>962</v>
      </c>
      <c r="J37" s="8">
        <v>1</v>
      </c>
      <c r="K37" s="8">
        <v>247</v>
      </c>
      <c r="L37" s="8">
        <v>248</v>
      </c>
      <c r="M37" s="8">
        <v>247</v>
      </c>
      <c r="N37" s="8">
        <v>431</v>
      </c>
      <c r="O37" s="8">
        <v>426</v>
      </c>
      <c r="P37" s="8">
        <v>430</v>
      </c>
      <c r="Q37" s="9"/>
      <c r="R37" s="16"/>
      <c r="S37" s="10"/>
      <c r="T37" s="10"/>
      <c r="U37" s="10"/>
      <c r="V37" s="11"/>
      <c r="W37" s="12"/>
      <c r="X37" s="17"/>
      <c r="Y37" s="13"/>
      <c r="Z37" s="13"/>
      <c r="AA37" s="13"/>
      <c r="AB37" s="14"/>
      <c r="AC37" s="9" t="s">
        <v>46</v>
      </c>
      <c r="AD37" s="16"/>
      <c r="AE37" s="10">
        <v>0</v>
      </c>
      <c r="AF37" s="10">
        <v>2</v>
      </c>
      <c r="AG37" s="10">
        <v>2</v>
      </c>
      <c r="AH37" s="11">
        <v>2</v>
      </c>
      <c r="AI37" s="12" t="s">
        <v>46</v>
      </c>
      <c r="AJ37" s="17"/>
      <c r="AK37" s="13">
        <v>15</v>
      </c>
      <c r="AL37" s="13">
        <v>15</v>
      </c>
      <c r="AM37" s="13">
        <v>0</v>
      </c>
      <c r="AN37" s="14">
        <v>12</v>
      </c>
      <c r="AO37" s="9" t="s">
        <v>46</v>
      </c>
      <c r="AP37" s="16"/>
      <c r="AQ37" s="10">
        <v>6</v>
      </c>
      <c r="AR37" s="10">
        <v>17</v>
      </c>
      <c r="AS37" s="10">
        <v>40</v>
      </c>
      <c r="AT37" s="11">
        <v>31</v>
      </c>
      <c r="AU37" s="12" t="s">
        <v>46</v>
      </c>
      <c r="AV37" s="17"/>
      <c r="AW37" s="13">
        <v>3</v>
      </c>
      <c r="AX37" s="13">
        <v>22</v>
      </c>
      <c r="AY37" s="13">
        <v>25</v>
      </c>
      <c r="AZ37" s="14">
        <v>20</v>
      </c>
      <c r="BA37" s="9" t="s">
        <v>47</v>
      </c>
      <c r="BB37" s="16"/>
      <c r="BC37" s="10">
        <v>50</v>
      </c>
      <c r="BD37" s="10">
        <v>110</v>
      </c>
      <c r="BE37" s="10">
        <v>105</v>
      </c>
      <c r="BF37" s="11">
        <v>60</v>
      </c>
      <c r="BG37" s="12" t="s">
        <v>47</v>
      </c>
      <c r="BH37" s="17"/>
      <c r="BI37" s="13">
        <v>95</v>
      </c>
      <c r="BJ37" s="13">
        <v>90</v>
      </c>
      <c r="BK37" s="13">
        <v>82</v>
      </c>
      <c r="BL37" s="14">
        <v>50</v>
      </c>
      <c r="BM37" s="8">
        <f t="shared" si="0"/>
        <v>169</v>
      </c>
      <c r="BN37" s="8">
        <f t="shared" si="1"/>
        <v>256</v>
      </c>
      <c r="BO37" s="8">
        <f t="shared" si="2"/>
        <v>254</v>
      </c>
      <c r="BP37" s="8">
        <f t="shared" si="3"/>
        <v>175</v>
      </c>
      <c r="BQ37" s="8">
        <f t="shared" si="4"/>
        <v>256</v>
      </c>
      <c r="BR37" s="8">
        <f t="shared" si="5"/>
        <v>169</v>
      </c>
      <c r="BS37" s="15">
        <f t="shared" si="6"/>
        <v>19.110755790391963</v>
      </c>
      <c r="BT37" s="15" t="str">
        <f t="shared" si="7"/>
        <v>OK - No Upgrade</v>
      </c>
      <c r="BU37" s="15" t="str">
        <f t="shared" si="8"/>
        <v>Need to Balance</v>
      </c>
    </row>
    <row r="38" spans="1:73" ht="15.75" customHeight="1" x14ac:dyDescent="0.25">
      <c r="A38" s="8" t="s">
        <v>904</v>
      </c>
      <c r="B38" s="8" t="s">
        <v>863</v>
      </c>
      <c r="C38" s="8" t="s">
        <v>938</v>
      </c>
      <c r="D38" s="8" t="s">
        <v>963</v>
      </c>
      <c r="E38" s="8" t="s">
        <v>964</v>
      </c>
      <c r="F38" s="8" t="s">
        <v>43</v>
      </c>
      <c r="G38" s="8"/>
      <c r="H38" s="8">
        <v>315</v>
      </c>
      <c r="I38" s="8" t="s">
        <v>965</v>
      </c>
      <c r="J38" s="8">
        <v>1</v>
      </c>
      <c r="K38" s="8">
        <v>244</v>
      </c>
      <c r="L38" s="8">
        <v>243</v>
      </c>
      <c r="M38" s="8">
        <v>245</v>
      </c>
      <c r="N38" s="8">
        <v>423</v>
      </c>
      <c r="O38" s="8">
        <v>425</v>
      </c>
      <c r="P38" s="8">
        <v>422</v>
      </c>
      <c r="Q38" s="9" t="s">
        <v>46</v>
      </c>
      <c r="R38" s="16"/>
      <c r="S38" s="10">
        <v>40</v>
      </c>
      <c r="T38" s="10">
        <v>35</v>
      </c>
      <c r="U38" s="10">
        <v>37</v>
      </c>
      <c r="V38" s="11">
        <v>11</v>
      </c>
      <c r="W38" s="12" t="s">
        <v>47</v>
      </c>
      <c r="X38" s="17"/>
      <c r="Y38" s="13">
        <v>30</v>
      </c>
      <c r="Z38" s="13">
        <v>75</v>
      </c>
      <c r="AA38" s="13">
        <v>60</v>
      </c>
      <c r="AB38" s="14">
        <v>39</v>
      </c>
      <c r="AC38" s="9" t="s">
        <v>47</v>
      </c>
      <c r="AD38" s="16"/>
      <c r="AE38" s="10">
        <v>35</v>
      </c>
      <c r="AF38" s="10">
        <v>60</v>
      </c>
      <c r="AG38" s="10">
        <v>26</v>
      </c>
      <c r="AH38" s="11">
        <v>21</v>
      </c>
      <c r="AI38" s="12"/>
      <c r="AJ38" s="17"/>
      <c r="AK38" s="13"/>
      <c r="AL38" s="13"/>
      <c r="AM38" s="13"/>
      <c r="AN38" s="14"/>
      <c r="AO38" s="9"/>
      <c r="AP38" s="16"/>
      <c r="AQ38" s="10"/>
      <c r="AR38" s="10"/>
      <c r="AS38" s="10"/>
      <c r="AT38" s="11"/>
      <c r="AU38" s="12"/>
      <c r="AV38" s="17"/>
      <c r="AW38" s="13"/>
      <c r="AX38" s="13"/>
      <c r="AY38" s="13"/>
      <c r="AZ38" s="14"/>
      <c r="BA38" s="9"/>
      <c r="BB38" s="16"/>
      <c r="BC38" s="10"/>
      <c r="BD38" s="10"/>
      <c r="BE38" s="10"/>
      <c r="BF38" s="11"/>
      <c r="BG38" s="12"/>
      <c r="BH38" s="17"/>
      <c r="BI38" s="13"/>
      <c r="BJ38" s="13"/>
      <c r="BK38" s="13"/>
      <c r="BL38" s="14"/>
      <c r="BM38" s="8">
        <f t="shared" si="0"/>
        <v>105</v>
      </c>
      <c r="BN38" s="8">
        <f t="shared" si="1"/>
        <v>170</v>
      </c>
      <c r="BO38" s="8">
        <f t="shared" si="2"/>
        <v>123</v>
      </c>
      <c r="BP38" s="8">
        <f t="shared" si="3"/>
        <v>71</v>
      </c>
      <c r="BQ38" s="8">
        <f t="shared" si="4"/>
        <v>170</v>
      </c>
      <c r="BR38" s="8">
        <f t="shared" si="5"/>
        <v>105</v>
      </c>
      <c r="BS38" s="15">
        <f t="shared" si="6"/>
        <v>39.540245578500937</v>
      </c>
      <c r="BT38" s="15" t="str">
        <f t="shared" si="7"/>
        <v>OK - No Upgrade</v>
      </c>
      <c r="BU38" s="15" t="str">
        <f t="shared" si="8"/>
        <v>Need to Balance</v>
      </c>
    </row>
    <row r="39" spans="1:73" ht="15.75" customHeight="1" x14ac:dyDescent="0.25">
      <c r="A39" s="8" t="s">
        <v>904</v>
      </c>
      <c r="B39" s="8" t="s">
        <v>863</v>
      </c>
      <c r="C39" s="8" t="s">
        <v>938</v>
      </c>
      <c r="D39" s="8" t="s">
        <v>966</v>
      </c>
      <c r="E39" s="8" t="s">
        <v>967</v>
      </c>
      <c r="F39" s="8" t="s">
        <v>56</v>
      </c>
      <c r="G39" s="8"/>
      <c r="H39" s="8">
        <v>1000</v>
      </c>
      <c r="I39" s="8" t="s">
        <v>968</v>
      </c>
      <c r="J39" s="8">
        <v>1</v>
      </c>
      <c r="K39" s="8">
        <v>250</v>
      </c>
      <c r="L39" s="8">
        <v>250</v>
      </c>
      <c r="M39" s="8">
        <v>252</v>
      </c>
      <c r="N39" s="8">
        <v>431</v>
      </c>
      <c r="O39" s="8">
        <v>432</v>
      </c>
      <c r="P39" s="8">
        <v>436</v>
      </c>
      <c r="Q39" s="9"/>
      <c r="R39" s="16"/>
      <c r="S39" s="10"/>
      <c r="T39" s="10"/>
      <c r="U39" s="10"/>
      <c r="V39" s="11"/>
      <c r="W39" s="12" t="s">
        <v>47</v>
      </c>
      <c r="X39" s="17"/>
      <c r="Y39" s="13">
        <v>6</v>
      </c>
      <c r="Z39" s="13">
        <v>16</v>
      </c>
      <c r="AA39" s="13">
        <v>11</v>
      </c>
      <c r="AB39" s="14">
        <v>7</v>
      </c>
      <c r="AC39" s="9" t="s">
        <v>47</v>
      </c>
      <c r="AD39" s="16"/>
      <c r="AE39" s="10">
        <v>115</v>
      </c>
      <c r="AF39" s="10">
        <v>120</v>
      </c>
      <c r="AG39" s="10">
        <v>66</v>
      </c>
      <c r="AH39" s="11">
        <v>48</v>
      </c>
      <c r="AI39" s="12" t="s">
        <v>70</v>
      </c>
      <c r="AJ39" s="17"/>
      <c r="AK39" s="13">
        <v>155</v>
      </c>
      <c r="AL39" s="13">
        <v>135</v>
      </c>
      <c r="AM39" s="13">
        <v>110</v>
      </c>
      <c r="AN39" s="14">
        <v>40</v>
      </c>
      <c r="AO39" s="9" t="s">
        <v>47</v>
      </c>
      <c r="AP39" s="16"/>
      <c r="AQ39" s="10">
        <v>50</v>
      </c>
      <c r="AR39" s="10">
        <v>65</v>
      </c>
      <c r="AS39" s="10">
        <v>30</v>
      </c>
      <c r="AT39" s="11">
        <v>21</v>
      </c>
      <c r="AU39" s="12" t="s">
        <v>70</v>
      </c>
      <c r="AV39" s="17"/>
      <c r="AW39" s="13">
        <v>60</v>
      </c>
      <c r="AX39" s="13">
        <v>67</v>
      </c>
      <c r="AY39" s="13">
        <v>50</v>
      </c>
      <c r="AZ39" s="14">
        <v>23</v>
      </c>
      <c r="BA39" s="9" t="s">
        <v>47</v>
      </c>
      <c r="BB39" s="16"/>
      <c r="BC39" s="10">
        <v>110</v>
      </c>
      <c r="BD39" s="10">
        <v>70</v>
      </c>
      <c r="BE39" s="10">
        <v>110</v>
      </c>
      <c r="BF39" s="11">
        <v>53</v>
      </c>
      <c r="BG39" s="12" t="s">
        <v>70</v>
      </c>
      <c r="BH39" s="17"/>
      <c r="BI39" s="13">
        <v>90</v>
      </c>
      <c r="BJ39" s="13">
        <v>95</v>
      </c>
      <c r="BK39" s="13">
        <v>130</v>
      </c>
      <c r="BL39" s="14">
        <v>40</v>
      </c>
      <c r="BM39" s="8">
        <f t="shared" si="0"/>
        <v>586</v>
      </c>
      <c r="BN39" s="8">
        <f t="shared" si="1"/>
        <v>568</v>
      </c>
      <c r="BO39" s="8">
        <f t="shared" si="2"/>
        <v>507</v>
      </c>
      <c r="BP39" s="8">
        <f t="shared" si="3"/>
        <v>232</v>
      </c>
      <c r="BQ39" s="8">
        <f t="shared" si="4"/>
        <v>586</v>
      </c>
      <c r="BR39" s="8">
        <f t="shared" si="5"/>
        <v>507</v>
      </c>
      <c r="BS39" s="15">
        <f t="shared" si="6"/>
        <v>43.745714426444103</v>
      </c>
      <c r="BT39" s="15" t="str">
        <f t="shared" si="7"/>
        <v>OK - No Upgrade</v>
      </c>
      <c r="BU39" s="15" t="str">
        <f t="shared" si="8"/>
        <v>OK - Balanced</v>
      </c>
    </row>
    <row r="40" spans="1:73" ht="15.75" customHeight="1" x14ac:dyDescent="0.25">
      <c r="A40" s="8" t="s">
        <v>904</v>
      </c>
      <c r="B40" s="8" t="s">
        <v>863</v>
      </c>
      <c r="C40" s="8" t="s">
        <v>938</v>
      </c>
      <c r="D40" s="8" t="s">
        <v>969</v>
      </c>
      <c r="E40" s="8" t="s">
        <v>970</v>
      </c>
      <c r="F40" s="8" t="s">
        <v>56</v>
      </c>
      <c r="G40" s="8"/>
      <c r="H40" s="8">
        <v>1000</v>
      </c>
      <c r="I40" s="8" t="s">
        <v>971</v>
      </c>
      <c r="J40" s="8">
        <v>1</v>
      </c>
      <c r="K40" s="8">
        <v>245</v>
      </c>
      <c r="L40" s="8">
        <v>242</v>
      </c>
      <c r="M40" s="8">
        <v>245</v>
      </c>
      <c r="N40" s="8">
        <v>425</v>
      </c>
      <c r="O40" s="8">
        <v>425</v>
      </c>
      <c r="P40" s="8">
        <v>424</v>
      </c>
      <c r="Q40" s="9" t="s">
        <v>70</v>
      </c>
      <c r="R40" s="16"/>
      <c r="S40" s="10">
        <v>60</v>
      </c>
      <c r="T40" s="10">
        <v>89</v>
      </c>
      <c r="U40" s="10">
        <v>53</v>
      </c>
      <c r="V40" s="11">
        <v>35</v>
      </c>
      <c r="W40" s="12"/>
      <c r="X40" s="17"/>
      <c r="Y40" s="13"/>
      <c r="Z40" s="13"/>
      <c r="AA40" s="13"/>
      <c r="AB40" s="14"/>
      <c r="AC40" s="9" t="s">
        <v>47</v>
      </c>
      <c r="AD40" s="16"/>
      <c r="AE40" s="10">
        <v>27</v>
      </c>
      <c r="AF40" s="10">
        <v>60</v>
      </c>
      <c r="AG40" s="10">
        <v>65</v>
      </c>
      <c r="AH40" s="11">
        <v>45</v>
      </c>
      <c r="AI40" s="12" t="s">
        <v>47</v>
      </c>
      <c r="AJ40" s="17"/>
      <c r="AK40" s="13">
        <v>30</v>
      </c>
      <c r="AL40" s="13">
        <v>115</v>
      </c>
      <c r="AM40" s="13">
        <v>60</v>
      </c>
      <c r="AN40" s="14">
        <v>25</v>
      </c>
      <c r="AO40" s="9" t="s">
        <v>47</v>
      </c>
      <c r="AP40" s="16"/>
      <c r="AQ40" s="10">
        <v>71</v>
      </c>
      <c r="AR40" s="10">
        <v>60</v>
      </c>
      <c r="AS40" s="10">
        <v>45</v>
      </c>
      <c r="AT40" s="11">
        <v>20</v>
      </c>
      <c r="AU40" s="12" t="s">
        <v>47</v>
      </c>
      <c r="AV40" s="17"/>
      <c r="AW40" s="13">
        <v>60</v>
      </c>
      <c r="AX40" s="13">
        <v>45</v>
      </c>
      <c r="AY40" s="13">
        <v>110</v>
      </c>
      <c r="AZ40" s="14">
        <v>79</v>
      </c>
      <c r="BA40" s="9" t="s">
        <v>47</v>
      </c>
      <c r="BB40" s="16"/>
      <c r="BC40" s="10">
        <v>65</v>
      </c>
      <c r="BD40" s="10">
        <v>118</v>
      </c>
      <c r="BE40" s="10">
        <v>79</v>
      </c>
      <c r="BF40" s="11">
        <v>60</v>
      </c>
      <c r="BG40" s="12"/>
      <c r="BH40" s="17"/>
      <c r="BI40" s="13"/>
      <c r="BJ40" s="13"/>
      <c r="BK40" s="13"/>
      <c r="BL40" s="14"/>
      <c r="BM40" s="8">
        <f t="shared" si="0"/>
        <v>313</v>
      </c>
      <c r="BN40" s="8">
        <f t="shared" si="1"/>
        <v>487</v>
      </c>
      <c r="BO40" s="8">
        <f t="shared" si="2"/>
        <v>412</v>
      </c>
      <c r="BP40" s="8">
        <f t="shared" si="3"/>
        <v>264</v>
      </c>
      <c r="BQ40" s="8">
        <f t="shared" si="4"/>
        <v>487</v>
      </c>
      <c r="BR40" s="8">
        <f t="shared" si="5"/>
        <v>313</v>
      </c>
      <c r="BS40" s="15">
        <f t="shared" si="6"/>
        <v>35.849121589656839</v>
      </c>
      <c r="BT40" s="15" t="str">
        <f t="shared" si="7"/>
        <v>OK - No Upgrade</v>
      </c>
      <c r="BU40" s="15" t="str">
        <f t="shared" si="8"/>
        <v>Need to Balance</v>
      </c>
    </row>
    <row r="41" spans="1:73" ht="15.75" customHeight="1" x14ac:dyDescent="0.25">
      <c r="A41" s="8" t="s">
        <v>904</v>
      </c>
      <c r="B41" s="8" t="s">
        <v>863</v>
      </c>
      <c r="C41" s="8" t="s">
        <v>938</v>
      </c>
      <c r="D41" s="8" t="s">
        <v>972</v>
      </c>
      <c r="E41" s="8" t="s">
        <v>973</v>
      </c>
      <c r="F41" s="8" t="s">
        <v>56</v>
      </c>
      <c r="G41" s="8"/>
      <c r="H41" s="8">
        <v>1000</v>
      </c>
      <c r="I41" s="8" t="s">
        <v>974</v>
      </c>
      <c r="J41" s="8">
        <v>1</v>
      </c>
      <c r="K41" s="8">
        <v>245</v>
      </c>
      <c r="L41" s="8">
        <v>245</v>
      </c>
      <c r="M41" s="8">
        <v>247</v>
      </c>
      <c r="N41" s="8">
        <v>425</v>
      </c>
      <c r="O41" s="8">
        <v>428</v>
      </c>
      <c r="P41" s="8">
        <v>427</v>
      </c>
      <c r="Q41" s="9"/>
      <c r="R41" s="16"/>
      <c r="S41" s="10"/>
      <c r="T41" s="10"/>
      <c r="U41" s="10"/>
      <c r="V41" s="11"/>
      <c r="W41" s="12"/>
      <c r="X41" s="17"/>
      <c r="Y41" s="13"/>
      <c r="Z41" s="13"/>
      <c r="AA41" s="13"/>
      <c r="AB41" s="14"/>
      <c r="AC41" s="9"/>
      <c r="AD41" s="16"/>
      <c r="AE41" s="10"/>
      <c r="AF41" s="10"/>
      <c r="AG41" s="10"/>
      <c r="AH41" s="11"/>
      <c r="AI41" s="12" t="s">
        <v>47</v>
      </c>
      <c r="AJ41" s="17"/>
      <c r="AK41" s="13">
        <v>85</v>
      </c>
      <c r="AL41" s="13">
        <v>88</v>
      </c>
      <c r="AM41" s="13">
        <v>98</v>
      </c>
      <c r="AN41" s="14">
        <v>25</v>
      </c>
      <c r="AO41" s="9" t="s">
        <v>47</v>
      </c>
      <c r="AP41" s="16"/>
      <c r="AQ41" s="10">
        <v>135</v>
      </c>
      <c r="AR41" s="10">
        <v>60</v>
      </c>
      <c r="AS41" s="10">
        <v>135</v>
      </c>
      <c r="AT41" s="11">
        <v>85</v>
      </c>
      <c r="AU41" s="12" t="s">
        <v>46</v>
      </c>
      <c r="AV41" s="17"/>
      <c r="AW41" s="13">
        <v>55</v>
      </c>
      <c r="AX41" s="13">
        <v>25</v>
      </c>
      <c r="AY41" s="13">
        <v>35</v>
      </c>
      <c r="AZ41" s="14">
        <v>22</v>
      </c>
      <c r="BA41" s="9" t="s">
        <v>70</v>
      </c>
      <c r="BB41" s="16"/>
      <c r="BC41" s="10">
        <v>60</v>
      </c>
      <c r="BD41" s="10">
        <v>40</v>
      </c>
      <c r="BE41" s="10">
        <v>61</v>
      </c>
      <c r="BF41" s="11">
        <v>19</v>
      </c>
      <c r="BG41" s="12"/>
      <c r="BH41" s="17"/>
      <c r="BI41" s="13"/>
      <c r="BJ41" s="13"/>
      <c r="BK41" s="13"/>
      <c r="BL41" s="14"/>
      <c r="BM41" s="8">
        <f t="shared" si="0"/>
        <v>335</v>
      </c>
      <c r="BN41" s="8">
        <f t="shared" si="1"/>
        <v>213</v>
      </c>
      <c r="BO41" s="8">
        <f t="shared" si="2"/>
        <v>329</v>
      </c>
      <c r="BP41" s="8">
        <f t="shared" si="3"/>
        <v>151</v>
      </c>
      <c r="BQ41" s="8">
        <f t="shared" si="4"/>
        <v>335</v>
      </c>
      <c r="BR41" s="8">
        <f t="shared" si="5"/>
        <v>213</v>
      </c>
      <c r="BS41" s="15">
        <f t="shared" si="6"/>
        <v>24.660073372761886</v>
      </c>
      <c r="BT41" s="15" t="str">
        <f t="shared" si="7"/>
        <v>OK - No Upgrade</v>
      </c>
      <c r="BU41" s="15" t="str">
        <f t="shared" si="8"/>
        <v>Need to Balance</v>
      </c>
    </row>
    <row r="42" spans="1:73" ht="15.75" customHeight="1" x14ac:dyDescent="0.25">
      <c r="A42" s="8" t="s">
        <v>904</v>
      </c>
      <c r="B42" s="8" t="s">
        <v>863</v>
      </c>
      <c r="C42" s="8" t="s">
        <v>938</v>
      </c>
      <c r="D42" s="8" t="s">
        <v>975</v>
      </c>
      <c r="E42" s="8" t="s">
        <v>976</v>
      </c>
      <c r="F42" s="8" t="s">
        <v>56</v>
      </c>
      <c r="G42" s="8"/>
      <c r="H42" s="8">
        <v>1000</v>
      </c>
      <c r="I42" s="8" t="s">
        <v>147</v>
      </c>
      <c r="J42" s="8">
        <v>1</v>
      </c>
      <c r="K42" s="8">
        <v>246</v>
      </c>
      <c r="L42" s="8">
        <v>248</v>
      </c>
      <c r="M42" s="8">
        <v>247</v>
      </c>
      <c r="N42" s="8">
        <v>430</v>
      </c>
      <c r="O42" s="8">
        <v>429</v>
      </c>
      <c r="P42" s="8">
        <v>431</v>
      </c>
      <c r="Q42" s="9"/>
      <c r="R42" s="16"/>
      <c r="S42" s="10"/>
      <c r="T42" s="10"/>
      <c r="U42" s="10"/>
      <c r="V42" s="11"/>
      <c r="W42" s="12"/>
      <c r="X42" s="17"/>
      <c r="Y42" s="13"/>
      <c r="Z42" s="13"/>
      <c r="AA42" s="13"/>
      <c r="AB42" s="14"/>
      <c r="AC42" s="9"/>
      <c r="AD42" s="16"/>
      <c r="AE42" s="10"/>
      <c r="AF42" s="10"/>
      <c r="AG42" s="10"/>
      <c r="AH42" s="11"/>
      <c r="AI42" s="12" t="s">
        <v>47</v>
      </c>
      <c r="AJ42" s="17"/>
      <c r="AK42" s="13">
        <v>110</v>
      </c>
      <c r="AL42" s="13">
        <v>135</v>
      </c>
      <c r="AM42" s="13">
        <v>108</v>
      </c>
      <c r="AN42" s="14">
        <v>35</v>
      </c>
      <c r="AO42" s="9" t="s">
        <v>47</v>
      </c>
      <c r="AP42" s="16"/>
      <c r="AQ42" s="10">
        <v>60</v>
      </c>
      <c r="AR42" s="10">
        <v>45</v>
      </c>
      <c r="AS42" s="10">
        <v>10</v>
      </c>
      <c r="AT42" s="11">
        <v>28</v>
      </c>
      <c r="AU42" s="12" t="s">
        <v>47</v>
      </c>
      <c r="AV42" s="17"/>
      <c r="AW42" s="13">
        <v>37</v>
      </c>
      <c r="AX42" s="13">
        <v>35</v>
      </c>
      <c r="AY42" s="13">
        <v>90</v>
      </c>
      <c r="AZ42" s="14">
        <v>45</v>
      </c>
      <c r="BA42" s="9" t="s">
        <v>46</v>
      </c>
      <c r="BB42" s="16"/>
      <c r="BC42" s="10">
        <v>0</v>
      </c>
      <c r="BD42" s="10">
        <v>0</v>
      </c>
      <c r="BE42" s="10">
        <v>0</v>
      </c>
      <c r="BF42" s="11">
        <v>0</v>
      </c>
      <c r="BG42" s="12" t="s">
        <v>46</v>
      </c>
      <c r="BH42" s="17"/>
      <c r="BI42" s="13">
        <v>0</v>
      </c>
      <c r="BJ42" s="13">
        <v>0</v>
      </c>
      <c r="BK42" s="13">
        <v>0</v>
      </c>
      <c r="BL42" s="14">
        <v>0</v>
      </c>
      <c r="BM42" s="8">
        <f t="shared" si="0"/>
        <v>207</v>
      </c>
      <c r="BN42" s="8">
        <f t="shared" si="1"/>
        <v>215</v>
      </c>
      <c r="BO42" s="8">
        <f t="shared" si="2"/>
        <v>208</v>
      </c>
      <c r="BP42" s="8">
        <f t="shared" si="3"/>
        <v>108</v>
      </c>
      <c r="BQ42" s="8">
        <f t="shared" si="4"/>
        <v>215</v>
      </c>
      <c r="BR42" s="8">
        <f t="shared" si="5"/>
        <v>207</v>
      </c>
      <c r="BS42" s="15">
        <f t="shared" si="6"/>
        <v>16.012809715974267</v>
      </c>
      <c r="BT42" s="15" t="str">
        <f t="shared" si="7"/>
        <v>OK - No Upgrade</v>
      </c>
      <c r="BU42" s="15" t="str">
        <f t="shared" si="8"/>
        <v>OK - Balanced</v>
      </c>
    </row>
    <row r="43" spans="1:73" ht="15.75" customHeight="1" x14ac:dyDescent="0.25">
      <c r="A43" s="8" t="s">
        <v>904</v>
      </c>
      <c r="B43" s="8" t="s">
        <v>863</v>
      </c>
      <c r="C43" s="8" t="s">
        <v>938</v>
      </c>
      <c r="D43" s="8" t="s">
        <v>977</v>
      </c>
      <c r="E43" s="8" t="s">
        <v>978</v>
      </c>
      <c r="F43" s="8" t="s">
        <v>56</v>
      </c>
      <c r="G43" s="8"/>
      <c r="H43" s="8">
        <v>1000</v>
      </c>
      <c r="I43" s="8" t="s">
        <v>152</v>
      </c>
      <c r="J43" s="8">
        <v>1</v>
      </c>
      <c r="K43" s="8">
        <v>247</v>
      </c>
      <c r="L43" s="8">
        <v>247</v>
      </c>
      <c r="M43" s="8">
        <v>248</v>
      </c>
      <c r="N43" s="8">
        <v>426</v>
      </c>
      <c r="O43" s="8">
        <v>420</v>
      </c>
      <c r="P43" s="8">
        <v>430</v>
      </c>
      <c r="Q43" s="9" t="s">
        <v>47</v>
      </c>
      <c r="R43" s="16"/>
      <c r="S43" s="10">
        <v>30</v>
      </c>
      <c r="T43" s="10">
        <v>25</v>
      </c>
      <c r="U43" s="10">
        <v>37</v>
      </c>
      <c r="V43" s="11">
        <v>18</v>
      </c>
      <c r="W43" s="12" t="s">
        <v>47</v>
      </c>
      <c r="X43" s="17"/>
      <c r="Y43" s="13">
        <v>95</v>
      </c>
      <c r="Z43" s="13">
        <v>49</v>
      </c>
      <c r="AA43" s="13">
        <v>146</v>
      </c>
      <c r="AB43" s="14">
        <v>87</v>
      </c>
      <c r="AC43" s="9" t="s">
        <v>47</v>
      </c>
      <c r="AD43" s="16"/>
      <c r="AE43" s="10">
        <v>60</v>
      </c>
      <c r="AF43" s="10">
        <v>48</v>
      </c>
      <c r="AG43" s="10">
        <v>57</v>
      </c>
      <c r="AH43" s="11">
        <v>18</v>
      </c>
      <c r="AI43" s="12" t="s">
        <v>47</v>
      </c>
      <c r="AJ43" s="17"/>
      <c r="AK43" s="13">
        <v>60</v>
      </c>
      <c r="AL43" s="13">
        <v>67</v>
      </c>
      <c r="AM43" s="13">
        <v>61</v>
      </c>
      <c r="AN43" s="14">
        <v>21</v>
      </c>
      <c r="AO43" s="9"/>
      <c r="AP43" s="16"/>
      <c r="AQ43" s="10"/>
      <c r="AR43" s="10"/>
      <c r="AS43" s="10"/>
      <c r="AT43" s="11"/>
      <c r="AU43" s="12"/>
      <c r="AV43" s="17"/>
      <c r="AW43" s="13"/>
      <c r="AX43" s="13"/>
      <c r="AY43" s="13"/>
      <c r="AZ43" s="14"/>
      <c r="BA43" s="9"/>
      <c r="BB43" s="16"/>
      <c r="BC43" s="10"/>
      <c r="BD43" s="10"/>
      <c r="BE43" s="10"/>
      <c r="BF43" s="11"/>
      <c r="BG43" s="12"/>
      <c r="BH43" s="17"/>
      <c r="BI43" s="13"/>
      <c r="BJ43" s="13"/>
      <c r="BK43" s="13"/>
      <c r="BL43" s="14"/>
      <c r="BM43" s="8">
        <f t="shared" si="0"/>
        <v>245</v>
      </c>
      <c r="BN43" s="8">
        <f t="shared" si="1"/>
        <v>189</v>
      </c>
      <c r="BO43" s="8">
        <f t="shared" si="2"/>
        <v>301</v>
      </c>
      <c r="BP43" s="8">
        <f t="shared" si="3"/>
        <v>144</v>
      </c>
      <c r="BQ43" s="8">
        <f t="shared" si="4"/>
        <v>301</v>
      </c>
      <c r="BR43" s="8">
        <f t="shared" si="5"/>
        <v>189</v>
      </c>
      <c r="BS43" s="15">
        <f t="shared" si="6"/>
        <v>22.209394685132686</v>
      </c>
      <c r="BT43" s="15" t="str">
        <f t="shared" si="7"/>
        <v>OK - No Upgrade</v>
      </c>
      <c r="BU43" s="15" t="str">
        <f t="shared" si="8"/>
        <v>Need to Balance</v>
      </c>
    </row>
    <row r="44" spans="1:73" ht="15.75" customHeight="1" x14ac:dyDescent="0.25">
      <c r="A44" s="8" t="s">
        <v>904</v>
      </c>
      <c r="B44" s="8" t="s">
        <v>863</v>
      </c>
      <c r="C44" s="8" t="s">
        <v>938</v>
      </c>
      <c r="D44" s="8" t="s">
        <v>979</v>
      </c>
      <c r="E44" s="8" t="s">
        <v>980</v>
      </c>
      <c r="F44" s="8" t="s">
        <v>56</v>
      </c>
      <c r="G44" s="8"/>
      <c r="H44" s="8">
        <v>1000</v>
      </c>
      <c r="I44" s="8" t="s">
        <v>981</v>
      </c>
      <c r="J44" s="8">
        <v>1</v>
      </c>
      <c r="K44" s="8">
        <v>248</v>
      </c>
      <c r="L44" s="8">
        <v>249</v>
      </c>
      <c r="M44" s="8">
        <v>250</v>
      </c>
      <c r="N44" s="8">
        <v>429</v>
      </c>
      <c r="O44" s="8">
        <v>433</v>
      </c>
      <c r="P44" s="8">
        <v>431</v>
      </c>
      <c r="Q44" s="9" t="s">
        <v>47</v>
      </c>
      <c r="R44" s="16"/>
      <c r="S44" s="10">
        <v>20</v>
      </c>
      <c r="T44" s="10">
        <v>11</v>
      </c>
      <c r="U44" s="10">
        <v>5</v>
      </c>
      <c r="V44" s="11">
        <v>6</v>
      </c>
      <c r="W44" s="12" t="s">
        <v>47</v>
      </c>
      <c r="X44" s="17"/>
      <c r="Y44" s="13">
        <v>45</v>
      </c>
      <c r="Z44" s="13">
        <v>35</v>
      </c>
      <c r="AA44" s="13">
        <v>10</v>
      </c>
      <c r="AB44" s="14">
        <v>17</v>
      </c>
      <c r="AC44" s="9" t="s">
        <v>47</v>
      </c>
      <c r="AD44" s="16"/>
      <c r="AE44" s="10">
        <v>75</v>
      </c>
      <c r="AF44" s="10">
        <v>22</v>
      </c>
      <c r="AG44" s="10">
        <v>110</v>
      </c>
      <c r="AH44" s="11">
        <v>70</v>
      </c>
      <c r="AI44" s="12"/>
      <c r="AJ44" s="17"/>
      <c r="AK44" s="13"/>
      <c r="AL44" s="13"/>
      <c r="AM44" s="13"/>
      <c r="AN44" s="14"/>
      <c r="AO44" s="9"/>
      <c r="AP44" s="16"/>
      <c r="AQ44" s="10"/>
      <c r="AR44" s="10"/>
      <c r="AS44" s="10"/>
      <c r="AT44" s="11"/>
      <c r="AU44" s="12"/>
      <c r="AV44" s="17"/>
      <c r="AW44" s="13"/>
      <c r="AX44" s="13"/>
      <c r="AY44" s="13"/>
      <c r="AZ44" s="14"/>
      <c r="BA44" s="9"/>
      <c r="BB44" s="16"/>
      <c r="BC44" s="10"/>
      <c r="BD44" s="10"/>
      <c r="BE44" s="10"/>
      <c r="BF44" s="11"/>
      <c r="BG44" s="12"/>
      <c r="BH44" s="17"/>
      <c r="BI44" s="13"/>
      <c r="BJ44" s="13"/>
      <c r="BK44" s="13"/>
      <c r="BL44" s="14"/>
      <c r="BM44" s="8">
        <f t="shared" si="0"/>
        <v>140</v>
      </c>
      <c r="BN44" s="8">
        <f t="shared" si="1"/>
        <v>68</v>
      </c>
      <c r="BO44" s="8">
        <f t="shared" si="2"/>
        <v>125</v>
      </c>
      <c r="BP44" s="8">
        <f t="shared" si="3"/>
        <v>93</v>
      </c>
      <c r="BQ44" s="8">
        <f t="shared" si="4"/>
        <v>140</v>
      </c>
      <c r="BR44" s="8">
        <f t="shared" si="5"/>
        <v>68</v>
      </c>
      <c r="BS44" s="15">
        <f t="shared" si="6"/>
        <v>10.402697150258676</v>
      </c>
      <c r="BT44" s="15" t="str">
        <f t="shared" si="7"/>
        <v>OK - No Upgrade</v>
      </c>
      <c r="BU44" s="15" t="str">
        <f t="shared" si="8"/>
        <v>Need to Balance</v>
      </c>
    </row>
    <row r="45" spans="1:73" ht="15.75" customHeight="1" x14ac:dyDescent="0.25">
      <c r="A45" s="8" t="s">
        <v>904</v>
      </c>
      <c r="B45" s="8" t="s">
        <v>863</v>
      </c>
      <c r="C45" s="8" t="s">
        <v>938</v>
      </c>
      <c r="D45" s="8" t="s">
        <v>982</v>
      </c>
      <c r="E45" s="8" t="s">
        <v>983</v>
      </c>
      <c r="F45" s="8" t="s">
        <v>56</v>
      </c>
      <c r="G45" s="8"/>
      <c r="H45" s="8">
        <v>1000</v>
      </c>
      <c r="I45" s="8" t="s">
        <v>984</v>
      </c>
      <c r="J45" s="8">
        <v>1</v>
      </c>
      <c r="K45" s="8">
        <v>248</v>
      </c>
      <c r="L45" s="8">
        <v>248</v>
      </c>
      <c r="M45" s="8">
        <v>250</v>
      </c>
      <c r="N45" s="8">
        <v>430</v>
      </c>
      <c r="O45" s="8">
        <v>432</v>
      </c>
      <c r="P45" s="8">
        <v>431</v>
      </c>
      <c r="Q45" s="9" t="s">
        <v>132</v>
      </c>
      <c r="R45" s="16"/>
      <c r="S45" s="10">
        <v>35</v>
      </c>
      <c r="T45" s="10">
        <v>38</v>
      </c>
      <c r="U45" s="10">
        <v>37</v>
      </c>
      <c r="V45" s="11">
        <v>25</v>
      </c>
      <c r="W45" s="12"/>
      <c r="X45" s="17"/>
      <c r="Y45" s="13"/>
      <c r="Z45" s="13"/>
      <c r="AA45" s="13"/>
      <c r="AB45" s="14"/>
      <c r="AC45" s="9" t="s">
        <v>46</v>
      </c>
      <c r="AD45" s="16"/>
      <c r="AE45" s="10">
        <v>151</v>
      </c>
      <c r="AF45" s="10">
        <v>160</v>
      </c>
      <c r="AG45" s="10">
        <v>170</v>
      </c>
      <c r="AH45" s="11">
        <v>65</v>
      </c>
      <c r="AI45" s="12" t="s">
        <v>46</v>
      </c>
      <c r="AJ45" s="17"/>
      <c r="AK45" s="13">
        <v>85</v>
      </c>
      <c r="AL45" s="13">
        <v>114</v>
      </c>
      <c r="AM45" s="13">
        <v>120</v>
      </c>
      <c r="AN45" s="14">
        <v>50</v>
      </c>
      <c r="AO45" s="9" t="s">
        <v>47</v>
      </c>
      <c r="AP45" s="16"/>
      <c r="AQ45" s="10">
        <v>85</v>
      </c>
      <c r="AR45" s="10">
        <v>45</v>
      </c>
      <c r="AS45" s="10">
        <v>87</v>
      </c>
      <c r="AT45" s="11">
        <v>50</v>
      </c>
      <c r="AU45" s="12" t="s">
        <v>47</v>
      </c>
      <c r="AV45" s="17"/>
      <c r="AW45" s="13">
        <v>85</v>
      </c>
      <c r="AX45" s="13">
        <v>60</v>
      </c>
      <c r="AY45" s="13">
        <v>89</v>
      </c>
      <c r="AZ45" s="14">
        <v>27</v>
      </c>
      <c r="BA45" s="9"/>
      <c r="BB45" s="16"/>
      <c r="BC45" s="10"/>
      <c r="BD45" s="10"/>
      <c r="BE45" s="10"/>
      <c r="BF45" s="11"/>
      <c r="BG45" s="12"/>
      <c r="BH45" s="17"/>
      <c r="BI45" s="13"/>
      <c r="BJ45" s="13"/>
      <c r="BK45" s="13"/>
      <c r="BL45" s="14"/>
      <c r="BM45" s="8">
        <f t="shared" si="0"/>
        <v>441</v>
      </c>
      <c r="BN45" s="8">
        <f t="shared" si="1"/>
        <v>417</v>
      </c>
      <c r="BO45" s="8">
        <f t="shared" si="2"/>
        <v>503</v>
      </c>
      <c r="BP45" s="8">
        <f t="shared" si="3"/>
        <v>217</v>
      </c>
      <c r="BQ45" s="8">
        <f t="shared" si="4"/>
        <v>503</v>
      </c>
      <c r="BR45" s="8">
        <f t="shared" si="5"/>
        <v>417</v>
      </c>
      <c r="BS45" s="15">
        <f t="shared" si="6"/>
        <v>37.462526916907244</v>
      </c>
      <c r="BT45" s="15" t="str">
        <f t="shared" si="7"/>
        <v>OK - No Upgrade</v>
      </c>
      <c r="BU45" s="15" t="str">
        <f t="shared" si="8"/>
        <v>Need to Balance</v>
      </c>
    </row>
    <row r="46" spans="1:73" ht="15.75" customHeight="1" x14ac:dyDescent="0.25">
      <c r="A46" s="8" t="s">
        <v>38</v>
      </c>
      <c r="B46" s="8" t="s">
        <v>863</v>
      </c>
      <c r="C46" s="8" t="s">
        <v>124</v>
      </c>
      <c r="D46" s="8" t="s">
        <v>985</v>
      </c>
      <c r="E46" s="8" t="s">
        <v>986</v>
      </c>
      <c r="F46" s="8" t="s">
        <v>56</v>
      </c>
      <c r="G46" s="8"/>
      <c r="H46" s="8">
        <v>500</v>
      </c>
      <c r="I46" s="8" t="s">
        <v>987</v>
      </c>
      <c r="J46" s="8">
        <v>1</v>
      </c>
      <c r="K46" s="8">
        <v>245</v>
      </c>
      <c r="L46" s="8">
        <v>245</v>
      </c>
      <c r="M46" s="8">
        <v>246</v>
      </c>
      <c r="N46" s="8">
        <v>424</v>
      </c>
      <c r="O46" s="8">
        <v>428</v>
      </c>
      <c r="P46" s="8">
        <v>428</v>
      </c>
      <c r="Q46" s="9" t="s">
        <v>70</v>
      </c>
      <c r="R46" s="16"/>
      <c r="S46" s="10">
        <v>116</v>
      </c>
      <c r="T46" s="10">
        <v>125</v>
      </c>
      <c r="U46" s="10">
        <v>96</v>
      </c>
      <c r="V46" s="11">
        <v>60</v>
      </c>
      <c r="W46" s="12"/>
      <c r="X46" s="17"/>
      <c r="Y46" s="13"/>
      <c r="Z46" s="13"/>
      <c r="AA46" s="13"/>
      <c r="AB46" s="14"/>
      <c r="AC46" s="9" t="s">
        <v>70</v>
      </c>
      <c r="AD46" s="16"/>
      <c r="AE46" s="10">
        <v>85</v>
      </c>
      <c r="AF46" s="10">
        <v>96</v>
      </c>
      <c r="AG46" s="10">
        <v>105</v>
      </c>
      <c r="AH46" s="11">
        <v>43</v>
      </c>
      <c r="AI46" s="12"/>
      <c r="AJ46" s="17"/>
      <c r="AK46" s="13"/>
      <c r="AL46" s="13"/>
      <c r="AM46" s="13"/>
      <c r="AN46" s="14"/>
      <c r="AO46" s="9"/>
      <c r="AP46" s="16"/>
      <c r="AQ46" s="10"/>
      <c r="AR46" s="10"/>
      <c r="AS46" s="10"/>
      <c r="AT46" s="11"/>
      <c r="AU46" s="12"/>
      <c r="AV46" s="17"/>
      <c r="AW46" s="13"/>
      <c r="AX46" s="13"/>
      <c r="AY46" s="13"/>
      <c r="AZ46" s="14"/>
      <c r="BA46" s="9"/>
      <c r="BB46" s="16"/>
      <c r="BC46" s="10"/>
      <c r="BD46" s="10"/>
      <c r="BE46" s="10"/>
      <c r="BF46" s="11"/>
      <c r="BG46" s="12"/>
      <c r="BH46" s="17"/>
      <c r="BI46" s="13"/>
      <c r="BJ46" s="13"/>
      <c r="BK46" s="13"/>
      <c r="BL46" s="14"/>
      <c r="BM46" s="8">
        <f t="shared" si="0"/>
        <v>201</v>
      </c>
      <c r="BN46" s="8">
        <f t="shared" si="1"/>
        <v>221</v>
      </c>
      <c r="BO46" s="8">
        <f t="shared" si="2"/>
        <v>201</v>
      </c>
      <c r="BP46" s="8">
        <f t="shared" si="3"/>
        <v>103</v>
      </c>
      <c r="BQ46" s="8">
        <f t="shared" si="4"/>
        <v>221</v>
      </c>
      <c r="BR46" s="8">
        <f t="shared" si="5"/>
        <v>201</v>
      </c>
      <c r="BS46" s="15">
        <f t="shared" si="6"/>
        <v>32.460017774486815</v>
      </c>
      <c r="BT46" s="15" t="str">
        <f t="shared" si="7"/>
        <v>OK - No Upgrade</v>
      </c>
      <c r="BU46" s="15" t="str">
        <f t="shared" si="8"/>
        <v>OK - Balanced</v>
      </c>
    </row>
    <row r="47" spans="1:73" ht="15.75" customHeight="1" x14ac:dyDescent="0.25">
      <c r="A47" s="8" t="s">
        <v>38</v>
      </c>
      <c r="B47" s="8" t="s">
        <v>863</v>
      </c>
      <c r="C47" s="8" t="s">
        <v>124</v>
      </c>
      <c r="D47" s="8" t="s">
        <v>988</v>
      </c>
      <c r="E47" s="8" t="s">
        <v>989</v>
      </c>
      <c r="F47" s="8" t="s">
        <v>56</v>
      </c>
      <c r="G47" s="8" t="s">
        <v>44</v>
      </c>
      <c r="H47" s="8">
        <v>500</v>
      </c>
      <c r="I47" s="8" t="s">
        <v>990</v>
      </c>
      <c r="J47" s="8">
        <v>1</v>
      </c>
      <c r="K47" s="8">
        <v>243</v>
      </c>
      <c r="L47" s="8">
        <v>243</v>
      </c>
      <c r="M47" s="8">
        <v>245</v>
      </c>
      <c r="N47" s="8">
        <v>421</v>
      </c>
      <c r="O47" s="8">
        <v>422</v>
      </c>
      <c r="P47" s="8">
        <v>423</v>
      </c>
      <c r="Q47" s="9"/>
      <c r="R47" s="16"/>
      <c r="S47" s="10"/>
      <c r="T47" s="10"/>
      <c r="U47" s="10"/>
      <c r="V47" s="11"/>
      <c r="W47" s="12" t="s">
        <v>70</v>
      </c>
      <c r="X47" s="17"/>
      <c r="Y47" s="13">
        <v>124</v>
      </c>
      <c r="Z47" s="13">
        <v>90</v>
      </c>
      <c r="AA47" s="13">
        <v>114</v>
      </c>
      <c r="AB47" s="14">
        <v>45</v>
      </c>
      <c r="AC47" s="9" t="s">
        <v>70</v>
      </c>
      <c r="AD47" s="16"/>
      <c r="AE47" s="10">
        <v>100</v>
      </c>
      <c r="AF47" s="10">
        <v>140</v>
      </c>
      <c r="AG47" s="10">
        <v>176</v>
      </c>
      <c r="AH47" s="11">
        <v>65</v>
      </c>
      <c r="AI47" s="12"/>
      <c r="AJ47" s="17"/>
      <c r="AK47" s="13"/>
      <c r="AL47" s="13"/>
      <c r="AM47" s="13"/>
      <c r="AN47" s="14"/>
      <c r="AO47" s="9"/>
      <c r="AP47" s="16"/>
      <c r="AQ47" s="10"/>
      <c r="AR47" s="10"/>
      <c r="AS47" s="10"/>
      <c r="AT47" s="11"/>
      <c r="AU47" s="12"/>
      <c r="AV47" s="17"/>
      <c r="AW47" s="13"/>
      <c r="AX47" s="13"/>
      <c r="AY47" s="13"/>
      <c r="AZ47" s="14"/>
      <c r="BA47" s="9"/>
      <c r="BB47" s="16"/>
      <c r="BC47" s="10"/>
      <c r="BD47" s="10"/>
      <c r="BE47" s="10"/>
      <c r="BF47" s="11"/>
      <c r="BG47" s="12"/>
      <c r="BH47" s="17"/>
      <c r="BI47" s="13"/>
      <c r="BJ47" s="13"/>
      <c r="BK47" s="13"/>
      <c r="BL47" s="14"/>
      <c r="BM47" s="8">
        <f t="shared" si="0"/>
        <v>224</v>
      </c>
      <c r="BN47" s="8">
        <f t="shared" si="1"/>
        <v>230</v>
      </c>
      <c r="BO47" s="8">
        <f t="shared" si="2"/>
        <v>290</v>
      </c>
      <c r="BP47" s="8">
        <f t="shared" si="3"/>
        <v>110</v>
      </c>
      <c r="BQ47" s="8">
        <f t="shared" si="4"/>
        <v>290</v>
      </c>
      <c r="BR47" s="8">
        <f t="shared" si="5"/>
        <v>224</v>
      </c>
      <c r="BS47" s="15">
        <f t="shared" si="6"/>
        <v>42.293216619216842</v>
      </c>
      <c r="BT47" s="15" t="str">
        <f t="shared" si="7"/>
        <v>OK - No Upgrade</v>
      </c>
      <c r="BU47" s="15" t="str">
        <f t="shared" si="8"/>
        <v>Need to Balance</v>
      </c>
    </row>
    <row r="48" spans="1:73" ht="15.75" customHeight="1" x14ac:dyDescent="0.25">
      <c r="A48" s="8" t="s">
        <v>38</v>
      </c>
      <c r="B48" s="8" t="s">
        <v>863</v>
      </c>
      <c r="C48" s="8" t="s">
        <v>512</v>
      </c>
      <c r="D48" s="8"/>
      <c r="E48" s="8" t="s">
        <v>991</v>
      </c>
      <c r="F48" s="8" t="s">
        <v>56</v>
      </c>
      <c r="G48" s="8"/>
      <c r="H48" s="8">
        <v>500</v>
      </c>
      <c r="I48" s="8" t="s">
        <v>992</v>
      </c>
      <c r="J48" s="8">
        <v>1</v>
      </c>
      <c r="K48" s="8">
        <v>233</v>
      </c>
      <c r="L48" s="8">
        <v>232</v>
      </c>
      <c r="M48" s="8">
        <v>234</v>
      </c>
      <c r="N48" s="8">
        <v>403</v>
      </c>
      <c r="O48" s="8">
        <v>405</v>
      </c>
      <c r="P48" s="8">
        <v>406</v>
      </c>
      <c r="Q48" s="9" t="s">
        <v>70</v>
      </c>
      <c r="R48" s="16"/>
      <c r="S48" s="10">
        <v>202</v>
      </c>
      <c r="T48" s="10">
        <v>135</v>
      </c>
      <c r="U48" s="10">
        <v>140</v>
      </c>
      <c r="V48" s="11">
        <v>157</v>
      </c>
      <c r="W48" s="12" t="s">
        <v>70</v>
      </c>
      <c r="X48" s="17"/>
      <c r="Y48" s="13">
        <v>128</v>
      </c>
      <c r="Z48" s="13">
        <v>145</v>
      </c>
      <c r="AA48" s="13">
        <v>159</v>
      </c>
      <c r="AB48" s="14">
        <v>153</v>
      </c>
      <c r="AC48" s="9"/>
      <c r="AD48" s="16"/>
      <c r="AE48" s="10"/>
      <c r="AF48" s="10"/>
      <c r="AG48" s="10"/>
      <c r="AH48" s="11"/>
      <c r="AI48" s="12"/>
      <c r="AJ48" s="17"/>
      <c r="AK48" s="13"/>
      <c r="AL48" s="13"/>
      <c r="AM48" s="13"/>
      <c r="AN48" s="14"/>
      <c r="AO48" s="9"/>
      <c r="AP48" s="16"/>
      <c r="AQ48" s="10"/>
      <c r="AR48" s="10"/>
      <c r="AS48" s="10"/>
      <c r="AT48" s="11"/>
      <c r="AU48" s="12"/>
      <c r="AV48" s="17"/>
      <c r="AW48" s="13"/>
      <c r="AX48" s="13"/>
      <c r="AY48" s="13"/>
      <c r="AZ48" s="14"/>
      <c r="BA48" s="9"/>
      <c r="BB48" s="16"/>
      <c r="BC48" s="10"/>
      <c r="BD48" s="10"/>
      <c r="BE48" s="10"/>
      <c r="BF48" s="11"/>
      <c r="BG48" s="12"/>
      <c r="BH48" s="17"/>
      <c r="BI48" s="13"/>
      <c r="BJ48" s="13"/>
      <c r="BK48" s="13"/>
      <c r="BL48" s="14"/>
      <c r="BM48" s="8">
        <f t="shared" si="0"/>
        <v>330</v>
      </c>
      <c r="BN48" s="8">
        <f t="shared" si="1"/>
        <v>280</v>
      </c>
      <c r="BO48" s="8">
        <f t="shared" si="2"/>
        <v>299</v>
      </c>
      <c r="BP48" s="8">
        <f t="shared" si="3"/>
        <v>310</v>
      </c>
      <c r="BQ48" s="8">
        <f t="shared" si="4"/>
        <v>330</v>
      </c>
      <c r="BR48" s="8">
        <f t="shared" si="5"/>
        <v>280</v>
      </c>
      <c r="BS48" s="15">
        <f t="shared" si="6"/>
        <v>46.069087379716997</v>
      </c>
      <c r="BT48" s="15" t="str">
        <f t="shared" si="7"/>
        <v>OK - No Upgrade</v>
      </c>
      <c r="BU48" s="15" t="str">
        <f t="shared" si="8"/>
        <v>OK - Balanced</v>
      </c>
    </row>
    <row r="49" spans="1:73" ht="15.75" customHeight="1" x14ac:dyDescent="0.25">
      <c r="A49" s="8" t="s">
        <v>38</v>
      </c>
      <c r="B49" s="8" t="s">
        <v>863</v>
      </c>
      <c r="C49" s="8" t="s">
        <v>512</v>
      </c>
      <c r="D49" s="8" t="s">
        <v>993</v>
      </c>
      <c r="E49" s="8" t="s">
        <v>994</v>
      </c>
      <c r="F49" s="8" t="s">
        <v>56</v>
      </c>
      <c r="G49" s="8"/>
      <c r="H49" s="8">
        <v>500</v>
      </c>
      <c r="I49" s="8" t="s">
        <v>995</v>
      </c>
      <c r="J49" s="8">
        <v>1</v>
      </c>
      <c r="K49" s="8">
        <v>244</v>
      </c>
      <c r="L49" s="8">
        <v>244</v>
      </c>
      <c r="M49" s="8">
        <v>246</v>
      </c>
      <c r="N49" s="8">
        <v>423</v>
      </c>
      <c r="O49" s="8">
        <v>424</v>
      </c>
      <c r="P49" s="8">
        <v>426</v>
      </c>
      <c r="Q49" s="9"/>
      <c r="R49" s="16"/>
      <c r="S49" s="10"/>
      <c r="T49" s="10"/>
      <c r="U49" s="10"/>
      <c r="V49" s="11"/>
      <c r="W49" s="12"/>
      <c r="X49" s="17"/>
      <c r="Y49" s="13"/>
      <c r="Z49" s="13"/>
      <c r="AA49" s="13"/>
      <c r="AB49" s="14"/>
      <c r="AC49" s="9" t="s">
        <v>47</v>
      </c>
      <c r="AD49" s="16"/>
      <c r="AE49" s="10">
        <v>19</v>
      </c>
      <c r="AF49" s="10">
        <v>10</v>
      </c>
      <c r="AG49" s="10">
        <v>3</v>
      </c>
      <c r="AH49" s="11">
        <v>10</v>
      </c>
      <c r="AI49" s="12" t="s">
        <v>47</v>
      </c>
      <c r="AJ49" s="17"/>
      <c r="AK49" s="13">
        <v>45</v>
      </c>
      <c r="AL49" s="13">
        <v>41</v>
      </c>
      <c r="AM49" s="13">
        <v>47</v>
      </c>
      <c r="AN49" s="14">
        <v>10</v>
      </c>
      <c r="AO49" s="9" t="s">
        <v>46</v>
      </c>
      <c r="AP49" s="16"/>
      <c r="AQ49" s="10">
        <v>50</v>
      </c>
      <c r="AR49" s="10">
        <v>85</v>
      </c>
      <c r="AS49" s="10">
        <v>63</v>
      </c>
      <c r="AT49" s="11">
        <v>13</v>
      </c>
      <c r="AU49" s="12"/>
      <c r="AV49" s="17"/>
      <c r="AW49" s="13"/>
      <c r="AX49" s="13"/>
      <c r="AY49" s="13"/>
      <c r="AZ49" s="14"/>
      <c r="BA49" s="9"/>
      <c r="BB49" s="16"/>
      <c r="BC49" s="10"/>
      <c r="BD49" s="10"/>
      <c r="BE49" s="10"/>
      <c r="BF49" s="11"/>
      <c r="BG49" s="12"/>
      <c r="BH49" s="17"/>
      <c r="BI49" s="13"/>
      <c r="BJ49" s="13"/>
      <c r="BK49" s="13"/>
      <c r="BL49" s="14"/>
      <c r="BM49" s="8">
        <f t="shared" si="0"/>
        <v>114</v>
      </c>
      <c r="BN49" s="8">
        <f t="shared" si="1"/>
        <v>136</v>
      </c>
      <c r="BO49" s="8">
        <f t="shared" si="2"/>
        <v>113</v>
      </c>
      <c r="BP49" s="8">
        <f t="shared" si="3"/>
        <v>33</v>
      </c>
      <c r="BQ49" s="8">
        <f t="shared" si="4"/>
        <v>136</v>
      </c>
      <c r="BR49" s="8">
        <f t="shared" si="5"/>
        <v>113</v>
      </c>
      <c r="BS49" s="15">
        <f t="shared" si="6"/>
        <v>19.928283771564473</v>
      </c>
      <c r="BT49" s="15" t="str">
        <f t="shared" si="7"/>
        <v>OK - No Upgrade</v>
      </c>
      <c r="BU49" s="15" t="str">
        <f t="shared" si="8"/>
        <v>Need to Balance</v>
      </c>
    </row>
    <row r="50" spans="1:73" ht="15.75" customHeight="1" x14ac:dyDescent="0.25">
      <c r="A50" s="8" t="s">
        <v>38</v>
      </c>
      <c r="B50" s="8" t="s">
        <v>863</v>
      </c>
      <c r="C50" s="8" t="s">
        <v>512</v>
      </c>
      <c r="D50" s="8"/>
      <c r="E50" s="8" t="s">
        <v>996</v>
      </c>
      <c r="F50" s="8" t="s">
        <v>56</v>
      </c>
      <c r="G50" s="8"/>
      <c r="H50" s="8">
        <v>500</v>
      </c>
      <c r="I50" s="8" t="s">
        <v>997</v>
      </c>
      <c r="J50" s="8">
        <v>1</v>
      </c>
      <c r="K50" s="8">
        <v>243</v>
      </c>
      <c r="L50" s="8">
        <v>243</v>
      </c>
      <c r="M50" s="8">
        <v>246</v>
      </c>
      <c r="N50" s="8">
        <v>422</v>
      </c>
      <c r="O50" s="8">
        <v>423</v>
      </c>
      <c r="P50" s="8">
        <v>425</v>
      </c>
      <c r="Q50" s="9" t="s">
        <v>70</v>
      </c>
      <c r="R50" s="16"/>
      <c r="S50" s="10">
        <v>144</v>
      </c>
      <c r="T50" s="10">
        <v>100</v>
      </c>
      <c r="U50" s="10">
        <v>141</v>
      </c>
      <c r="V50" s="11">
        <v>28</v>
      </c>
      <c r="W50" s="12" t="s">
        <v>70</v>
      </c>
      <c r="X50" s="17"/>
      <c r="Y50" s="13">
        <v>100</v>
      </c>
      <c r="Z50" s="13">
        <v>86</v>
      </c>
      <c r="AA50" s="13">
        <v>106</v>
      </c>
      <c r="AB50" s="14">
        <v>33</v>
      </c>
      <c r="AC50" s="9"/>
      <c r="AD50" s="16"/>
      <c r="AE50" s="10"/>
      <c r="AF50" s="10"/>
      <c r="AG50" s="10"/>
      <c r="AH50" s="11"/>
      <c r="AI50" s="12"/>
      <c r="AJ50" s="17"/>
      <c r="AK50" s="13"/>
      <c r="AL50" s="13"/>
      <c r="AM50" s="13"/>
      <c r="AN50" s="14"/>
      <c r="AO50" s="9"/>
      <c r="AP50" s="16"/>
      <c r="AQ50" s="10"/>
      <c r="AR50" s="10"/>
      <c r="AS50" s="10"/>
      <c r="AT50" s="11"/>
      <c r="AU50" s="12"/>
      <c r="AV50" s="17"/>
      <c r="AW50" s="13"/>
      <c r="AX50" s="13"/>
      <c r="AY50" s="13"/>
      <c r="AZ50" s="14"/>
      <c r="BA50" s="9"/>
      <c r="BB50" s="16"/>
      <c r="BC50" s="10"/>
      <c r="BD50" s="10"/>
      <c r="BE50" s="10"/>
      <c r="BF50" s="11"/>
      <c r="BG50" s="12"/>
      <c r="BH50" s="17"/>
      <c r="BI50" s="13"/>
      <c r="BJ50" s="13"/>
      <c r="BK50" s="13"/>
      <c r="BL50" s="14"/>
      <c r="BM50" s="8">
        <f t="shared" si="0"/>
        <v>244</v>
      </c>
      <c r="BN50" s="8">
        <f t="shared" si="1"/>
        <v>186</v>
      </c>
      <c r="BO50" s="8">
        <f t="shared" si="2"/>
        <v>247</v>
      </c>
      <c r="BP50" s="8">
        <f t="shared" si="3"/>
        <v>61</v>
      </c>
      <c r="BQ50" s="8">
        <f t="shared" si="4"/>
        <v>247</v>
      </c>
      <c r="BR50" s="8">
        <f t="shared" si="5"/>
        <v>186</v>
      </c>
      <c r="BS50" s="15">
        <f t="shared" si="6"/>
        <v>36.107716775226869</v>
      </c>
      <c r="BT50" s="15" t="str">
        <f t="shared" si="7"/>
        <v>OK - No Upgrade</v>
      </c>
      <c r="BU50" s="15" t="str">
        <f t="shared" si="8"/>
        <v>OK - Balanced</v>
      </c>
    </row>
    <row r="51" spans="1:73" ht="15.75" customHeight="1" x14ac:dyDescent="0.25">
      <c r="A51" s="8" t="s">
        <v>38</v>
      </c>
      <c r="B51" s="8" t="s">
        <v>863</v>
      </c>
      <c r="C51" s="8" t="s">
        <v>512</v>
      </c>
      <c r="D51" s="8"/>
      <c r="E51" s="8" t="s">
        <v>998</v>
      </c>
      <c r="F51" s="8" t="s">
        <v>56</v>
      </c>
      <c r="G51" s="8"/>
      <c r="H51" s="8">
        <v>500</v>
      </c>
      <c r="I51" s="8" t="s">
        <v>999</v>
      </c>
      <c r="J51" s="8">
        <v>1</v>
      </c>
      <c r="K51" s="8">
        <v>244</v>
      </c>
      <c r="L51" s="8">
        <v>245</v>
      </c>
      <c r="M51" s="8">
        <v>247</v>
      </c>
      <c r="N51" s="8">
        <v>424</v>
      </c>
      <c r="O51" s="8">
        <v>427</v>
      </c>
      <c r="P51" s="8">
        <v>426</v>
      </c>
      <c r="Q51" s="9"/>
      <c r="R51" s="16"/>
      <c r="S51" s="10"/>
      <c r="T51" s="10"/>
      <c r="U51" s="10"/>
      <c r="V51" s="11"/>
      <c r="W51" s="12"/>
      <c r="X51" s="17"/>
      <c r="Y51" s="13"/>
      <c r="Z51" s="13"/>
      <c r="AA51" s="13"/>
      <c r="AB51" s="14"/>
      <c r="AC51" s="9" t="s">
        <v>70</v>
      </c>
      <c r="AD51" s="16"/>
      <c r="AE51" s="10">
        <v>103</v>
      </c>
      <c r="AF51" s="10">
        <v>90</v>
      </c>
      <c r="AG51" s="10">
        <v>85</v>
      </c>
      <c r="AH51" s="11">
        <v>108</v>
      </c>
      <c r="AI51" s="12" t="s">
        <v>70</v>
      </c>
      <c r="AJ51" s="17"/>
      <c r="AK51" s="13">
        <v>91</v>
      </c>
      <c r="AL51" s="13">
        <v>87</v>
      </c>
      <c r="AM51" s="13">
        <v>70</v>
      </c>
      <c r="AN51" s="14">
        <v>116</v>
      </c>
      <c r="AO51" s="9"/>
      <c r="AP51" s="16"/>
      <c r="AQ51" s="10"/>
      <c r="AR51" s="10"/>
      <c r="AS51" s="10"/>
      <c r="AT51" s="11"/>
      <c r="AU51" s="12"/>
      <c r="AV51" s="17"/>
      <c r="AW51" s="13"/>
      <c r="AX51" s="13"/>
      <c r="AY51" s="13"/>
      <c r="AZ51" s="14"/>
      <c r="BA51" s="9"/>
      <c r="BB51" s="16"/>
      <c r="BC51" s="10"/>
      <c r="BD51" s="10"/>
      <c r="BE51" s="10"/>
      <c r="BF51" s="11"/>
      <c r="BG51" s="12"/>
      <c r="BH51" s="17"/>
      <c r="BI51" s="13"/>
      <c r="BJ51" s="13"/>
      <c r="BK51" s="13"/>
      <c r="BL51" s="14"/>
      <c r="BM51" s="8">
        <f t="shared" si="0"/>
        <v>194</v>
      </c>
      <c r="BN51" s="8">
        <f t="shared" si="1"/>
        <v>177</v>
      </c>
      <c r="BO51" s="8">
        <f t="shared" si="2"/>
        <v>155</v>
      </c>
      <c r="BP51" s="8">
        <f t="shared" si="3"/>
        <v>224</v>
      </c>
      <c r="BQ51" s="8">
        <f t="shared" si="4"/>
        <v>194</v>
      </c>
      <c r="BR51" s="8">
        <f t="shared" si="5"/>
        <v>155</v>
      </c>
      <c r="BS51" s="15">
        <f t="shared" si="6"/>
        <v>28.494314245477113</v>
      </c>
      <c r="BT51" s="15" t="str">
        <f t="shared" si="7"/>
        <v>OK - No Upgrade</v>
      </c>
      <c r="BU51" s="15" t="str">
        <f t="shared" si="8"/>
        <v>Need to Balance</v>
      </c>
    </row>
  </sheetData>
  <mergeCells count="79">
    <mergeCell ref="BU1:BU3"/>
    <mergeCell ref="BI2:BI3"/>
    <mergeCell ref="AE2:AE3"/>
    <mergeCell ref="AG2:AG3"/>
    <mergeCell ref="Y2:Y3"/>
    <mergeCell ref="AQ2:AQ3"/>
    <mergeCell ref="AS2:AS3"/>
    <mergeCell ref="AY2:AY3"/>
    <mergeCell ref="BK2:BK3"/>
    <mergeCell ref="AZ2:AZ3"/>
    <mergeCell ref="BB2:BB3"/>
    <mergeCell ref="BL2:BL3"/>
    <mergeCell ref="BN2:BN3"/>
    <mergeCell ref="AU1:AZ1"/>
    <mergeCell ref="AJ2:AJ3"/>
    <mergeCell ref="AL2:AL3"/>
    <mergeCell ref="BR1:BR3"/>
    <mergeCell ref="H1:H3"/>
    <mergeCell ref="AR2:AR3"/>
    <mergeCell ref="AT2:AT3"/>
    <mergeCell ref="E1:E3"/>
    <mergeCell ref="BF2:BF3"/>
    <mergeCell ref="K2:M2"/>
    <mergeCell ref="F1:F3"/>
    <mergeCell ref="J1:J3"/>
    <mergeCell ref="R2:R3"/>
    <mergeCell ref="AD2:AD3"/>
    <mergeCell ref="AN2:AN3"/>
    <mergeCell ref="AP2:AP3"/>
    <mergeCell ref="A1:A3"/>
    <mergeCell ref="BA1:BF1"/>
    <mergeCell ref="C1:C3"/>
    <mergeCell ref="D1:D2"/>
    <mergeCell ref="BQ1:BQ3"/>
    <mergeCell ref="BS1:BS3"/>
    <mergeCell ref="BA2:BA3"/>
    <mergeCell ref="S2:S3"/>
    <mergeCell ref="BC2:BC3"/>
    <mergeCell ref="K1:P1"/>
    <mergeCell ref="BM2:BM3"/>
    <mergeCell ref="BO2:BO3"/>
    <mergeCell ref="W1:AB1"/>
    <mergeCell ref="Q1:V1"/>
    <mergeCell ref="BP2:BP3"/>
    <mergeCell ref="AC1:AH1"/>
    <mergeCell ref="AO1:AT1"/>
    <mergeCell ref="Z2:Z3"/>
    <mergeCell ref="B1:B3"/>
    <mergeCell ref="AI1:AN1"/>
    <mergeCell ref="V2:V3"/>
    <mergeCell ref="X2:X3"/>
    <mergeCell ref="BG1:BL1"/>
    <mergeCell ref="BD2:BD3"/>
    <mergeCell ref="AV2:AV3"/>
    <mergeCell ref="AX2:AX3"/>
    <mergeCell ref="I1:I3"/>
    <mergeCell ref="BH2:BH3"/>
    <mergeCell ref="BJ2:BJ3"/>
    <mergeCell ref="AF2:AF3"/>
    <mergeCell ref="AH2:AH3"/>
    <mergeCell ref="Q2:Q3"/>
    <mergeCell ref="AI2:AI3"/>
    <mergeCell ref="AK2:AK3"/>
    <mergeCell ref="N2:P2"/>
    <mergeCell ref="G1:G3"/>
    <mergeCell ref="U2:U3"/>
    <mergeCell ref="BT1:BT3"/>
    <mergeCell ref="BE2:BE3"/>
    <mergeCell ref="W2:W3"/>
    <mergeCell ref="BG2:BG3"/>
    <mergeCell ref="AA2:AA3"/>
    <mergeCell ref="AC2:AC3"/>
    <mergeCell ref="AM2:AM3"/>
    <mergeCell ref="AO2:AO3"/>
    <mergeCell ref="BM1:BP1"/>
    <mergeCell ref="AU2:AU3"/>
    <mergeCell ref="AW2:AW3"/>
    <mergeCell ref="AB2:AB3"/>
    <mergeCell ref="T2:T3"/>
  </mergeCells>
  <dataValidations count="1">
    <dataValidation type="list" allowBlank="1" errorTitle="Invalid value" error="Please choose Cu or Al" promptTitle="Cable Type" prompt="Choose cable material" sqref="R4:R51 BH4:BH51 BB4:BB51 AV4:AV51 AP4:AP51 AJ4:AJ51 AD4:AD51 X4:X51" xr:uid="{00000000-0002-0000-0400-000000000000}">
      <formula1>"Cu,Al"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U11"/>
  <sheetViews>
    <sheetView workbookViewId="0"/>
  </sheetViews>
  <sheetFormatPr defaultRowHeight="15" x14ac:dyDescent="0.25"/>
  <cols>
    <col min="1" max="1" width="12.85546875" customWidth="1"/>
    <col min="2" max="2" width="14.85546875" customWidth="1"/>
    <col min="3" max="3" width="9.85546875" customWidth="1"/>
    <col min="4" max="4" width="20.85546875" customWidth="1"/>
    <col min="5" max="5" width="8.85546875" customWidth="1"/>
    <col min="6" max="6" width="10.85546875" customWidth="1"/>
    <col min="7" max="7" width="5.85546875" customWidth="1"/>
    <col min="8" max="8" width="9.85546875" customWidth="1"/>
    <col min="9" max="9" width="10.85546875" customWidth="1"/>
    <col min="10" max="10" width="5.85546875" customWidth="1"/>
    <col min="11" max="11" width="7.85546875" customWidth="1"/>
    <col min="12" max="16" width="6.85546875" customWidth="1"/>
    <col min="17" max="17" width="8.85546875" customWidth="1"/>
    <col min="18" max="21" width="6.85546875" customWidth="1"/>
    <col min="22" max="22" width="8.85546875" customWidth="1"/>
    <col min="23" max="26" width="6.85546875" customWidth="1"/>
    <col min="27" max="27" width="8.85546875" customWidth="1"/>
    <col min="28" max="31" width="6.85546875" customWidth="1"/>
    <col min="32" max="32" width="8.85546875" customWidth="1"/>
    <col min="33" max="36" width="6.85546875" customWidth="1"/>
    <col min="37" max="37" width="8.85546875" customWidth="1"/>
    <col min="38" max="41" width="6.85546875" customWidth="1"/>
    <col min="42" max="42" width="8.85546875" customWidth="1"/>
    <col min="43" max="46" width="6.85546875" customWidth="1"/>
    <col min="47" max="47" width="8.85546875" customWidth="1"/>
    <col min="48" max="51" width="6.85546875" customWidth="1"/>
    <col min="52" max="52" width="8.85546875" customWidth="1"/>
    <col min="53" max="60" width="6.85546875" customWidth="1"/>
    <col min="61" max="62" width="7.85546875" customWidth="1"/>
    <col min="63" max="63" width="9.85546875" customWidth="1"/>
    <col min="64" max="65" width="24.85546875" customWidth="1"/>
  </cols>
  <sheetData>
    <row r="1" spans="1:73" ht="19.5" customHeight="1" x14ac:dyDescent="0.25">
      <c r="A1" s="21" t="s">
        <v>0</v>
      </c>
      <c r="B1" s="21" t="s">
        <v>1</v>
      </c>
      <c r="C1" s="21" t="s">
        <v>2</v>
      </c>
      <c r="D1" s="38" t="s">
        <v>3</v>
      </c>
      <c r="E1" s="21" t="s">
        <v>4</v>
      </c>
      <c r="F1" s="40" t="s">
        <v>5</v>
      </c>
      <c r="G1" s="21" t="s">
        <v>6</v>
      </c>
      <c r="H1" s="21" t="s">
        <v>7</v>
      </c>
      <c r="I1" s="21" t="s">
        <v>8</v>
      </c>
      <c r="J1" s="41" t="s">
        <v>9</v>
      </c>
      <c r="K1" s="18" t="s">
        <v>10</v>
      </c>
      <c r="L1" s="19"/>
      <c r="M1" s="19"/>
      <c r="N1" s="19"/>
      <c r="O1" s="19"/>
      <c r="P1" s="20"/>
      <c r="Q1" s="29" t="s">
        <v>11</v>
      </c>
      <c r="R1" s="30"/>
      <c r="S1" s="30"/>
      <c r="T1" s="30"/>
      <c r="U1" s="30"/>
      <c r="V1" s="31"/>
      <c r="W1" s="29" t="s">
        <v>12</v>
      </c>
      <c r="X1" s="30"/>
      <c r="Y1" s="30"/>
      <c r="Z1" s="30"/>
      <c r="AA1" s="30"/>
      <c r="AB1" s="31"/>
      <c r="AC1" s="29" t="s">
        <v>13</v>
      </c>
      <c r="AD1" s="30"/>
      <c r="AE1" s="30"/>
      <c r="AF1" s="30"/>
      <c r="AG1" s="30"/>
      <c r="AH1" s="31"/>
      <c r="AI1" s="29" t="s">
        <v>14</v>
      </c>
      <c r="AJ1" s="30"/>
      <c r="AK1" s="30"/>
      <c r="AL1" s="30"/>
      <c r="AM1" s="30"/>
      <c r="AN1" s="31"/>
      <c r="AO1" s="29" t="s">
        <v>15</v>
      </c>
      <c r="AP1" s="30"/>
      <c r="AQ1" s="30"/>
      <c r="AR1" s="30"/>
      <c r="AS1" s="30"/>
      <c r="AT1" s="31"/>
      <c r="AU1" s="29" t="s">
        <v>16</v>
      </c>
      <c r="AV1" s="30"/>
      <c r="AW1" s="30"/>
      <c r="AX1" s="30"/>
      <c r="AY1" s="30"/>
      <c r="AZ1" s="31"/>
      <c r="BA1" s="29" t="s">
        <v>17</v>
      </c>
      <c r="BB1" s="30"/>
      <c r="BC1" s="30"/>
      <c r="BD1" s="30"/>
      <c r="BE1" s="30"/>
      <c r="BF1" s="31"/>
      <c r="BG1" s="29" t="s">
        <v>18</v>
      </c>
      <c r="BH1" s="30"/>
      <c r="BI1" s="30"/>
      <c r="BJ1" s="30"/>
      <c r="BK1" s="30"/>
      <c r="BL1" s="31"/>
      <c r="BM1" s="37" t="s">
        <v>19</v>
      </c>
      <c r="BN1" s="19"/>
      <c r="BO1" s="19"/>
      <c r="BP1" s="20"/>
      <c r="BQ1" s="18" t="s">
        <v>20</v>
      </c>
      <c r="BR1" s="18" t="s">
        <v>21</v>
      </c>
      <c r="BS1" s="39" t="s">
        <v>22</v>
      </c>
      <c r="BT1" s="26" t="s">
        <v>23</v>
      </c>
      <c r="BU1" s="26" t="s">
        <v>24</v>
      </c>
    </row>
    <row r="2" spans="1:73" ht="19.5" customHeight="1" x14ac:dyDescent="0.25">
      <c r="A2" s="22"/>
      <c r="B2" s="22"/>
      <c r="C2" s="22"/>
      <c r="D2" s="23"/>
      <c r="E2" s="22"/>
      <c r="F2" s="22"/>
      <c r="G2" s="22"/>
      <c r="H2" s="22"/>
      <c r="I2" s="22"/>
      <c r="J2" s="22"/>
      <c r="K2" s="18" t="s">
        <v>25</v>
      </c>
      <c r="L2" s="19"/>
      <c r="M2" s="20"/>
      <c r="N2" s="18" t="s">
        <v>26</v>
      </c>
      <c r="O2" s="19"/>
      <c r="P2" s="20"/>
      <c r="Q2" s="27" t="s">
        <v>27</v>
      </c>
      <c r="R2" s="34" t="s">
        <v>5</v>
      </c>
      <c r="S2" s="36" t="s">
        <v>28</v>
      </c>
      <c r="T2" s="35" t="s">
        <v>29</v>
      </c>
      <c r="U2" s="24" t="s">
        <v>30</v>
      </c>
      <c r="V2" s="32" t="s">
        <v>31</v>
      </c>
      <c r="W2" s="27" t="s">
        <v>27</v>
      </c>
      <c r="X2" s="34" t="s">
        <v>5</v>
      </c>
      <c r="Y2" s="36" t="s">
        <v>28</v>
      </c>
      <c r="Z2" s="35" t="s">
        <v>29</v>
      </c>
      <c r="AA2" s="24" t="s">
        <v>30</v>
      </c>
      <c r="AB2" s="32" t="s">
        <v>31</v>
      </c>
      <c r="AC2" s="27" t="s">
        <v>27</v>
      </c>
      <c r="AD2" s="34" t="s">
        <v>5</v>
      </c>
      <c r="AE2" s="36" t="s">
        <v>28</v>
      </c>
      <c r="AF2" s="35" t="s">
        <v>29</v>
      </c>
      <c r="AG2" s="24" t="s">
        <v>30</v>
      </c>
      <c r="AH2" s="32" t="s">
        <v>31</v>
      </c>
      <c r="AI2" s="27" t="s">
        <v>27</v>
      </c>
      <c r="AJ2" s="34" t="s">
        <v>5</v>
      </c>
      <c r="AK2" s="36" t="s">
        <v>28</v>
      </c>
      <c r="AL2" s="35" t="s">
        <v>29</v>
      </c>
      <c r="AM2" s="24" t="s">
        <v>30</v>
      </c>
      <c r="AN2" s="32" t="s">
        <v>31</v>
      </c>
      <c r="AO2" s="27" t="s">
        <v>27</v>
      </c>
      <c r="AP2" s="34" t="s">
        <v>5</v>
      </c>
      <c r="AQ2" s="36" t="s">
        <v>28</v>
      </c>
      <c r="AR2" s="35" t="s">
        <v>29</v>
      </c>
      <c r="AS2" s="24" t="s">
        <v>30</v>
      </c>
      <c r="AT2" s="32" t="s">
        <v>31</v>
      </c>
      <c r="AU2" s="27" t="s">
        <v>27</v>
      </c>
      <c r="AV2" s="34" t="s">
        <v>5</v>
      </c>
      <c r="AW2" s="36" t="s">
        <v>28</v>
      </c>
      <c r="AX2" s="35" t="s">
        <v>29</v>
      </c>
      <c r="AY2" s="24" t="s">
        <v>30</v>
      </c>
      <c r="AZ2" s="32" t="s">
        <v>31</v>
      </c>
      <c r="BA2" s="27" t="s">
        <v>27</v>
      </c>
      <c r="BB2" s="34" t="s">
        <v>5</v>
      </c>
      <c r="BC2" s="36" t="s">
        <v>28</v>
      </c>
      <c r="BD2" s="35" t="s">
        <v>29</v>
      </c>
      <c r="BE2" s="24" t="s">
        <v>30</v>
      </c>
      <c r="BF2" s="32" t="s">
        <v>31</v>
      </c>
      <c r="BG2" s="27" t="s">
        <v>27</v>
      </c>
      <c r="BH2" s="34" t="s">
        <v>5</v>
      </c>
      <c r="BI2" s="36" t="s">
        <v>28</v>
      </c>
      <c r="BJ2" s="35" t="s">
        <v>29</v>
      </c>
      <c r="BK2" s="24" t="s">
        <v>30</v>
      </c>
      <c r="BL2" s="32" t="s">
        <v>31</v>
      </c>
      <c r="BM2" s="37" t="s">
        <v>28</v>
      </c>
      <c r="BN2" s="37" t="s">
        <v>29</v>
      </c>
      <c r="BO2" s="37" t="s">
        <v>30</v>
      </c>
      <c r="BP2" s="37" t="s">
        <v>31</v>
      </c>
      <c r="BQ2" s="22"/>
      <c r="BR2" s="22"/>
      <c r="BS2" s="22"/>
      <c r="BT2" s="22"/>
      <c r="BU2" s="22"/>
    </row>
    <row r="3" spans="1:73" ht="19.5" customHeight="1" x14ac:dyDescent="0.25">
      <c r="A3" s="23"/>
      <c r="B3" s="23"/>
      <c r="C3" s="23"/>
      <c r="D3" s="1"/>
      <c r="E3" s="23"/>
      <c r="F3" s="23"/>
      <c r="G3" s="23"/>
      <c r="H3" s="23"/>
      <c r="I3" s="23"/>
      <c r="J3" s="23"/>
      <c r="K3" s="2" t="s">
        <v>32</v>
      </c>
      <c r="L3" s="3" t="s">
        <v>33</v>
      </c>
      <c r="M3" s="4" t="s">
        <v>34</v>
      </c>
      <c r="N3" s="5" t="s">
        <v>35</v>
      </c>
      <c r="O3" s="6" t="s">
        <v>36</v>
      </c>
      <c r="P3" s="7" t="s">
        <v>37</v>
      </c>
      <c r="Q3" s="28"/>
      <c r="R3" s="25"/>
      <c r="S3" s="25"/>
      <c r="T3" s="25"/>
      <c r="U3" s="25"/>
      <c r="V3" s="33"/>
      <c r="W3" s="28"/>
      <c r="X3" s="25"/>
      <c r="Y3" s="25"/>
      <c r="Z3" s="25"/>
      <c r="AA3" s="25"/>
      <c r="AB3" s="33"/>
      <c r="AC3" s="28"/>
      <c r="AD3" s="25"/>
      <c r="AE3" s="25"/>
      <c r="AF3" s="25"/>
      <c r="AG3" s="25"/>
      <c r="AH3" s="33"/>
      <c r="AI3" s="28"/>
      <c r="AJ3" s="25"/>
      <c r="AK3" s="25"/>
      <c r="AL3" s="25"/>
      <c r="AM3" s="25"/>
      <c r="AN3" s="33"/>
      <c r="AO3" s="28"/>
      <c r="AP3" s="25"/>
      <c r="AQ3" s="25"/>
      <c r="AR3" s="25"/>
      <c r="AS3" s="25"/>
      <c r="AT3" s="33"/>
      <c r="AU3" s="28"/>
      <c r="AV3" s="25"/>
      <c r="AW3" s="25"/>
      <c r="AX3" s="25"/>
      <c r="AY3" s="25"/>
      <c r="AZ3" s="33"/>
      <c r="BA3" s="28"/>
      <c r="BB3" s="25"/>
      <c r="BC3" s="25"/>
      <c r="BD3" s="25"/>
      <c r="BE3" s="25"/>
      <c r="BF3" s="33"/>
      <c r="BG3" s="28"/>
      <c r="BH3" s="25"/>
      <c r="BI3" s="25"/>
      <c r="BJ3" s="25"/>
      <c r="BK3" s="25"/>
      <c r="BL3" s="33"/>
      <c r="BM3" s="23"/>
      <c r="BN3" s="23"/>
      <c r="BO3" s="23"/>
      <c r="BP3" s="23"/>
      <c r="BQ3" s="23"/>
      <c r="BR3" s="23"/>
      <c r="BS3" s="23"/>
      <c r="BT3" s="23"/>
      <c r="BU3" s="23"/>
    </row>
    <row r="4" spans="1:73" ht="15.75" customHeight="1" x14ac:dyDescent="0.25">
      <c r="A4" s="8" t="s">
        <v>38</v>
      </c>
      <c r="B4" s="8" t="s">
        <v>1000</v>
      </c>
      <c r="C4" s="8" t="s">
        <v>93</v>
      </c>
      <c r="D4" s="8" t="s">
        <v>1001</v>
      </c>
      <c r="E4" s="8" t="s">
        <v>1002</v>
      </c>
      <c r="F4" s="8" t="s">
        <v>56</v>
      </c>
      <c r="G4" s="8"/>
      <c r="H4" s="8">
        <v>1000</v>
      </c>
      <c r="I4" s="8" t="s">
        <v>1003</v>
      </c>
      <c r="J4" s="8">
        <v>1</v>
      </c>
      <c r="K4" s="8">
        <v>247</v>
      </c>
      <c r="L4" s="8">
        <v>246</v>
      </c>
      <c r="M4" s="8">
        <v>250</v>
      </c>
      <c r="N4" s="8">
        <v>426</v>
      </c>
      <c r="O4" s="8">
        <v>433</v>
      </c>
      <c r="P4" s="8">
        <v>432</v>
      </c>
      <c r="Q4" s="9" t="s">
        <v>47</v>
      </c>
      <c r="R4" s="16"/>
      <c r="S4" s="10">
        <v>61</v>
      </c>
      <c r="T4" s="10">
        <v>31</v>
      </c>
      <c r="U4" s="10">
        <v>29</v>
      </c>
      <c r="V4" s="11">
        <v>24</v>
      </c>
      <c r="W4" s="12" t="s">
        <v>47</v>
      </c>
      <c r="X4" s="17"/>
      <c r="Y4" s="13">
        <v>116</v>
      </c>
      <c r="Z4" s="13">
        <v>42</v>
      </c>
      <c r="AA4" s="13">
        <v>94</v>
      </c>
      <c r="AB4" s="14">
        <v>73</v>
      </c>
      <c r="AC4" s="9" t="s">
        <v>47</v>
      </c>
      <c r="AD4" s="16"/>
      <c r="AE4" s="10">
        <v>24</v>
      </c>
      <c r="AF4" s="10">
        <v>14</v>
      </c>
      <c r="AG4" s="10">
        <v>25</v>
      </c>
      <c r="AH4" s="11">
        <v>20</v>
      </c>
      <c r="AI4" s="12" t="s">
        <v>47</v>
      </c>
      <c r="AJ4" s="17"/>
      <c r="AK4" s="13">
        <v>20</v>
      </c>
      <c r="AL4" s="13">
        <v>31</v>
      </c>
      <c r="AM4" s="13">
        <v>3</v>
      </c>
      <c r="AN4" s="14">
        <v>26</v>
      </c>
      <c r="AO4" s="9" t="s">
        <v>70</v>
      </c>
      <c r="AP4" s="16"/>
      <c r="AQ4" s="10">
        <v>25</v>
      </c>
      <c r="AR4" s="10">
        <v>22</v>
      </c>
      <c r="AS4" s="10">
        <v>40</v>
      </c>
      <c r="AT4" s="11">
        <v>27</v>
      </c>
      <c r="AU4" s="12" t="s">
        <v>70</v>
      </c>
      <c r="AV4" s="17"/>
      <c r="AW4" s="13">
        <v>38</v>
      </c>
      <c r="AX4" s="13">
        <v>51</v>
      </c>
      <c r="AY4" s="13">
        <v>24</v>
      </c>
      <c r="AZ4" s="14">
        <v>40</v>
      </c>
      <c r="BA4" s="9"/>
      <c r="BB4" s="16"/>
      <c r="BC4" s="10"/>
      <c r="BD4" s="10"/>
      <c r="BE4" s="10"/>
      <c r="BF4" s="11"/>
      <c r="BG4" s="12" t="s">
        <v>70</v>
      </c>
      <c r="BH4" s="17"/>
      <c r="BI4" s="13">
        <v>8</v>
      </c>
      <c r="BJ4" s="13">
        <v>1</v>
      </c>
      <c r="BK4" s="13">
        <v>1</v>
      </c>
      <c r="BL4" s="14">
        <v>4</v>
      </c>
      <c r="BM4" s="8">
        <f t="shared" ref="BM4:BP11" si="0">SUM(S4,Y4,AE4,AK4,AQ4,AW4,BC4,BI4)</f>
        <v>292</v>
      </c>
      <c r="BN4" s="8">
        <f t="shared" si="0"/>
        <v>192</v>
      </c>
      <c r="BO4" s="8">
        <f t="shared" si="0"/>
        <v>216</v>
      </c>
      <c r="BP4" s="8">
        <f t="shared" si="0"/>
        <v>214</v>
      </c>
      <c r="BQ4" s="8">
        <f t="shared" ref="BQ4:BQ11" si="1">MAX(BM4:BO4)</f>
        <v>292</v>
      </c>
      <c r="BR4" s="8">
        <f t="shared" ref="BR4:BR11" si="2">MIN(BM4:BO4)</f>
        <v>192</v>
      </c>
      <c r="BS4" s="15">
        <f t="shared" ref="BS4:BS11" si="3">IF(H4&gt;0,(BQ4*SQRT(3)*IF(N4&gt;0,N4,IF(O4&gt;0,O4,IF(P4&gt;0,P4,415)))/(H4*1000))*100,0)</f>
        <v>21.545326405510778</v>
      </c>
      <c r="BT4" s="15" t="str">
        <f t="shared" ref="BT4:BT11" si="4">IF(BS4&gt;70,"Upgrade","OK - No Upgrade")</f>
        <v>OK - No Upgrade</v>
      </c>
      <c r="BU4" s="15" t="str">
        <f t="shared" ref="BU4:BU11" si="5">IF(IF(AVERAGE(BM4:BO4)&gt;0,((BQ4-AVERAGE(BM4:BO4))/AVERAGE(BM4:BO4))*100,0)&gt;10,"Need to Balance","OK - Balanced")</f>
        <v>Need to Balance</v>
      </c>
    </row>
    <row r="5" spans="1:73" ht="15.75" customHeight="1" x14ac:dyDescent="0.25">
      <c r="A5" s="8" t="s">
        <v>38</v>
      </c>
      <c r="B5" s="8" t="s">
        <v>1000</v>
      </c>
      <c r="C5" s="8" t="s">
        <v>573</v>
      </c>
      <c r="D5" s="8" t="s">
        <v>1004</v>
      </c>
      <c r="E5" s="8" t="s">
        <v>1005</v>
      </c>
      <c r="F5" s="8" t="s">
        <v>56</v>
      </c>
      <c r="G5" s="8"/>
      <c r="H5" s="8">
        <v>1000</v>
      </c>
      <c r="I5" s="8" t="s">
        <v>1006</v>
      </c>
      <c r="J5" s="8">
        <v>1</v>
      </c>
      <c r="K5" s="8">
        <v>247</v>
      </c>
      <c r="L5" s="8">
        <v>248</v>
      </c>
      <c r="M5" s="8">
        <v>251</v>
      </c>
      <c r="N5" s="8">
        <v>429</v>
      </c>
      <c r="O5" s="8">
        <v>434</v>
      </c>
      <c r="P5" s="8">
        <v>435</v>
      </c>
      <c r="Q5" s="9" t="s">
        <v>92</v>
      </c>
      <c r="R5" s="16"/>
      <c r="S5" s="10">
        <v>2</v>
      </c>
      <c r="T5" s="10">
        <v>11</v>
      </c>
      <c r="U5" s="10">
        <v>5</v>
      </c>
      <c r="V5" s="11">
        <v>9</v>
      </c>
      <c r="W5" s="12" t="s">
        <v>92</v>
      </c>
      <c r="X5" s="17"/>
      <c r="Y5" s="13">
        <v>84</v>
      </c>
      <c r="Z5" s="13">
        <v>5</v>
      </c>
      <c r="AA5" s="13">
        <v>11</v>
      </c>
      <c r="AB5" s="14">
        <v>1</v>
      </c>
      <c r="AC5" s="9" t="s">
        <v>92</v>
      </c>
      <c r="AD5" s="16"/>
      <c r="AE5" s="10">
        <v>1</v>
      </c>
      <c r="AF5" s="10">
        <v>1</v>
      </c>
      <c r="AG5" s="10">
        <v>1</v>
      </c>
      <c r="AH5" s="11">
        <v>2</v>
      </c>
      <c r="AI5" s="12" t="s">
        <v>92</v>
      </c>
      <c r="AJ5" s="17"/>
      <c r="AK5" s="13">
        <v>7</v>
      </c>
      <c r="AL5" s="13">
        <v>4</v>
      </c>
      <c r="AM5" s="13">
        <v>2</v>
      </c>
      <c r="AN5" s="14">
        <v>3</v>
      </c>
      <c r="AO5" s="9" t="s">
        <v>92</v>
      </c>
      <c r="AP5" s="16"/>
      <c r="AQ5" s="10">
        <v>14</v>
      </c>
      <c r="AR5" s="10">
        <v>8</v>
      </c>
      <c r="AS5" s="10">
        <v>1</v>
      </c>
      <c r="AT5" s="11">
        <v>10</v>
      </c>
      <c r="AU5" s="12"/>
      <c r="AV5" s="17"/>
      <c r="AW5" s="13"/>
      <c r="AX5" s="13"/>
      <c r="AY5" s="13"/>
      <c r="AZ5" s="14"/>
      <c r="BA5" s="9"/>
      <c r="BB5" s="16"/>
      <c r="BC5" s="10"/>
      <c r="BD5" s="10"/>
      <c r="BE5" s="10"/>
      <c r="BF5" s="11"/>
      <c r="BG5" s="12" t="s">
        <v>46</v>
      </c>
      <c r="BH5" s="17"/>
      <c r="BI5" s="13">
        <v>0</v>
      </c>
      <c r="BJ5" s="13">
        <v>1</v>
      </c>
      <c r="BK5" s="13">
        <v>1</v>
      </c>
      <c r="BL5" s="14">
        <v>0</v>
      </c>
      <c r="BM5" s="8">
        <f t="shared" si="0"/>
        <v>108</v>
      </c>
      <c r="BN5" s="8">
        <f t="shared" si="0"/>
        <v>30</v>
      </c>
      <c r="BO5" s="8">
        <f t="shared" si="0"/>
        <v>21</v>
      </c>
      <c r="BP5" s="8">
        <f t="shared" si="0"/>
        <v>25</v>
      </c>
      <c r="BQ5" s="8">
        <f t="shared" si="1"/>
        <v>108</v>
      </c>
      <c r="BR5" s="8">
        <f t="shared" si="2"/>
        <v>21</v>
      </c>
      <c r="BS5" s="15">
        <f t="shared" si="3"/>
        <v>8.0249378016281216</v>
      </c>
      <c r="BT5" s="15" t="str">
        <f t="shared" si="4"/>
        <v>OK - No Upgrade</v>
      </c>
      <c r="BU5" s="15" t="str">
        <f t="shared" si="5"/>
        <v>Need to Balance</v>
      </c>
    </row>
    <row r="6" spans="1:73" ht="15.75" customHeight="1" x14ac:dyDescent="0.25">
      <c r="A6" s="8" t="s">
        <v>38</v>
      </c>
      <c r="B6" s="8" t="s">
        <v>1000</v>
      </c>
      <c r="C6" s="8" t="s">
        <v>1007</v>
      </c>
      <c r="D6" s="8" t="s">
        <v>1008</v>
      </c>
      <c r="E6" s="8" t="s">
        <v>1009</v>
      </c>
      <c r="F6" s="8" t="s">
        <v>56</v>
      </c>
      <c r="G6" s="8"/>
      <c r="H6" s="8">
        <v>1000</v>
      </c>
      <c r="I6" s="8" t="s">
        <v>1010</v>
      </c>
      <c r="J6" s="8">
        <v>1</v>
      </c>
      <c r="K6" s="8">
        <v>237</v>
      </c>
      <c r="L6" s="8">
        <v>239</v>
      </c>
      <c r="M6" s="8">
        <v>242</v>
      </c>
      <c r="N6" s="8">
        <v>410</v>
      </c>
      <c r="O6" s="8">
        <v>419</v>
      </c>
      <c r="P6" s="8">
        <v>419</v>
      </c>
      <c r="Q6" s="9"/>
      <c r="R6" s="16"/>
      <c r="S6" s="10"/>
      <c r="T6" s="10"/>
      <c r="U6" s="10"/>
      <c r="V6" s="11"/>
      <c r="W6" s="12" t="s">
        <v>70</v>
      </c>
      <c r="X6" s="17"/>
      <c r="Y6" s="13">
        <v>137</v>
      </c>
      <c r="Z6" s="13">
        <v>100</v>
      </c>
      <c r="AA6" s="13">
        <v>62</v>
      </c>
      <c r="AB6" s="14">
        <v>58</v>
      </c>
      <c r="AC6" s="9" t="s">
        <v>70</v>
      </c>
      <c r="AD6" s="16"/>
      <c r="AE6" s="10">
        <v>37</v>
      </c>
      <c r="AF6" s="10">
        <v>73</v>
      </c>
      <c r="AG6" s="10">
        <v>84</v>
      </c>
      <c r="AH6" s="11">
        <v>23</v>
      </c>
      <c r="AI6" s="12" t="s">
        <v>70</v>
      </c>
      <c r="AJ6" s="17"/>
      <c r="AK6" s="13">
        <v>94</v>
      </c>
      <c r="AL6" s="13">
        <v>37</v>
      </c>
      <c r="AM6" s="13">
        <v>30</v>
      </c>
      <c r="AN6" s="14">
        <v>68</v>
      </c>
      <c r="AO6" s="9" t="s">
        <v>70</v>
      </c>
      <c r="AP6" s="16"/>
      <c r="AQ6" s="10">
        <v>112</v>
      </c>
      <c r="AR6" s="10">
        <v>66</v>
      </c>
      <c r="AS6" s="10">
        <v>55</v>
      </c>
      <c r="AT6" s="11">
        <v>61</v>
      </c>
      <c r="AU6" s="12" t="s">
        <v>70</v>
      </c>
      <c r="AV6" s="17"/>
      <c r="AW6" s="13">
        <v>115</v>
      </c>
      <c r="AX6" s="13">
        <v>32</v>
      </c>
      <c r="AY6" s="13">
        <v>26</v>
      </c>
      <c r="AZ6" s="14">
        <v>30</v>
      </c>
      <c r="BA6" s="9" t="s">
        <v>70</v>
      </c>
      <c r="BB6" s="16"/>
      <c r="BC6" s="10">
        <v>113</v>
      </c>
      <c r="BD6" s="10">
        <v>74</v>
      </c>
      <c r="BE6" s="10">
        <v>37</v>
      </c>
      <c r="BF6" s="11">
        <v>60</v>
      </c>
      <c r="BG6" s="12" t="s">
        <v>46</v>
      </c>
      <c r="BH6" s="17"/>
      <c r="BI6" s="13">
        <v>75</v>
      </c>
      <c r="BJ6" s="13">
        <v>50</v>
      </c>
      <c r="BK6" s="13">
        <v>70</v>
      </c>
      <c r="BL6" s="14">
        <v>20</v>
      </c>
      <c r="BM6" s="8">
        <f t="shared" si="0"/>
        <v>683</v>
      </c>
      <c r="BN6" s="8">
        <f t="shared" si="0"/>
        <v>432</v>
      </c>
      <c r="BO6" s="8">
        <f t="shared" si="0"/>
        <v>364</v>
      </c>
      <c r="BP6" s="8">
        <f t="shared" si="0"/>
        <v>320</v>
      </c>
      <c r="BQ6" s="8">
        <f t="shared" si="1"/>
        <v>683</v>
      </c>
      <c r="BR6" s="8">
        <f t="shared" si="2"/>
        <v>364</v>
      </c>
      <c r="BS6" s="15">
        <f t="shared" si="3"/>
        <v>48.502618764351261</v>
      </c>
      <c r="BT6" s="15" t="str">
        <f t="shared" si="4"/>
        <v>OK - No Upgrade</v>
      </c>
      <c r="BU6" s="15" t="str">
        <f t="shared" si="5"/>
        <v>Need to Balance</v>
      </c>
    </row>
    <row r="7" spans="1:73" ht="15.75" customHeight="1" x14ac:dyDescent="0.25">
      <c r="A7" s="8" t="s">
        <v>38</v>
      </c>
      <c r="B7" s="8" t="s">
        <v>1000</v>
      </c>
      <c r="C7" s="8" t="s">
        <v>1007</v>
      </c>
      <c r="D7" s="8" t="s">
        <v>1008</v>
      </c>
      <c r="E7" s="8" t="s">
        <v>1009</v>
      </c>
      <c r="F7" s="8" t="s">
        <v>56</v>
      </c>
      <c r="G7" s="8"/>
      <c r="H7" s="8">
        <v>1000</v>
      </c>
      <c r="I7" s="8" t="s">
        <v>1011</v>
      </c>
      <c r="J7" s="8">
        <v>2</v>
      </c>
      <c r="K7" s="8">
        <v>240</v>
      </c>
      <c r="L7" s="8">
        <v>241</v>
      </c>
      <c r="M7" s="8">
        <v>243</v>
      </c>
      <c r="N7" s="8">
        <v>415</v>
      </c>
      <c r="O7" s="8">
        <v>423</v>
      </c>
      <c r="P7" s="8">
        <v>422</v>
      </c>
      <c r="Q7" s="9"/>
      <c r="R7" s="16"/>
      <c r="S7" s="10"/>
      <c r="T7" s="10"/>
      <c r="U7" s="10"/>
      <c r="V7" s="11"/>
      <c r="W7" s="12" t="s">
        <v>70</v>
      </c>
      <c r="X7" s="17"/>
      <c r="Y7" s="13">
        <v>163</v>
      </c>
      <c r="Z7" s="13">
        <v>104</v>
      </c>
      <c r="AA7" s="13">
        <v>94</v>
      </c>
      <c r="AB7" s="14">
        <v>74</v>
      </c>
      <c r="AC7" s="9" t="s">
        <v>70</v>
      </c>
      <c r="AD7" s="16"/>
      <c r="AE7" s="10">
        <v>101</v>
      </c>
      <c r="AF7" s="10">
        <v>70</v>
      </c>
      <c r="AG7" s="10">
        <v>69</v>
      </c>
      <c r="AH7" s="11">
        <v>25</v>
      </c>
      <c r="AI7" s="12" t="s">
        <v>70</v>
      </c>
      <c r="AJ7" s="17"/>
      <c r="AK7" s="13">
        <v>92</v>
      </c>
      <c r="AL7" s="13">
        <v>58</v>
      </c>
      <c r="AM7" s="13">
        <v>53</v>
      </c>
      <c r="AN7" s="14">
        <v>45</v>
      </c>
      <c r="AO7" s="9" t="s">
        <v>70</v>
      </c>
      <c r="AP7" s="16"/>
      <c r="AQ7" s="10">
        <v>100</v>
      </c>
      <c r="AR7" s="10">
        <v>53</v>
      </c>
      <c r="AS7" s="10">
        <v>50</v>
      </c>
      <c r="AT7" s="11">
        <v>49</v>
      </c>
      <c r="AU7" s="12" t="s">
        <v>70</v>
      </c>
      <c r="AV7" s="17"/>
      <c r="AW7" s="13">
        <v>124</v>
      </c>
      <c r="AX7" s="13">
        <v>35</v>
      </c>
      <c r="AY7" s="13">
        <v>28</v>
      </c>
      <c r="AZ7" s="14">
        <v>20</v>
      </c>
      <c r="BA7" s="9" t="s">
        <v>46</v>
      </c>
      <c r="BB7" s="16"/>
      <c r="BC7" s="10">
        <v>104</v>
      </c>
      <c r="BD7" s="10">
        <v>74</v>
      </c>
      <c r="BE7" s="10">
        <v>38</v>
      </c>
      <c r="BF7" s="11">
        <v>46</v>
      </c>
      <c r="BG7" s="12"/>
      <c r="BH7" s="17"/>
      <c r="BI7" s="13">
        <v>71</v>
      </c>
      <c r="BJ7" s="13">
        <v>35</v>
      </c>
      <c r="BK7" s="13">
        <v>67</v>
      </c>
      <c r="BL7" s="14">
        <v>44</v>
      </c>
      <c r="BM7" s="8">
        <f t="shared" si="0"/>
        <v>755</v>
      </c>
      <c r="BN7" s="8">
        <f t="shared" si="0"/>
        <v>429</v>
      </c>
      <c r="BO7" s="8">
        <f t="shared" si="0"/>
        <v>399</v>
      </c>
      <c r="BP7" s="8">
        <f t="shared" si="0"/>
        <v>303</v>
      </c>
      <c r="BQ7" s="8">
        <f t="shared" si="1"/>
        <v>755</v>
      </c>
      <c r="BR7" s="8">
        <f t="shared" si="2"/>
        <v>399</v>
      </c>
      <c r="BS7" s="15">
        <f t="shared" si="3"/>
        <v>54.269481928151841</v>
      </c>
      <c r="BT7" s="15" t="str">
        <f t="shared" si="4"/>
        <v>OK - No Upgrade</v>
      </c>
      <c r="BU7" s="15" t="str">
        <f t="shared" si="5"/>
        <v>Need to Balance</v>
      </c>
    </row>
    <row r="8" spans="1:73" ht="15.75" customHeight="1" x14ac:dyDescent="0.25">
      <c r="A8" s="8" t="s">
        <v>38</v>
      </c>
      <c r="B8" s="8" t="s">
        <v>1000</v>
      </c>
      <c r="C8" s="8" t="s">
        <v>1007</v>
      </c>
      <c r="D8" s="8" t="s">
        <v>1012</v>
      </c>
      <c r="E8" s="8" t="s">
        <v>1013</v>
      </c>
      <c r="F8" s="8" t="s">
        <v>56</v>
      </c>
      <c r="G8" s="8"/>
      <c r="H8" s="8">
        <v>1000</v>
      </c>
      <c r="I8" s="8" t="s">
        <v>1014</v>
      </c>
      <c r="J8" s="8">
        <v>1</v>
      </c>
      <c r="K8" s="8">
        <v>238</v>
      </c>
      <c r="L8" s="8">
        <v>238</v>
      </c>
      <c r="M8" s="8">
        <v>242</v>
      </c>
      <c r="N8" s="8">
        <v>410</v>
      </c>
      <c r="O8" s="8">
        <v>418</v>
      </c>
      <c r="P8" s="8">
        <v>418</v>
      </c>
      <c r="Q8" s="9"/>
      <c r="R8" s="16"/>
      <c r="S8" s="10"/>
      <c r="T8" s="10"/>
      <c r="U8" s="10"/>
      <c r="V8" s="11"/>
      <c r="W8" s="12" t="s">
        <v>47</v>
      </c>
      <c r="X8" s="17"/>
      <c r="Y8" s="13">
        <v>76</v>
      </c>
      <c r="Z8" s="13">
        <v>31</v>
      </c>
      <c r="AA8" s="13">
        <v>44</v>
      </c>
      <c r="AB8" s="14">
        <v>37</v>
      </c>
      <c r="AC8" s="9" t="s">
        <v>47</v>
      </c>
      <c r="AD8" s="16"/>
      <c r="AE8" s="10">
        <v>153</v>
      </c>
      <c r="AF8" s="10">
        <v>131</v>
      </c>
      <c r="AG8" s="10">
        <v>136</v>
      </c>
      <c r="AH8" s="11">
        <v>41</v>
      </c>
      <c r="AI8" s="12"/>
      <c r="AJ8" s="17"/>
      <c r="AK8" s="13"/>
      <c r="AL8" s="13"/>
      <c r="AM8" s="13"/>
      <c r="AN8" s="14"/>
      <c r="AO8" s="9"/>
      <c r="AP8" s="16"/>
      <c r="AQ8" s="10"/>
      <c r="AR8" s="10"/>
      <c r="AS8" s="10"/>
      <c r="AT8" s="11"/>
      <c r="AU8" s="12"/>
      <c r="AV8" s="17"/>
      <c r="AW8" s="13"/>
      <c r="AX8" s="13"/>
      <c r="AY8" s="13"/>
      <c r="AZ8" s="14"/>
      <c r="BA8" s="9"/>
      <c r="BB8" s="16"/>
      <c r="BC8" s="10"/>
      <c r="BD8" s="10"/>
      <c r="BE8" s="10"/>
      <c r="BF8" s="11"/>
      <c r="BG8" s="12"/>
      <c r="BH8" s="17"/>
      <c r="BI8" s="13"/>
      <c r="BJ8" s="13"/>
      <c r="BK8" s="13"/>
      <c r="BL8" s="14"/>
      <c r="BM8" s="8">
        <f t="shared" si="0"/>
        <v>229</v>
      </c>
      <c r="BN8" s="8">
        <f t="shared" si="0"/>
        <v>162</v>
      </c>
      <c r="BO8" s="8">
        <f t="shared" si="0"/>
        <v>180</v>
      </c>
      <c r="BP8" s="8">
        <f t="shared" si="0"/>
        <v>78</v>
      </c>
      <c r="BQ8" s="8">
        <f t="shared" si="1"/>
        <v>229</v>
      </c>
      <c r="BR8" s="8">
        <f t="shared" si="2"/>
        <v>162</v>
      </c>
      <c r="BS8" s="15">
        <f t="shared" si="3"/>
        <v>16.262225032264187</v>
      </c>
      <c r="BT8" s="15" t="str">
        <f t="shared" si="4"/>
        <v>OK - No Upgrade</v>
      </c>
      <c r="BU8" s="15" t="str">
        <f t="shared" si="5"/>
        <v>Need to Balance</v>
      </c>
    </row>
    <row r="9" spans="1:73" ht="15.75" customHeight="1" x14ac:dyDescent="0.25">
      <c r="A9" s="8" t="s">
        <v>38</v>
      </c>
      <c r="B9" s="8" t="s">
        <v>1000</v>
      </c>
      <c r="C9" s="8" t="s">
        <v>1007</v>
      </c>
      <c r="D9" s="8" t="s">
        <v>1012</v>
      </c>
      <c r="E9" s="8" t="s">
        <v>1013</v>
      </c>
      <c r="F9" s="8" t="s">
        <v>56</v>
      </c>
      <c r="G9" s="8"/>
      <c r="H9" s="8">
        <v>1000</v>
      </c>
      <c r="I9" s="8" t="s">
        <v>1015</v>
      </c>
      <c r="J9" s="8">
        <v>2</v>
      </c>
      <c r="K9" s="8">
        <v>240</v>
      </c>
      <c r="L9" s="8">
        <v>241</v>
      </c>
      <c r="M9" s="8">
        <v>243</v>
      </c>
      <c r="N9" s="8">
        <v>417</v>
      </c>
      <c r="O9" s="8">
        <v>421</v>
      </c>
      <c r="P9" s="8">
        <v>421</v>
      </c>
      <c r="Q9" s="9" t="s">
        <v>47</v>
      </c>
      <c r="R9" s="16"/>
      <c r="S9" s="10">
        <v>75</v>
      </c>
      <c r="T9" s="10">
        <v>37</v>
      </c>
      <c r="U9" s="10">
        <v>63</v>
      </c>
      <c r="V9" s="11">
        <v>31</v>
      </c>
      <c r="W9" s="12" t="s">
        <v>47</v>
      </c>
      <c r="X9" s="17"/>
      <c r="Y9" s="13">
        <v>136</v>
      </c>
      <c r="Z9" s="13">
        <v>112</v>
      </c>
      <c r="AA9" s="13">
        <v>114</v>
      </c>
      <c r="AB9" s="14">
        <v>42</v>
      </c>
      <c r="AC9" s="9"/>
      <c r="AD9" s="16"/>
      <c r="AE9" s="10"/>
      <c r="AF9" s="10"/>
      <c r="AG9" s="10"/>
      <c r="AH9" s="11"/>
      <c r="AI9" s="12"/>
      <c r="AJ9" s="17"/>
      <c r="AK9" s="13"/>
      <c r="AL9" s="13"/>
      <c r="AM9" s="13"/>
      <c r="AN9" s="14"/>
      <c r="AO9" s="9"/>
      <c r="AP9" s="16"/>
      <c r="AQ9" s="10"/>
      <c r="AR9" s="10"/>
      <c r="AS9" s="10"/>
      <c r="AT9" s="11"/>
      <c r="AU9" s="12"/>
      <c r="AV9" s="17"/>
      <c r="AW9" s="13"/>
      <c r="AX9" s="13"/>
      <c r="AY9" s="13"/>
      <c r="AZ9" s="14"/>
      <c r="BA9" s="9"/>
      <c r="BB9" s="16"/>
      <c r="BC9" s="10"/>
      <c r="BD9" s="10"/>
      <c r="BE9" s="10"/>
      <c r="BF9" s="11"/>
      <c r="BG9" s="12"/>
      <c r="BH9" s="17"/>
      <c r="BI9" s="13"/>
      <c r="BJ9" s="13"/>
      <c r="BK9" s="13"/>
      <c r="BL9" s="14"/>
      <c r="BM9" s="8">
        <f t="shared" si="0"/>
        <v>211</v>
      </c>
      <c r="BN9" s="8">
        <f t="shared" si="0"/>
        <v>149</v>
      </c>
      <c r="BO9" s="8">
        <f t="shared" si="0"/>
        <v>177</v>
      </c>
      <c r="BP9" s="8">
        <f t="shared" si="0"/>
        <v>73</v>
      </c>
      <c r="BQ9" s="8">
        <f t="shared" si="1"/>
        <v>211</v>
      </c>
      <c r="BR9" s="8">
        <f t="shared" si="2"/>
        <v>149</v>
      </c>
      <c r="BS9" s="15">
        <f t="shared" si="3"/>
        <v>15.23979544055628</v>
      </c>
      <c r="BT9" s="15" t="str">
        <f t="shared" si="4"/>
        <v>OK - No Upgrade</v>
      </c>
      <c r="BU9" s="15" t="str">
        <f t="shared" si="5"/>
        <v>Need to Balance</v>
      </c>
    </row>
    <row r="10" spans="1:73" ht="15.75" customHeight="1" x14ac:dyDescent="0.25">
      <c r="A10" s="8" t="s">
        <v>38</v>
      </c>
      <c r="B10" s="8" t="s">
        <v>1000</v>
      </c>
      <c r="C10" s="8" t="s">
        <v>662</v>
      </c>
      <c r="D10" s="8"/>
      <c r="E10" s="8" t="s">
        <v>1016</v>
      </c>
      <c r="F10" s="8" t="s">
        <v>56</v>
      </c>
      <c r="G10" s="8"/>
      <c r="H10" s="8">
        <v>1000</v>
      </c>
      <c r="I10" s="8" t="s">
        <v>1017</v>
      </c>
      <c r="J10" s="8">
        <v>1</v>
      </c>
      <c r="K10" s="8">
        <v>245</v>
      </c>
      <c r="L10" s="8">
        <v>245</v>
      </c>
      <c r="M10" s="8">
        <v>248</v>
      </c>
      <c r="N10" s="8">
        <v>425</v>
      </c>
      <c r="O10" s="8">
        <v>430</v>
      </c>
      <c r="P10" s="8">
        <v>428</v>
      </c>
      <c r="Q10" s="9"/>
      <c r="R10" s="16"/>
      <c r="S10" s="10"/>
      <c r="T10" s="10"/>
      <c r="U10" s="10"/>
      <c r="V10" s="11"/>
      <c r="W10" s="12" t="s">
        <v>46</v>
      </c>
      <c r="X10" s="17"/>
      <c r="Y10" s="13">
        <v>3</v>
      </c>
      <c r="Z10" s="13">
        <v>16</v>
      </c>
      <c r="AA10" s="13">
        <v>1</v>
      </c>
      <c r="AB10" s="14">
        <v>16</v>
      </c>
      <c r="AC10" s="9"/>
      <c r="AD10" s="16"/>
      <c r="AE10" s="10"/>
      <c r="AF10" s="10"/>
      <c r="AG10" s="10"/>
      <c r="AH10" s="11"/>
      <c r="AI10" s="12"/>
      <c r="AJ10" s="17"/>
      <c r="AK10" s="13"/>
      <c r="AL10" s="13"/>
      <c r="AM10" s="13"/>
      <c r="AN10" s="14"/>
      <c r="AO10" s="9"/>
      <c r="AP10" s="16"/>
      <c r="AQ10" s="10"/>
      <c r="AR10" s="10"/>
      <c r="AS10" s="10"/>
      <c r="AT10" s="11"/>
      <c r="AU10" s="12"/>
      <c r="AV10" s="17"/>
      <c r="AW10" s="13"/>
      <c r="AX10" s="13"/>
      <c r="AY10" s="13"/>
      <c r="AZ10" s="14"/>
      <c r="BA10" s="9"/>
      <c r="BB10" s="16"/>
      <c r="BC10" s="10"/>
      <c r="BD10" s="10"/>
      <c r="BE10" s="10"/>
      <c r="BF10" s="11"/>
      <c r="BG10" s="12"/>
      <c r="BH10" s="17"/>
      <c r="BI10" s="13"/>
      <c r="BJ10" s="13"/>
      <c r="BK10" s="13"/>
      <c r="BL10" s="14"/>
      <c r="BM10" s="8">
        <f t="shared" si="0"/>
        <v>3</v>
      </c>
      <c r="BN10" s="8">
        <f t="shared" si="0"/>
        <v>16</v>
      </c>
      <c r="BO10" s="8">
        <f t="shared" si="0"/>
        <v>1</v>
      </c>
      <c r="BP10" s="8">
        <f t="shared" si="0"/>
        <v>16</v>
      </c>
      <c r="BQ10" s="8">
        <f t="shared" si="1"/>
        <v>16</v>
      </c>
      <c r="BR10" s="8">
        <f t="shared" si="2"/>
        <v>1</v>
      </c>
      <c r="BS10" s="15">
        <f t="shared" si="3"/>
        <v>1.1777945491468365</v>
      </c>
      <c r="BT10" s="15" t="str">
        <f t="shared" si="4"/>
        <v>OK - No Upgrade</v>
      </c>
      <c r="BU10" s="15" t="str">
        <f t="shared" si="5"/>
        <v>Need to Balance</v>
      </c>
    </row>
    <row r="11" spans="1:73" ht="15.75" customHeight="1" x14ac:dyDescent="0.25">
      <c r="A11" s="8" t="s">
        <v>38</v>
      </c>
      <c r="B11" s="8" t="s">
        <v>1000</v>
      </c>
      <c r="C11" s="8" t="s">
        <v>40</v>
      </c>
      <c r="D11" s="8"/>
      <c r="E11" s="8" t="s">
        <v>1018</v>
      </c>
      <c r="F11" s="8" t="s">
        <v>56</v>
      </c>
      <c r="G11" s="8"/>
      <c r="H11" s="8">
        <v>1000</v>
      </c>
      <c r="I11" s="8" t="s">
        <v>1019</v>
      </c>
      <c r="J11" s="8">
        <v>1</v>
      </c>
      <c r="K11" s="8">
        <v>243</v>
      </c>
      <c r="L11" s="8">
        <v>246</v>
      </c>
      <c r="M11" s="8">
        <v>244</v>
      </c>
      <c r="N11" s="8">
        <v>425</v>
      </c>
      <c r="O11" s="8">
        <v>422</v>
      </c>
      <c r="P11" s="8">
        <v>428</v>
      </c>
      <c r="Q11" s="9" t="s">
        <v>1020</v>
      </c>
      <c r="R11" s="16"/>
      <c r="S11" s="10">
        <v>150</v>
      </c>
      <c r="T11" s="10">
        <v>86</v>
      </c>
      <c r="U11" s="10">
        <v>126</v>
      </c>
      <c r="V11" s="11">
        <v>98</v>
      </c>
      <c r="W11" s="12"/>
      <c r="X11" s="17"/>
      <c r="Y11" s="13"/>
      <c r="Z11" s="13"/>
      <c r="AA11" s="13"/>
      <c r="AB11" s="14"/>
      <c r="AC11" s="9"/>
      <c r="AD11" s="16"/>
      <c r="AE11" s="10"/>
      <c r="AF11" s="10"/>
      <c r="AG11" s="10"/>
      <c r="AH11" s="11"/>
      <c r="AI11" s="12"/>
      <c r="AJ11" s="17"/>
      <c r="AK11" s="13"/>
      <c r="AL11" s="13"/>
      <c r="AM11" s="13"/>
      <c r="AN11" s="14"/>
      <c r="AO11" s="9"/>
      <c r="AP11" s="16"/>
      <c r="AQ11" s="10"/>
      <c r="AR11" s="10"/>
      <c r="AS11" s="10"/>
      <c r="AT11" s="11"/>
      <c r="AU11" s="12"/>
      <c r="AV11" s="17"/>
      <c r="AW11" s="13"/>
      <c r="AX11" s="13"/>
      <c r="AY11" s="13"/>
      <c r="AZ11" s="14"/>
      <c r="BA11" s="9"/>
      <c r="BB11" s="16"/>
      <c r="BC11" s="10"/>
      <c r="BD11" s="10"/>
      <c r="BE11" s="10"/>
      <c r="BF11" s="11"/>
      <c r="BG11" s="12"/>
      <c r="BH11" s="17"/>
      <c r="BI11" s="13"/>
      <c r="BJ11" s="13"/>
      <c r="BK11" s="13"/>
      <c r="BL11" s="14"/>
      <c r="BM11" s="8">
        <f t="shared" si="0"/>
        <v>150</v>
      </c>
      <c r="BN11" s="8">
        <f t="shared" si="0"/>
        <v>86</v>
      </c>
      <c r="BO11" s="8">
        <f t="shared" si="0"/>
        <v>126</v>
      </c>
      <c r="BP11" s="8">
        <f t="shared" si="0"/>
        <v>98</v>
      </c>
      <c r="BQ11" s="8">
        <f t="shared" si="1"/>
        <v>150</v>
      </c>
      <c r="BR11" s="8">
        <f t="shared" si="2"/>
        <v>86</v>
      </c>
      <c r="BS11" s="15">
        <f t="shared" si="3"/>
        <v>11.041823898251593</v>
      </c>
      <c r="BT11" s="15" t="str">
        <f t="shared" si="4"/>
        <v>OK - No Upgrade</v>
      </c>
      <c r="BU11" s="15" t="str">
        <f t="shared" si="5"/>
        <v>Need to Balance</v>
      </c>
    </row>
  </sheetData>
  <mergeCells count="79">
    <mergeCell ref="BU1:BU3"/>
    <mergeCell ref="BI2:BI3"/>
    <mergeCell ref="AE2:AE3"/>
    <mergeCell ref="AG2:AG3"/>
    <mergeCell ref="Y2:Y3"/>
    <mergeCell ref="AQ2:AQ3"/>
    <mergeCell ref="AS2:AS3"/>
    <mergeCell ref="AY2:AY3"/>
    <mergeCell ref="BK2:BK3"/>
    <mergeCell ref="AZ2:AZ3"/>
    <mergeCell ref="BB2:BB3"/>
    <mergeCell ref="BL2:BL3"/>
    <mergeCell ref="BN2:BN3"/>
    <mergeCell ref="AU1:AZ1"/>
    <mergeCell ref="AJ2:AJ3"/>
    <mergeCell ref="AL2:AL3"/>
    <mergeCell ref="BR1:BR3"/>
    <mergeCell ref="H1:H3"/>
    <mergeCell ref="AR2:AR3"/>
    <mergeCell ref="AT2:AT3"/>
    <mergeCell ref="E1:E3"/>
    <mergeCell ref="BF2:BF3"/>
    <mergeCell ref="K2:M2"/>
    <mergeCell ref="F1:F3"/>
    <mergeCell ref="J1:J3"/>
    <mergeCell ref="R2:R3"/>
    <mergeCell ref="AD2:AD3"/>
    <mergeCell ref="AN2:AN3"/>
    <mergeCell ref="AP2:AP3"/>
    <mergeCell ref="A1:A3"/>
    <mergeCell ref="BA1:BF1"/>
    <mergeCell ref="C1:C3"/>
    <mergeCell ref="D1:D2"/>
    <mergeCell ref="BQ1:BQ3"/>
    <mergeCell ref="BS1:BS3"/>
    <mergeCell ref="BA2:BA3"/>
    <mergeCell ref="S2:S3"/>
    <mergeCell ref="BC2:BC3"/>
    <mergeCell ref="K1:P1"/>
    <mergeCell ref="BM2:BM3"/>
    <mergeCell ref="BO2:BO3"/>
    <mergeCell ref="W1:AB1"/>
    <mergeCell ref="Q1:V1"/>
    <mergeCell ref="BP2:BP3"/>
    <mergeCell ref="AC1:AH1"/>
    <mergeCell ref="AO1:AT1"/>
    <mergeCell ref="Z2:Z3"/>
    <mergeCell ref="B1:B3"/>
    <mergeCell ref="AI1:AN1"/>
    <mergeCell ref="V2:V3"/>
    <mergeCell ref="X2:X3"/>
    <mergeCell ref="BG1:BL1"/>
    <mergeCell ref="BD2:BD3"/>
    <mergeCell ref="AV2:AV3"/>
    <mergeCell ref="AX2:AX3"/>
    <mergeCell ref="I1:I3"/>
    <mergeCell ref="BH2:BH3"/>
    <mergeCell ref="BJ2:BJ3"/>
    <mergeCell ref="AF2:AF3"/>
    <mergeCell ref="AH2:AH3"/>
    <mergeCell ref="Q2:Q3"/>
    <mergeCell ref="AI2:AI3"/>
    <mergeCell ref="AK2:AK3"/>
    <mergeCell ref="N2:P2"/>
    <mergeCell ref="G1:G3"/>
    <mergeCell ref="U2:U3"/>
    <mergeCell ref="BT1:BT3"/>
    <mergeCell ref="BE2:BE3"/>
    <mergeCell ref="W2:W3"/>
    <mergeCell ref="BG2:BG3"/>
    <mergeCell ref="AA2:AA3"/>
    <mergeCell ref="AC2:AC3"/>
    <mergeCell ref="AM2:AM3"/>
    <mergeCell ref="AO2:AO3"/>
    <mergeCell ref="BM1:BP1"/>
    <mergeCell ref="AU2:AU3"/>
    <mergeCell ref="AW2:AW3"/>
    <mergeCell ref="AB2:AB3"/>
    <mergeCell ref="T2:T3"/>
  </mergeCells>
  <dataValidations count="1">
    <dataValidation type="list" allowBlank="1" errorTitle="Invalid value" error="Please choose Cu or Al" promptTitle="Cable Type" prompt="Choose cable material" sqref="R4:R11 BH4:BH11 BB4:BB11 AV4:AV11 AP4:AP11 AJ4:AJ11 AD4:AD11 X4:X11" xr:uid="{00000000-0002-0000-0500-000000000000}">
      <formula1>"Cu,Al"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U175"/>
  <sheetViews>
    <sheetView workbookViewId="0"/>
  </sheetViews>
  <sheetFormatPr defaultRowHeight="15" x14ac:dyDescent="0.25"/>
  <cols>
    <col min="1" max="1" width="12.85546875" customWidth="1"/>
    <col min="2" max="2" width="14.85546875" customWidth="1"/>
    <col min="3" max="3" width="9.85546875" customWidth="1"/>
    <col min="4" max="4" width="20.85546875" customWidth="1"/>
    <col min="5" max="5" width="8.85546875" customWidth="1"/>
    <col min="6" max="6" width="10.85546875" customWidth="1"/>
    <col min="7" max="7" width="5.85546875" customWidth="1"/>
    <col min="8" max="8" width="9.85546875" customWidth="1"/>
    <col min="9" max="9" width="10.85546875" customWidth="1"/>
    <col min="10" max="10" width="5.85546875" customWidth="1"/>
    <col min="11" max="11" width="7.85546875" customWidth="1"/>
    <col min="12" max="16" width="6.85546875" customWidth="1"/>
    <col min="17" max="17" width="8.85546875" customWidth="1"/>
    <col min="18" max="21" width="6.85546875" customWidth="1"/>
    <col min="22" max="22" width="8.85546875" customWidth="1"/>
    <col min="23" max="26" width="6.85546875" customWidth="1"/>
    <col min="27" max="27" width="8.85546875" customWidth="1"/>
    <col min="28" max="31" width="6.85546875" customWidth="1"/>
    <col min="32" max="32" width="8.85546875" customWidth="1"/>
    <col min="33" max="36" width="6.85546875" customWidth="1"/>
    <col min="37" max="37" width="8.85546875" customWidth="1"/>
    <col min="38" max="41" width="6.85546875" customWidth="1"/>
    <col min="42" max="42" width="8.85546875" customWidth="1"/>
    <col min="43" max="46" width="6.85546875" customWidth="1"/>
    <col min="47" max="47" width="8.85546875" customWidth="1"/>
    <col min="48" max="51" width="6.85546875" customWidth="1"/>
    <col min="52" max="52" width="8.85546875" customWidth="1"/>
    <col min="53" max="60" width="6.85546875" customWidth="1"/>
    <col min="61" max="62" width="7.85546875" customWidth="1"/>
    <col min="63" max="63" width="9.85546875" customWidth="1"/>
    <col min="64" max="65" width="24.85546875" customWidth="1"/>
  </cols>
  <sheetData>
    <row r="1" spans="1:73" ht="19.5" customHeight="1" x14ac:dyDescent="0.25">
      <c r="A1" s="21" t="s">
        <v>0</v>
      </c>
      <c r="B1" s="21" t="s">
        <v>1</v>
      </c>
      <c r="C1" s="21" t="s">
        <v>2</v>
      </c>
      <c r="D1" s="38" t="s">
        <v>3</v>
      </c>
      <c r="E1" s="21" t="s">
        <v>4</v>
      </c>
      <c r="F1" s="40" t="s">
        <v>5</v>
      </c>
      <c r="G1" s="21" t="s">
        <v>6</v>
      </c>
      <c r="H1" s="21" t="s">
        <v>7</v>
      </c>
      <c r="I1" s="21" t="s">
        <v>8</v>
      </c>
      <c r="J1" s="41" t="s">
        <v>9</v>
      </c>
      <c r="K1" s="18" t="s">
        <v>10</v>
      </c>
      <c r="L1" s="19"/>
      <c r="M1" s="19"/>
      <c r="N1" s="19"/>
      <c r="O1" s="19"/>
      <c r="P1" s="20"/>
      <c r="Q1" s="29" t="s">
        <v>11</v>
      </c>
      <c r="R1" s="30"/>
      <c r="S1" s="30"/>
      <c r="T1" s="30"/>
      <c r="U1" s="30"/>
      <c r="V1" s="31"/>
      <c r="W1" s="29" t="s">
        <v>12</v>
      </c>
      <c r="X1" s="30"/>
      <c r="Y1" s="30"/>
      <c r="Z1" s="30"/>
      <c r="AA1" s="30"/>
      <c r="AB1" s="31"/>
      <c r="AC1" s="29" t="s">
        <v>13</v>
      </c>
      <c r="AD1" s="30"/>
      <c r="AE1" s="30"/>
      <c r="AF1" s="30"/>
      <c r="AG1" s="30"/>
      <c r="AH1" s="31"/>
      <c r="AI1" s="29" t="s">
        <v>14</v>
      </c>
      <c r="AJ1" s="30"/>
      <c r="AK1" s="30"/>
      <c r="AL1" s="30"/>
      <c r="AM1" s="30"/>
      <c r="AN1" s="31"/>
      <c r="AO1" s="29" t="s">
        <v>15</v>
      </c>
      <c r="AP1" s="30"/>
      <c r="AQ1" s="30"/>
      <c r="AR1" s="30"/>
      <c r="AS1" s="30"/>
      <c r="AT1" s="31"/>
      <c r="AU1" s="29" t="s">
        <v>16</v>
      </c>
      <c r="AV1" s="30"/>
      <c r="AW1" s="30"/>
      <c r="AX1" s="30"/>
      <c r="AY1" s="30"/>
      <c r="AZ1" s="31"/>
      <c r="BA1" s="29" t="s">
        <v>17</v>
      </c>
      <c r="BB1" s="30"/>
      <c r="BC1" s="30"/>
      <c r="BD1" s="30"/>
      <c r="BE1" s="30"/>
      <c r="BF1" s="31"/>
      <c r="BG1" s="29" t="s">
        <v>18</v>
      </c>
      <c r="BH1" s="30"/>
      <c r="BI1" s="30"/>
      <c r="BJ1" s="30"/>
      <c r="BK1" s="30"/>
      <c r="BL1" s="31"/>
      <c r="BM1" s="37" t="s">
        <v>19</v>
      </c>
      <c r="BN1" s="19"/>
      <c r="BO1" s="19"/>
      <c r="BP1" s="20"/>
      <c r="BQ1" s="18" t="s">
        <v>20</v>
      </c>
      <c r="BR1" s="18" t="s">
        <v>21</v>
      </c>
      <c r="BS1" s="39" t="s">
        <v>22</v>
      </c>
      <c r="BT1" s="26" t="s">
        <v>23</v>
      </c>
      <c r="BU1" s="26" t="s">
        <v>24</v>
      </c>
    </row>
    <row r="2" spans="1:73" ht="19.5" customHeight="1" x14ac:dyDescent="0.25">
      <c r="A2" s="22"/>
      <c r="B2" s="22"/>
      <c r="C2" s="22"/>
      <c r="D2" s="23"/>
      <c r="E2" s="22"/>
      <c r="F2" s="22"/>
      <c r="G2" s="22"/>
      <c r="H2" s="22"/>
      <c r="I2" s="22"/>
      <c r="J2" s="22"/>
      <c r="K2" s="18" t="s">
        <v>25</v>
      </c>
      <c r="L2" s="19"/>
      <c r="M2" s="20"/>
      <c r="N2" s="18" t="s">
        <v>26</v>
      </c>
      <c r="O2" s="19"/>
      <c r="P2" s="20"/>
      <c r="Q2" s="27" t="s">
        <v>27</v>
      </c>
      <c r="R2" s="34" t="s">
        <v>5</v>
      </c>
      <c r="S2" s="36" t="s">
        <v>28</v>
      </c>
      <c r="T2" s="35" t="s">
        <v>29</v>
      </c>
      <c r="U2" s="24" t="s">
        <v>30</v>
      </c>
      <c r="V2" s="32" t="s">
        <v>31</v>
      </c>
      <c r="W2" s="27" t="s">
        <v>27</v>
      </c>
      <c r="X2" s="34" t="s">
        <v>5</v>
      </c>
      <c r="Y2" s="36" t="s">
        <v>28</v>
      </c>
      <c r="Z2" s="35" t="s">
        <v>29</v>
      </c>
      <c r="AA2" s="24" t="s">
        <v>30</v>
      </c>
      <c r="AB2" s="32" t="s">
        <v>31</v>
      </c>
      <c r="AC2" s="27" t="s">
        <v>27</v>
      </c>
      <c r="AD2" s="34" t="s">
        <v>5</v>
      </c>
      <c r="AE2" s="36" t="s">
        <v>28</v>
      </c>
      <c r="AF2" s="35" t="s">
        <v>29</v>
      </c>
      <c r="AG2" s="24" t="s">
        <v>30</v>
      </c>
      <c r="AH2" s="32" t="s">
        <v>31</v>
      </c>
      <c r="AI2" s="27" t="s">
        <v>27</v>
      </c>
      <c r="AJ2" s="34" t="s">
        <v>5</v>
      </c>
      <c r="AK2" s="36" t="s">
        <v>28</v>
      </c>
      <c r="AL2" s="35" t="s">
        <v>29</v>
      </c>
      <c r="AM2" s="24" t="s">
        <v>30</v>
      </c>
      <c r="AN2" s="32" t="s">
        <v>31</v>
      </c>
      <c r="AO2" s="27" t="s">
        <v>27</v>
      </c>
      <c r="AP2" s="34" t="s">
        <v>5</v>
      </c>
      <c r="AQ2" s="36" t="s">
        <v>28</v>
      </c>
      <c r="AR2" s="35" t="s">
        <v>29</v>
      </c>
      <c r="AS2" s="24" t="s">
        <v>30</v>
      </c>
      <c r="AT2" s="32" t="s">
        <v>31</v>
      </c>
      <c r="AU2" s="27" t="s">
        <v>27</v>
      </c>
      <c r="AV2" s="34" t="s">
        <v>5</v>
      </c>
      <c r="AW2" s="36" t="s">
        <v>28</v>
      </c>
      <c r="AX2" s="35" t="s">
        <v>29</v>
      </c>
      <c r="AY2" s="24" t="s">
        <v>30</v>
      </c>
      <c r="AZ2" s="32" t="s">
        <v>31</v>
      </c>
      <c r="BA2" s="27" t="s">
        <v>27</v>
      </c>
      <c r="BB2" s="34" t="s">
        <v>5</v>
      </c>
      <c r="BC2" s="36" t="s">
        <v>28</v>
      </c>
      <c r="BD2" s="35" t="s">
        <v>29</v>
      </c>
      <c r="BE2" s="24" t="s">
        <v>30</v>
      </c>
      <c r="BF2" s="32" t="s">
        <v>31</v>
      </c>
      <c r="BG2" s="27" t="s">
        <v>27</v>
      </c>
      <c r="BH2" s="34" t="s">
        <v>5</v>
      </c>
      <c r="BI2" s="36" t="s">
        <v>28</v>
      </c>
      <c r="BJ2" s="35" t="s">
        <v>29</v>
      </c>
      <c r="BK2" s="24" t="s">
        <v>30</v>
      </c>
      <c r="BL2" s="32" t="s">
        <v>31</v>
      </c>
      <c r="BM2" s="37" t="s">
        <v>28</v>
      </c>
      <c r="BN2" s="37" t="s">
        <v>29</v>
      </c>
      <c r="BO2" s="37" t="s">
        <v>30</v>
      </c>
      <c r="BP2" s="37" t="s">
        <v>31</v>
      </c>
      <c r="BQ2" s="22"/>
      <c r="BR2" s="22"/>
      <c r="BS2" s="22"/>
      <c r="BT2" s="22"/>
      <c r="BU2" s="22"/>
    </row>
    <row r="3" spans="1:73" ht="19.5" customHeight="1" x14ac:dyDescent="0.25">
      <c r="A3" s="23"/>
      <c r="B3" s="23"/>
      <c r="C3" s="23"/>
      <c r="D3" s="1"/>
      <c r="E3" s="23"/>
      <c r="F3" s="23"/>
      <c r="G3" s="23"/>
      <c r="H3" s="23"/>
      <c r="I3" s="23"/>
      <c r="J3" s="23"/>
      <c r="K3" s="2" t="s">
        <v>32</v>
      </c>
      <c r="L3" s="3" t="s">
        <v>33</v>
      </c>
      <c r="M3" s="4" t="s">
        <v>34</v>
      </c>
      <c r="N3" s="5" t="s">
        <v>35</v>
      </c>
      <c r="O3" s="6" t="s">
        <v>36</v>
      </c>
      <c r="P3" s="7" t="s">
        <v>37</v>
      </c>
      <c r="Q3" s="28"/>
      <c r="R3" s="25"/>
      <c r="S3" s="25"/>
      <c r="T3" s="25"/>
      <c r="U3" s="25"/>
      <c r="V3" s="33"/>
      <c r="W3" s="28"/>
      <c r="X3" s="25"/>
      <c r="Y3" s="25"/>
      <c r="Z3" s="25"/>
      <c r="AA3" s="25"/>
      <c r="AB3" s="33"/>
      <c r="AC3" s="28"/>
      <c r="AD3" s="25"/>
      <c r="AE3" s="25"/>
      <c r="AF3" s="25"/>
      <c r="AG3" s="25"/>
      <c r="AH3" s="33"/>
      <c r="AI3" s="28"/>
      <c r="AJ3" s="25"/>
      <c r="AK3" s="25"/>
      <c r="AL3" s="25"/>
      <c r="AM3" s="25"/>
      <c r="AN3" s="33"/>
      <c r="AO3" s="28"/>
      <c r="AP3" s="25"/>
      <c r="AQ3" s="25"/>
      <c r="AR3" s="25"/>
      <c r="AS3" s="25"/>
      <c r="AT3" s="33"/>
      <c r="AU3" s="28"/>
      <c r="AV3" s="25"/>
      <c r="AW3" s="25"/>
      <c r="AX3" s="25"/>
      <c r="AY3" s="25"/>
      <c r="AZ3" s="33"/>
      <c r="BA3" s="28"/>
      <c r="BB3" s="25"/>
      <c r="BC3" s="25"/>
      <c r="BD3" s="25"/>
      <c r="BE3" s="25"/>
      <c r="BF3" s="33"/>
      <c r="BG3" s="28"/>
      <c r="BH3" s="25"/>
      <c r="BI3" s="25"/>
      <c r="BJ3" s="25"/>
      <c r="BK3" s="25"/>
      <c r="BL3" s="33"/>
      <c r="BM3" s="23"/>
      <c r="BN3" s="23"/>
      <c r="BO3" s="23"/>
      <c r="BP3" s="23"/>
      <c r="BQ3" s="23"/>
      <c r="BR3" s="23"/>
      <c r="BS3" s="23"/>
      <c r="BT3" s="23"/>
      <c r="BU3" s="23"/>
    </row>
    <row r="4" spans="1:73" ht="15.75" customHeight="1" x14ac:dyDescent="0.25">
      <c r="A4" s="8" t="s">
        <v>1021</v>
      </c>
      <c r="B4" s="8" t="s">
        <v>1021</v>
      </c>
      <c r="C4" s="8" t="s">
        <v>265</v>
      </c>
      <c r="D4" s="8" t="s">
        <v>1022</v>
      </c>
      <c r="E4" s="8" t="s">
        <v>1023</v>
      </c>
      <c r="F4" s="8" t="s">
        <v>43</v>
      </c>
      <c r="G4" s="8"/>
      <c r="H4" s="8">
        <v>100</v>
      </c>
      <c r="I4" s="8" t="s">
        <v>1024</v>
      </c>
      <c r="J4" s="8">
        <v>1</v>
      </c>
      <c r="K4" s="8">
        <v>242</v>
      </c>
      <c r="L4" s="8">
        <v>241</v>
      </c>
      <c r="M4" s="8">
        <v>241</v>
      </c>
      <c r="N4" s="8">
        <v>423</v>
      </c>
      <c r="O4" s="8">
        <v>422</v>
      </c>
      <c r="P4" s="8">
        <v>422</v>
      </c>
      <c r="Q4" s="9" t="s">
        <v>46</v>
      </c>
      <c r="R4" s="16"/>
      <c r="S4" s="10">
        <v>0</v>
      </c>
      <c r="T4" s="10">
        <v>0</v>
      </c>
      <c r="U4" s="10">
        <v>0</v>
      </c>
      <c r="V4" s="11">
        <v>0</v>
      </c>
      <c r="W4" s="12"/>
      <c r="X4" s="17"/>
      <c r="Y4" s="13"/>
      <c r="Z4" s="13"/>
      <c r="AA4" s="13"/>
      <c r="AB4" s="14"/>
      <c r="AC4" s="9"/>
      <c r="AD4" s="16"/>
      <c r="AE4" s="10"/>
      <c r="AF4" s="10"/>
      <c r="AG4" s="10"/>
      <c r="AH4" s="11"/>
      <c r="AI4" s="12"/>
      <c r="AJ4" s="17"/>
      <c r="AK4" s="13"/>
      <c r="AL4" s="13"/>
      <c r="AM4" s="13"/>
      <c r="AN4" s="14"/>
      <c r="AO4" s="9"/>
      <c r="AP4" s="16"/>
      <c r="AQ4" s="10"/>
      <c r="AR4" s="10"/>
      <c r="AS4" s="10"/>
      <c r="AT4" s="11"/>
      <c r="AU4" s="12"/>
      <c r="AV4" s="17"/>
      <c r="AW4" s="13"/>
      <c r="AX4" s="13"/>
      <c r="AY4" s="13"/>
      <c r="AZ4" s="14"/>
      <c r="BA4" s="9"/>
      <c r="BB4" s="16"/>
      <c r="BC4" s="10"/>
      <c r="BD4" s="10"/>
      <c r="BE4" s="10"/>
      <c r="BF4" s="11"/>
      <c r="BG4" s="12"/>
      <c r="BH4" s="17"/>
      <c r="BI4" s="13"/>
      <c r="BJ4" s="13"/>
      <c r="BK4" s="13"/>
      <c r="BL4" s="14"/>
      <c r="BM4" s="8">
        <f t="shared" ref="BM4:BM35" si="0">SUM(S4,Y4,AE4,AK4,AQ4,AW4,BC4,BI4)</f>
        <v>0</v>
      </c>
      <c r="BN4" s="8">
        <f t="shared" ref="BN4:BN35" si="1">SUM(T4,Z4,AF4,AL4,AR4,AX4,BD4,BJ4)</f>
        <v>0</v>
      </c>
      <c r="BO4" s="8">
        <f t="shared" ref="BO4:BO35" si="2">SUM(U4,AA4,AG4,AM4,AS4,AY4,BE4,BK4)</f>
        <v>0</v>
      </c>
      <c r="BP4" s="8">
        <f t="shared" ref="BP4:BP35" si="3">SUM(V4,AB4,AH4,AN4,AT4,AZ4,BF4,BL4)</f>
        <v>0</v>
      </c>
      <c r="BQ4" s="8">
        <f t="shared" ref="BQ4:BQ35" si="4">MAX(BM4:BO4)</f>
        <v>0</v>
      </c>
      <c r="BR4" s="8">
        <f t="shared" ref="BR4:BR35" si="5">MIN(BM4:BO4)</f>
        <v>0</v>
      </c>
      <c r="BS4" s="15">
        <f t="shared" ref="BS4:BS35" si="6">IF(H4&gt;0,(BQ4*SQRT(3)*IF(N4&gt;0,N4,IF(O4&gt;0,O4,IF(P4&gt;0,P4,415)))/(H4*1000))*100,0)</f>
        <v>0</v>
      </c>
      <c r="BT4" s="15" t="str">
        <f t="shared" ref="BT4:BT35" si="7">IF(BS4&gt;70,"Upgrade","OK - No Upgrade")</f>
        <v>OK - No Upgrade</v>
      </c>
      <c r="BU4" s="15" t="str">
        <f t="shared" ref="BU4:BU35" si="8">IF(IF(AVERAGE(BM4:BO4)&gt;0,((BQ4-AVERAGE(BM4:BO4))/AVERAGE(BM4:BO4))*100,0)&gt;10,"Need to Balance","OK - Balanced")</f>
        <v>OK - Balanced</v>
      </c>
    </row>
    <row r="5" spans="1:73" ht="15.75" customHeight="1" x14ac:dyDescent="0.25">
      <c r="A5" s="8" t="s">
        <v>1021</v>
      </c>
      <c r="B5" s="8" t="s">
        <v>1021</v>
      </c>
      <c r="C5" s="8" t="s">
        <v>265</v>
      </c>
      <c r="D5" s="8" t="s">
        <v>1025</v>
      </c>
      <c r="E5" s="8" t="s">
        <v>432</v>
      </c>
      <c r="F5" s="8" t="s">
        <v>43</v>
      </c>
      <c r="G5" s="8"/>
      <c r="H5" s="8">
        <v>100</v>
      </c>
      <c r="I5" s="8" t="s">
        <v>1026</v>
      </c>
      <c r="J5" s="8">
        <v>1</v>
      </c>
      <c r="K5" s="8">
        <v>242</v>
      </c>
      <c r="L5" s="8">
        <v>242</v>
      </c>
      <c r="M5" s="8">
        <v>241</v>
      </c>
      <c r="N5" s="8">
        <v>421</v>
      </c>
      <c r="O5" s="8">
        <v>420</v>
      </c>
      <c r="P5" s="8">
        <v>421</v>
      </c>
      <c r="Q5" s="9" t="s">
        <v>132</v>
      </c>
      <c r="R5" s="16"/>
      <c r="S5" s="10">
        <v>10</v>
      </c>
      <c r="T5" s="10">
        <v>10</v>
      </c>
      <c r="U5" s="10">
        <v>10</v>
      </c>
      <c r="V5" s="11">
        <v>0</v>
      </c>
      <c r="W5" s="12"/>
      <c r="X5" s="17"/>
      <c r="Y5" s="13"/>
      <c r="Z5" s="13"/>
      <c r="AA5" s="13"/>
      <c r="AB5" s="14"/>
      <c r="AC5" s="9"/>
      <c r="AD5" s="16"/>
      <c r="AE5" s="10"/>
      <c r="AF5" s="10"/>
      <c r="AG5" s="10"/>
      <c r="AH5" s="11"/>
      <c r="AI5" s="12"/>
      <c r="AJ5" s="17"/>
      <c r="AK5" s="13"/>
      <c r="AL5" s="13"/>
      <c r="AM5" s="13"/>
      <c r="AN5" s="14"/>
      <c r="AO5" s="9"/>
      <c r="AP5" s="16"/>
      <c r="AQ5" s="10"/>
      <c r="AR5" s="10"/>
      <c r="AS5" s="10"/>
      <c r="AT5" s="11"/>
      <c r="AU5" s="12"/>
      <c r="AV5" s="17"/>
      <c r="AW5" s="13"/>
      <c r="AX5" s="13"/>
      <c r="AY5" s="13"/>
      <c r="AZ5" s="14"/>
      <c r="BA5" s="9"/>
      <c r="BB5" s="16"/>
      <c r="BC5" s="10"/>
      <c r="BD5" s="10"/>
      <c r="BE5" s="10"/>
      <c r="BF5" s="11"/>
      <c r="BG5" s="12"/>
      <c r="BH5" s="17"/>
      <c r="BI5" s="13"/>
      <c r="BJ5" s="13"/>
      <c r="BK5" s="13"/>
      <c r="BL5" s="14"/>
      <c r="BM5" s="8">
        <f t="shared" si="0"/>
        <v>10</v>
      </c>
      <c r="BN5" s="8">
        <f t="shared" si="1"/>
        <v>10</v>
      </c>
      <c r="BO5" s="8">
        <f t="shared" si="2"/>
        <v>10</v>
      </c>
      <c r="BP5" s="8">
        <f t="shared" si="3"/>
        <v>0</v>
      </c>
      <c r="BQ5" s="8">
        <f t="shared" si="4"/>
        <v>10</v>
      </c>
      <c r="BR5" s="8">
        <f t="shared" si="5"/>
        <v>10</v>
      </c>
      <c r="BS5" s="15">
        <f t="shared" si="6"/>
        <v>7.291933899864973</v>
      </c>
      <c r="BT5" s="15" t="str">
        <f t="shared" si="7"/>
        <v>OK - No Upgrade</v>
      </c>
      <c r="BU5" s="15" t="str">
        <f t="shared" si="8"/>
        <v>OK - Balanced</v>
      </c>
    </row>
    <row r="6" spans="1:73" ht="15.75" customHeight="1" x14ac:dyDescent="0.25">
      <c r="A6" s="8" t="s">
        <v>1021</v>
      </c>
      <c r="B6" s="8" t="s">
        <v>1021</v>
      </c>
      <c r="C6" s="8" t="s">
        <v>124</v>
      </c>
      <c r="D6" s="8" t="s">
        <v>1027</v>
      </c>
      <c r="E6" s="8" t="s">
        <v>1028</v>
      </c>
      <c r="F6" s="8" t="s">
        <v>43</v>
      </c>
      <c r="G6" s="8"/>
      <c r="H6" s="8">
        <v>100</v>
      </c>
      <c r="I6" s="8" t="s">
        <v>1029</v>
      </c>
      <c r="J6" s="8">
        <v>1</v>
      </c>
      <c r="K6" s="8">
        <v>238</v>
      </c>
      <c r="L6" s="8">
        <v>234</v>
      </c>
      <c r="M6" s="8">
        <v>235</v>
      </c>
      <c r="N6" s="8">
        <v>413</v>
      </c>
      <c r="O6" s="8">
        <v>406</v>
      </c>
      <c r="P6" s="8">
        <v>411</v>
      </c>
      <c r="Q6" s="9" t="s">
        <v>46</v>
      </c>
      <c r="R6" s="16"/>
      <c r="S6" s="10">
        <v>0</v>
      </c>
      <c r="T6" s="10">
        <v>2</v>
      </c>
      <c r="U6" s="10">
        <v>1</v>
      </c>
      <c r="V6" s="11">
        <v>1</v>
      </c>
      <c r="W6" s="12"/>
      <c r="X6" s="17"/>
      <c r="Y6" s="13"/>
      <c r="Z6" s="13"/>
      <c r="AA6" s="13"/>
      <c r="AB6" s="14"/>
      <c r="AC6" s="9"/>
      <c r="AD6" s="16"/>
      <c r="AE6" s="10"/>
      <c r="AF6" s="10"/>
      <c r="AG6" s="10"/>
      <c r="AH6" s="11"/>
      <c r="AI6" s="12"/>
      <c r="AJ6" s="17"/>
      <c r="AK6" s="13"/>
      <c r="AL6" s="13"/>
      <c r="AM6" s="13"/>
      <c r="AN6" s="14"/>
      <c r="AO6" s="9"/>
      <c r="AP6" s="16"/>
      <c r="AQ6" s="10"/>
      <c r="AR6" s="10"/>
      <c r="AS6" s="10"/>
      <c r="AT6" s="11"/>
      <c r="AU6" s="12"/>
      <c r="AV6" s="17"/>
      <c r="AW6" s="13"/>
      <c r="AX6" s="13"/>
      <c r="AY6" s="13"/>
      <c r="AZ6" s="14"/>
      <c r="BA6" s="9"/>
      <c r="BB6" s="16"/>
      <c r="BC6" s="10"/>
      <c r="BD6" s="10"/>
      <c r="BE6" s="10"/>
      <c r="BF6" s="11"/>
      <c r="BG6" s="12"/>
      <c r="BH6" s="17"/>
      <c r="BI6" s="13"/>
      <c r="BJ6" s="13"/>
      <c r="BK6" s="13"/>
      <c r="BL6" s="14"/>
      <c r="BM6" s="8">
        <f t="shared" si="0"/>
        <v>0</v>
      </c>
      <c r="BN6" s="8">
        <f t="shared" si="1"/>
        <v>2</v>
      </c>
      <c r="BO6" s="8">
        <f t="shared" si="2"/>
        <v>1</v>
      </c>
      <c r="BP6" s="8">
        <f t="shared" si="3"/>
        <v>1</v>
      </c>
      <c r="BQ6" s="8">
        <f t="shared" si="4"/>
        <v>2</v>
      </c>
      <c r="BR6" s="8">
        <f t="shared" si="5"/>
        <v>0</v>
      </c>
      <c r="BS6" s="15">
        <f t="shared" si="6"/>
        <v>1.4306739670518926</v>
      </c>
      <c r="BT6" s="15" t="str">
        <f t="shared" si="7"/>
        <v>OK - No Upgrade</v>
      </c>
      <c r="BU6" s="15" t="str">
        <f t="shared" si="8"/>
        <v>Need to Balance</v>
      </c>
    </row>
    <row r="7" spans="1:73" ht="15.75" customHeight="1" x14ac:dyDescent="0.25">
      <c r="A7" s="8" t="s">
        <v>1021</v>
      </c>
      <c r="B7" s="8" t="s">
        <v>1021</v>
      </c>
      <c r="C7" s="8" t="s">
        <v>124</v>
      </c>
      <c r="D7" s="8" t="s">
        <v>1030</v>
      </c>
      <c r="E7" s="8" t="s">
        <v>1031</v>
      </c>
      <c r="F7" s="8" t="s">
        <v>43</v>
      </c>
      <c r="G7" s="8"/>
      <c r="H7" s="8">
        <v>100</v>
      </c>
      <c r="I7" s="8" t="s">
        <v>1032</v>
      </c>
      <c r="J7" s="8">
        <v>1</v>
      </c>
      <c r="K7" s="8">
        <v>240</v>
      </c>
      <c r="L7" s="8">
        <v>243</v>
      </c>
      <c r="M7" s="8">
        <v>240</v>
      </c>
      <c r="N7" s="8">
        <v>421</v>
      </c>
      <c r="O7" s="8">
        <v>413</v>
      </c>
      <c r="P7" s="8">
        <v>419</v>
      </c>
      <c r="Q7" s="9" t="s">
        <v>46</v>
      </c>
      <c r="R7" s="16"/>
      <c r="S7" s="10">
        <v>0</v>
      </c>
      <c r="T7" s="10">
        <v>0</v>
      </c>
      <c r="U7" s="10">
        <v>0</v>
      </c>
      <c r="V7" s="11">
        <v>0</v>
      </c>
      <c r="W7" s="12"/>
      <c r="X7" s="17"/>
      <c r="Y7" s="13"/>
      <c r="Z7" s="13"/>
      <c r="AA7" s="13"/>
      <c r="AB7" s="14"/>
      <c r="AC7" s="9"/>
      <c r="AD7" s="16"/>
      <c r="AE7" s="10"/>
      <c r="AF7" s="10"/>
      <c r="AG7" s="10"/>
      <c r="AH7" s="11"/>
      <c r="AI7" s="12"/>
      <c r="AJ7" s="17"/>
      <c r="AK7" s="13"/>
      <c r="AL7" s="13"/>
      <c r="AM7" s="13"/>
      <c r="AN7" s="14"/>
      <c r="AO7" s="9"/>
      <c r="AP7" s="16"/>
      <c r="AQ7" s="10"/>
      <c r="AR7" s="10"/>
      <c r="AS7" s="10"/>
      <c r="AT7" s="11"/>
      <c r="AU7" s="12"/>
      <c r="AV7" s="17"/>
      <c r="AW7" s="13"/>
      <c r="AX7" s="13"/>
      <c r="AY7" s="13"/>
      <c r="AZ7" s="14"/>
      <c r="BA7" s="9"/>
      <c r="BB7" s="16"/>
      <c r="BC7" s="10"/>
      <c r="BD7" s="10"/>
      <c r="BE7" s="10"/>
      <c r="BF7" s="11"/>
      <c r="BG7" s="12"/>
      <c r="BH7" s="17"/>
      <c r="BI7" s="13"/>
      <c r="BJ7" s="13"/>
      <c r="BK7" s="13"/>
      <c r="BL7" s="14"/>
      <c r="BM7" s="8">
        <f t="shared" si="0"/>
        <v>0</v>
      </c>
      <c r="BN7" s="8">
        <f t="shared" si="1"/>
        <v>0</v>
      </c>
      <c r="BO7" s="8">
        <f t="shared" si="2"/>
        <v>0</v>
      </c>
      <c r="BP7" s="8">
        <f t="shared" si="3"/>
        <v>0</v>
      </c>
      <c r="BQ7" s="8">
        <f t="shared" si="4"/>
        <v>0</v>
      </c>
      <c r="BR7" s="8">
        <f t="shared" si="5"/>
        <v>0</v>
      </c>
      <c r="BS7" s="15">
        <f t="shared" si="6"/>
        <v>0</v>
      </c>
      <c r="BT7" s="15" t="str">
        <f t="shared" si="7"/>
        <v>OK - No Upgrade</v>
      </c>
      <c r="BU7" s="15" t="str">
        <f t="shared" si="8"/>
        <v>OK - Balanced</v>
      </c>
    </row>
    <row r="8" spans="1:73" ht="15.75" customHeight="1" x14ac:dyDescent="0.25">
      <c r="A8" s="8" t="s">
        <v>1021</v>
      </c>
      <c r="B8" s="8" t="s">
        <v>1021</v>
      </c>
      <c r="C8" s="8" t="s">
        <v>124</v>
      </c>
      <c r="D8" s="8" t="s">
        <v>1033</v>
      </c>
      <c r="E8" s="8" t="s">
        <v>1031</v>
      </c>
      <c r="F8" s="8" t="s">
        <v>43</v>
      </c>
      <c r="G8" s="8"/>
      <c r="H8" s="8">
        <v>100</v>
      </c>
      <c r="I8" s="8" t="s">
        <v>1034</v>
      </c>
      <c r="J8" s="8">
        <v>1</v>
      </c>
      <c r="K8" s="8">
        <v>233</v>
      </c>
      <c r="L8" s="8">
        <v>237</v>
      </c>
      <c r="M8" s="8">
        <v>235</v>
      </c>
      <c r="N8" s="8">
        <v>410</v>
      </c>
      <c r="O8" s="8">
        <v>405</v>
      </c>
      <c r="P8" s="8">
        <v>409</v>
      </c>
      <c r="Q8" s="9" t="s">
        <v>46</v>
      </c>
      <c r="R8" s="16"/>
      <c r="S8" s="10">
        <v>0</v>
      </c>
      <c r="T8" s="10">
        <v>0</v>
      </c>
      <c r="U8" s="10">
        <v>0</v>
      </c>
      <c r="V8" s="11">
        <v>0</v>
      </c>
      <c r="W8" s="12"/>
      <c r="X8" s="17"/>
      <c r="Y8" s="13"/>
      <c r="Z8" s="13"/>
      <c r="AA8" s="13"/>
      <c r="AB8" s="14"/>
      <c r="AC8" s="9"/>
      <c r="AD8" s="16"/>
      <c r="AE8" s="10"/>
      <c r="AF8" s="10"/>
      <c r="AG8" s="10"/>
      <c r="AH8" s="11"/>
      <c r="AI8" s="12"/>
      <c r="AJ8" s="17"/>
      <c r="AK8" s="13"/>
      <c r="AL8" s="13"/>
      <c r="AM8" s="13"/>
      <c r="AN8" s="14"/>
      <c r="AO8" s="9"/>
      <c r="AP8" s="16"/>
      <c r="AQ8" s="10"/>
      <c r="AR8" s="10"/>
      <c r="AS8" s="10"/>
      <c r="AT8" s="11"/>
      <c r="AU8" s="12"/>
      <c r="AV8" s="17"/>
      <c r="AW8" s="13"/>
      <c r="AX8" s="13"/>
      <c r="AY8" s="13"/>
      <c r="AZ8" s="14"/>
      <c r="BA8" s="9"/>
      <c r="BB8" s="16"/>
      <c r="BC8" s="10"/>
      <c r="BD8" s="10"/>
      <c r="BE8" s="10"/>
      <c r="BF8" s="11"/>
      <c r="BG8" s="12"/>
      <c r="BH8" s="17"/>
      <c r="BI8" s="13"/>
      <c r="BJ8" s="13"/>
      <c r="BK8" s="13"/>
      <c r="BL8" s="14"/>
      <c r="BM8" s="8">
        <f t="shared" si="0"/>
        <v>0</v>
      </c>
      <c r="BN8" s="8">
        <f t="shared" si="1"/>
        <v>0</v>
      </c>
      <c r="BO8" s="8">
        <f t="shared" si="2"/>
        <v>0</v>
      </c>
      <c r="BP8" s="8">
        <f t="shared" si="3"/>
        <v>0</v>
      </c>
      <c r="BQ8" s="8">
        <f t="shared" si="4"/>
        <v>0</v>
      </c>
      <c r="BR8" s="8">
        <f t="shared" si="5"/>
        <v>0</v>
      </c>
      <c r="BS8" s="15">
        <f t="shared" si="6"/>
        <v>0</v>
      </c>
      <c r="BT8" s="15" t="str">
        <f t="shared" si="7"/>
        <v>OK - No Upgrade</v>
      </c>
      <c r="BU8" s="15" t="str">
        <f t="shared" si="8"/>
        <v>OK - Balanced</v>
      </c>
    </row>
    <row r="9" spans="1:73" ht="15.75" customHeight="1" x14ac:dyDescent="0.25">
      <c r="A9" s="8" t="s">
        <v>1021</v>
      </c>
      <c r="B9" s="8" t="s">
        <v>1021</v>
      </c>
      <c r="C9" s="8" t="s">
        <v>124</v>
      </c>
      <c r="D9" s="8" t="s">
        <v>1033</v>
      </c>
      <c r="E9" s="8" t="s">
        <v>1035</v>
      </c>
      <c r="F9" s="8" t="s">
        <v>43</v>
      </c>
      <c r="G9" s="8"/>
      <c r="H9" s="8">
        <v>100</v>
      </c>
      <c r="I9" s="8" t="s">
        <v>1036</v>
      </c>
      <c r="J9" s="8">
        <v>1</v>
      </c>
      <c r="K9" s="8">
        <v>243</v>
      </c>
      <c r="L9" s="8">
        <v>248</v>
      </c>
      <c r="M9" s="8">
        <v>243</v>
      </c>
      <c r="N9" s="8">
        <v>428</v>
      </c>
      <c r="O9" s="8">
        <v>420</v>
      </c>
      <c r="P9" s="8">
        <v>427</v>
      </c>
      <c r="Q9" s="9" t="s">
        <v>46</v>
      </c>
      <c r="R9" s="16"/>
      <c r="S9" s="10">
        <v>27</v>
      </c>
      <c r="T9" s="10">
        <v>21</v>
      </c>
      <c r="U9" s="10">
        <v>24</v>
      </c>
      <c r="V9" s="11">
        <v>5</v>
      </c>
      <c r="W9" s="12"/>
      <c r="X9" s="17"/>
      <c r="Y9" s="13"/>
      <c r="Z9" s="13"/>
      <c r="AA9" s="13"/>
      <c r="AB9" s="14"/>
      <c r="AC9" s="9"/>
      <c r="AD9" s="16"/>
      <c r="AE9" s="10"/>
      <c r="AF9" s="10"/>
      <c r="AG9" s="10"/>
      <c r="AH9" s="11"/>
      <c r="AI9" s="12"/>
      <c r="AJ9" s="17"/>
      <c r="AK9" s="13"/>
      <c r="AL9" s="13"/>
      <c r="AM9" s="13"/>
      <c r="AN9" s="14"/>
      <c r="AO9" s="9"/>
      <c r="AP9" s="16"/>
      <c r="AQ9" s="10"/>
      <c r="AR9" s="10"/>
      <c r="AS9" s="10"/>
      <c r="AT9" s="11"/>
      <c r="AU9" s="12"/>
      <c r="AV9" s="17"/>
      <c r="AW9" s="13"/>
      <c r="AX9" s="13"/>
      <c r="AY9" s="13"/>
      <c r="AZ9" s="14"/>
      <c r="BA9" s="9"/>
      <c r="BB9" s="16"/>
      <c r="BC9" s="10"/>
      <c r="BD9" s="10"/>
      <c r="BE9" s="10"/>
      <c r="BF9" s="11"/>
      <c r="BG9" s="12"/>
      <c r="BH9" s="17"/>
      <c r="BI9" s="13"/>
      <c r="BJ9" s="13"/>
      <c r="BK9" s="13"/>
      <c r="BL9" s="14"/>
      <c r="BM9" s="8">
        <f t="shared" si="0"/>
        <v>27</v>
      </c>
      <c r="BN9" s="8">
        <f t="shared" si="1"/>
        <v>21</v>
      </c>
      <c r="BO9" s="8">
        <f t="shared" si="2"/>
        <v>24</v>
      </c>
      <c r="BP9" s="8">
        <f t="shared" si="3"/>
        <v>5</v>
      </c>
      <c r="BQ9" s="8">
        <f t="shared" si="4"/>
        <v>27</v>
      </c>
      <c r="BR9" s="8">
        <f t="shared" si="5"/>
        <v>21</v>
      </c>
      <c r="BS9" s="15">
        <f t="shared" si="6"/>
        <v>20.015579132265941</v>
      </c>
      <c r="BT9" s="15" t="str">
        <f t="shared" si="7"/>
        <v>OK - No Upgrade</v>
      </c>
      <c r="BU9" s="15" t="str">
        <f t="shared" si="8"/>
        <v>Need to Balance</v>
      </c>
    </row>
    <row r="10" spans="1:73" ht="15.75" customHeight="1" x14ac:dyDescent="0.25">
      <c r="A10" s="8" t="s">
        <v>1021</v>
      </c>
      <c r="B10" s="8" t="s">
        <v>1021</v>
      </c>
      <c r="C10" s="8" t="s">
        <v>124</v>
      </c>
      <c r="D10" s="8" t="s">
        <v>1037</v>
      </c>
      <c r="E10" s="8" t="s">
        <v>1038</v>
      </c>
      <c r="F10" s="8" t="s">
        <v>43</v>
      </c>
      <c r="G10" s="8"/>
      <c r="H10" s="8">
        <v>100</v>
      </c>
      <c r="I10" s="8" t="s">
        <v>1039</v>
      </c>
      <c r="J10" s="8">
        <v>1</v>
      </c>
      <c r="K10" s="8">
        <v>242</v>
      </c>
      <c r="L10" s="8">
        <v>248</v>
      </c>
      <c r="M10" s="8">
        <v>246</v>
      </c>
      <c r="N10" s="8">
        <v>428</v>
      </c>
      <c r="O10" s="8">
        <v>424</v>
      </c>
      <c r="P10" s="8">
        <v>428</v>
      </c>
      <c r="Q10" s="9" t="s">
        <v>46</v>
      </c>
      <c r="R10" s="16"/>
      <c r="S10" s="10">
        <v>13</v>
      </c>
      <c r="T10" s="10">
        <v>0</v>
      </c>
      <c r="U10" s="10">
        <v>0</v>
      </c>
      <c r="V10" s="11">
        <v>12</v>
      </c>
      <c r="W10" s="12" t="s">
        <v>46</v>
      </c>
      <c r="X10" s="17"/>
      <c r="Y10" s="13">
        <v>23</v>
      </c>
      <c r="Z10" s="13">
        <v>12</v>
      </c>
      <c r="AA10" s="13">
        <v>10</v>
      </c>
      <c r="AB10" s="14">
        <v>13</v>
      </c>
      <c r="AC10" s="9"/>
      <c r="AD10" s="16"/>
      <c r="AE10" s="10"/>
      <c r="AF10" s="10"/>
      <c r="AG10" s="10"/>
      <c r="AH10" s="11"/>
      <c r="AI10" s="12"/>
      <c r="AJ10" s="17"/>
      <c r="AK10" s="13"/>
      <c r="AL10" s="13"/>
      <c r="AM10" s="13"/>
      <c r="AN10" s="14"/>
      <c r="AO10" s="9"/>
      <c r="AP10" s="16"/>
      <c r="AQ10" s="10"/>
      <c r="AR10" s="10"/>
      <c r="AS10" s="10"/>
      <c r="AT10" s="11"/>
      <c r="AU10" s="12"/>
      <c r="AV10" s="17"/>
      <c r="AW10" s="13"/>
      <c r="AX10" s="13"/>
      <c r="AY10" s="13"/>
      <c r="AZ10" s="14"/>
      <c r="BA10" s="9"/>
      <c r="BB10" s="16"/>
      <c r="BC10" s="10"/>
      <c r="BD10" s="10"/>
      <c r="BE10" s="10"/>
      <c r="BF10" s="11"/>
      <c r="BG10" s="12"/>
      <c r="BH10" s="17"/>
      <c r="BI10" s="13"/>
      <c r="BJ10" s="13"/>
      <c r="BK10" s="13"/>
      <c r="BL10" s="14"/>
      <c r="BM10" s="8">
        <f t="shared" si="0"/>
        <v>36</v>
      </c>
      <c r="BN10" s="8">
        <f t="shared" si="1"/>
        <v>12</v>
      </c>
      <c r="BO10" s="8">
        <f t="shared" si="2"/>
        <v>10</v>
      </c>
      <c r="BP10" s="8">
        <f t="shared" si="3"/>
        <v>25</v>
      </c>
      <c r="BQ10" s="8">
        <f t="shared" si="4"/>
        <v>36</v>
      </c>
      <c r="BR10" s="8">
        <f t="shared" si="5"/>
        <v>10</v>
      </c>
      <c r="BS10" s="15">
        <f t="shared" si="6"/>
        <v>26.687438843021262</v>
      </c>
      <c r="BT10" s="15" t="str">
        <f t="shared" si="7"/>
        <v>OK - No Upgrade</v>
      </c>
      <c r="BU10" s="15" t="str">
        <f t="shared" si="8"/>
        <v>Need to Balance</v>
      </c>
    </row>
    <row r="11" spans="1:73" ht="15.75" customHeight="1" x14ac:dyDescent="0.25">
      <c r="A11" s="8" t="s">
        <v>1021</v>
      </c>
      <c r="B11" s="8" t="s">
        <v>1021</v>
      </c>
      <c r="C11" s="8" t="s">
        <v>124</v>
      </c>
      <c r="D11" s="8" t="s">
        <v>1033</v>
      </c>
      <c r="E11" s="8" t="s">
        <v>1040</v>
      </c>
      <c r="F11" s="8" t="s">
        <v>43</v>
      </c>
      <c r="G11" s="8"/>
      <c r="H11" s="8">
        <v>100</v>
      </c>
      <c r="I11" s="8" t="s">
        <v>1039</v>
      </c>
      <c r="J11" s="8">
        <v>1</v>
      </c>
      <c r="K11" s="8">
        <v>233</v>
      </c>
      <c r="L11" s="8">
        <v>237</v>
      </c>
      <c r="M11" s="8">
        <v>234</v>
      </c>
      <c r="N11" s="8">
        <v>410</v>
      </c>
      <c r="O11" s="8">
        <v>404</v>
      </c>
      <c r="P11" s="8">
        <v>409</v>
      </c>
      <c r="Q11" s="9" t="s">
        <v>132</v>
      </c>
      <c r="R11" s="16"/>
      <c r="S11" s="10">
        <v>2</v>
      </c>
      <c r="T11" s="10">
        <v>1</v>
      </c>
      <c r="U11" s="10">
        <v>2</v>
      </c>
      <c r="V11" s="11">
        <v>0</v>
      </c>
      <c r="W11" s="12"/>
      <c r="X11" s="17"/>
      <c r="Y11" s="13"/>
      <c r="Z11" s="13"/>
      <c r="AA11" s="13"/>
      <c r="AB11" s="14"/>
      <c r="AC11" s="9"/>
      <c r="AD11" s="16"/>
      <c r="AE11" s="10"/>
      <c r="AF11" s="10"/>
      <c r="AG11" s="10"/>
      <c r="AH11" s="11"/>
      <c r="AI11" s="12"/>
      <c r="AJ11" s="17"/>
      <c r="AK11" s="13"/>
      <c r="AL11" s="13"/>
      <c r="AM11" s="13"/>
      <c r="AN11" s="14"/>
      <c r="AO11" s="9"/>
      <c r="AP11" s="16"/>
      <c r="AQ11" s="10"/>
      <c r="AR11" s="10"/>
      <c r="AS11" s="10"/>
      <c r="AT11" s="11"/>
      <c r="AU11" s="12"/>
      <c r="AV11" s="17"/>
      <c r="AW11" s="13"/>
      <c r="AX11" s="13"/>
      <c r="AY11" s="13"/>
      <c r="AZ11" s="14"/>
      <c r="BA11" s="9"/>
      <c r="BB11" s="16"/>
      <c r="BC11" s="10"/>
      <c r="BD11" s="10"/>
      <c r="BE11" s="10"/>
      <c r="BF11" s="11"/>
      <c r="BG11" s="12"/>
      <c r="BH11" s="17"/>
      <c r="BI11" s="13"/>
      <c r="BJ11" s="13"/>
      <c r="BK11" s="13"/>
      <c r="BL11" s="14"/>
      <c r="BM11" s="8">
        <f t="shared" si="0"/>
        <v>2</v>
      </c>
      <c r="BN11" s="8">
        <f t="shared" si="1"/>
        <v>1</v>
      </c>
      <c r="BO11" s="8">
        <f t="shared" si="2"/>
        <v>2</v>
      </c>
      <c r="BP11" s="8">
        <f t="shared" si="3"/>
        <v>0</v>
      </c>
      <c r="BQ11" s="8">
        <f t="shared" si="4"/>
        <v>2</v>
      </c>
      <c r="BR11" s="8">
        <f t="shared" si="5"/>
        <v>1</v>
      </c>
      <c r="BS11" s="15">
        <f t="shared" si="6"/>
        <v>1.4202816622064791</v>
      </c>
      <c r="BT11" s="15" t="str">
        <f t="shared" si="7"/>
        <v>OK - No Upgrade</v>
      </c>
      <c r="BU11" s="15" t="str">
        <f t="shared" si="8"/>
        <v>Need to Balance</v>
      </c>
    </row>
    <row r="12" spans="1:73" ht="15.75" customHeight="1" x14ac:dyDescent="0.25">
      <c r="A12" s="8" t="s">
        <v>1021</v>
      </c>
      <c r="B12" s="8" t="s">
        <v>1021</v>
      </c>
      <c r="C12" s="8" t="s">
        <v>124</v>
      </c>
      <c r="D12" s="8" t="s">
        <v>1041</v>
      </c>
      <c r="E12" s="8" t="s">
        <v>1042</v>
      </c>
      <c r="F12" s="8" t="s">
        <v>43</v>
      </c>
      <c r="G12" s="8"/>
      <c r="H12" s="8">
        <v>100</v>
      </c>
      <c r="I12" s="8" t="s">
        <v>1043</v>
      </c>
      <c r="J12" s="8">
        <v>1</v>
      </c>
      <c r="K12" s="8">
        <v>240</v>
      </c>
      <c r="L12" s="8">
        <v>244</v>
      </c>
      <c r="M12" s="8">
        <v>241</v>
      </c>
      <c r="N12" s="8">
        <v>422</v>
      </c>
      <c r="O12" s="8">
        <v>415</v>
      </c>
      <c r="P12" s="8">
        <v>422</v>
      </c>
      <c r="Q12" s="9" t="s">
        <v>46</v>
      </c>
      <c r="R12" s="16"/>
      <c r="S12" s="10">
        <v>0</v>
      </c>
      <c r="T12" s="10">
        <v>0</v>
      </c>
      <c r="U12" s="10">
        <v>0</v>
      </c>
      <c r="V12" s="11">
        <v>0</v>
      </c>
      <c r="W12" s="12"/>
      <c r="X12" s="17"/>
      <c r="Y12" s="13"/>
      <c r="Z12" s="13"/>
      <c r="AA12" s="13"/>
      <c r="AB12" s="14"/>
      <c r="AC12" s="9"/>
      <c r="AD12" s="16"/>
      <c r="AE12" s="10"/>
      <c r="AF12" s="10"/>
      <c r="AG12" s="10"/>
      <c r="AH12" s="11"/>
      <c r="AI12" s="12"/>
      <c r="AJ12" s="17"/>
      <c r="AK12" s="13"/>
      <c r="AL12" s="13"/>
      <c r="AM12" s="13"/>
      <c r="AN12" s="14"/>
      <c r="AO12" s="9"/>
      <c r="AP12" s="16"/>
      <c r="AQ12" s="10"/>
      <c r="AR12" s="10"/>
      <c r="AS12" s="10"/>
      <c r="AT12" s="11"/>
      <c r="AU12" s="12"/>
      <c r="AV12" s="17"/>
      <c r="AW12" s="13"/>
      <c r="AX12" s="13"/>
      <c r="AY12" s="13"/>
      <c r="AZ12" s="14"/>
      <c r="BA12" s="9"/>
      <c r="BB12" s="16"/>
      <c r="BC12" s="10"/>
      <c r="BD12" s="10"/>
      <c r="BE12" s="10"/>
      <c r="BF12" s="11"/>
      <c r="BG12" s="12"/>
      <c r="BH12" s="17"/>
      <c r="BI12" s="13"/>
      <c r="BJ12" s="13"/>
      <c r="BK12" s="13"/>
      <c r="BL12" s="14"/>
      <c r="BM12" s="8">
        <f t="shared" si="0"/>
        <v>0</v>
      </c>
      <c r="BN12" s="8">
        <f t="shared" si="1"/>
        <v>0</v>
      </c>
      <c r="BO12" s="8">
        <f t="shared" si="2"/>
        <v>0</v>
      </c>
      <c r="BP12" s="8">
        <f t="shared" si="3"/>
        <v>0</v>
      </c>
      <c r="BQ12" s="8">
        <f t="shared" si="4"/>
        <v>0</v>
      </c>
      <c r="BR12" s="8">
        <f t="shared" si="5"/>
        <v>0</v>
      </c>
      <c r="BS12" s="15">
        <f t="shared" si="6"/>
        <v>0</v>
      </c>
      <c r="BT12" s="15" t="str">
        <f t="shared" si="7"/>
        <v>OK - No Upgrade</v>
      </c>
      <c r="BU12" s="15" t="str">
        <f t="shared" si="8"/>
        <v>OK - Balanced</v>
      </c>
    </row>
    <row r="13" spans="1:73" ht="15.75" customHeight="1" x14ac:dyDescent="0.25">
      <c r="A13" s="8" t="s">
        <v>1021</v>
      </c>
      <c r="B13" s="8" t="s">
        <v>1021</v>
      </c>
      <c r="C13" s="8" t="s">
        <v>124</v>
      </c>
      <c r="D13" s="8" t="s">
        <v>1044</v>
      </c>
      <c r="E13" s="8" t="s">
        <v>1045</v>
      </c>
      <c r="F13" s="8" t="s">
        <v>43</v>
      </c>
      <c r="G13" s="8"/>
      <c r="H13" s="8">
        <v>100</v>
      </c>
      <c r="I13" s="8" t="s">
        <v>1046</v>
      </c>
      <c r="J13" s="8">
        <v>1</v>
      </c>
      <c r="K13" s="8">
        <v>234</v>
      </c>
      <c r="L13" s="8">
        <v>238</v>
      </c>
      <c r="M13" s="8">
        <v>234</v>
      </c>
      <c r="N13" s="8">
        <v>412</v>
      </c>
      <c r="O13" s="8">
        <v>411</v>
      </c>
      <c r="P13" s="8">
        <v>410</v>
      </c>
      <c r="Q13" s="9" t="s">
        <v>46</v>
      </c>
      <c r="R13" s="16"/>
      <c r="S13" s="10">
        <v>0</v>
      </c>
      <c r="T13" s="10">
        <v>0</v>
      </c>
      <c r="U13" s="10">
        <v>12</v>
      </c>
      <c r="V13" s="11">
        <v>12</v>
      </c>
      <c r="W13" s="12"/>
      <c r="X13" s="17"/>
      <c r="Y13" s="13"/>
      <c r="Z13" s="13"/>
      <c r="AA13" s="13"/>
      <c r="AB13" s="14"/>
      <c r="AC13" s="9"/>
      <c r="AD13" s="16"/>
      <c r="AE13" s="10"/>
      <c r="AF13" s="10"/>
      <c r="AG13" s="10"/>
      <c r="AH13" s="11"/>
      <c r="AI13" s="12"/>
      <c r="AJ13" s="17"/>
      <c r="AK13" s="13"/>
      <c r="AL13" s="13"/>
      <c r="AM13" s="13"/>
      <c r="AN13" s="14"/>
      <c r="AO13" s="9"/>
      <c r="AP13" s="16"/>
      <c r="AQ13" s="10"/>
      <c r="AR13" s="10"/>
      <c r="AS13" s="10"/>
      <c r="AT13" s="11"/>
      <c r="AU13" s="12"/>
      <c r="AV13" s="17"/>
      <c r="AW13" s="13"/>
      <c r="AX13" s="13"/>
      <c r="AY13" s="13"/>
      <c r="AZ13" s="14"/>
      <c r="BA13" s="9"/>
      <c r="BB13" s="16"/>
      <c r="BC13" s="10"/>
      <c r="BD13" s="10"/>
      <c r="BE13" s="10"/>
      <c r="BF13" s="11"/>
      <c r="BG13" s="12"/>
      <c r="BH13" s="17"/>
      <c r="BI13" s="13"/>
      <c r="BJ13" s="13"/>
      <c r="BK13" s="13"/>
      <c r="BL13" s="14"/>
      <c r="BM13" s="8">
        <f t="shared" si="0"/>
        <v>0</v>
      </c>
      <c r="BN13" s="8">
        <f t="shared" si="1"/>
        <v>0</v>
      </c>
      <c r="BO13" s="8">
        <f t="shared" si="2"/>
        <v>12</v>
      </c>
      <c r="BP13" s="8">
        <f t="shared" si="3"/>
        <v>12</v>
      </c>
      <c r="BQ13" s="8">
        <f t="shared" si="4"/>
        <v>12</v>
      </c>
      <c r="BR13" s="8">
        <f t="shared" si="5"/>
        <v>0</v>
      </c>
      <c r="BS13" s="15">
        <f t="shared" si="6"/>
        <v>8.5632591926205297</v>
      </c>
      <c r="BT13" s="15" t="str">
        <f t="shared" si="7"/>
        <v>OK - No Upgrade</v>
      </c>
      <c r="BU13" s="15" t="str">
        <f t="shared" si="8"/>
        <v>Need to Balance</v>
      </c>
    </row>
    <row r="14" spans="1:73" ht="15.75" customHeight="1" x14ac:dyDescent="0.25">
      <c r="A14" s="8" t="s">
        <v>1021</v>
      </c>
      <c r="B14" s="8" t="s">
        <v>1021</v>
      </c>
      <c r="C14" s="8" t="s">
        <v>124</v>
      </c>
      <c r="D14" s="8" t="s">
        <v>1047</v>
      </c>
      <c r="E14" s="8" t="s">
        <v>1048</v>
      </c>
      <c r="F14" s="8" t="s">
        <v>43</v>
      </c>
      <c r="G14" s="8"/>
      <c r="H14" s="8">
        <v>100</v>
      </c>
      <c r="I14" s="8" t="s">
        <v>1049</v>
      </c>
      <c r="J14" s="8">
        <v>1</v>
      </c>
      <c r="K14" s="8">
        <v>233</v>
      </c>
      <c r="L14" s="8">
        <v>233</v>
      </c>
      <c r="M14" s="8">
        <v>232</v>
      </c>
      <c r="N14" s="8">
        <v>405</v>
      </c>
      <c r="O14" s="8">
        <v>403</v>
      </c>
      <c r="P14" s="8">
        <v>404</v>
      </c>
      <c r="Q14" s="9" t="s">
        <v>46</v>
      </c>
      <c r="R14" s="16"/>
      <c r="S14" s="10">
        <v>20</v>
      </c>
      <c r="T14" s="10">
        <v>15</v>
      </c>
      <c r="U14" s="10">
        <v>14</v>
      </c>
      <c r="V14" s="11">
        <v>8</v>
      </c>
      <c r="W14" s="12"/>
      <c r="X14" s="17"/>
      <c r="Y14" s="13"/>
      <c r="Z14" s="13"/>
      <c r="AA14" s="13"/>
      <c r="AB14" s="14"/>
      <c r="AC14" s="9"/>
      <c r="AD14" s="16"/>
      <c r="AE14" s="10"/>
      <c r="AF14" s="10"/>
      <c r="AG14" s="10"/>
      <c r="AH14" s="11"/>
      <c r="AI14" s="12"/>
      <c r="AJ14" s="17"/>
      <c r="AK14" s="13"/>
      <c r="AL14" s="13"/>
      <c r="AM14" s="13"/>
      <c r="AN14" s="14"/>
      <c r="AO14" s="9"/>
      <c r="AP14" s="16"/>
      <c r="AQ14" s="10"/>
      <c r="AR14" s="10"/>
      <c r="AS14" s="10"/>
      <c r="AT14" s="11"/>
      <c r="AU14" s="12"/>
      <c r="AV14" s="17"/>
      <c r="AW14" s="13"/>
      <c r="AX14" s="13"/>
      <c r="AY14" s="13"/>
      <c r="AZ14" s="14"/>
      <c r="BA14" s="9"/>
      <c r="BB14" s="16"/>
      <c r="BC14" s="10"/>
      <c r="BD14" s="10"/>
      <c r="BE14" s="10"/>
      <c r="BF14" s="11"/>
      <c r="BG14" s="12"/>
      <c r="BH14" s="17"/>
      <c r="BI14" s="13"/>
      <c r="BJ14" s="13"/>
      <c r="BK14" s="13"/>
      <c r="BL14" s="14"/>
      <c r="BM14" s="8">
        <f t="shared" si="0"/>
        <v>20</v>
      </c>
      <c r="BN14" s="8">
        <f t="shared" si="1"/>
        <v>15</v>
      </c>
      <c r="BO14" s="8">
        <f t="shared" si="2"/>
        <v>14</v>
      </c>
      <c r="BP14" s="8">
        <f t="shared" si="3"/>
        <v>8</v>
      </c>
      <c r="BQ14" s="8">
        <f t="shared" si="4"/>
        <v>20</v>
      </c>
      <c r="BR14" s="8">
        <f t="shared" si="5"/>
        <v>14</v>
      </c>
      <c r="BS14" s="15">
        <f t="shared" si="6"/>
        <v>14.029611541307904</v>
      </c>
      <c r="BT14" s="15" t="str">
        <f t="shared" si="7"/>
        <v>OK - No Upgrade</v>
      </c>
      <c r="BU14" s="15" t="str">
        <f t="shared" si="8"/>
        <v>Need to Balance</v>
      </c>
    </row>
    <row r="15" spans="1:73" ht="15.75" customHeight="1" x14ac:dyDescent="0.25">
      <c r="A15" s="8" t="s">
        <v>1021</v>
      </c>
      <c r="B15" s="8" t="s">
        <v>1021</v>
      </c>
      <c r="C15" s="8" t="s">
        <v>124</v>
      </c>
      <c r="D15" s="8" t="s">
        <v>1050</v>
      </c>
      <c r="E15" s="8" t="s">
        <v>1051</v>
      </c>
      <c r="F15" s="8" t="s">
        <v>43</v>
      </c>
      <c r="G15" s="8"/>
      <c r="H15" s="8">
        <v>100</v>
      </c>
      <c r="I15" s="8" t="s">
        <v>1052</v>
      </c>
      <c r="J15" s="8">
        <v>1</v>
      </c>
      <c r="K15" s="8">
        <v>234</v>
      </c>
      <c r="L15" s="8">
        <v>235</v>
      </c>
      <c r="M15" s="8">
        <v>232</v>
      </c>
      <c r="N15" s="8">
        <v>408</v>
      </c>
      <c r="O15" s="8">
        <v>405</v>
      </c>
      <c r="P15" s="8">
        <v>406</v>
      </c>
      <c r="Q15" s="9" t="s">
        <v>46</v>
      </c>
      <c r="R15" s="16"/>
      <c r="S15" s="10">
        <v>1</v>
      </c>
      <c r="T15" s="10">
        <v>3</v>
      </c>
      <c r="U15" s="10">
        <v>17</v>
      </c>
      <c r="V15" s="11">
        <v>15</v>
      </c>
      <c r="W15" s="12"/>
      <c r="X15" s="17"/>
      <c r="Y15" s="13"/>
      <c r="Z15" s="13"/>
      <c r="AA15" s="13"/>
      <c r="AB15" s="14"/>
      <c r="AC15" s="9"/>
      <c r="AD15" s="16"/>
      <c r="AE15" s="10"/>
      <c r="AF15" s="10"/>
      <c r="AG15" s="10"/>
      <c r="AH15" s="11"/>
      <c r="AI15" s="12"/>
      <c r="AJ15" s="17"/>
      <c r="AK15" s="13"/>
      <c r="AL15" s="13"/>
      <c r="AM15" s="13"/>
      <c r="AN15" s="14"/>
      <c r="AO15" s="9"/>
      <c r="AP15" s="16"/>
      <c r="AQ15" s="10"/>
      <c r="AR15" s="10"/>
      <c r="AS15" s="10"/>
      <c r="AT15" s="11"/>
      <c r="AU15" s="12"/>
      <c r="AV15" s="17"/>
      <c r="AW15" s="13"/>
      <c r="AX15" s="13"/>
      <c r="AY15" s="13"/>
      <c r="AZ15" s="14"/>
      <c r="BA15" s="9"/>
      <c r="BB15" s="16"/>
      <c r="BC15" s="10"/>
      <c r="BD15" s="10"/>
      <c r="BE15" s="10"/>
      <c r="BF15" s="11"/>
      <c r="BG15" s="12"/>
      <c r="BH15" s="17"/>
      <c r="BI15" s="13"/>
      <c r="BJ15" s="13"/>
      <c r="BK15" s="13"/>
      <c r="BL15" s="14"/>
      <c r="BM15" s="8">
        <f t="shared" si="0"/>
        <v>1</v>
      </c>
      <c r="BN15" s="8">
        <f t="shared" si="1"/>
        <v>3</v>
      </c>
      <c r="BO15" s="8">
        <f t="shared" si="2"/>
        <v>17</v>
      </c>
      <c r="BP15" s="8">
        <f t="shared" si="3"/>
        <v>15</v>
      </c>
      <c r="BQ15" s="8">
        <f t="shared" si="4"/>
        <v>17</v>
      </c>
      <c r="BR15" s="8">
        <f t="shared" si="5"/>
        <v>1</v>
      </c>
      <c r="BS15" s="15">
        <f t="shared" si="6"/>
        <v>12.013504401297732</v>
      </c>
      <c r="BT15" s="15" t="str">
        <f t="shared" si="7"/>
        <v>OK - No Upgrade</v>
      </c>
      <c r="BU15" s="15" t="str">
        <f t="shared" si="8"/>
        <v>Need to Balance</v>
      </c>
    </row>
    <row r="16" spans="1:73" ht="15.75" customHeight="1" x14ac:dyDescent="0.25">
      <c r="A16" s="8" t="s">
        <v>1021</v>
      </c>
      <c r="B16" s="8" t="s">
        <v>1021</v>
      </c>
      <c r="C16" s="8" t="s">
        <v>124</v>
      </c>
      <c r="D16" s="8" t="s">
        <v>1053</v>
      </c>
      <c r="E16" s="8" t="s">
        <v>1054</v>
      </c>
      <c r="F16" s="8" t="s">
        <v>43</v>
      </c>
      <c r="G16" s="8"/>
      <c r="H16" s="8">
        <v>100</v>
      </c>
      <c r="I16" s="8" t="s">
        <v>1055</v>
      </c>
      <c r="J16" s="8">
        <v>1</v>
      </c>
      <c r="K16" s="8">
        <v>233</v>
      </c>
      <c r="L16" s="8">
        <v>234</v>
      </c>
      <c r="M16" s="8">
        <v>232</v>
      </c>
      <c r="N16" s="8">
        <v>408</v>
      </c>
      <c r="O16" s="8">
        <v>404</v>
      </c>
      <c r="P16" s="8">
        <v>406</v>
      </c>
      <c r="Q16" s="9" t="s">
        <v>70</v>
      </c>
      <c r="R16" s="16"/>
      <c r="S16" s="10">
        <v>1</v>
      </c>
      <c r="T16" s="10">
        <v>1</v>
      </c>
      <c r="U16" s="10">
        <v>1</v>
      </c>
      <c r="V16" s="11">
        <v>1</v>
      </c>
      <c r="W16" s="12"/>
      <c r="X16" s="17"/>
      <c r="Y16" s="13"/>
      <c r="Z16" s="13"/>
      <c r="AA16" s="13"/>
      <c r="AB16" s="14"/>
      <c r="AC16" s="9"/>
      <c r="AD16" s="16"/>
      <c r="AE16" s="10"/>
      <c r="AF16" s="10"/>
      <c r="AG16" s="10"/>
      <c r="AH16" s="11"/>
      <c r="AI16" s="12"/>
      <c r="AJ16" s="17"/>
      <c r="AK16" s="13"/>
      <c r="AL16" s="13"/>
      <c r="AM16" s="13"/>
      <c r="AN16" s="14"/>
      <c r="AO16" s="9"/>
      <c r="AP16" s="16"/>
      <c r="AQ16" s="10"/>
      <c r="AR16" s="10"/>
      <c r="AS16" s="10"/>
      <c r="AT16" s="11"/>
      <c r="AU16" s="12"/>
      <c r="AV16" s="17"/>
      <c r="AW16" s="13"/>
      <c r="AX16" s="13"/>
      <c r="AY16" s="13"/>
      <c r="AZ16" s="14"/>
      <c r="BA16" s="9"/>
      <c r="BB16" s="16"/>
      <c r="BC16" s="10"/>
      <c r="BD16" s="10"/>
      <c r="BE16" s="10"/>
      <c r="BF16" s="11"/>
      <c r="BG16" s="12"/>
      <c r="BH16" s="17"/>
      <c r="BI16" s="13"/>
      <c r="BJ16" s="13"/>
      <c r="BK16" s="13"/>
      <c r="BL16" s="14"/>
      <c r="BM16" s="8">
        <f t="shared" si="0"/>
        <v>1</v>
      </c>
      <c r="BN16" s="8">
        <f t="shared" si="1"/>
        <v>1</v>
      </c>
      <c r="BO16" s="8">
        <f t="shared" si="2"/>
        <v>1</v>
      </c>
      <c r="BP16" s="8">
        <f t="shared" si="3"/>
        <v>1</v>
      </c>
      <c r="BQ16" s="8">
        <f t="shared" si="4"/>
        <v>1</v>
      </c>
      <c r="BR16" s="8">
        <f t="shared" si="5"/>
        <v>1</v>
      </c>
      <c r="BS16" s="15">
        <f t="shared" si="6"/>
        <v>0.7066767294881019</v>
      </c>
      <c r="BT16" s="15" t="str">
        <f t="shared" si="7"/>
        <v>OK - No Upgrade</v>
      </c>
      <c r="BU16" s="15" t="str">
        <f t="shared" si="8"/>
        <v>OK - Balanced</v>
      </c>
    </row>
    <row r="17" spans="1:73" ht="15.75" customHeight="1" x14ac:dyDescent="0.25">
      <c r="A17" s="8" t="s">
        <v>1021</v>
      </c>
      <c r="B17" s="8" t="s">
        <v>1021</v>
      </c>
      <c r="C17" s="8" t="s">
        <v>124</v>
      </c>
      <c r="D17" s="8" t="s">
        <v>1056</v>
      </c>
      <c r="E17" s="8" t="s">
        <v>1057</v>
      </c>
      <c r="F17" s="8" t="s">
        <v>43</v>
      </c>
      <c r="G17" s="8"/>
      <c r="H17" s="8">
        <v>100</v>
      </c>
      <c r="I17" s="8" t="s">
        <v>1058</v>
      </c>
      <c r="J17" s="8">
        <v>1</v>
      </c>
      <c r="K17" s="8">
        <v>234</v>
      </c>
      <c r="L17" s="8">
        <v>234</v>
      </c>
      <c r="M17" s="8">
        <v>233</v>
      </c>
      <c r="N17" s="8">
        <v>408</v>
      </c>
      <c r="O17" s="8">
        <v>405</v>
      </c>
      <c r="P17" s="8">
        <v>404</v>
      </c>
      <c r="Q17" s="9" t="s">
        <v>46</v>
      </c>
      <c r="R17" s="16"/>
      <c r="S17" s="10">
        <v>1</v>
      </c>
      <c r="T17" s="10">
        <v>1</v>
      </c>
      <c r="U17" s="10">
        <v>1</v>
      </c>
      <c r="V17" s="11">
        <v>1</v>
      </c>
      <c r="W17" s="12"/>
      <c r="X17" s="17"/>
      <c r="Y17" s="13"/>
      <c r="Z17" s="13"/>
      <c r="AA17" s="13"/>
      <c r="AB17" s="14"/>
      <c r="AC17" s="9"/>
      <c r="AD17" s="16"/>
      <c r="AE17" s="10"/>
      <c r="AF17" s="10"/>
      <c r="AG17" s="10"/>
      <c r="AH17" s="11"/>
      <c r="AI17" s="12"/>
      <c r="AJ17" s="17"/>
      <c r="AK17" s="13"/>
      <c r="AL17" s="13"/>
      <c r="AM17" s="13"/>
      <c r="AN17" s="14"/>
      <c r="AO17" s="9"/>
      <c r="AP17" s="16"/>
      <c r="AQ17" s="10"/>
      <c r="AR17" s="10"/>
      <c r="AS17" s="10"/>
      <c r="AT17" s="11"/>
      <c r="AU17" s="12"/>
      <c r="AV17" s="17"/>
      <c r="AW17" s="13"/>
      <c r="AX17" s="13"/>
      <c r="AY17" s="13"/>
      <c r="AZ17" s="14"/>
      <c r="BA17" s="9"/>
      <c r="BB17" s="16"/>
      <c r="BC17" s="10"/>
      <c r="BD17" s="10"/>
      <c r="BE17" s="10"/>
      <c r="BF17" s="11"/>
      <c r="BG17" s="12"/>
      <c r="BH17" s="17"/>
      <c r="BI17" s="13"/>
      <c r="BJ17" s="13"/>
      <c r="BK17" s="13"/>
      <c r="BL17" s="14"/>
      <c r="BM17" s="8">
        <f t="shared" si="0"/>
        <v>1</v>
      </c>
      <c r="BN17" s="8">
        <f t="shared" si="1"/>
        <v>1</v>
      </c>
      <c r="BO17" s="8">
        <f t="shared" si="2"/>
        <v>1</v>
      </c>
      <c r="BP17" s="8">
        <f t="shared" si="3"/>
        <v>1</v>
      </c>
      <c r="BQ17" s="8">
        <f t="shared" si="4"/>
        <v>1</v>
      </c>
      <c r="BR17" s="8">
        <f t="shared" si="5"/>
        <v>1</v>
      </c>
      <c r="BS17" s="15">
        <f t="shared" si="6"/>
        <v>0.7066767294881019</v>
      </c>
      <c r="BT17" s="15" t="str">
        <f t="shared" si="7"/>
        <v>OK - No Upgrade</v>
      </c>
      <c r="BU17" s="15" t="str">
        <f t="shared" si="8"/>
        <v>OK - Balanced</v>
      </c>
    </row>
    <row r="18" spans="1:73" ht="15.75" customHeight="1" x14ac:dyDescent="0.25">
      <c r="A18" s="8" t="s">
        <v>1021</v>
      </c>
      <c r="B18" s="8" t="s">
        <v>1021</v>
      </c>
      <c r="C18" s="8" t="s">
        <v>124</v>
      </c>
      <c r="D18" s="8" t="s">
        <v>1059</v>
      </c>
      <c r="E18" s="8" t="s">
        <v>1060</v>
      </c>
      <c r="F18" s="8" t="s">
        <v>43</v>
      </c>
      <c r="G18" s="8"/>
      <c r="H18" s="8">
        <v>100</v>
      </c>
      <c r="I18" s="8" t="s">
        <v>1061</v>
      </c>
      <c r="J18" s="8">
        <v>1</v>
      </c>
      <c r="K18" s="8">
        <v>233</v>
      </c>
      <c r="L18" s="8">
        <v>233</v>
      </c>
      <c r="M18" s="8">
        <v>232</v>
      </c>
      <c r="N18" s="8">
        <v>407</v>
      </c>
      <c r="O18" s="8">
        <v>404</v>
      </c>
      <c r="P18" s="8">
        <v>403</v>
      </c>
      <c r="Q18" s="9" t="s">
        <v>46</v>
      </c>
      <c r="R18" s="16"/>
      <c r="S18" s="10">
        <v>1</v>
      </c>
      <c r="T18" s="10">
        <v>1</v>
      </c>
      <c r="U18" s="10">
        <v>1</v>
      </c>
      <c r="V18" s="11">
        <v>1</v>
      </c>
      <c r="W18" s="12"/>
      <c r="X18" s="17"/>
      <c r="Y18" s="13"/>
      <c r="Z18" s="13"/>
      <c r="AA18" s="13"/>
      <c r="AB18" s="14"/>
      <c r="AC18" s="9"/>
      <c r="AD18" s="16"/>
      <c r="AE18" s="10"/>
      <c r="AF18" s="10"/>
      <c r="AG18" s="10"/>
      <c r="AH18" s="11"/>
      <c r="AI18" s="12"/>
      <c r="AJ18" s="17"/>
      <c r="AK18" s="13"/>
      <c r="AL18" s="13"/>
      <c r="AM18" s="13"/>
      <c r="AN18" s="14"/>
      <c r="AO18" s="9"/>
      <c r="AP18" s="16"/>
      <c r="AQ18" s="10"/>
      <c r="AR18" s="10"/>
      <c r="AS18" s="10"/>
      <c r="AT18" s="11"/>
      <c r="AU18" s="12"/>
      <c r="AV18" s="17"/>
      <c r="AW18" s="13"/>
      <c r="AX18" s="13"/>
      <c r="AY18" s="13"/>
      <c r="AZ18" s="14"/>
      <c r="BA18" s="9"/>
      <c r="BB18" s="16"/>
      <c r="BC18" s="10"/>
      <c r="BD18" s="10"/>
      <c r="BE18" s="10"/>
      <c r="BF18" s="11"/>
      <c r="BG18" s="12"/>
      <c r="BH18" s="17"/>
      <c r="BI18" s="13"/>
      <c r="BJ18" s="13"/>
      <c r="BK18" s="13"/>
      <c r="BL18" s="14"/>
      <c r="BM18" s="8">
        <f t="shared" si="0"/>
        <v>1</v>
      </c>
      <c r="BN18" s="8">
        <f t="shared" si="1"/>
        <v>1</v>
      </c>
      <c r="BO18" s="8">
        <f t="shared" si="2"/>
        <v>1</v>
      </c>
      <c r="BP18" s="8">
        <f t="shared" si="3"/>
        <v>1</v>
      </c>
      <c r="BQ18" s="8">
        <f t="shared" si="4"/>
        <v>1</v>
      </c>
      <c r="BR18" s="8">
        <f t="shared" si="5"/>
        <v>1</v>
      </c>
      <c r="BS18" s="15">
        <f t="shared" si="6"/>
        <v>0.70494467868053301</v>
      </c>
      <c r="BT18" s="15" t="str">
        <f t="shared" si="7"/>
        <v>OK - No Upgrade</v>
      </c>
      <c r="BU18" s="15" t="str">
        <f t="shared" si="8"/>
        <v>OK - Balanced</v>
      </c>
    </row>
    <row r="19" spans="1:73" ht="15.75" customHeight="1" x14ac:dyDescent="0.25">
      <c r="A19" s="8" t="s">
        <v>1021</v>
      </c>
      <c r="B19" s="8" t="s">
        <v>1021</v>
      </c>
      <c r="C19" s="8" t="s">
        <v>124</v>
      </c>
      <c r="D19" s="8" t="s">
        <v>1062</v>
      </c>
      <c r="E19" s="8" t="s">
        <v>1063</v>
      </c>
      <c r="F19" s="8" t="s">
        <v>43</v>
      </c>
      <c r="G19" s="8"/>
      <c r="H19" s="8">
        <v>100</v>
      </c>
      <c r="I19" s="8" t="s">
        <v>1064</v>
      </c>
      <c r="J19" s="8">
        <v>1</v>
      </c>
      <c r="K19" s="8">
        <v>232</v>
      </c>
      <c r="L19" s="8">
        <v>231</v>
      </c>
      <c r="M19" s="8">
        <v>230</v>
      </c>
      <c r="N19" s="8">
        <v>404</v>
      </c>
      <c r="O19" s="8">
        <v>402</v>
      </c>
      <c r="P19" s="8">
        <v>401</v>
      </c>
      <c r="Q19" s="9" t="s">
        <v>46</v>
      </c>
      <c r="R19" s="16"/>
      <c r="S19" s="10">
        <v>1</v>
      </c>
      <c r="T19" s="10">
        <v>1</v>
      </c>
      <c r="U19" s="10">
        <v>1</v>
      </c>
      <c r="V19" s="11">
        <v>1</v>
      </c>
      <c r="W19" s="12"/>
      <c r="X19" s="17"/>
      <c r="Y19" s="13"/>
      <c r="Z19" s="13"/>
      <c r="AA19" s="13"/>
      <c r="AB19" s="14"/>
      <c r="AC19" s="9"/>
      <c r="AD19" s="16"/>
      <c r="AE19" s="10"/>
      <c r="AF19" s="10"/>
      <c r="AG19" s="10"/>
      <c r="AH19" s="11"/>
      <c r="AI19" s="12"/>
      <c r="AJ19" s="17"/>
      <c r="AK19" s="13"/>
      <c r="AL19" s="13"/>
      <c r="AM19" s="13"/>
      <c r="AN19" s="14"/>
      <c r="AO19" s="9"/>
      <c r="AP19" s="16"/>
      <c r="AQ19" s="10"/>
      <c r="AR19" s="10"/>
      <c r="AS19" s="10"/>
      <c r="AT19" s="11"/>
      <c r="AU19" s="12"/>
      <c r="AV19" s="17"/>
      <c r="AW19" s="13"/>
      <c r="AX19" s="13"/>
      <c r="AY19" s="13"/>
      <c r="AZ19" s="14"/>
      <c r="BA19" s="9"/>
      <c r="BB19" s="16"/>
      <c r="BC19" s="10"/>
      <c r="BD19" s="10"/>
      <c r="BE19" s="10"/>
      <c r="BF19" s="11"/>
      <c r="BG19" s="12"/>
      <c r="BH19" s="17"/>
      <c r="BI19" s="13"/>
      <c r="BJ19" s="13"/>
      <c r="BK19" s="13"/>
      <c r="BL19" s="14"/>
      <c r="BM19" s="8">
        <f t="shared" si="0"/>
        <v>1</v>
      </c>
      <c r="BN19" s="8">
        <f t="shared" si="1"/>
        <v>1</v>
      </c>
      <c r="BO19" s="8">
        <f t="shared" si="2"/>
        <v>1</v>
      </c>
      <c r="BP19" s="8">
        <f t="shared" si="3"/>
        <v>1</v>
      </c>
      <c r="BQ19" s="8">
        <f t="shared" si="4"/>
        <v>1</v>
      </c>
      <c r="BR19" s="8">
        <f t="shared" si="5"/>
        <v>1</v>
      </c>
      <c r="BS19" s="15">
        <f t="shared" si="6"/>
        <v>0.69974852625782635</v>
      </c>
      <c r="BT19" s="15" t="str">
        <f t="shared" si="7"/>
        <v>OK - No Upgrade</v>
      </c>
      <c r="BU19" s="15" t="str">
        <f t="shared" si="8"/>
        <v>OK - Balanced</v>
      </c>
    </row>
    <row r="20" spans="1:73" ht="15.75" customHeight="1" x14ac:dyDescent="0.25">
      <c r="A20" s="8" t="s">
        <v>1021</v>
      </c>
      <c r="B20" s="8" t="s">
        <v>1021</v>
      </c>
      <c r="C20" s="8" t="s">
        <v>124</v>
      </c>
      <c r="D20" s="8" t="s">
        <v>1065</v>
      </c>
      <c r="E20" s="8" t="s">
        <v>1066</v>
      </c>
      <c r="F20" s="8" t="s">
        <v>43</v>
      </c>
      <c r="G20" s="8"/>
      <c r="H20" s="8">
        <v>100</v>
      </c>
      <c r="I20" s="8" t="s">
        <v>1067</v>
      </c>
      <c r="J20" s="8">
        <v>1</v>
      </c>
      <c r="K20" s="8">
        <v>233</v>
      </c>
      <c r="L20" s="8">
        <v>233</v>
      </c>
      <c r="M20" s="8">
        <v>231</v>
      </c>
      <c r="N20" s="8">
        <v>405</v>
      </c>
      <c r="O20" s="8">
        <v>403</v>
      </c>
      <c r="P20" s="8">
        <v>404</v>
      </c>
      <c r="Q20" s="9" t="s">
        <v>46</v>
      </c>
      <c r="R20" s="16"/>
      <c r="S20" s="10">
        <v>25</v>
      </c>
      <c r="T20" s="10">
        <v>26</v>
      </c>
      <c r="U20" s="10">
        <v>35</v>
      </c>
      <c r="V20" s="11">
        <v>8</v>
      </c>
      <c r="W20" s="12"/>
      <c r="X20" s="17"/>
      <c r="Y20" s="13"/>
      <c r="Z20" s="13"/>
      <c r="AA20" s="13"/>
      <c r="AB20" s="14"/>
      <c r="AC20" s="9"/>
      <c r="AD20" s="16"/>
      <c r="AE20" s="10"/>
      <c r="AF20" s="10"/>
      <c r="AG20" s="10"/>
      <c r="AH20" s="11"/>
      <c r="AI20" s="12"/>
      <c r="AJ20" s="17"/>
      <c r="AK20" s="13"/>
      <c r="AL20" s="13"/>
      <c r="AM20" s="13"/>
      <c r="AN20" s="14"/>
      <c r="AO20" s="9"/>
      <c r="AP20" s="16"/>
      <c r="AQ20" s="10"/>
      <c r="AR20" s="10"/>
      <c r="AS20" s="10"/>
      <c r="AT20" s="11"/>
      <c r="AU20" s="12"/>
      <c r="AV20" s="17"/>
      <c r="AW20" s="13"/>
      <c r="AX20" s="13"/>
      <c r="AY20" s="13"/>
      <c r="AZ20" s="14"/>
      <c r="BA20" s="9"/>
      <c r="BB20" s="16"/>
      <c r="BC20" s="10"/>
      <c r="BD20" s="10"/>
      <c r="BE20" s="10"/>
      <c r="BF20" s="11"/>
      <c r="BG20" s="12"/>
      <c r="BH20" s="17"/>
      <c r="BI20" s="13"/>
      <c r="BJ20" s="13"/>
      <c r="BK20" s="13"/>
      <c r="BL20" s="14"/>
      <c r="BM20" s="8">
        <f t="shared" si="0"/>
        <v>25</v>
      </c>
      <c r="BN20" s="8">
        <f t="shared" si="1"/>
        <v>26</v>
      </c>
      <c r="BO20" s="8">
        <f t="shared" si="2"/>
        <v>35</v>
      </c>
      <c r="BP20" s="8">
        <f t="shared" si="3"/>
        <v>8</v>
      </c>
      <c r="BQ20" s="8">
        <f t="shared" si="4"/>
        <v>35</v>
      </c>
      <c r="BR20" s="8">
        <f t="shared" si="5"/>
        <v>25</v>
      </c>
      <c r="BS20" s="15">
        <f t="shared" si="6"/>
        <v>24.551820197288833</v>
      </c>
      <c r="BT20" s="15" t="str">
        <f t="shared" si="7"/>
        <v>OK - No Upgrade</v>
      </c>
      <c r="BU20" s="15" t="str">
        <f t="shared" si="8"/>
        <v>Need to Balance</v>
      </c>
    </row>
    <row r="21" spans="1:73" ht="15.75" customHeight="1" x14ac:dyDescent="0.25">
      <c r="A21" s="8" t="s">
        <v>1021</v>
      </c>
      <c r="B21" s="8" t="s">
        <v>1021</v>
      </c>
      <c r="C21" s="8" t="s">
        <v>124</v>
      </c>
      <c r="D21" s="8"/>
      <c r="E21" s="8" t="s">
        <v>1068</v>
      </c>
      <c r="F21" s="8" t="s">
        <v>43</v>
      </c>
      <c r="G21" s="8"/>
      <c r="H21" s="8">
        <v>100</v>
      </c>
      <c r="I21" s="8" t="s">
        <v>1069</v>
      </c>
      <c r="J21" s="8">
        <v>1</v>
      </c>
      <c r="K21" s="8">
        <v>233</v>
      </c>
      <c r="L21" s="8">
        <v>235</v>
      </c>
      <c r="M21" s="8">
        <v>233</v>
      </c>
      <c r="N21" s="8">
        <v>410</v>
      </c>
      <c r="O21" s="8">
        <v>405</v>
      </c>
      <c r="P21" s="8">
        <v>405</v>
      </c>
      <c r="Q21" s="9" t="s">
        <v>46</v>
      </c>
      <c r="R21" s="16"/>
      <c r="S21" s="10">
        <v>5</v>
      </c>
      <c r="T21" s="10">
        <v>1</v>
      </c>
      <c r="U21" s="10">
        <v>1</v>
      </c>
      <c r="V21" s="11">
        <v>1</v>
      </c>
      <c r="W21" s="12"/>
      <c r="X21" s="17"/>
      <c r="Y21" s="13"/>
      <c r="Z21" s="13"/>
      <c r="AA21" s="13"/>
      <c r="AB21" s="14"/>
      <c r="AC21" s="9"/>
      <c r="AD21" s="16"/>
      <c r="AE21" s="10"/>
      <c r="AF21" s="10"/>
      <c r="AG21" s="10"/>
      <c r="AH21" s="11"/>
      <c r="AI21" s="12"/>
      <c r="AJ21" s="17"/>
      <c r="AK21" s="13"/>
      <c r="AL21" s="13"/>
      <c r="AM21" s="13"/>
      <c r="AN21" s="14"/>
      <c r="AO21" s="9"/>
      <c r="AP21" s="16"/>
      <c r="AQ21" s="10"/>
      <c r="AR21" s="10"/>
      <c r="AS21" s="10"/>
      <c r="AT21" s="11"/>
      <c r="AU21" s="12"/>
      <c r="AV21" s="17"/>
      <c r="AW21" s="13"/>
      <c r="AX21" s="13"/>
      <c r="AY21" s="13"/>
      <c r="AZ21" s="14"/>
      <c r="BA21" s="9"/>
      <c r="BB21" s="16"/>
      <c r="BC21" s="10"/>
      <c r="BD21" s="10"/>
      <c r="BE21" s="10"/>
      <c r="BF21" s="11"/>
      <c r="BG21" s="12"/>
      <c r="BH21" s="17"/>
      <c r="BI21" s="13"/>
      <c r="BJ21" s="13"/>
      <c r="BK21" s="13"/>
      <c r="BL21" s="14"/>
      <c r="BM21" s="8">
        <f t="shared" si="0"/>
        <v>5</v>
      </c>
      <c r="BN21" s="8">
        <f t="shared" si="1"/>
        <v>1</v>
      </c>
      <c r="BO21" s="8">
        <f t="shared" si="2"/>
        <v>1</v>
      </c>
      <c r="BP21" s="8">
        <f t="shared" si="3"/>
        <v>1</v>
      </c>
      <c r="BQ21" s="8">
        <f t="shared" si="4"/>
        <v>5</v>
      </c>
      <c r="BR21" s="8">
        <f t="shared" si="5"/>
        <v>1</v>
      </c>
      <c r="BS21" s="15">
        <f t="shared" si="6"/>
        <v>3.5507041555161982</v>
      </c>
      <c r="BT21" s="15" t="str">
        <f t="shared" si="7"/>
        <v>OK - No Upgrade</v>
      </c>
      <c r="BU21" s="15" t="str">
        <f t="shared" si="8"/>
        <v>Need to Balance</v>
      </c>
    </row>
    <row r="22" spans="1:73" ht="15.75" customHeight="1" x14ac:dyDescent="0.25">
      <c r="A22" s="8" t="s">
        <v>1021</v>
      </c>
      <c r="B22" s="8" t="s">
        <v>1021</v>
      </c>
      <c r="C22" s="8" t="s">
        <v>124</v>
      </c>
      <c r="D22" s="8"/>
      <c r="E22" s="8" t="s">
        <v>1070</v>
      </c>
      <c r="F22" s="8" t="s">
        <v>43</v>
      </c>
      <c r="G22" s="8"/>
      <c r="H22" s="8">
        <v>100</v>
      </c>
      <c r="I22" s="8" t="s">
        <v>1071</v>
      </c>
      <c r="J22" s="8">
        <v>1</v>
      </c>
      <c r="K22" s="8">
        <v>232</v>
      </c>
      <c r="L22" s="8">
        <v>231</v>
      </c>
      <c r="M22" s="8">
        <v>230</v>
      </c>
      <c r="N22" s="8">
        <v>401</v>
      </c>
      <c r="O22" s="8">
        <v>402</v>
      </c>
      <c r="P22" s="8">
        <v>401</v>
      </c>
      <c r="Q22" s="9" t="s">
        <v>46</v>
      </c>
      <c r="R22" s="16"/>
      <c r="S22" s="10">
        <v>1</v>
      </c>
      <c r="T22" s="10">
        <v>1</v>
      </c>
      <c r="U22" s="10">
        <v>1</v>
      </c>
      <c r="V22" s="11">
        <v>1</v>
      </c>
      <c r="W22" s="12"/>
      <c r="X22" s="17"/>
      <c r="Y22" s="13"/>
      <c r="Z22" s="13"/>
      <c r="AA22" s="13"/>
      <c r="AB22" s="14"/>
      <c r="AC22" s="9"/>
      <c r="AD22" s="16"/>
      <c r="AE22" s="10"/>
      <c r="AF22" s="10"/>
      <c r="AG22" s="10"/>
      <c r="AH22" s="11"/>
      <c r="AI22" s="12"/>
      <c r="AJ22" s="17"/>
      <c r="AK22" s="13"/>
      <c r="AL22" s="13"/>
      <c r="AM22" s="13"/>
      <c r="AN22" s="14"/>
      <c r="AO22" s="9"/>
      <c r="AP22" s="16"/>
      <c r="AQ22" s="10"/>
      <c r="AR22" s="10"/>
      <c r="AS22" s="10"/>
      <c r="AT22" s="11"/>
      <c r="AU22" s="12"/>
      <c r="AV22" s="17"/>
      <c r="AW22" s="13"/>
      <c r="AX22" s="13"/>
      <c r="AY22" s="13"/>
      <c r="AZ22" s="14"/>
      <c r="BA22" s="9"/>
      <c r="BB22" s="16"/>
      <c r="BC22" s="10"/>
      <c r="BD22" s="10"/>
      <c r="BE22" s="10"/>
      <c r="BF22" s="11"/>
      <c r="BG22" s="12"/>
      <c r="BH22" s="17"/>
      <c r="BI22" s="13"/>
      <c r="BJ22" s="13"/>
      <c r="BK22" s="13"/>
      <c r="BL22" s="14"/>
      <c r="BM22" s="8">
        <f t="shared" si="0"/>
        <v>1</v>
      </c>
      <c r="BN22" s="8">
        <f t="shared" si="1"/>
        <v>1</v>
      </c>
      <c r="BO22" s="8">
        <f t="shared" si="2"/>
        <v>1</v>
      </c>
      <c r="BP22" s="8">
        <f t="shared" si="3"/>
        <v>1</v>
      </c>
      <c r="BQ22" s="8">
        <f t="shared" si="4"/>
        <v>1</v>
      </c>
      <c r="BR22" s="8">
        <f t="shared" si="5"/>
        <v>1</v>
      </c>
      <c r="BS22" s="15">
        <f t="shared" si="6"/>
        <v>0.6945523738351197</v>
      </c>
      <c r="BT22" s="15" t="str">
        <f t="shared" si="7"/>
        <v>OK - No Upgrade</v>
      </c>
      <c r="BU22" s="15" t="str">
        <f t="shared" si="8"/>
        <v>OK - Balanced</v>
      </c>
    </row>
    <row r="23" spans="1:73" ht="15.75" customHeight="1" x14ac:dyDescent="0.25">
      <c r="A23" s="8" t="s">
        <v>1021</v>
      </c>
      <c r="B23" s="8" t="s">
        <v>1021</v>
      </c>
      <c r="C23" s="8" t="s">
        <v>124</v>
      </c>
      <c r="D23" s="8"/>
      <c r="E23" s="8" t="s">
        <v>1072</v>
      </c>
      <c r="F23" s="8" t="s">
        <v>43</v>
      </c>
      <c r="G23" s="8"/>
      <c r="H23" s="8">
        <v>100</v>
      </c>
      <c r="I23" s="8" t="s">
        <v>1073</v>
      </c>
      <c r="J23" s="8">
        <v>1</v>
      </c>
      <c r="K23" s="8">
        <v>236</v>
      </c>
      <c r="L23" s="8">
        <v>237</v>
      </c>
      <c r="M23" s="8">
        <v>235</v>
      </c>
      <c r="N23" s="8">
        <v>410</v>
      </c>
      <c r="O23" s="8">
        <v>408</v>
      </c>
      <c r="P23" s="8">
        <v>410</v>
      </c>
      <c r="Q23" s="9" t="s">
        <v>46</v>
      </c>
      <c r="R23" s="16"/>
      <c r="S23" s="10">
        <v>76</v>
      </c>
      <c r="T23" s="10">
        <v>63</v>
      </c>
      <c r="U23" s="10">
        <v>85</v>
      </c>
      <c r="V23" s="11">
        <v>28</v>
      </c>
      <c r="W23" s="12"/>
      <c r="X23" s="17"/>
      <c r="Y23" s="13"/>
      <c r="Z23" s="13"/>
      <c r="AA23" s="13"/>
      <c r="AB23" s="14"/>
      <c r="AC23" s="9"/>
      <c r="AD23" s="16"/>
      <c r="AE23" s="10"/>
      <c r="AF23" s="10"/>
      <c r="AG23" s="10"/>
      <c r="AH23" s="11"/>
      <c r="AI23" s="12"/>
      <c r="AJ23" s="17"/>
      <c r="AK23" s="13"/>
      <c r="AL23" s="13"/>
      <c r="AM23" s="13"/>
      <c r="AN23" s="14"/>
      <c r="AO23" s="9"/>
      <c r="AP23" s="16"/>
      <c r="AQ23" s="10"/>
      <c r="AR23" s="10"/>
      <c r="AS23" s="10"/>
      <c r="AT23" s="11"/>
      <c r="AU23" s="12"/>
      <c r="AV23" s="17"/>
      <c r="AW23" s="13"/>
      <c r="AX23" s="13"/>
      <c r="AY23" s="13"/>
      <c r="AZ23" s="14"/>
      <c r="BA23" s="9"/>
      <c r="BB23" s="16"/>
      <c r="BC23" s="10"/>
      <c r="BD23" s="10"/>
      <c r="BE23" s="10"/>
      <c r="BF23" s="11"/>
      <c r="BG23" s="12"/>
      <c r="BH23" s="17"/>
      <c r="BI23" s="13"/>
      <c r="BJ23" s="13"/>
      <c r="BK23" s="13"/>
      <c r="BL23" s="14"/>
      <c r="BM23" s="8">
        <f t="shared" si="0"/>
        <v>76</v>
      </c>
      <c r="BN23" s="8">
        <f t="shared" si="1"/>
        <v>63</v>
      </c>
      <c r="BO23" s="8">
        <f t="shared" si="2"/>
        <v>85</v>
      </c>
      <c r="BP23" s="8">
        <f t="shared" si="3"/>
        <v>28</v>
      </c>
      <c r="BQ23" s="8">
        <f t="shared" si="4"/>
        <v>85</v>
      </c>
      <c r="BR23" s="8">
        <f t="shared" si="5"/>
        <v>63</v>
      </c>
      <c r="BS23" s="15">
        <f t="shared" si="6"/>
        <v>60.361970643775379</v>
      </c>
      <c r="BT23" s="15" t="str">
        <f t="shared" si="7"/>
        <v>OK - No Upgrade</v>
      </c>
      <c r="BU23" s="15" t="str">
        <f t="shared" si="8"/>
        <v>Need to Balance</v>
      </c>
    </row>
    <row r="24" spans="1:73" ht="15.75" customHeight="1" x14ac:dyDescent="0.25">
      <c r="A24" s="8" t="s">
        <v>1021</v>
      </c>
      <c r="B24" s="8" t="s">
        <v>1021</v>
      </c>
      <c r="C24" s="8" t="s">
        <v>124</v>
      </c>
      <c r="D24" s="8"/>
      <c r="E24" s="8" t="s">
        <v>1074</v>
      </c>
      <c r="F24" s="8" t="s">
        <v>43</v>
      </c>
      <c r="G24" s="8"/>
      <c r="H24" s="8">
        <v>100</v>
      </c>
      <c r="I24" s="8" t="s">
        <v>1075</v>
      </c>
      <c r="J24" s="8">
        <v>1</v>
      </c>
      <c r="K24" s="8">
        <v>242</v>
      </c>
      <c r="L24" s="8">
        <v>243</v>
      </c>
      <c r="M24" s="8">
        <v>241</v>
      </c>
      <c r="N24" s="8">
        <v>419</v>
      </c>
      <c r="O24" s="8">
        <v>420</v>
      </c>
      <c r="P24" s="8">
        <v>422</v>
      </c>
      <c r="Q24" s="9" t="s">
        <v>46</v>
      </c>
      <c r="R24" s="16"/>
      <c r="S24" s="10">
        <v>1</v>
      </c>
      <c r="T24" s="10">
        <v>1</v>
      </c>
      <c r="U24" s="10">
        <v>2</v>
      </c>
      <c r="V24" s="11">
        <v>1</v>
      </c>
      <c r="W24" s="12"/>
      <c r="X24" s="17"/>
      <c r="Y24" s="13"/>
      <c r="Z24" s="13"/>
      <c r="AA24" s="13"/>
      <c r="AB24" s="14"/>
      <c r="AC24" s="9"/>
      <c r="AD24" s="16"/>
      <c r="AE24" s="10"/>
      <c r="AF24" s="10"/>
      <c r="AG24" s="10"/>
      <c r="AH24" s="11"/>
      <c r="AI24" s="12"/>
      <c r="AJ24" s="17"/>
      <c r="AK24" s="13"/>
      <c r="AL24" s="13"/>
      <c r="AM24" s="13"/>
      <c r="AN24" s="14"/>
      <c r="AO24" s="9"/>
      <c r="AP24" s="16"/>
      <c r="AQ24" s="10"/>
      <c r="AR24" s="10"/>
      <c r="AS24" s="10"/>
      <c r="AT24" s="11"/>
      <c r="AU24" s="12"/>
      <c r="AV24" s="17"/>
      <c r="AW24" s="13"/>
      <c r="AX24" s="13"/>
      <c r="AY24" s="13"/>
      <c r="AZ24" s="14"/>
      <c r="BA24" s="9"/>
      <c r="BB24" s="16"/>
      <c r="BC24" s="10"/>
      <c r="BD24" s="10"/>
      <c r="BE24" s="10"/>
      <c r="BF24" s="11"/>
      <c r="BG24" s="12"/>
      <c r="BH24" s="17"/>
      <c r="BI24" s="13"/>
      <c r="BJ24" s="13"/>
      <c r="BK24" s="13"/>
      <c r="BL24" s="14"/>
      <c r="BM24" s="8">
        <f t="shared" si="0"/>
        <v>1</v>
      </c>
      <c r="BN24" s="8">
        <f t="shared" si="1"/>
        <v>1</v>
      </c>
      <c r="BO24" s="8">
        <f t="shared" si="2"/>
        <v>2</v>
      </c>
      <c r="BP24" s="8">
        <f t="shared" si="3"/>
        <v>1</v>
      </c>
      <c r="BQ24" s="8">
        <f t="shared" si="4"/>
        <v>2</v>
      </c>
      <c r="BR24" s="8">
        <f t="shared" si="5"/>
        <v>1</v>
      </c>
      <c r="BS24" s="15">
        <f t="shared" si="6"/>
        <v>1.4514585767427191</v>
      </c>
      <c r="BT24" s="15" t="str">
        <f t="shared" si="7"/>
        <v>OK - No Upgrade</v>
      </c>
      <c r="BU24" s="15" t="str">
        <f t="shared" si="8"/>
        <v>Need to Balance</v>
      </c>
    </row>
    <row r="25" spans="1:73" ht="15.75" customHeight="1" x14ac:dyDescent="0.25">
      <c r="A25" s="8" t="s">
        <v>1021</v>
      </c>
      <c r="B25" s="8" t="s">
        <v>1021</v>
      </c>
      <c r="C25" s="8" t="s">
        <v>265</v>
      </c>
      <c r="D25" s="8" t="s">
        <v>1076</v>
      </c>
      <c r="E25" s="8" t="s">
        <v>1077</v>
      </c>
      <c r="F25" s="8" t="s">
        <v>43</v>
      </c>
      <c r="G25" s="8"/>
      <c r="H25" s="8">
        <v>100</v>
      </c>
      <c r="I25" s="8" t="s">
        <v>1078</v>
      </c>
      <c r="J25" s="8">
        <v>1</v>
      </c>
      <c r="K25" s="8">
        <v>234</v>
      </c>
      <c r="L25" s="8">
        <v>234</v>
      </c>
      <c r="M25" s="8">
        <v>233</v>
      </c>
      <c r="N25" s="8">
        <v>405</v>
      </c>
      <c r="O25" s="8">
        <v>404</v>
      </c>
      <c r="P25" s="8">
        <v>404</v>
      </c>
      <c r="Q25" s="9" t="s">
        <v>132</v>
      </c>
      <c r="R25" s="16"/>
      <c r="S25" s="10">
        <v>8</v>
      </c>
      <c r="T25" s="10">
        <v>5</v>
      </c>
      <c r="U25" s="10">
        <v>15</v>
      </c>
      <c r="V25" s="11">
        <v>8</v>
      </c>
      <c r="W25" s="12" t="s">
        <v>46</v>
      </c>
      <c r="X25" s="17"/>
      <c r="Y25" s="13">
        <v>1</v>
      </c>
      <c r="Z25" s="13">
        <v>1</v>
      </c>
      <c r="AA25" s="13">
        <v>15</v>
      </c>
      <c r="AB25" s="14">
        <v>10</v>
      </c>
      <c r="AC25" s="9"/>
      <c r="AD25" s="16"/>
      <c r="AE25" s="10"/>
      <c r="AF25" s="10"/>
      <c r="AG25" s="10"/>
      <c r="AH25" s="11"/>
      <c r="AI25" s="12"/>
      <c r="AJ25" s="17"/>
      <c r="AK25" s="13"/>
      <c r="AL25" s="13"/>
      <c r="AM25" s="13"/>
      <c r="AN25" s="14"/>
      <c r="AO25" s="9"/>
      <c r="AP25" s="16"/>
      <c r="AQ25" s="10"/>
      <c r="AR25" s="10"/>
      <c r="AS25" s="10"/>
      <c r="AT25" s="11"/>
      <c r="AU25" s="12"/>
      <c r="AV25" s="17"/>
      <c r="AW25" s="13"/>
      <c r="AX25" s="13"/>
      <c r="AY25" s="13"/>
      <c r="AZ25" s="14"/>
      <c r="BA25" s="9"/>
      <c r="BB25" s="16"/>
      <c r="BC25" s="10"/>
      <c r="BD25" s="10"/>
      <c r="BE25" s="10"/>
      <c r="BF25" s="11"/>
      <c r="BG25" s="12"/>
      <c r="BH25" s="17"/>
      <c r="BI25" s="13"/>
      <c r="BJ25" s="13"/>
      <c r="BK25" s="13"/>
      <c r="BL25" s="14"/>
      <c r="BM25" s="8">
        <f t="shared" si="0"/>
        <v>9</v>
      </c>
      <c r="BN25" s="8">
        <f t="shared" si="1"/>
        <v>6</v>
      </c>
      <c r="BO25" s="8">
        <f t="shared" si="2"/>
        <v>30</v>
      </c>
      <c r="BP25" s="8">
        <f t="shared" si="3"/>
        <v>18</v>
      </c>
      <c r="BQ25" s="8">
        <f t="shared" si="4"/>
        <v>30</v>
      </c>
      <c r="BR25" s="8">
        <f t="shared" si="5"/>
        <v>6</v>
      </c>
      <c r="BS25" s="15">
        <f t="shared" si="6"/>
        <v>21.044417311961858</v>
      </c>
      <c r="BT25" s="15" t="str">
        <f t="shared" si="7"/>
        <v>OK - No Upgrade</v>
      </c>
      <c r="BU25" s="15" t="str">
        <f t="shared" si="8"/>
        <v>Need to Balance</v>
      </c>
    </row>
    <row r="26" spans="1:73" ht="15.75" customHeight="1" x14ac:dyDescent="0.25">
      <c r="A26" s="8" t="s">
        <v>1021</v>
      </c>
      <c r="B26" s="8" t="s">
        <v>1021</v>
      </c>
      <c r="C26" s="8" t="s">
        <v>40</v>
      </c>
      <c r="D26" s="8" t="s">
        <v>1079</v>
      </c>
      <c r="E26" s="8" t="s">
        <v>1080</v>
      </c>
      <c r="F26" s="8" t="s">
        <v>43</v>
      </c>
      <c r="G26" s="8"/>
      <c r="H26" s="8">
        <v>100</v>
      </c>
      <c r="I26" s="8" t="s">
        <v>1081</v>
      </c>
      <c r="J26" s="8">
        <v>1</v>
      </c>
      <c r="K26" s="8">
        <v>232</v>
      </c>
      <c r="L26" s="8">
        <v>231</v>
      </c>
      <c r="M26" s="8">
        <v>232</v>
      </c>
      <c r="N26" s="8">
        <v>401</v>
      </c>
      <c r="O26" s="8">
        <v>403</v>
      </c>
      <c r="P26" s="8">
        <v>401</v>
      </c>
      <c r="Q26" s="9" t="s">
        <v>46</v>
      </c>
      <c r="R26" s="16"/>
      <c r="S26" s="10">
        <v>32</v>
      </c>
      <c r="T26" s="10">
        <v>32</v>
      </c>
      <c r="U26" s="10">
        <v>13</v>
      </c>
      <c r="V26" s="11">
        <v>17</v>
      </c>
      <c r="W26" s="12"/>
      <c r="X26" s="17"/>
      <c r="Y26" s="13"/>
      <c r="Z26" s="13"/>
      <c r="AA26" s="13"/>
      <c r="AB26" s="14"/>
      <c r="AC26" s="9"/>
      <c r="AD26" s="16"/>
      <c r="AE26" s="10"/>
      <c r="AF26" s="10"/>
      <c r="AG26" s="10"/>
      <c r="AH26" s="11"/>
      <c r="AI26" s="12"/>
      <c r="AJ26" s="17"/>
      <c r="AK26" s="13"/>
      <c r="AL26" s="13"/>
      <c r="AM26" s="13"/>
      <c r="AN26" s="14"/>
      <c r="AO26" s="9"/>
      <c r="AP26" s="16"/>
      <c r="AQ26" s="10"/>
      <c r="AR26" s="10"/>
      <c r="AS26" s="10"/>
      <c r="AT26" s="11"/>
      <c r="AU26" s="12"/>
      <c r="AV26" s="17"/>
      <c r="AW26" s="13"/>
      <c r="AX26" s="13"/>
      <c r="AY26" s="13"/>
      <c r="AZ26" s="14"/>
      <c r="BA26" s="9"/>
      <c r="BB26" s="16"/>
      <c r="BC26" s="10"/>
      <c r="BD26" s="10"/>
      <c r="BE26" s="10"/>
      <c r="BF26" s="11"/>
      <c r="BG26" s="12"/>
      <c r="BH26" s="17"/>
      <c r="BI26" s="13"/>
      <c r="BJ26" s="13"/>
      <c r="BK26" s="13"/>
      <c r="BL26" s="14"/>
      <c r="BM26" s="8">
        <f t="shared" si="0"/>
        <v>32</v>
      </c>
      <c r="BN26" s="8">
        <f t="shared" si="1"/>
        <v>32</v>
      </c>
      <c r="BO26" s="8">
        <f t="shared" si="2"/>
        <v>13</v>
      </c>
      <c r="BP26" s="8">
        <f t="shared" si="3"/>
        <v>17</v>
      </c>
      <c r="BQ26" s="8">
        <f t="shared" si="4"/>
        <v>32</v>
      </c>
      <c r="BR26" s="8">
        <f t="shared" si="5"/>
        <v>13</v>
      </c>
      <c r="BS26" s="15">
        <f t="shared" si="6"/>
        <v>22.22567596272383</v>
      </c>
      <c r="BT26" s="15" t="str">
        <f t="shared" si="7"/>
        <v>OK - No Upgrade</v>
      </c>
      <c r="BU26" s="15" t="str">
        <f t="shared" si="8"/>
        <v>Need to Balance</v>
      </c>
    </row>
    <row r="27" spans="1:73" ht="15.75" customHeight="1" x14ac:dyDescent="0.25">
      <c r="A27" s="8" t="s">
        <v>1021</v>
      </c>
      <c r="B27" s="8" t="s">
        <v>1021</v>
      </c>
      <c r="C27" s="8" t="s">
        <v>40</v>
      </c>
      <c r="D27" s="8" t="s">
        <v>1082</v>
      </c>
      <c r="E27" s="8" t="s">
        <v>1083</v>
      </c>
      <c r="F27" s="8" t="s">
        <v>43</v>
      </c>
      <c r="G27" s="8"/>
      <c r="H27" s="8">
        <v>100</v>
      </c>
      <c r="I27" s="8" t="s">
        <v>1084</v>
      </c>
      <c r="J27" s="8">
        <v>1</v>
      </c>
      <c r="K27" s="8">
        <v>245</v>
      </c>
      <c r="L27" s="8">
        <v>244</v>
      </c>
      <c r="M27" s="8">
        <v>243</v>
      </c>
      <c r="N27" s="8">
        <v>422</v>
      </c>
      <c r="O27" s="8">
        <v>422</v>
      </c>
      <c r="P27" s="8">
        <v>421</v>
      </c>
      <c r="Q27" s="9" t="s">
        <v>46</v>
      </c>
      <c r="R27" s="16"/>
      <c r="S27" s="10">
        <v>2</v>
      </c>
      <c r="T27" s="10">
        <v>2</v>
      </c>
      <c r="U27" s="10">
        <v>1</v>
      </c>
      <c r="V27" s="11">
        <v>2</v>
      </c>
      <c r="W27" s="12"/>
      <c r="X27" s="17"/>
      <c r="Y27" s="13"/>
      <c r="Z27" s="13"/>
      <c r="AA27" s="13"/>
      <c r="AB27" s="14"/>
      <c r="AC27" s="9"/>
      <c r="AD27" s="16"/>
      <c r="AE27" s="10"/>
      <c r="AF27" s="10"/>
      <c r="AG27" s="10"/>
      <c r="AH27" s="11"/>
      <c r="AI27" s="12"/>
      <c r="AJ27" s="17"/>
      <c r="AK27" s="13"/>
      <c r="AL27" s="13"/>
      <c r="AM27" s="13"/>
      <c r="AN27" s="14"/>
      <c r="AO27" s="9"/>
      <c r="AP27" s="16"/>
      <c r="AQ27" s="10"/>
      <c r="AR27" s="10"/>
      <c r="AS27" s="10"/>
      <c r="AT27" s="11"/>
      <c r="AU27" s="12"/>
      <c r="AV27" s="17"/>
      <c r="AW27" s="13"/>
      <c r="AX27" s="13"/>
      <c r="AY27" s="13"/>
      <c r="AZ27" s="14"/>
      <c r="BA27" s="9"/>
      <c r="BB27" s="16"/>
      <c r="BC27" s="10"/>
      <c r="BD27" s="10"/>
      <c r="BE27" s="10"/>
      <c r="BF27" s="11"/>
      <c r="BG27" s="12"/>
      <c r="BH27" s="17"/>
      <c r="BI27" s="13"/>
      <c r="BJ27" s="13"/>
      <c r="BK27" s="13"/>
      <c r="BL27" s="14"/>
      <c r="BM27" s="8">
        <f t="shared" si="0"/>
        <v>2</v>
      </c>
      <c r="BN27" s="8">
        <f t="shared" si="1"/>
        <v>2</v>
      </c>
      <c r="BO27" s="8">
        <f t="shared" si="2"/>
        <v>1</v>
      </c>
      <c r="BP27" s="8">
        <f t="shared" si="3"/>
        <v>2</v>
      </c>
      <c r="BQ27" s="8">
        <f t="shared" si="4"/>
        <v>2</v>
      </c>
      <c r="BR27" s="8">
        <f t="shared" si="5"/>
        <v>1</v>
      </c>
      <c r="BS27" s="15">
        <f t="shared" si="6"/>
        <v>1.4618508815881324</v>
      </c>
      <c r="BT27" s="15" t="str">
        <f t="shared" si="7"/>
        <v>OK - No Upgrade</v>
      </c>
      <c r="BU27" s="15" t="str">
        <f t="shared" si="8"/>
        <v>Need to Balance</v>
      </c>
    </row>
    <row r="28" spans="1:73" ht="15.75" customHeight="1" x14ac:dyDescent="0.25">
      <c r="A28" s="8" t="s">
        <v>1021</v>
      </c>
      <c r="B28" s="8" t="s">
        <v>1021</v>
      </c>
      <c r="C28" s="8" t="s">
        <v>40</v>
      </c>
      <c r="D28" s="8" t="s">
        <v>1085</v>
      </c>
      <c r="E28" s="8" t="s">
        <v>412</v>
      </c>
      <c r="F28" s="8" t="s">
        <v>43</v>
      </c>
      <c r="G28" s="8"/>
      <c r="H28" s="8">
        <v>100</v>
      </c>
      <c r="I28" s="8" t="s">
        <v>1086</v>
      </c>
      <c r="J28" s="8">
        <v>1</v>
      </c>
      <c r="K28" s="8">
        <v>243</v>
      </c>
      <c r="L28" s="8">
        <v>242</v>
      </c>
      <c r="M28" s="8">
        <v>242</v>
      </c>
      <c r="N28" s="8">
        <v>420</v>
      </c>
      <c r="O28" s="8">
        <v>419</v>
      </c>
      <c r="P28" s="8">
        <v>419</v>
      </c>
      <c r="Q28" s="9" t="s">
        <v>46</v>
      </c>
      <c r="R28" s="16"/>
      <c r="S28" s="10">
        <v>2</v>
      </c>
      <c r="T28" s="10">
        <v>2</v>
      </c>
      <c r="U28" s="10">
        <v>1</v>
      </c>
      <c r="V28" s="11">
        <v>0</v>
      </c>
      <c r="W28" s="12"/>
      <c r="X28" s="17"/>
      <c r="Y28" s="13"/>
      <c r="Z28" s="13"/>
      <c r="AA28" s="13"/>
      <c r="AB28" s="14"/>
      <c r="AC28" s="9"/>
      <c r="AD28" s="16"/>
      <c r="AE28" s="10"/>
      <c r="AF28" s="10"/>
      <c r="AG28" s="10"/>
      <c r="AH28" s="11"/>
      <c r="AI28" s="12"/>
      <c r="AJ28" s="17"/>
      <c r="AK28" s="13"/>
      <c r="AL28" s="13"/>
      <c r="AM28" s="13"/>
      <c r="AN28" s="14"/>
      <c r="AO28" s="9"/>
      <c r="AP28" s="16"/>
      <c r="AQ28" s="10"/>
      <c r="AR28" s="10"/>
      <c r="AS28" s="10"/>
      <c r="AT28" s="11"/>
      <c r="AU28" s="12"/>
      <c r="AV28" s="17"/>
      <c r="AW28" s="13"/>
      <c r="AX28" s="13"/>
      <c r="AY28" s="13"/>
      <c r="AZ28" s="14"/>
      <c r="BA28" s="9"/>
      <c r="BB28" s="16"/>
      <c r="BC28" s="10"/>
      <c r="BD28" s="10"/>
      <c r="BE28" s="10"/>
      <c r="BF28" s="11"/>
      <c r="BG28" s="12"/>
      <c r="BH28" s="17"/>
      <c r="BI28" s="13"/>
      <c r="BJ28" s="13"/>
      <c r="BK28" s="13"/>
      <c r="BL28" s="14"/>
      <c r="BM28" s="8">
        <f t="shared" si="0"/>
        <v>2</v>
      </c>
      <c r="BN28" s="8">
        <f t="shared" si="1"/>
        <v>2</v>
      </c>
      <c r="BO28" s="8">
        <f t="shared" si="2"/>
        <v>1</v>
      </c>
      <c r="BP28" s="8">
        <f t="shared" si="3"/>
        <v>0</v>
      </c>
      <c r="BQ28" s="8">
        <f t="shared" si="4"/>
        <v>2</v>
      </c>
      <c r="BR28" s="8">
        <f t="shared" si="5"/>
        <v>1</v>
      </c>
      <c r="BS28" s="15">
        <f t="shared" si="6"/>
        <v>1.4549226783578566</v>
      </c>
      <c r="BT28" s="15" t="str">
        <f t="shared" si="7"/>
        <v>OK - No Upgrade</v>
      </c>
      <c r="BU28" s="15" t="str">
        <f t="shared" si="8"/>
        <v>Need to Balance</v>
      </c>
    </row>
    <row r="29" spans="1:73" ht="15.75" customHeight="1" x14ac:dyDescent="0.25">
      <c r="A29" s="8" t="s">
        <v>1021</v>
      </c>
      <c r="B29" s="8" t="s">
        <v>1021</v>
      </c>
      <c r="C29" s="8" t="s">
        <v>40</v>
      </c>
      <c r="D29" s="8" t="s">
        <v>1087</v>
      </c>
      <c r="E29" s="8" t="s">
        <v>1088</v>
      </c>
      <c r="F29" s="8" t="s">
        <v>43</v>
      </c>
      <c r="G29" s="8"/>
      <c r="H29" s="8">
        <v>100</v>
      </c>
      <c r="I29" s="8" t="s">
        <v>1089</v>
      </c>
      <c r="J29" s="8">
        <v>1</v>
      </c>
      <c r="K29" s="8">
        <v>243</v>
      </c>
      <c r="L29" s="8">
        <v>242</v>
      </c>
      <c r="M29" s="8">
        <v>243</v>
      </c>
      <c r="N29" s="8">
        <v>420</v>
      </c>
      <c r="O29" s="8">
        <v>420</v>
      </c>
      <c r="P29" s="8">
        <v>419</v>
      </c>
      <c r="Q29" s="9" t="s">
        <v>46</v>
      </c>
      <c r="R29" s="16"/>
      <c r="S29" s="10">
        <v>3</v>
      </c>
      <c r="T29" s="10">
        <v>1</v>
      </c>
      <c r="U29" s="10">
        <v>0</v>
      </c>
      <c r="V29" s="11">
        <v>0</v>
      </c>
      <c r="W29" s="12"/>
      <c r="X29" s="17"/>
      <c r="Y29" s="13"/>
      <c r="Z29" s="13"/>
      <c r="AA29" s="13"/>
      <c r="AB29" s="14"/>
      <c r="AC29" s="9"/>
      <c r="AD29" s="16"/>
      <c r="AE29" s="10"/>
      <c r="AF29" s="10"/>
      <c r="AG29" s="10"/>
      <c r="AH29" s="11"/>
      <c r="AI29" s="12"/>
      <c r="AJ29" s="17"/>
      <c r="AK29" s="13"/>
      <c r="AL29" s="13"/>
      <c r="AM29" s="13"/>
      <c r="AN29" s="14"/>
      <c r="AO29" s="9"/>
      <c r="AP29" s="16"/>
      <c r="AQ29" s="10"/>
      <c r="AR29" s="10"/>
      <c r="AS29" s="10"/>
      <c r="AT29" s="11"/>
      <c r="AU29" s="12"/>
      <c r="AV29" s="17"/>
      <c r="AW29" s="13"/>
      <c r="AX29" s="13"/>
      <c r="AY29" s="13"/>
      <c r="AZ29" s="14"/>
      <c r="BA29" s="9"/>
      <c r="BB29" s="16"/>
      <c r="BC29" s="10"/>
      <c r="BD29" s="10"/>
      <c r="BE29" s="10"/>
      <c r="BF29" s="11"/>
      <c r="BG29" s="12"/>
      <c r="BH29" s="17"/>
      <c r="BI29" s="13"/>
      <c r="BJ29" s="13"/>
      <c r="BK29" s="13"/>
      <c r="BL29" s="14"/>
      <c r="BM29" s="8">
        <f t="shared" si="0"/>
        <v>3</v>
      </c>
      <c r="BN29" s="8">
        <f t="shared" si="1"/>
        <v>1</v>
      </c>
      <c r="BO29" s="8">
        <f t="shared" si="2"/>
        <v>0</v>
      </c>
      <c r="BP29" s="8">
        <f t="shared" si="3"/>
        <v>0</v>
      </c>
      <c r="BQ29" s="8">
        <f t="shared" si="4"/>
        <v>3</v>
      </c>
      <c r="BR29" s="8">
        <f t="shared" si="5"/>
        <v>0</v>
      </c>
      <c r="BS29" s="15">
        <f t="shared" si="6"/>
        <v>2.1823840175367852</v>
      </c>
      <c r="BT29" s="15" t="str">
        <f t="shared" si="7"/>
        <v>OK - No Upgrade</v>
      </c>
      <c r="BU29" s="15" t="str">
        <f t="shared" si="8"/>
        <v>Need to Balance</v>
      </c>
    </row>
    <row r="30" spans="1:73" ht="15.75" customHeight="1" x14ac:dyDescent="0.25">
      <c r="A30" s="8" t="s">
        <v>1021</v>
      </c>
      <c r="B30" s="8" t="s">
        <v>1021</v>
      </c>
      <c r="C30" s="8" t="s">
        <v>40</v>
      </c>
      <c r="D30" s="8" t="s">
        <v>1090</v>
      </c>
      <c r="E30" s="8" t="s">
        <v>408</v>
      </c>
      <c r="F30" s="8" t="s">
        <v>43</v>
      </c>
      <c r="G30" s="8"/>
      <c r="H30" s="8">
        <v>100</v>
      </c>
      <c r="I30" s="8" t="s">
        <v>1091</v>
      </c>
      <c r="J30" s="8">
        <v>1</v>
      </c>
      <c r="K30" s="8">
        <v>242</v>
      </c>
      <c r="L30" s="8">
        <v>241</v>
      </c>
      <c r="M30" s="8">
        <v>241</v>
      </c>
      <c r="N30" s="8">
        <v>419</v>
      </c>
      <c r="O30" s="8">
        <v>418</v>
      </c>
      <c r="P30" s="8">
        <v>419</v>
      </c>
      <c r="Q30" s="9" t="s">
        <v>46</v>
      </c>
      <c r="R30" s="16"/>
      <c r="S30" s="10">
        <v>8</v>
      </c>
      <c r="T30" s="10">
        <v>7</v>
      </c>
      <c r="U30" s="10">
        <v>10</v>
      </c>
      <c r="V30" s="11">
        <v>5</v>
      </c>
      <c r="W30" s="12"/>
      <c r="X30" s="17"/>
      <c r="Y30" s="13"/>
      <c r="Z30" s="13"/>
      <c r="AA30" s="13"/>
      <c r="AB30" s="14"/>
      <c r="AC30" s="9"/>
      <c r="AD30" s="16"/>
      <c r="AE30" s="10"/>
      <c r="AF30" s="10"/>
      <c r="AG30" s="10"/>
      <c r="AH30" s="11"/>
      <c r="AI30" s="12"/>
      <c r="AJ30" s="17"/>
      <c r="AK30" s="13"/>
      <c r="AL30" s="13"/>
      <c r="AM30" s="13"/>
      <c r="AN30" s="14"/>
      <c r="AO30" s="9"/>
      <c r="AP30" s="16"/>
      <c r="AQ30" s="10"/>
      <c r="AR30" s="10"/>
      <c r="AS30" s="10"/>
      <c r="AT30" s="11"/>
      <c r="AU30" s="12"/>
      <c r="AV30" s="17"/>
      <c r="AW30" s="13"/>
      <c r="AX30" s="13"/>
      <c r="AY30" s="13"/>
      <c r="AZ30" s="14"/>
      <c r="BA30" s="9"/>
      <c r="BB30" s="16"/>
      <c r="BC30" s="10"/>
      <c r="BD30" s="10"/>
      <c r="BE30" s="10"/>
      <c r="BF30" s="11"/>
      <c r="BG30" s="12"/>
      <c r="BH30" s="17"/>
      <c r="BI30" s="13"/>
      <c r="BJ30" s="13"/>
      <c r="BK30" s="13"/>
      <c r="BL30" s="14"/>
      <c r="BM30" s="8">
        <f t="shared" si="0"/>
        <v>8</v>
      </c>
      <c r="BN30" s="8">
        <f t="shared" si="1"/>
        <v>7</v>
      </c>
      <c r="BO30" s="8">
        <f t="shared" si="2"/>
        <v>10</v>
      </c>
      <c r="BP30" s="8">
        <f t="shared" si="3"/>
        <v>5</v>
      </c>
      <c r="BQ30" s="8">
        <f t="shared" si="4"/>
        <v>10</v>
      </c>
      <c r="BR30" s="8">
        <f t="shared" si="5"/>
        <v>7</v>
      </c>
      <c r="BS30" s="15">
        <f t="shared" si="6"/>
        <v>7.2572928837135953</v>
      </c>
      <c r="BT30" s="15" t="str">
        <f t="shared" si="7"/>
        <v>OK - No Upgrade</v>
      </c>
      <c r="BU30" s="15" t="str">
        <f t="shared" si="8"/>
        <v>Need to Balance</v>
      </c>
    </row>
    <row r="31" spans="1:73" ht="15.75" customHeight="1" x14ac:dyDescent="0.25">
      <c r="A31" s="8" t="s">
        <v>1021</v>
      </c>
      <c r="B31" s="8" t="s">
        <v>1021</v>
      </c>
      <c r="C31" s="8" t="s">
        <v>40</v>
      </c>
      <c r="D31" s="8" t="s">
        <v>1092</v>
      </c>
      <c r="E31" s="8" t="s">
        <v>428</v>
      </c>
      <c r="F31" s="8" t="s">
        <v>43</v>
      </c>
      <c r="G31" s="8"/>
      <c r="H31" s="8">
        <v>100</v>
      </c>
      <c r="I31" s="8" t="s">
        <v>1093</v>
      </c>
      <c r="J31" s="8">
        <v>1</v>
      </c>
      <c r="K31" s="8">
        <v>236</v>
      </c>
      <c r="L31" s="8">
        <v>237</v>
      </c>
      <c r="M31" s="8">
        <v>237</v>
      </c>
      <c r="N31" s="8">
        <v>410</v>
      </c>
      <c r="O31" s="8">
        <v>413</v>
      </c>
      <c r="P31" s="8">
        <v>411</v>
      </c>
      <c r="Q31" s="9" t="s">
        <v>46</v>
      </c>
      <c r="R31" s="16"/>
      <c r="S31" s="10">
        <v>4</v>
      </c>
      <c r="T31" s="10">
        <v>43</v>
      </c>
      <c r="U31" s="10">
        <v>21</v>
      </c>
      <c r="V31" s="11">
        <v>32</v>
      </c>
      <c r="W31" s="12"/>
      <c r="X31" s="17"/>
      <c r="Y31" s="13"/>
      <c r="Z31" s="13"/>
      <c r="AA31" s="13"/>
      <c r="AB31" s="14"/>
      <c r="AC31" s="9"/>
      <c r="AD31" s="16"/>
      <c r="AE31" s="10"/>
      <c r="AF31" s="10"/>
      <c r="AG31" s="10"/>
      <c r="AH31" s="11"/>
      <c r="AI31" s="12"/>
      <c r="AJ31" s="17"/>
      <c r="AK31" s="13"/>
      <c r="AL31" s="13"/>
      <c r="AM31" s="13"/>
      <c r="AN31" s="14"/>
      <c r="AO31" s="9"/>
      <c r="AP31" s="16"/>
      <c r="AQ31" s="10"/>
      <c r="AR31" s="10"/>
      <c r="AS31" s="10"/>
      <c r="AT31" s="11"/>
      <c r="AU31" s="12"/>
      <c r="AV31" s="17"/>
      <c r="AW31" s="13"/>
      <c r="AX31" s="13"/>
      <c r="AY31" s="13"/>
      <c r="AZ31" s="14"/>
      <c r="BA31" s="9"/>
      <c r="BB31" s="16"/>
      <c r="BC31" s="10"/>
      <c r="BD31" s="10"/>
      <c r="BE31" s="10"/>
      <c r="BF31" s="11"/>
      <c r="BG31" s="12"/>
      <c r="BH31" s="17"/>
      <c r="BI31" s="13"/>
      <c r="BJ31" s="13"/>
      <c r="BK31" s="13"/>
      <c r="BL31" s="14"/>
      <c r="BM31" s="8">
        <f t="shared" si="0"/>
        <v>4</v>
      </c>
      <c r="BN31" s="8">
        <f t="shared" si="1"/>
        <v>43</v>
      </c>
      <c r="BO31" s="8">
        <f t="shared" si="2"/>
        <v>21</v>
      </c>
      <c r="BP31" s="8">
        <f t="shared" si="3"/>
        <v>32</v>
      </c>
      <c r="BQ31" s="8">
        <f t="shared" si="4"/>
        <v>43</v>
      </c>
      <c r="BR31" s="8">
        <f t="shared" si="5"/>
        <v>4</v>
      </c>
      <c r="BS31" s="15">
        <f t="shared" si="6"/>
        <v>30.536055737439305</v>
      </c>
      <c r="BT31" s="15" t="str">
        <f t="shared" si="7"/>
        <v>OK - No Upgrade</v>
      </c>
      <c r="BU31" s="15" t="str">
        <f t="shared" si="8"/>
        <v>Need to Balance</v>
      </c>
    </row>
    <row r="32" spans="1:73" ht="15.75" customHeight="1" x14ac:dyDescent="0.25">
      <c r="A32" s="8" t="s">
        <v>1021</v>
      </c>
      <c r="B32" s="8" t="s">
        <v>1021</v>
      </c>
      <c r="C32" s="8" t="s">
        <v>40</v>
      </c>
      <c r="D32" s="8" t="s">
        <v>1094</v>
      </c>
      <c r="E32" s="8" t="s">
        <v>1095</v>
      </c>
      <c r="F32" s="8" t="s">
        <v>43</v>
      </c>
      <c r="G32" s="8"/>
      <c r="H32" s="8">
        <v>100</v>
      </c>
      <c r="I32" s="8" t="s">
        <v>1096</v>
      </c>
      <c r="J32" s="8">
        <v>1</v>
      </c>
      <c r="K32" s="8">
        <v>236</v>
      </c>
      <c r="L32" s="8">
        <v>237</v>
      </c>
      <c r="M32" s="8">
        <v>235</v>
      </c>
      <c r="N32" s="8">
        <v>402</v>
      </c>
      <c r="O32" s="8">
        <v>407</v>
      </c>
      <c r="P32" s="8">
        <v>409</v>
      </c>
      <c r="Q32" s="9" t="s">
        <v>46</v>
      </c>
      <c r="R32" s="16"/>
      <c r="S32" s="10">
        <v>83</v>
      </c>
      <c r="T32" s="10">
        <v>87</v>
      </c>
      <c r="U32" s="10">
        <v>85</v>
      </c>
      <c r="V32" s="11">
        <v>4</v>
      </c>
      <c r="W32" s="12"/>
      <c r="X32" s="17"/>
      <c r="Y32" s="13"/>
      <c r="Z32" s="13"/>
      <c r="AA32" s="13"/>
      <c r="AB32" s="14"/>
      <c r="AC32" s="9"/>
      <c r="AD32" s="16"/>
      <c r="AE32" s="10"/>
      <c r="AF32" s="10"/>
      <c r="AG32" s="10"/>
      <c r="AH32" s="11"/>
      <c r="AI32" s="12"/>
      <c r="AJ32" s="17"/>
      <c r="AK32" s="13"/>
      <c r="AL32" s="13"/>
      <c r="AM32" s="13"/>
      <c r="AN32" s="14"/>
      <c r="AO32" s="9"/>
      <c r="AP32" s="16"/>
      <c r="AQ32" s="10"/>
      <c r="AR32" s="10"/>
      <c r="AS32" s="10"/>
      <c r="AT32" s="11"/>
      <c r="AU32" s="12"/>
      <c r="AV32" s="17"/>
      <c r="AW32" s="13"/>
      <c r="AX32" s="13"/>
      <c r="AY32" s="13"/>
      <c r="AZ32" s="14"/>
      <c r="BA32" s="9"/>
      <c r="BB32" s="16"/>
      <c r="BC32" s="10"/>
      <c r="BD32" s="10"/>
      <c r="BE32" s="10"/>
      <c r="BF32" s="11"/>
      <c r="BG32" s="12"/>
      <c r="BH32" s="17"/>
      <c r="BI32" s="13"/>
      <c r="BJ32" s="13"/>
      <c r="BK32" s="13"/>
      <c r="BL32" s="14"/>
      <c r="BM32" s="8">
        <f t="shared" si="0"/>
        <v>83</v>
      </c>
      <c r="BN32" s="8">
        <f t="shared" si="1"/>
        <v>87</v>
      </c>
      <c r="BO32" s="8">
        <f t="shared" si="2"/>
        <v>85</v>
      </c>
      <c r="BP32" s="8">
        <f t="shared" si="3"/>
        <v>4</v>
      </c>
      <c r="BQ32" s="8">
        <f t="shared" si="4"/>
        <v>87</v>
      </c>
      <c r="BR32" s="8">
        <f t="shared" si="5"/>
        <v>83</v>
      </c>
      <c r="BS32" s="15">
        <f t="shared" si="6"/>
        <v>60.576744943913916</v>
      </c>
      <c r="BT32" s="15" t="str">
        <f t="shared" si="7"/>
        <v>OK - No Upgrade</v>
      </c>
      <c r="BU32" s="15" t="str">
        <f t="shared" si="8"/>
        <v>OK - Balanced</v>
      </c>
    </row>
    <row r="33" spans="1:73" ht="15.75" customHeight="1" x14ac:dyDescent="0.25">
      <c r="A33" s="8" t="s">
        <v>1021</v>
      </c>
      <c r="B33" s="8" t="s">
        <v>1021</v>
      </c>
      <c r="C33" s="8" t="s">
        <v>40</v>
      </c>
      <c r="D33" s="8" t="s">
        <v>1094</v>
      </c>
      <c r="E33" s="8" t="s">
        <v>1095</v>
      </c>
      <c r="F33" s="8" t="s">
        <v>43</v>
      </c>
      <c r="G33" s="8" t="s">
        <v>44</v>
      </c>
      <c r="H33" s="8">
        <v>100</v>
      </c>
      <c r="I33" s="8" t="s">
        <v>1097</v>
      </c>
      <c r="J33" s="8">
        <v>2</v>
      </c>
      <c r="K33" s="8">
        <v>250</v>
      </c>
      <c r="L33" s="8">
        <v>252</v>
      </c>
      <c r="M33" s="8">
        <v>249</v>
      </c>
      <c r="N33" s="8">
        <v>435</v>
      </c>
      <c r="O33" s="8">
        <v>432</v>
      </c>
      <c r="P33" s="8">
        <v>431</v>
      </c>
      <c r="Q33" s="9" t="s">
        <v>46</v>
      </c>
      <c r="R33" s="16"/>
      <c r="S33" s="10">
        <v>27</v>
      </c>
      <c r="T33" s="10">
        <v>30</v>
      </c>
      <c r="U33" s="10">
        <v>31</v>
      </c>
      <c r="V33" s="11">
        <v>15</v>
      </c>
      <c r="W33" s="12"/>
      <c r="X33" s="17"/>
      <c r="Y33" s="13"/>
      <c r="Z33" s="13"/>
      <c r="AA33" s="13"/>
      <c r="AB33" s="14"/>
      <c r="AC33" s="9"/>
      <c r="AD33" s="16"/>
      <c r="AE33" s="10"/>
      <c r="AF33" s="10"/>
      <c r="AG33" s="10"/>
      <c r="AH33" s="11"/>
      <c r="AI33" s="12"/>
      <c r="AJ33" s="17"/>
      <c r="AK33" s="13"/>
      <c r="AL33" s="13"/>
      <c r="AM33" s="13"/>
      <c r="AN33" s="14"/>
      <c r="AO33" s="9"/>
      <c r="AP33" s="16"/>
      <c r="AQ33" s="10"/>
      <c r="AR33" s="10"/>
      <c r="AS33" s="10"/>
      <c r="AT33" s="11"/>
      <c r="AU33" s="12"/>
      <c r="AV33" s="17"/>
      <c r="AW33" s="13"/>
      <c r="AX33" s="13"/>
      <c r="AY33" s="13"/>
      <c r="AZ33" s="14"/>
      <c r="BA33" s="9"/>
      <c r="BB33" s="16"/>
      <c r="BC33" s="10"/>
      <c r="BD33" s="10"/>
      <c r="BE33" s="10"/>
      <c r="BF33" s="11"/>
      <c r="BG33" s="12"/>
      <c r="BH33" s="17"/>
      <c r="BI33" s="13"/>
      <c r="BJ33" s="13"/>
      <c r="BK33" s="13"/>
      <c r="BL33" s="14"/>
      <c r="BM33" s="8">
        <f t="shared" si="0"/>
        <v>27</v>
      </c>
      <c r="BN33" s="8">
        <f t="shared" si="1"/>
        <v>30</v>
      </c>
      <c r="BO33" s="8">
        <f t="shared" si="2"/>
        <v>31</v>
      </c>
      <c r="BP33" s="8">
        <f t="shared" si="3"/>
        <v>15</v>
      </c>
      <c r="BQ33" s="8">
        <f t="shared" si="4"/>
        <v>31</v>
      </c>
      <c r="BR33" s="8">
        <f t="shared" si="5"/>
        <v>27</v>
      </c>
      <c r="BS33" s="15">
        <f t="shared" si="6"/>
        <v>23.35670514006631</v>
      </c>
      <c r="BT33" s="15" t="str">
        <f t="shared" si="7"/>
        <v>OK - No Upgrade</v>
      </c>
      <c r="BU33" s="15" t="str">
        <f t="shared" si="8"/>
        <v>OK - Balanced</v>
      </c>
    </row>
    <row r="34" spans="1:73" ht="15.75" customHeight="1" x14ac:dyDescent="0.25">
      <c r="A34" s="8" t="s">
        <v>1021</v>
      </c>
      <c r="B34" s="8" t="s">
        <v>1021</v>
      </c>
      <c r="C34" s="8" t="s">
        <v>40</v>
      </c>
      <c r="D34" s="8" t="s">
        <v>1098</v>
      </c>
      <c r="E34" s="8" t="s">
        <v>1099</v>
      </c>
      <c r="F34" s="8" t="s">
        <v>43</v>
      </c>
      <c r="G34" s="8"/>
      <c r="H34" s="8">
        <v>200</v>
      </c>
      <c r="I34" s="8" t="s">
        <v>1100</v>
      </c>
      <c r="J34" s="8">
        <v>1</v>
      </c>
      <c r="K34" s="8">
        <v>224</v>
      </c>
      <c r="L34" s="8">
        <v>226</v>
      </c>
      <c r="M34" s="8">
        <v>225</v>
      </c>
      <c r="N34" s="8">
        <v>401</v>
      </c>
      <c r="O34" s="8">
        <v>403</v>
      </c>
      <c r="P34" s="8">
        <v>401</v>
      </c>
      <c r="Q34" s="9" t="s">
        <v>46</v>
      </c>
      <c r="R34" s="16"/>
      <c r="S34" s="10">
        <v>148</v>
      </c>
      <c r="T34" s="10">
        <v>127</v>
      </c>
      <c r="U34" s="10">
        <v>112</v>
      </c>
      <c r="V34" s="11">
        <v>22</v>
      </c>
      <c r="W34" s="12" t="s">
        <v>46</v>
      </c>
      <c r="X34" s="17"/>
      <c r="Y34" s="13">
        <v>41</v>
      </c>
      <c r="Z34" s="13">
        <v>29</v>
      </c>
      <c r="AA34" s="13">
        <v>23</v>
      </c>
      <c r="AB34" s="14">
        <v>17</v>
      </c>
      <c r="AC34" s="9"/>
      <c r="AD34" s="16"/>
      <c r="AE34" s="10"/>
      <c r="AF34" s="10"/>
      <c r="AG34" s="10"/>
      <c r="AH34" s="11"/>
      <c r="AI34" s="12"/>
      <c r="AJ34" s="17"/>
      <c r="AK34" s="13"/>
      <c r="AL34" s="13"/>
      <c r="AM34" s="13"/>
      <c r="AN34" s="14"/>
      <c r="AO34" s="9"/>
      <c r="AP34" s="16"/>
      <c r="AQ34" s="10"/>
      <c r="AR34" s="10"/>
      <c r="AS34" s="10"/>
      <c r="AT34" s="11"/>
      <c r="AU34" s="12"/>
      <c r="AV34" s="17"/>
      <c r="AW34" s="13"/>
      <c r="AX34" s="13"/>
      <c r="AY34" s="13"/>
      <c r="AZ34" s="14"/>
      <c r="BA34" s="9"/>
      <c r="BB34" s="16"/>
      <c r="BC34" s="10"/>
      <c r="BD34" s="10"/>
      <c r="BE34" s="10"/>
      <c r="BF34" s="11"/>
      <c r="BG34" s="12"/>
      <c r="BH34" s="17"/>
      <c r="BI34" s="13"/>
      <c r="BJ34" s="13"/>
      <c r="BK34" s="13"/>
      <c r="BL34" s="14"/>
      <c r="BM34" s="8">
        <f t="shared" si="0"/>
        <v>189</v>
      </c>
      <c r="BN34" s="8">
        <f t="shared" si="1"/>
        <v>156</v>
      </c>
      <c r="BO34" s="8">
        <f t="shared" si="2"/>
        <v>135</v>
      </c>
      <c r="BP34" s="8">
        <f t="shared" si="3"/>
        <v>39</v>
      </c>
      <c r="BQ34" s="8">
        <f t="shared" si="4"/>
        <v>189</v>
      </c>
      <c r="BR34" s="8">
        <f t="shared" si="5"/>
        <v>135</v>
      </c>
      <c r="BS34" s="15">
        <f t="shared" si="6"/>
        <v>65.635199327418832</v>
      </c>
      <c r="BT34" s="15" t="str">
        <f t="shared" si="7"/>
        <v>OK - No Upgrade</v>
      </c>
      <c r="BU34" s="15" t="str">
        <f t="shared" si="8"/>
        <v>Need to Balance</v>
      </c>
    </row>
    <row r="35" spans="1:73" ht="15.75" customHeight="1" x14ac:dyDescent="0.25">
      <c r="A35" s="8" t="s">
        <v>1021</v>
      </c>
      <c r="B35" s="8" t="s">
        <v>1021</v>
      </c>
      <c r="C35" s="8" t="s">
        <v>40</v>
      </c>
      <c r="D35" s="8" t="s">
        <v>1098</v>
      </c>
      <c r="E35" s="8" t="s">
        <v>1099</v>
      </c>
      <c r="F35" s="8" t="s">
        <v>43</v>
      </c>
      <c r="G35" s="8" t="s">
        <v>1101</v>
      </c>
      <c r="H35" s="8">
        <v>200</v>
      </c>
      <c r="I35" s="8" t="s">
        <v>425</v>
      </c>
      <c r="J35" s="8">
        <v>2</v>
      </c>
      <c r="K35" s="8">
        <v>221</v>
      </c>
      <c r="L35" s="8">
        <v>227</v>
      </c>
      <c r="M35" s="8">
        <v>224</v>
      </c>
      <c r="N35" s="8">
        <v>381</v>
      </c>
      <c r="O35" s="8">
        <v>394</v>
      </c>
      <c r="P35" s="8">
        <v>381</v>
      </c>
      <c r="Q35" s="9" t="s">
        <v>46</v>
      </c>
      <c r="R35" s="16"/>
      <c r="S35" s="10">
        <v>245</v>
      </c>
      <c r="T35" s="10">
        <v>118</v>
      </c>
      <c r="U35" s="10">
        <v>128</v>
      </c>
      <c r="V35" s="11">
        <v>83</v>
      </c>
      <c r="W35" s="12" t="s">
        <v>46</v>
      </c>
      <c r="X35" s="17"/>
      <c r="Y35" s="13">
        <v>31</v>
      </c>
      <c r="Z35" s="13">
        <v>30</v>
      </c>
      <c r="AA35" s="13">
        <v>27</v>
      </c>
      <c r="AB35" s="14">
        <v>8</v>
      </c>
      <c r="AC35" s="9"/>
      <c r="AD35" s="16"/>
      <c r="AE35" s="10"/>
      <c r="AF35" s="10"/>
      <c r="AG35" s="10"/>
      <c r="AH35" s="11"/>
      <c r="AI35" s="12"/>
      <c r="AJ35" s="17"/>
      <c r="AK35" s="13"/>
      <c r="AL35" s="13"/>
      <c r="AM35" s="13"/>
      <c r="AN35" s="14"/>
      <c r="AO35" s="9"/>
      <c r="AP35" s="16"/>
      <c r="AQ35" s="10"/>
      <c r="AR35" s="10"/>
      <c r="AS35" s="10"/>
      <c r="AT35" s="11"/>
      <c r="AU35" s="12"/>
      <c r="AV35" s="17"/>
      <c r="AW35" s="13"/>
      <c r="AX35" s="13"/>
      <c r="AY35" s="13"/>
      <c r="AZ35" s="14"/>
      <c r="BA35" s="9"/>
      <c r="BB35" s="16"/>
      <c r="BC35" s="10"/>
      <c r="BD35" s="10"/>
      <c r="BE35" s="10"/>
      <c r="BF35" s="11"/>
      <c r="BG35" s="12"/>
      <c r="BH35" s="17"/>
      <c r="BI35" s="13"/>
      <c r="BJ35" s="13"/>
      <c r="BK35" s="13"/>
      <c r="BL35" s="14"/>
      <c r="BM35" s="8">
        <f t="shared" si="0"/>
        <v>276</v>
      </c>
      <c r="BN35" s="8">
        <f t="shared" si="1"/>
        <v>148</v>
      </c>
      <c r="BO35" s="8">
        <f t="shared" si="2"/>
        <v>155</v>
      </c>
      <c r="BP35" s="8">
        <f t="shared" si="3"/>
        <v>91</v>
      </c>
      <c r="BQ35" s="8">
        <f t="shared" si="4"/>
        <v>276</v>
      </c>
      <c r="BR35" s="8">
        <f t="shared" si="5"/>
        <v>148</v>
      </c>
      <c r="BS35" s="15">
        <f t="shared" si="6"/>
        <v>91.067767360356427</v>
      </c>
      <c r="BT35" s="15" t="str">
        <f t="shared" si="7"/>
        <v>Upgrade</v>
      </c>
      <c r="BU35" s="15" t="str">
        <f t="shared" si="8"/>
        <v>Need to Balance</v>
      </c>
    </row>
    <row r="36" spans="1:73" ht="15.75" customHeight="1" x14ac:dyDescent="0.25">
      <c r="A36" s="8" t="s">
        <v>1021</v>
      </c>
      <c r="B36" s="8" t="s">
        <v>1021</v>
      </c>
      <c r="C36" s="8" t="s">
        <v>40</v>
      </c>
      <c r="D36" s="8" t="s">
        <v>1102</v>
      </c>
      <c r="E36" s="8" t="s">
        <v>1103</v>
      </c>
      <c r="F36" s="8" t="s">
        <v>43</v>
      </c>
      <c r="G36" s="8"/>
      <c r="H36" s="8">
        <v>315</v>
      </c>
      <c r="I36" s="8" t="s">
        <v>1104</v>
      </c>
      <c r="J36" s="8">
        <v>1</v>
      </c>
      <c r="K36" s="8">
        <v>238</v>
      </c>
      <c r="L36" s="8">
        <v>241</v>
      </c>
      <c r="M36" s="8">
        <v>239</v>
      </c>
      <c r="N36" s="8">
        <v>414</v>
      </c>
      <c r="O36" s="8">
        <v>413</v>
      </c>
      <c r="P36" s="8">
        <v>412</v>
      </c>
      <c r="Q36" s="9" t="s">
        <v>46</v>
      </c>
      <c r="R36" s="16"/>
      <c r="S36" s="10">
        <v>107</v>
      </c>
      <c r="T36" s="10">
        <v>99</v>
      </c>
      <c r="U36" s="10">
        <v>87</v>
      </c>
      <c r="V36" s="11">
        <v>17</v>
      </c>
      <c r="W36" s="12" t="s">
        <v>46</v>
      </c>
      <c r="X36" s="17"/>
      <c r="Y36" s="13">
        <v>2</v>
      </c>
      <c r="Z36" s="13">
        <v>1</v>
      </c>
      <c r="AA36" s="13">
        <v>7</v>
      </c>
      <c r="AB36" s="14">
        <v>8</v>
      </c>
      <c r="AC36" s="9"/>
      <c r="AD36" s="16"/>
      <c r="AE36" s="10"/>
      <c r="AF36" s="10"/>
      <c r="AG36" s="10"/>
      <c r="AH36" s="11"/>
      <c r="AI36" s="12"/>
      <c r="AJ36" s="17"/>
      <c r="AK36" s="13"/>
      <c r="AL36" s="13"/>
      <c r="AM36" s="13"/>
      <c r="AN36" s="14"/>
      <c r="AO36" s="9"/>
      <c r="AP36" s="16"/>
      <c r="AQ36" s="10"/>
      <c r="AR36" s="10"/>
      <c r="AS36" s="10"/>
      <c r="AT36" s="11"/>
      <c r="AU36" s="12"/>
      <c r="AV36" s="17"/>
      <c r="AW36" s="13"/>
      <c r="AX36" s="13"/>
      <c r="AY36" s="13"/>
      <c r="AZ36" s="14"/>
      <c r="BA36" s="9"/>
      <c r="BB36" s="16"/>
      <c r="BC36" s="10"/>
      <c r="BD36" s="10"/>
      <c r="BE36" s="10"/>
      <c r="BF36" s="11"/>
      <c r="BG36" s="12"/>
      <c r="BH36" s="17"/>
      <c r="BI36" s="13"/>
      <c r="BJ36" s="13"/>
      <c r="BK36" s="13"/>
      <c r="BL36" s="14"/>
      <c r="BM36" s="8">
        <f t="shared" ref="BM36:BM67" si="9">SUM(S36,Y36,AE36,AK36,AQ36,AW36,BC36,BI36)</f>
        <v>109</v>
      </c>
      <c r="BN36" s="8">
        <f t="shared" ref="BN36:BN67" si="10">SUM(T36,Z36,AF36,AL36,AR36,AX36,BD36,BJ36)</f>
        <v>100</v>
      </c>
      <c r="BO36" s="8">
        <f t="shared" ref="BO36:BO67" si="11">SUM(U36,AA36,AG36,AM36,AS36,AY36,BE36,BK36)</f>
        <v>94</v>
      </c>
      <c r="BP36" s="8">
        <f t="shared" ref="BP36:BP67" si="12">SUM(V36,AB36,AH36,AN36,AT36,AZ36,BF36,BL36)</f>
        <v>25</v>
      </c>
      <c r="BQ36" s="8">
        <f t="shared" ref="BQ36:BQ67" si="13">MAX(BM36:BO36)</f>
        <v>109</v>
      </c>
      <c r="BR36" s="8">
        <f t="shared" ref="BR36:BR67" si="14">MIN(BM36:BO36)</f>
        <v>94</v>
      </c>
      <c r="BS36" s="15">
        <f t="shared" ref="BS36:BS67" si="15">IF(H36&gt;0,(BQ36*SQRT(3)*IF(N36&gt;0,N36,IF(O36&gt;0,O36,IF(P36&gt;0,P36,415)))/(H36*1000))*100,0)</f>
        <v>24.812864997572433</v>
      </c>
      <c r="BT36" s="15" t="str">
        <f t="shared" ref="BT36:BT67" si="16">IF(BS36&gt;70,"Upgrade","OK - No Upgrade")</f>
        <v>OK - No Upgrade</v>
      </c>
      <c r="BU36" s="15" t="str">
        <f t="shared" ref="BU36:BU67" si="17">IF(IF(AVERAGE(BM36:BO36)&gt;0,((BQ36-AVERAGE(BM36:BO36))/AVERAGE(BM36:BO36))*100,0)&gt;10,"Need to Balance","OK - Balanced")</f>
        <v>OK - Balanced</v>
      </c>
    </row>
    <row r="37" spans="1:73" ht="15.75" customHeight="1" x14ac:dyDescent="0.25">
      <c r="A37" s="8" t="s">
        <v>1021</v>
      </c>
      <c r="B37" s="8" t="s">
        <v>1021</v>
      </c>
      <c r="C37" s="8" t="s">
        <v>40</v>
      </c>
      <c r="D37" s="8" t="s">
        <v>1102</v>
      </c>
      <c r="E37" s="8" t="s">
        <v>1103</v>
      </c>
      <c r="F37" s="8" t="s">
        <v>43</v>
      </c>
      <c r="G37" s="8" t="s">
        <v>44</v>
      </c>
      <c r="H37" s="8">
        <v>315</v>
      </c>
      <c r="I37" s="8" t="s">
        <v>1105</v>
      </c>
      <c r="J37" s="8">
        <v>2</v>
      </c>
      <c r="K37" s="8">
        <v>250</v>
      </c>
      <c r="L37" s="8">
        <v>251</v>
      </c>
      <c r="M37" s="8">
        <v>249</v>
      </c>
      <c r="N37" s="8">
        <v>428</v>
      </c>
      <c r="O37" s="8">
        <v>431</v>
      </c>
      <c r="P37" s="8">
        <v>429</v>
      </c>
      <c r="Q37" s="9" t="s">
        <v>46</v>
      </c>
      <c r="R37" s="16"/>
      <c r="S37" s="10">
        <v>78</v>
      </c>
      <c r="T37" s="10">
        <v>77</v>
      </c>
      <c r="U37" s="10">
        <v>74</v>
      </c>
      <c r="V37" s="11">
        <v>7</v>
      </c>
      <c r="W37" s="12" t="s">
        <v>46</v>
      </c>
      <c r="X37" s="17"/>
      <c r="Y37" s="13">
        <v>1</v>
      </c>
      <c r="Z37" s="13">
        <v>1</v>
      </c>
      <c r="AA37" s="13">
        <v>8</v>
      </c>
      <c r="AB37" s="14">
        <v>8</v>
      </c>
      <c r="AC37" s="9"/>
      <c r="AD37" s="16"/>
      <c r="AE37" s="10"/>
      <c r="AF37" s="10"/>
      <c r="AG37" s="10"/>
      <c r="AH37" s="11"/>
      <c r="AI37" s="12"/>
      <c r="AJ37" s="17"/>
      <c r="AK37" s="13"/>
      <c r="AL37" s="13"/>
      <c r="AM37" s="13"/>
      <c r="AN37" s="14"/>
      <c r="AO37" s="9"/>
      <c r="AP37" s="16"/>
      <c r="AQ37" s="10"/>
      <c r="AR37" s="10"/>
      <c r="AS37" s="10"/>
      <c r="AT37" s="11"/>
      <c r="AU37" s="12"/>
      <c r="AV37" s="17"/>
      <c r="AW37" s="13"/>
      <c r="AX37" s="13"/>
      <c r="AY37" s="13"/>
      <c r="AZ37" s="14"/>
      <c r="BA37" s="9"/>
      <c r="BB37" s="16"/>
      <c r="BC37" s="10"/>
      <c r="BD37" s="10"/>
      <c r="BE37" s="10"/>
      <c r="BF37" s="11"/>
      <c r="BG37" s="12"/>
      <c r="BH37" s="17"/>
      <c r="BI37" s="13"/>
      <c r="BJ37" s="13"/>
      <c r="BK37" s="13"/>
      <c r="BL37" s="14"/>
      <c r="BM37" s="8">
        <f t="shared" si="9"/>
        <v>79</v>
      </c>
      <c r="BN37" s="8">
        <f t="shared" si="10"/>
        <v>78</v>
      </c>
      <c r="BO37" s="8">
        <f t="shared" si="11"/>
        <v>82</v>
      </c>
      <c r="BP37" s="8">
        <f t="shared" si="12"/>
        <v>15</v>
      </c>
      <c r="BQ37" s="8">
        <f t="shared" si="13"/>
        <v>82</v>
      </c>
      <c r="BR37" s="8">
        <f t="shared" si="14"/>
        <v>78</v>
      </c>
      <c r="BS37" s="15">
        <f t="shared" si="15"/>
        <v>19.29779528331343</v>
      </c>
      <c r="BT37" s="15" t="str">
        <f t="shared" si="16"/>
        <v>OK - No Upgrade</v>
      </c>
      <c r="BU37" s="15" t="str">
        <f t="shared" si="17"/>
        <v>OK - Balanced</v>
      </c>
    </row>
    <row r="38" spans="1:73" ht="15.75" customHeight="1" x14ac:dyDescent="0.25">
      <c r="A38" s="8" t="s">
        <v>1021</v>
      </c>
      <c r="B38" s="8" t="s">
        <v>1021</v>
      </c>
      <c r="C38" s="8" t="s">
        <v>40</v>
      </c>
      <c r="D38" s="8" t="s">
        <v>1106</v>
      </c>
      <c r="E38" s="8" t="s">
        <v>1107</v>
      </c>
      <c r="F38" s="8" t="s">
        <v>43</v>
      </c>
      <c r="G38" s="8"/>
      <c r="H38" s="8">
        <v>100</v>
      </c>
      <c r="I38" s="8" t="s">
        <v>1108</v>
      </c>
      <c r="J38" s="8">
        <v>1</v>
      </c>
      <c r="K38" s="8">
        <v>231</v>
      </c>
      <c r="L38" s="8">
        <v>230</v>
      </c>
      <c r="M38" s="8">
        <v>230</v>
      </c>
      <c r="N38" s="8">
        <v>400</v>
      </c>
      <c r="O38" s="8">
        <v>401</v>
      </c>
      <c r="P38" s="8">
        <v>400</v>
      </c>
      <c r="Q38" s="9" t="s">
        <v>46</v>
      </c>
      <c r="R38" s="16"/>
      <c r="S38" s="10">
        <v>19</v>
      </c>
      <c r="T38" s="10">
        <v>7</v>
      </c>
      <c r="U38" s="10">
        <v>3</v>
      </c>
      <c r="V38" s="11">
        <v>13</v>
      </c>
      <c r="W38" s="12"/>
      <c r="X38" s="17"/>
      <c r="Y38" s="13"/>
      <c r="Z38" s="13"/>
      <c r="AA38" s="13"/>
      <c r="AB38" s="14"/>
      <c r="AC38" s="9"/>
      <c r="AD38" s="16"/>
      <c r="AE38" s="10"/>
      <c r="AF38" s="10"/>
      <c r="AG38" s="10"/>
      <c r="AH38" s="11"/>
      <c r="AI38" s="12"/>
      <c r="AJ38" s="17"/>
      <c r="AK38" s="13"/>
      <c r="AL38" s="13"/>
      <c r="AM38" s="13"/>
      <c r="AN38" s="14"/>
      <c r="AO38" s="9"/>
      <c r="AP38" s="16"/>
      <c r="AQ38" s="10"/>
      <c r="AR38" s="10"/>
      <c r="AS38" s="10"/>
      <c r="AT38" s="11"/>
      <c r="AU38" s="12"/>
      <c r="AV38" s="17"/>
      <c r="AW38" s="13"/>
      <c r="AX38" s="13"/>
      <c r="AY38" s="13"/>
      <c r="AZ38" s="14"/>
      <c r="BA38" s="9"/>
      <c r="BB38" s="16"/>
      <c r="BC38" s="10"/>
      <c r="BD38" s="10"/>
      <c r="BE38" s="10"/>
      <c r="BF38" s="11"/>
      <c r="BG38" s="12"/>
      <c r="BH38" s="17"/>
      <c r="BI38" s="13"/>
      <c r="BJ38" s="13"/>
      <c r="BK38" s="13"/>
      <c r="BL38" s="14"/>
      <c r="BM38" s="8">
        <f t="shared" si="9"/>
        <v>19</v>
      </c>
      <c r="BN38" s="8">
        <f t="shared" si="10"/>
        <v>7</v>
      </c>
      <c r="BO38" s="8">
        <f t="shared" si="11"/>
        <v>3</v>
      </c>
      <c r="BP38" s="8">
        <f t="shared" si="12"/>
        <v>13</v>
      </c>
      <c r="BQ38" s="8">
        <f t="shared" si="13"/>
        <v>19</v>
      </c>
      <c r="BR38" s="8">
        <f t="shared" si="14"/>
        <v>3</v>
      </c>
      <c r="BS38" s="15">
        <f t="shared" si="15"/>
        <v>13.163586137523467</v>
      </c>
      <c r="BT38" s="15" t="str">
        <f t="shared" si="16"/>
        <v>OK - No Upgrade</v>
      </c>
      <c r="BU38" s="15" t="str">
        <f t="shared" si="17"/>
        <v>Need to Balance</v>
      </c>
    </row>
    <row r="39" spans="1:73" ht="15.75" customHeight="1" x14ac:dyDescent="0.25">
      <c r="A39" s="8" t="s">
        <v>1021</v>
      </c>
      <c r="B39" s="8" t="s">
        <v>1021</v>
      </c>
      <c r="C39" s="8" t="s">
        <v>40</v>
      </c>
      <c r="D39" s="8" t="s">
        <v>1106</v>
      </c>
      <c r="E39" s="8" t="s">
        <v>1107</v>
      </c>
      <c r="F39" s="8" t="s">
        <v>43</v>
      </c>
      <c r="G39" s="8" t="s">
        <v>44</v>
      </c>
      <c r="H39" s="8">
        <v>100</v>
      </c>
      <c r="I39" s="8" t="s">
        <v>1109</v>
      </c>
      <c r="J39" s="8">
        <v>2</v>
      </c>
      <c r="K39" s="8">
        <v>240</v>
      </c>
      <c r="L39" s="8">
        <v>240</v>
      </c>
      <c r="M39" s="8">
        <v>239</v>
      </c>
      <c r="N39" s="8">
        <v>416</v>
      </c>
      <c r="O39" s="8">
        <v>414</v>
      </c>
      <c r="P39" s="8">
        <v>413</v>
      </c>
      <c r="Q39" s="9" t="s">
        <v>46</v>
      </c>
      <c r="R39" s="16"/>
      <c r="S39" s="10">
        <v>8</v>
      </c>
      <c r="T39" s="10">
        <v>6</v>
      </c>
      <c r="U39" s="10">
        <v>4</v>
      </c>
      <c r="V39" s="11">
        <v>3</v>
      </c>
      <c r="W39" s="12"/>
      <c r="X39" s="17"/>
      <c r="Y39" s="13"/>
      <c r="Z39" s="13"/>
      <c r="AA39" s="13"/>
      <c r="AB39" s="14"/>
      <c r="AC39" s="9"/>
      <c r="AD39" s="16"/>
      <c r="AE39" s="10"/>
      <c r="AF39" s="10"/>
      <c r="AG39" s="10"/>
      <c r="AH39" s="11"/>
      <c r="AI39" s="12"/>
      <c r="AJ39" s="17"/>
      <c r="AK39" s="13"/>
      <c r="AL39" s="13"/>
      <c r="AM39" s="13"/>
      <c r="AN39" s="14"/>
      <c r="AO39" s="9"/>
      <c r="AP39" s="16"/>
      <c r="AQ39" s="10"/>
      <c r="AR39" s="10"/>
      <c r="AS39" s="10"/>
      <c r="AT39" s="11"/>
      <c r="AU39" s="12"/>
      <c r="AV39" s="17"/>
      <c r="AW39" s="13"/>
      <c r="AX39" s="13"/>
      <c r="AY39" s="13"/>
      <c r="AZ39" s="14"/>
      <c r="BA39" s="9"/>
      <c r="BB39" s="16"/>
      <c r="BC39" s="10"/>
      <c r="BD39" s="10"/>
      <c r="BE39" s="10"/>
      <c r="BF39" s="11"/>
      <c r="BG39" s="12"/>
      <c r="BH39" s="17"/>
      <c r="BI39" s="13"/>
      <c r="BJ39" s="13"/>
      <c r="BK39" s="13"/>
      <c r="BL39" s="14"/>
      <c r="BM39" s="8">
        <f t="shared" si="9"/>
        <v>8</v>
      </c>
      <c r="BN39" s="8">
        <f t="shared" si="10"/>
        <v>6</v>
      </c>
      <c r="BO39" s="8">
        <f t="shared" si="11"/>
        <v>4</v>
      </c>
      <c r="BP39" s="8">
        <f t="shared" si="12"/>
        <v>3</v>
      </c>
      <c r="BQ39" s="8">
        <f t="shared" si="13"/>
        <v>8</v>
      </c>
      <c r="BR39" s="8">
        <f t="shared" si="14"/>
        <v>4</v>
      </c>
      <c r="BS39" s="15">
        <f t="shared" si="15"/>
        <v>5.764265087589223</v>
      </c>
      <c r="BT39" s="15" t="str">
        <f t="shared" si="16"/>
        <v>OK - No Upgrade</v>
      </c>
      <c r="BU39" s="15" t="str">
        <f t="shared" si="17"/>
        <v>Need to Balance</v>
      </c>
    </row>
    <row r="40" spans="1:73" ht="15.75" customHeight="1" x14ac:dyDescent="0.25">
      <c r="A40" s="8" t="s">
        <v>1021</v>
      </c>
      <c r="B40" s="8" t="s">
        <v>1021</v>
      </c>
      <c r="C40" s="8" t="s">
        <v>40</v>
      </c>
      <c r="D40" s="8" t="s">
        <v>1110</v>
      </c>
      <c r="E40" s="8" t="s">
        <v>1111</v>
      </c>
      <c r="F40" s="8" t="s">
        <v>43</v>
      </c>
      <c r="G40" s="8"/>
      <c r="H40" s="8">
        <v>100</v>
      </c>
      <c r="I40" s="8" t="s">
        <v>1112</v>
      </c>
      <c r="J40" s="8">
        <v>1</v>
      </c>
      <c r="K40" s="8">
        <v>229</v>
      </c>
      <c r="L40" s="8">
        <v>239</v>
      </c>
      <c r="M40" s="8">
        <v>229</v>
      </c>
      <c r="N40" s="8">
        <v>401</v>
      </c>
      <c r="O40" s="8">
        <v>402</v>
      </c>
      <c r="P40" s="8">
        <v>401</v>
      </c>
      <c r="Q40" s="9" t="s">
        <v>46</v>
      </c>
      <c r="R40" s="16"/>
      <c r="S40" s="10">
        <v>21</v>
      </c>
      <c r="T40" s="10">
        <v>14</v>
      </c>
      <c r="U40" s="10">
        <v>13</v>
      </c>
      <c r="V40" s="11">
        <v>6</v>
      </c>
      <c r="W40" s="12"/>
      <c r="X40" s="17"/>
      <c r="Y40" s="13"/>
      <c r="Z40" s="13"/>
      <c r="AA40" s="13"/>
      <c r="AB40" s="14"/>
      <c r="AC40" s="9"/>
      <c r="AD40" s="16"/>
      <c r="AE40" s="10"/>
      <c r="AF40" s="10"/>
      <c r="AG40" s="10"/>
      <c r="AH40" s="11"/>
      <c r="AI40" s="12"/>
      <c r="AJ40" s="17"/>
      <c r="AK40" s="13"/>
      <c r="AL40" s="13"/>
      <c r="AM40" s="13"/>
      <c r="AN40" s="14"/>
      <c r="AO40" s="9"/>
      <c r="AP40" s="16"/>
      <c r="AQ40" s="10"/>
      <c r="AR40" s="10"/>
      <c r="AS40" s="10"/>
      <c r="AT40" s="11"/>
      <c r="AU40" s="12"/>
      <c r="AV40" s="17"/>
      <c r="AW40" s="13"/>
      <c r="AX40" s="13"/>
      <c r="AY40" s="13"/>
      <c r="AZ40" s="14"/>
      <c r="BA40" s="9"/>
      <c r="BB40" s="16"/>
      <c r="BC40" s="10"/>
      <c r="BD40" s="10"/>
      <c r="BE40" s="10"/>
      <c r="BF40" s="11"/>
      <c r="BG40" s="12"/>
      <c r="BH40" s="17"/>
      <c r="BI40" s="13"/>
      <c r="BJ40" s="13"/>
      <c r="BK40" s="13"/>
      <c r="BL40" s="14"/>
      <c r="BM40" s="8">
        <f t="shared" si="9"/>
        <v>21</v>
      </c>
      <c r="BN40" s="8">
        <f t="shared" si="10"/>
        <v>14</v>
      </c>
      <c r="BO40" s="8">
        <f t="shared" si="11"/>
        <v>13</v>
      </c>
      <c r="BP40" s="8">
        <f t="shared" si="12"/>
        <v>6</v>
      </c>
      <c r="BQ40" s="8">
        <f t="shared" si="13"/>
        <v>21</v>
      </c>
      <c r="BR40" s="8">
        <f t="shared" si="14"/>
        <v>13</v>
      </c>
      <c r="BS40" s="15">
        <f t="shared" si="15"/>
        <v>14.585599850537514</v>
      </c>
      <c r="BT40" s="15" t="str">
        <f t="shared" si="16"/>
        <v>OK - No Upgrade</v>
      </c>
      <c r="BU40" s="15" t="str">
        <f t="shared" si="17"/>
        <v>Need to Balance</v>
      </c>
    </row>
    <row r="41" spans="1:73" ht="15.75" customHeight="1" x14ac:dyDescent="0.25">
      <c r="A41" s="8" t="s">
        <v>1021</v>
      </c>
      <c r="B41" s="8" t="s">
        <v>1021</v>
      </c>
      <c r="C41" s="8" t="s">
        <v>40</v>
      </c>
      <c r="D41" s="8" t="s">
        <v>1110</v>
      </c>
      <c r="E41" s="8" t="s">
        <v>1111</v>
      </c>
      <c r="F41" s="8" t="s">
        <v>43</v>
      </c>
      <c r="G41" s="8" t="s">
        <v>44</v>
      </c>
      <c r="H41" s="8">
        <v>100</v>
      </c>
      <c r="I41" s="8" t="s">
        <v>1113</v>
      </c>
      <c r="J41" s="8">
        <v>2</v>
      </c>
      <c r="K41" s="8">
        <v>238</v>
      </c>
      <c r="L41" s="8">
        <v>239</v>
      </c>
      <c r="M41" s="8">
        <v>235</v>
      </c>
      <c r="N41" s="8">
        <v>413</v>
      </c>
      <c r="O41" s="8">
        <v>412</v>
      </c>
      <c r="P41" s="8">
        <v>409</v>
      </c>
      <c r="Q41" s="9" t="s">
        <v>46</v>
      </c>
      <c r="R41" s="16"/>
      <c r="S41" s="10">
        <v>20</v>
      </c>
      <c r="T41" s="10">
        <v>10</v>
      </c>
      <c r="U41" s="10">
        <v>20</v>
      </c>
      <c r="V41" s="11">
        <v>7</v>
      </c>
      <c r="W41" s="12"/>
      <c r="X41" s="17"/>
      <c r="Y41" s="13"/>
      <c r="Z41" s="13"/>
      <c r="AA41" s="13"/>
      <c r="AB41" s="14"/>
      <c r="AC41" s="9"/>
      <c r="AD41" s="16"/>
      <c r="AE41" s="10"/>
      <c r="AF41" s="10"/>
      <c r="AG41" s="10"/>
      <c r="AH41" s="11"/>
      <c r="AI41" s="12"/>
      <c r="AJ41" s="17"/>
      <c r="AK41" s="13"/>
      <c r="AL41" s="13"/>
      <c r="AM41" s="13"/>
      <c r="AN41" s="14"/>
      <c r="AO41" s="9"/>
      <c r="AP41" s="16"/>
      <c r="AQ41" s="10"/>
      <c r="AR41" s="10"/>
      <c r="AS41" s="10"/>
      <c r="AT41" s="11"/>
      <c r="AU41" s="12"/>
      <c r="AV41" s="17"/>
      <c r="AW41" s="13"/>
      <c r="AX41" s="13"/>
      <c r="AY41" s="13"/>
      <c r="AZ41" s="14"/>
      <c r="BA41" s="9"/>
      <c r="BB41" s="16"/>
      <c r="BC41" s="10"/>
      <c r="BD41" s="10"/>
      <c r="BE41" s="10"/>
      <c r="BF41" s="11"/>
      <c r="BG41" s="12"/>
      <c r="BH41" s="17"/>
      <c r="BI41" s="13"/>
      <c r="BJ41" s="13"/>
      <c r="BK41" s="13"/>
      <c r="BL41" s="14"/>
      <c r="BM41" s="8">
        <f t="shared" si="9"/>
        <v>20</v>
      </c>
      <c r="BN41" s="8">
        <f t="shared" si="10"/>
        <v>10</v>
      </c>
      <c r="BO41" s="8">
        <f t="shared" si="11"/>
        <v>20</v>
      </c>
      <c r="BP41" s="8">
        <f t="shared" si="12"/>
        <v>7</v>
      </c>
      <c r="BQ41" s="8">
        <f t="shared" si="13"/>
        <v>20</v>
      </c>
      <c r="BR41" s="8">
        <f t="shared" si="14"/>
        <v>10</v>
      </c>
      <c r="BS41" s="15">
        <f t="shared" si="15"/>
        <v>14.306739670518926</v>
      </c>
      <c r="BT41" s="15" t="str">
        <f t="shared" si="16"/>
        <v>OK - No Upgrade</v>
      </c>
      <c r="BU41" s="15" t="str">
        <f t="shared" si="17"/>
        <v>Need to Balance</v>
      </c>
    </row>
    <row r="42" spans="1:73" ht="15.75" customHeight="1" x14ac:dyDescent="0.25">
      <c r="A42" s="8" t="s">
        <v>1021</v>
      </c>
      <c r="B42" s="8" t="s">
        <v>1021</v>
      </c>
      <c r="C42" s="8" t="s">
        <v>40</v>
      </c>
      <c r="D42" s="8" t="s">
        <v>1114</v>
      </c>
      <c r="E42" s="8" t="s">
        <v>1115</v>
      </c>
      <c r="F42" s="8" t="s">
        <v>43</v>
      </c>
      <c r="G42" s="8"/>
      <c r="H42" s="8">
        <v>100</v>
      </c>
      <c r="I42" s="8" t="s">
        <v>1116</v>
      </c>
      <c r="J42" s="8">
        <v>1</v>
      </c>
      <c r="K42" s="8">
        <v>231</v>
      </c>
      <c r="L42" s="8">
        <v>232</v>
      </c>
      <c r="M42" s="8">
        <v>230</v>
      </c>
      <c r="N42" s="8">
        <v>400</v>
      </c>
      <c r="O42" s="8">
        <v>401</v>
      </c>
      <c r="P42" s="8">
        <v>400</v>
      </c>
      <c r="Q42" s="9" t="s">
        <v>46</v>
      </c>
      <c r="R42" s="16"/>
      <c r="S42" s="10">
        <v>4</v>
      </c>
      <c r="T42" s="10">
        <v>8</v>
      </c>
      <c r="U42" s="10">
        <v>10</v>
      </c>
      <c r="V42" s="11">
        <v>5</v>
      </c>
      <c r="W42" s="12"/>
      <c r="X42" s="17"/>
      <c r="Y42" s="13"/>
      <c r="Z42" s="13"/>
      <c r="AA42" s="13"/>
      <c r="AB42" s="14"/>
      <c r="AC42" s="9"/>
      <c r="AD42" s="16"/>
      <c r="AE42" s="10"/>
      <c r="AF42" s="10"/>
      <c r="AG42" s="10"/>
      <c r="AH42" s="11"/>
      <c r="AI42" s="12"/>
      <c r="AJ42" s="17"/>
      <c r="AK42" s="13"/>
      <c r="AL42" s="13"/>
      <c r="AM42" s="13"/>
      <c r="AN42" s="14"/>
      <c r="AO42" s="9"/>
      <c r="AP42" s="16"/>
      <c r="AQ42" s="10"/>
      <c r="AR42" s="10"/>
      <c r="AS42" s="10"/>
      <c r="AT42" s="11"/>
      <c r="AU42" s="12"/>
      <c r="AV42" s="17"/>
      <c r="AW42" s="13"/>
      <c r="AX42" s="13"/>
      <c r="AY42" s="13"/>
      <c r="AZ42" s="14"/>
      <c r="BA42" s="9"/>
      <c r="BB42" s="16"/>
      <c r="BC42" s="10"/>
      <c r="BD42" s="10"/>
      <c r="BE42" s="10"/>
      <c r="BF42" s="11"/>
      <c r="BG42" s="12"/>
      <c r="BH42" s="17"/>
      <c r="BI42" s="13"/>
      <c r="BJ42" s="13"/>
      <c r="BK42" s="13"/>
      <c r="BL42" s="14"/>
      <c r="BM42" s="8">
        <f t="shared" si="9"/>
        <v>4</v>
      </c>
      <c r="BN42" s="8">
        <f t="shared" si="10"/>
        <v>8</v>
      </c>
      <c r="BO42" s="8">
        <f t="shared" si="11"/>
        <v>10</v>
      </c>
      <c r="BP42" s="8">
        <f t="shared" si="12"/>
        <v>5</v>
      </c>
      <c r="BQ42" s="8">
        <f t="shared" si="13"/>
        <v>10</v>
      </c>
      <c r="BR42" s="8">
        <f t="shared" si="14"/>
        <v>4</v>
      </c>
      <c r="BS42" s="15">
        <f t="shared" si="15"/>
        <v>6.9282032302755088</v>
      </c>
      <c r="BT42" s="15" t="str">
        <f t="shared" si="16"/>
        <v>OK - No Upgrade</v>
      </c>
      <c r="BU42" s="15" t="str">
        <f t="shared" si="17"/>
        <v>Need to Balance</v>
      </c>
    </row>
    <row r="43" spans="1:73" ht="15.75" customHeight="1" x14ac:dyDescent="0.25">
      <c r="A43" s="8" t="s">
        <v>1021</v>
      </c>
      <c r="B43" s="8" t="s">
        <v>1021</v>
      </c>
      <c r="C43" s="8" t="s">
        <v>40</v>
      </c>
      <c r="D43" s="8" t="s">
        <v>1117</v>
      </c>
      <c r="E43" s="8" t="s">
        <v>1118</v>
      </c>
      <c r="F43" s="8" t="s">
        <v>43</v>
      </c>
      <c r="G43" s="8"/>
      <c r="H43" s="8">
        <v>100</v>
      </c>
      <c r="I43" s="8" t="s">
        <v>1119</v>
      </c>
      <c r="J43" s="8">
        <v>1</v>
      </c>
      <c r="K43" s="8">
        <v>235</v>
      </c>
      <c r="L43" s="8">
        <v>236</v>
      </c>
      <c r="M43" s="8">
        <v>235</v>
      </c>
      <c r="N43" s="8">
        <v>408</v>
      </c>
      <c r="O43" s="8">
        <v>405</v>
      </c>
      <c r="P43" s="8">
        <v>407</v>
      </c>
      <c r="Q43" s="9" t="s">
        <v>46</v>
      </c>
      <c r="R43" s="16"/>
      <c r="S43" s="10">
        <v>33</v>
      </c>
      <c r="T43" s="10">
        <v>32</v>
      </c>
      <c r="U43" s="10">
        <v>30</v>
      </c>
      <c r="V43" s="11">
        <v>5</v>
      </c>
      <c r="W43" s="12"/>
      <c r="X43" s="17"/>
      <c r="Y43" s="13"/>
      <c r="Z43" s="13"/>
      <c r="AA43" s="13"/>
      <c r="AB43" s="14"/>
      <c r="AC43" s="9"/>
      <c r="AD43" s="16"/>
      <c r="AE43" s="10"/>
      <c r="AF43" s="10"/>
      <c r="AG43" s="10"/>
      <c r="AH43" s="11"/>
      <c r="AI43" s="12"/>
      <c r="AJ43" s="17"/>
      <c r="AK43" s="13"/>
      <c r="AL43" s="13"/>
      <c r="AM43" s="13"/>
      <c r="AN43" s="14"/>
      <c r="AO43" s="9"/>
      <c r="AP43" s="16"/>
      <c r="AQ43" s="10"/>
      <c r="AR43" s="10"/>
      <c r="AS43" s="10"/>
      <c r="AT43" s="11"/>
      <c r="AU43" s="12"/>
      <c r="AV43" s="17"/>
      <c r="AW43" s="13"/>
      <c r="AX43" s="13"/>
      <c r="AY43" s="13"/>
      <c r="AZ43" s="14"/>
      <c r="BA43" s="9"/>
      <c r="BB43" s="16"/>
      <c r="BC43" s="10"/>
      <c r="BD43" s="10"/>
      <c r="BE43" s="10"/>
      <c r="BF43" s="11"/>
      <c r="BG43" s="12"/>
      <c r="BH43" s="17"/>
      <c r="BI43" s="13"/>
      <c r="BJ43" s="13"/>
      <c r="BK43" s="13"/>
      <c r="BL43" s="14"/>
      <c r="BM43" s="8">
        <f t="shared" si="9"/>
        <v>33</v>
      </c>
      <c r="BN43" s="8">
        <f t="shared" si="10"/>
        <v>32</v>
      </c>
      <c r="BO43" s="8">
        <f t="shared" si="11"/>
        <v>30</v>
      </c>
      <c r="BP43" s="8">
        <f t="shared" si="12"/>
        <v>5</v>
      </c>
      <c r="BQ43" s="8">
        <f t="shared" si="13"/>
        <v>33</v>
      </c>
      <c r="BR43" s="8">
        <f t="shared" si="14"/>
        <v>30</v>
      </c>
      <c r="BS43" s="15">
        <f t="shared" si="15"/>
        <v>23.320332073107362</v>
      </c>
      <c r="BT43" s="15" t="str">
        <f t="shared" si="16"/>
        <v>OK - No Upgrade</v>
      </c>
      <c r="BU43" s="15" t="str">
        <f t="shared" si="17"/>
        <v>OK - Balanced</v>
      </c>
    </row>
    <row r="44" spans="1:73" ht="15.75" customHeight="1" x14ac:dyDescent="0.25">
      <c r="A44" s="8" t="s">
        <v>1021</v>
      </c>
      <c r="B44" s="8" t="s">
        <v>1021</v>
      </c>
      <c r="C44" s="8" t="s">
        <v>40</v>
      </c>
      <c r="D44" s="8" t="s">
        <v>1120</v>
      </c>
      <c r="E44" s="8" t="s">
        <v>1121</v>
      </c>
      <c r="F44" s="8" t="s">
        <v>43</v>
      </c>
      <c r="G44" s="8"/>
      <c r="H44" s="8">
        <v>315</v>
      </c>
      <c r="I44" s="8" t="s">
        <v>1122</v>
      </c>
      <c r="J44" s="8">
        <v>1</v>
      </c>
      <c r="K44" s="8">
        <v>238</v>
      </c>
      <c r="L44" s="8">
        <v>239</v>
      </c>
      <c r="M44" s="8">
        <v>238</v>
      </c>
      <c r="N44" s="8">
        <v>412</v>
      </c>
      <c r="O44" s="8">
        <v>411</v>
      </c>
      <c r="P44" s="8">
        <v>409</v>
      </c>
      <c r="Q44" s="9" t="s">
        <v>46</v>
      </c>
      <c r="R44" s="16"/>
      <c r="S44" s="10">
        <v>47</v>
      </c>
      <c r="T44" s="10">
        <v>26</v>
      </c>
      <c r="U44" s="10">
        <v>32</v>
      </c>
      <c r="V44" s="11">
        <v>13</v>
      </c>
      <c r="W44" s="12"/>
      <c r="X44" s="17"/>
      <c r="Y44" s="13"/>
      <c r="Z44" s="13"/>
      <c r="AA44" s="13"/>
      <c r="AB44" s="14"/>
      <c r="AC44" s="9"/>
      <c r="AD44" s="16"/>
      <c r="AE44" s="10"/>
      <c r="AF44" s="10"/>
      <c r="AG44" s="10"/>
      <c r="AH44" s="11"/>
      <c r="AI44" s="12"/>
      <c r="AJ44" s="17"/>
      <c r="AK44" s="13"/>
      <c r="AL44" s="13"/>
      <c r="AM44" s="13"/>
      <c r="AN44" s="14"/>
      <c r="AO44" s="9"/>
      <c r="AP44" s="16"/>
      <c r="AQ44" s="10"/>
      <c r="AR44" s="10"/>
      <c r="AS44" s="10"/>
      <c r="AT44" s="11"/>
      <c r="AU44" s="12"/>
      <c r="AV44" s="17"/>
      <c r="AW44" s="13"/>
      <c r="AX44" s="13"/>
      <c r="AY44" s="13"/>
      <c r="AZ44" s="14"/>
      <c r="BA44" s="9"/>
      <c r="BB44" s="16"/>
      <c r="BC44" s="10"/>
      <c r="BD44" s="10"/>
      <c r="BE44" s="10"/>
      <c r="BF44" s="11"/>
      <c r="BG44" s="12"/>
      <c r="BH44" s="17"/>
      <c r="BI44" s="13"/>
      <c r="BJ44" s="13"/>
      <c r="BK44" s="13"/>
      <c r="BL44" s="14"/>
      <c r="BM44" s="8">
        <f t="shared" si="9"/>
        <v>47</v>
      </c>
      <c r="BN44" s="8">
        <f t="shared" si="10"/>
        <v>26</v>
      </c>
      <c r="BO44" s="8">
        <f t="shared" si="11"/>
        <v>32</v>
      </c>
      <c r="BP44" s="8">
        <f t="shared" si="12"/>
        <v>13</v>
      </c>
      <c r="BQ44" s="8">
        <f t="shared" si="13"/>
        <v>47</v>
      </c>
      <c r="BR44" s="8">
        <f t="shared" si="14"/>
        <v>26</v>
      </c>
      <c r="BS44" s="15">
        <f t="shared" si="15"/>
        <v>10.647438678655154</v>
      </c>
      <c r="BT44" s="15" t="str">
        <f t="shared" si="16"/>
        <v>OK - No Upgrade</v>
      </c>
      <c r="BU44" s="15" t="str">
        <f t="shared" si="17"/>
        <v>Need to Balance</v>
      </c>
    </row>
    <row r="45" spans="1:73" ht="15.75" customHeight="1" x14ac:dyDescent="0.25">
      <c r="A45" s="8" t="s">
        <v>1021</v>
      </c>
      <c r="B45" s="8" t="s">
        <v>1021</v>
      </c>
      <c r="C45" s="8" t="s">
        <v>40</v>
      </c>
      <c r="D45" s="8" t="s">
        <v>1123</v>
      </c>
      <c r="E45" s="8" t="s">
        <v>1124</v>
      </c>
      <c r="F45" s="8" t="s">
        <v>43</v>
      </c>
      <c r="G45" s="8"/>
      <c r="H45" s="8">
        <v>100</v>
      </c>
      <c r="I45" s="8" t="s">
        <v>1125</v>
      </c>
      <c r="J45" s="8">
        <v>1</v>
      </c>
      <c r="K45" s="8">
        <v>233</v>
      </c>
      <c r="L45" s="8">
        <v>234</v>
      </c>
      <c r="M45" s="8">
        <v>233</v>
      </c>
      <c r="N45" s="8">
        <v>404</v>
      </c>
      <c r="O45" s="8">
        <v>402</v>
      </c>
      <c r="P45" s="8">
        <v>404</v>
      </c>
      <c r="Q45" s="9" t="s">
        <v>47</v>
      </c>
      <c r="R45" s="16"/>
      <c r="S45" s="10">
        <v>2</v>
      </c>
      <c r="T45" s="10">
        <v>1</v>
      </c>
      <c r="U45" s="10">
        <v>1</v>
      </c>
      <c r="V45" s="11">
        <v>0</v>
      </c>
      <c r="W45" s="12"/>
      <c r="X45" s="17"/>
      <c r="Y45" s="13"/>
      <c r="Z45" s="13"/>
      <c r="AA45" s="13"/>
      <c r="AB45" s="14"/>
      <c r="AC45" s="9"/>
      <c r="AD45" s="16"/>
      <c r="AE45" s="10"/>
      <c r="AF45" s="10"/>
      <c r="AG45" s="10"/>
      <c r="AH45" s="11"/>
      <c r="AI45" s="12"/>
      <c r="AJ45" s="17"/>
      <c r="AK45" s="13"/>
      <c r="AL45" s="13"/>
      <c r="AM45" s="13"/>
      <c r="AN45" s="14"/>
      <c r="AO45" s="9"/>
      <c r="AP45" s="16"/>
      <c r="AQ45" s="10"/>
      <c r="AR45" s="10"/>
      <c r="AS45" s="10"/>
      <c r="AT45" s="11"/>
      <c r="AU45" s="12"/>
      <c r="AV45" s="17"/>
      <c r="AW45" s="13"/>
      <c r="AX45" s="13"/>
      <c r="AY45" s="13"/>
      <c r="AZ45" s="14"/>
      <c r="BA45" s="9"/>
      <c r="BB45" s="16"/>
      <c r="BC45" s="10"/>
      <c r="BD45" s="10"/>
      <c r="BE45" s="10"/>
      <c r="BF45" s="11"/>
      <c r="BG45" s="12"/>
      <c r="BH45" s="17"/>
      <c r="BI45" s="13"/>
      <c r="BJ45" s="13"/>
      <c r="BK45" s="13"/>
      <c r="BL45" s="14"/>
      <c r="BM45" s="8">
        <f t="shared" si="9"/>
        <v>2</v>
      </c>
      <c r="BN45" s="8">
        <f t="shared" si="10"/>
        <v>1</v>
      </c>
      <c r="BO45" s="8">
        <f t="shared" si="11"/>
        <v>1</v>
      </c>
      <c r="BP45" s="8">
        <f t="shared" si="12"/>
        <v>0</v>
      </c>
      <c r="BQ45" s="8">
        <f t="shared" si="13"/>
        <v>2</v>
      </c>
      <c r="BR45" s="8">
        <f t="shared" si="14"/>
        <v>1</v>
      </c>
      <c r="BS45" s="15">
        <f t="shared" si="15"/>
        <v>1.3994970525156527</v>
      </c>
      <c r="BT45" s="15" t="str">
        <f t="shared" si="16"/>
        <v>OK - No Upgrade</v>
      </c>
      <c r="BU45" s="15" t="str">
        <f t="shared" si="17"/>
        <v>Need to Balance</v>
      </c>
    </row>
    <row r="46" spans="1:73" ht="15.75" customHeight="1" x14ac:dyDescent="0.25">
      <c r="A46" s="8" t="s">
        <v>1021</v>
      </c>
      <c r="B46" s="8" t="s">
        <v>1021</v>
      </c>
      <c r="C46" s="8" t="s">
        <v>40</v>
      </c>
      <c r="D46" s="8" t="s">
        <v>1126</v>
      </c>
      <c r="E46" s="8" t="s">
        <v>1127</v>
      </c>
      <c r="F46" s="8" t="s">
        <v>43</v>
      </c>
      <c r="G46" s="8"/>
      <c r="H46" s="8">
        <v>100</v>
      </c>
      <c r="I46" s="8" t="s">
        <v>1128</v>
      </c>
      <c r="J46" s="8">
        <v>1</v>
      </c>
      <c r="K46" s="8">
        <v>232</v>
      </c>
      <c r="L46" s="8">
        <v>232</v>
      </c>
      <c r="M46" s="8">
        <v>234</v>
      </c>
      <c r="N46" s="8">
        <v>401</v>
      </c>
      <c r="O46" s="8">
        <v>403</v>
      </c>
      <c r="P46" s="8">
        <v>403</v>
      </c>
      <c r="Q46" s="9" t="s">
        <v>46</v>
      </c>
      <c r="R46" s="16"/>
      <c r="S46" s="10">
        <v>16</v>
      </c>
      <c r="T46" s="10">
        <v>16</v>
      </c>
      <c r="U46" s="10">
        <v>17</v>
      </c>
      <c r="V46" s="11">
        <v>4</v>
      </c>
      <c r="W46" s="12"/>
      <c r="X46" s="17"/>
      <c r="Y46" s="13"/>
      <c r="Z46" s="13"/>
      <c r="AA46" s="13"/>
      <c r="AB46" s="14"/>
      <c r="AC46" s="9"/>
      <c r="AD46" s="16"/>
      <c r="AE46" s="10"/>
      <c r="AF46" s="10"/>
      <c r="AG46" s="10"/>
      <c r="AH46" s="11"/>
      <c r="AI46" s="12"/>
      <c r="AJ46" s="17"/>
      <c r="AK46" s="13"/>
      <c r="AL46" s="13"/>
      <c r="AM46" s="13"/>
      <c r="AN46" s="14"/>
      <c r="AO46" s="9"/>
      <c r="AP46" s="16"/>
      <c r="AQ46" s="10"/>
      <c r="AR46" s="10"/>
      <c r="AS46" s="10"/>
      <c r="AT46" s="11"/>
      <c r="AU46" s="12"/>
      <c r="AV46" s="17"/>
      <c r="AW46" s="13"/>
      <c r="AX46" s="13"/>
      <c r="AY46" s="13"/>
      <c r="AZ46" s="14"/>
      <c r="BA46" s="9"/>
      <c r="BB46" s="16"/>
      <c r="BC46" s="10"/>
      <c r="BD46" s="10"/>
      <c r="BE46" s="10"/>
      <c r="BF46" s="11"/>
      <c r="BG46" s="12"/>
      <c r="BH46" s="17"/>
      <c r="BI46" s="13"/>
      <c r="BJ46" s="13"/>
      <c r="BK46" s="13"/>
      <c r="BL46" s="14"/>
      <c r="BM46" s="8">
        <f t="shared" si="9"/>
        <v>16</v>
      </c>
      <c r="BN46" s="8">
        <f t="shared" si="10"/>
        <v>16</v>
      </c>
      <c r="BO46" s="8">
        <f t="shared" si="11"/>
        <v>17</v>
      </c>
      <c r="BP46" s="8">
        <f t="shared" si="12"/>
        <v>4</v>
      </c>
      <c r="BQ46" s="8">
        <f t="shared" si="13"/>
        <v>17</v>
      </c>
      <c r="BR46" s="8">
        <f t="shared" si="14"/>
        <v>16</v>
      </c>
      <c r="BS46" s="15">
        <f t="shared" si="15"/>
        <v>11.807390355197036</v>
      </c>
      <c r="BT46" s="15" t="str">
        <f t="shared" si="16"/>
        <v>OK - No Upgrade</v>
      </c>
      <c r="BU46" s="15" t="str">
        <f t="shared" si="17"/>
        <v>OK - Balanced</v>
      </c>
    </row>
    <row r="47" spans="1:73" ht="15.75" customHeight="1" x14ac:dyDescent="0.25">
      <c r="A47" s="8" t="s">
        <v>1021</v>
      </c>
      <c r="B47" s="8" t="s">
        <v>1021</v>
      </c>
      <c r="C47" s="8" t="s">
        <v>40</v>
      </c>
      <c r="D47" s="8" t="s">
        <v>1129</v>
      </c>
      <c r="E47" s="8" t="s">
        <v>1130</v>
      </c>
      <c r="F47" s="8" t="s">
        <v>43</v>
      </c>
      <c r="G47" s="8"/>
      <c r="H47" s="8">
        <v>200</v>
      </c>
      <c r="I47" s="8" t="s">
        <v>1131</v>
      </c>
      <c r="J47" s="8">
        <v>1</v>
      </c>
      <c r="K47" s="8">
        <v>238</v>
      </c>
      <c r="L47" s="8">
        <v>239</v>
      </c>
      <c r="M47" s="8">
        <v>237</v>
      </c>
      <c r="N47" s="8">
        <v>413</v>
      </c>
      <c r="O47" s="8">
        <v>410</v>
      </c>
      <c r="P47" s="8">
        <v>411</v>
      </c>
      <c r="Q47" s="9" t="s">
        <v>46</v>
      </c>
      <c r="R47" s="16"/>
      <c r="S47" s="10">
        <v>77</v>
      </c>
      <c r="T47" s="10">
        <v>87</v>
      </c>
      <c r="U47" s="10">
        <v>76</v>
      </c>
      <c r="V47" s="11">
        <v>13</v>
      </c>
      <c r="W47" s="12"/>
      <c r="X47" s="17"/>
      <c r="Y47" s="13"/>
      <c r="Z47" s="13"/>
      <c r="AA47" s="13"/>
      <c r="AB47" s="14"/>
      <c r="AC47" s="9"/>
      <c r="AD47" s="16"/>
      <c r="AE47" s="10"/>
      <c r="AF47" s="10"/>
      <c r="AG47" s="10"/>
      <c r="AH47" s="11"/>
      <c r="AI47" s="12"/>
      <c r="AJ47" s="17"/>
      <c r="AK47" s="13"/>
      <c r="AL47" s="13"/>
      <c r="AM47" s="13"/>
      <c r="AN47" s="14"/>
      <c r="AO47" s="9"/>
      <c r="AP47" s="16"/>
      <c r="AQ47" s="10"/>
      <c r="AR47" s="10"/>
      <c r="AS47" s="10"/>
      <c r="AT47" s="11"/>
      <c r="AU47" s="12"/>
      <c r="AV47" s="17"/>
      <c r="AW47" s="13"/>
      <c r="AX47" s="13"/>
      <c r="AY47" s="13"/>
      <c r="AZ47" s="14"/>
      <c r="BA47" s="9"/>
      <c r="BB47" s="16"/>
      <c r="BC47" s="10"/>
      <c r="BD47" s="10"/>
      <c r="BE47" s="10"/>
      <c r="BF47" s="11"/>
      <c r="BG47" s="12"/>
      <c r="BH47" s="17"/>
      <c r="BI47" s="13"/>
      <c r="BJ47" s="13"/>
      <c r="BK47" s="13"/>
      <c r="BL47" s="14"/>
      <c r="BM47" s="8">
        <f t="shared" si="9"/>
        <v>77</v>
      </c>
      <c r="BN47" s="8">
        <f t="shared" si="10"/>
        <v>87</v>
      </c>
      <c r="BO47" s="8">
        <f t="shared" si="11"/>
        <v>76</v>
      </c>
      <c r="BP47" s="8">
        <f t="shared" si="12"/>
        <v>13</v>
      </c>
      <c r="BQ47" s="8">
        <f t="shared" si="13"/>
        <v>87</v>
      </c>
      <c r="BR47" s="8">
        <f t="shared" si="14"/>
        <v>76</v>
      </c>
      <c r="BS47" s="15">
        <f t="shared" si="15"/>
        <v>31.117158783378667</v>
      </c>
      <c r="BT47" s="15" t="str">
        <f t="shared" si="16"/>
        <v>OK - No Upgrade</v>
      </c>
      <c r="BU47" s="15" t="str">
        <f t="shared" si="17"/>
        <v>OK - Balanced</v>
      </c>
    </row>
    <row r="48" spans="1:73" ht="15.75" customHeight="1" x14ac:dyDescent="0.25">
      <c r="A48" s="8" t="s">
        <v>1021</v>
      </c>
      <c r="B48" s="8" t="s">
        <v>1021</v>
      </c>
      <c r="C48" s="8" t="s">
        <v>40</v>
      </c>
      <c r="D48" s="8" t="s">
        <v>1132</v>
      </c>
      <c r="E48" s="8" t="s">
        <v>1048</v>
      </c>
      <c r="F48" s="8" t="s">
        <v>43</v>
      </c>
      <c r="G48" s="8"/>
      <c r="H48" s="8">
        <v>100</v>
      </c>
      <c r="I48" s="8" t="s">
        <v>1133</v>
      </c>
      <c r="J48" s="8">
        <v>1</v>
      </c>
      <c r="K48" s="8">
        <v>234</v>
      </c>
      <c r="L48" s="8">
        <v>235</v>
      </c>
      <c r="M48" s="8">
        <v>232</v>
      </c>
      <c r="N48" s="8">
        <v>406</v>
      </c>
      <c r="O48" s="8">
        <v>403</v>
      </c>
      <c r="P48" s="8">
        <v>405</v>
      </c>
      <c r="Q48" s="9" t="s">
        <v>46</v>
      </c>
      <c r="R48" s="16"/>
      <c r="S48" s="10">
        <v>8</v>
      </c>
      <c r="T48" s="10">
        <v>7</v>
      </c>
      <c r="U48" s="10">
        <v>16</v>
      </c>
      <c r="V48" s="11">
        <v>4</v>
      </c>
      <c r="W48" s="12"/>
      <c r="X48" s="17"/>
      <c r="Y48" s="13"/>
      <c r="Z48" s="13"/>
      <c r="AA48" s="13"/>
      <c r="AB48" s="14"/>
      <c r="AC48" s="9"/>
      <c r="AD48" s="16"/>
      <c r="AE48" s="10"/>
      <c r="AF48" s="10"/>
      <c r="AG48" s="10"/>
      <c r="AH48" s="11"/>
      <c r="AI48" s="12"/>
      <c r="AJ48" s="17"/>
      <c r="AK48" s="13"/>
      <c r="AL48" s="13"/>
      <c r="AM48" s="13"/>
      <c r="AN48" s="14"/>
      <c r="AO48" s="9"/>
      <c r="AP48" s="16"/>
      <c r="AQ48" s="10"/>
      <c r="AR48" s="10"/>
      <c r="AS48" s="10"/>
      <c r="AT48" s="11"/>
      <c r="AU48" s="12"/>
      <c r="AV48" s="17"/>
      <c r="AW48" s="13"/>
      <c r="AX48" s="13"/>
      <c r="AY48" s="13"/>
      <c r="AZ48" s="14"/>
      <c r="BA48" s="9"/>
      <c r="BB48" s="16"/>
      <c r="BC48" s="10"/>
      <c r="BD48" s="10"/>
      <c r="BE48" s="10"/>
      <c r="BF48" s="11"/>
      <c r="BG48" s="12"/>
      <c r="BH48" s="17"/>
      <c r="BI48" s="13"/>
      <c r="BJ48" s="13"/>
      <c r="BK48" s="13"/>
      <c r="BL48" s="14"/>
      <c r="BM48" s="8">
        <f t="shared" si="9"/>
        <v>8</v>
      </c>
      <c r="BN48" s="8">
        <f t="shared" si="10"/>
        <v>7</v>
      </c>
      <c r="BO48" s="8">
        <f t="shared" si="11"/>
        <v>16</v>
      </c>
      <c r="BP48" s="8">
        <f t="shared" si="12"/>
        <v>4</v>
      </c>
      <c r="BQ48" s="8">
        <f t="shared" si="13"/>
        <v>16</v>
      </c>
      <c r="BR48" s="8">
        <f t="shared" si="14"/>
        <v>7</v>
      </c>
      <c r="BS48" s="15">
        <f t="shared" si="15"/>
        <v>11.251402045967426</v>
      </c>
      <c r="BT48" s="15" t="str">
        <f t="shared" si="16"/>
        <v>OK - No Upgrade</v>
      </c>
      <c r="BU48" s="15" t="str">
        <f t="shared" si="17"/>
        <v>Need to Balance</v>
      </c>
    </row>
    <row r="49" spans="1:73" ht="15.75" customHeight="1" x14ac:dyDescent="0.25">
      <c r="A49" s="8" t="s">
        <v>1021</v>
      </c>
      <c r="B49" s="8" t="s">
        <v>1021</v>
      </c>
      <c r="C49" s="8" t="s">
        <v>40</v>
      </c>
      <c r="D49" s="8" t="s">
        <v>1134</v>
      </c>
      <c r="E49" s="8" t="s">
        <v>611</v>
      </c>
      <c r="F49" s="8" t="s">
        <v>43</v>
      </c>
      <c r="G49" s="8"/>
      <c r="H49" s="8">
        <v>315</v>
      </c>
      <c r="I49" s="8" t="s">
        <v>1135</v>
      </c>
      <c r="J49" s="8">
        <v>1</v>
      </c>
      <c r="K49" s="8">
        <v>245</v>
      </c>
      <c r="L49" s="8">
        <v>247</v>
      </c>
      <c r="M49" s="8">
        <v>245</v>
      </c>
      <c r="N49" s="8">
        <v>426</v>
      </c>
      <c r="O49" s="8">
        <v>423</v>
      </c>
      <c r="P49" s="8">
        <v>426</v>
      </c>
      <c r="Q49" s="9" t="s">
        <v>46</v>
      </c>
      <c r="R49" s="16"/>
      <c r="S49" s="10">
        <v>67</v>
      </c>
      <c r="T49" s="10">
        <v>59</v>
      </c>
      <c r="U49" s="10">
        <v>80</v>
      </c>
      <c r="V49" s="11">
        <v>17</v>
      </c>
      <c r="W49" s="12"/>
      <c r="X49" s="17"/>
      <c r="Y49" s="13"/>
      <c r="Z49" s="13"/>
      <c r="AA49" s="13"/>
      <c r="AB49" s="14"/>
      <c r="AC49" s="9"/>
      <c r="AD49" s="16"/>
      <c r="AE49" s="10"/>
      <c r="AF49" s="10"/>
      <c r="AG49" s="10"/>
      <c r="AH49" s="11"/>
      <c r="AI49" s="12"/>
      <c r="AJ49" s="17"/>
      <c r="AK49" s="13"/>
      <c r="AL49" s="13"/>
      <c r="AM49" s="13"/>
      <c r="AN49" s="14"/>
      <c r="AO49" s="9"/>
      <c r="AP49" s="16"/>
      <c r="AQ49" s="10"/>
      <c r="AR49" s="10"/>
      <c r="AS49" s="10"/>
      <c r="AT49" s="11"/>
      <c r="AU49" s="12"/>
      <c r="AV49" s="17"/>
      <c r="AW49" s="13"/>
      <c r="AX49" s="13"/>
      <c r="AY49" s="13"/>
      <c r="AZ49" s="14"/>
      <c r="BA49" s="9"/>
      <c r="BB49" s="16"/>
      <c r="BC49" s="10"/>
      <c r="BD49" s="10"/>
      <c r="BE49" s="10"/>
      <c r="BF49" s="11"/>
      <c r="BG49" s="12"/>
      <c r="BH49" s="17"/>
      <c r="BI49" s="13"/>
      <c r="BJ49" s="13"/>
      <c r="BK49" s="13"/>
      <c r="BL49" s="14"/>
      <c r="BM49" s="8">
        <f t="shared" si="9"/>
        <v>67</v>
      </c>
      <c r="BN49" s="8">
        <f t="shared" si="10"/>
        <v>59</v>
      </c>
      <c r="BO49" s="8">
        <f t="shared" si="11"/>
        <v>80</v>
      </c>
      <c r="BP49" s="8">
        <f t="shared" si="12"/>
        <v>17</v>
      </c>
      <c r="BQ49" s="8">
        <f t="shared" si="13"/>
        <v>80</v>
      </c>
      <c r="BR49" s="8">
        <f t="shared" si="14"/>
        <v>59</v>
      </c>
      <c r="BS49" s="15">
        <f t="shared" si="15"/>
        <v>18.739140165697567</v>
      </c>
      <c r="BT49" s="15" t="str">
        <f t="shared" si="16"/>
        <v>OK - No Upgrade</v>
      </c>
      <c r="BU49" s="15" t="str">
        <f t="shared" si="17"/>
        <v>Need to Balance</v>
      </c>
    </row>
    <row r="50" spans="1:73" ht="15.75" customHeight="1" x14ac:dyDescent="0.25">
      <c r="A50" s="8" t="s">
        <v>1021</v>
      </c>
      <c r="B50" s="8" t="s">
        <v>1021</v>
      </c>
      <c r="C50" s="8" t="s">
        <v>40</v>
      </c>
      <c r="D50" s="8" t="s">
        <v>1136</v>
      </c>
      <c r="E50" s="8" t="s">
        <v>622</v>
      </c>
      <c r="F50" s="8" t="s">
        <v>43</v>
      </c>
      <c r="G50" s="8"/>
      <c r="H50" s="8">
        <v>100</v>
      </c>
      <c r="I50" s="8" t="s">
        <v>1137</v>
      </c>
      <c r="J50" s="8">
        <v>1</v>
      </c>
      <c r="K50" s="8">
        <v>234</v>
      </c>
      <c r="L50" s="8">
        <v>234</v>
      </c>
      <c r="M50" s="8">
        <v>234</v>
      </c>
      <c r="N50" s="8">
        <v>406</v>
      </c>
      <c r="O50" s="8">
        <v>405</v>
      </c>
      <c r="P50" s="8">
        <v>403</v>
      </c>
      <c r="Q50" s="9" t="s">
        <v>46</v>
      </c>
      <c r="R50" s="16"/>
      <c r="S50" s="10">
        <v>31</v>
      </c>
      <c r="T50" s="10">
        <v>36</v>
      </c>
      <c r="U50" s="10">
        <v>43</v>
      </c>
      <c r="V50" s="11">
        <v>10</v>
      </c>
      <c r="W50" s="12"/>
      <c r="X50" s="17"/>
      <c r="Y50" s="13"/>
      <c r="Z50" s="13"/>
      <c r="AA50" s="13"/>
      <c r="AB50" s="14"/>
      <c r="AC50" s="9"/>
      <c r="AD50" s="16"/>
      <c r="AE50" s="10"/>
      <c r="AF50" s="10"/>
      <c r="AG50" s="10"/>
      <c r="AH50" s="11"/>
      <c r="AI50" s="12"/>
      <c r="AJ50" s="17"/>
      <c r="AK50" s="13"/>
      <c r="AL50" s="13"/>
      <c r="AM50" s="13"/>
      <c r="AN50" s="14"/>
      <c r="AO50" s="9"/>
      <c r="AP50" s="16"/>
      <c r="AQ50" s="10"/>
      <c r="AR50" s="10"/>
      <c r="AS50" s="10"/>
      <c r="AT50" s="11"/>
      <c r="AU50" s="12"/>
      <c r="AV50" s="17"/>
      <c r="AW50" s="13"/>
      <c r="AX50" s="13"/>
      <c r="AY50" s="13"/>
      <c r="AZ50" s="14"/>
      <c r="BA50" s="9"/>
      <c r="BB50" s="16"/>
      <c r="BC50" s="10"/>
      <c r="BD50" s="10"/>
      <c r="BE50" s="10"/>
      <c r="BF50" s="11"/>
      <c r="BG50" s="12"/>
      <c r="BH50" s="17"/>
      <c r="BI50" s="13"/>
      <c r="BJ50" s="13"/>
      <c r="BK50" s="13"/>
      <c r="BL50" s="14"/>
      <c r="BM50" s="8">
        <f t="shared" si="9"/>
        <v>31</v>
      </c>
      <c r="BN50" s="8">
        <f t="shared" si="10"/>
        <v>36</v>
      </c>
      <c r="BO50" s="8">
        <f t="shared" si="11"/>
        <v>43</v>
      </c>
      <c r="BP50" s="8">
        <f t="shared" si="12"/>
        <v>10</v>
      </c>
      <c r="BQ50" s="8">
        <f t="shared" si="13"/>
        <v>43</v>
      </c>
      <c r="BR50" s="8">
        <f t="shared" si="14"/>
        <v>31</v>
      </c>
      <c r="BS50" s="15">
        <f t="shared" si="15"/>
        <v>30.238142998537455</v>
      </c>
      <c r="BT50" s="15" t="str">
        <f t="shared" si="16"/>
        <v>OK - No Upgrade</v>
      </c>
      <c r="BU50" s="15" t="str">
        <f t="shared" si="17"/>
        <v>Need to Balance</v>
      </c>
    </row>
    <row r="51" spans="1:73" ht="15.75" customHeight="1" x14ac:dyDescent="0.25">
      <c r="A51" s="8" t="s">
        <v>1021</v>
      </c>
      <c r="B51" s="8" t="s">
        <v>1021</v>
      </c>
      <c r="C51" s="8" t="s">
        <v>40</v>
      </c>
      <c r="D51" s="8" t="s">
        <v>1138</v>
      </c>
      <c r="E51" s="8" t="s">
        <v>1139</v>
      </c>
      <c r="F51" s="8" t="s">
        <v>43</v>
      </c>
      <c r="G51" s="8"/>
      <c r="H51" s="8">
        <v>100</v>
      </c>
      <c r="I51" s="8" t="s">
        <v>1140</v>
      </c>
      <c r="J51" s="8">
        <v>1</v>
      </c>
      <c r="K51" s="8">
        <v>237</v>
      </c>
      <c r="L51" s="8">
        <v>238</v>
      </c>
      <c r="M51" s="8">
        <v>236</v>
      </c>
      <c r="N51" s="8">
        <v>411</v>
      </c>
      <c r="O51" s="8">
        <v>409</v>
      </c>
      <c r="P51" s="8">
        <v>410</v>
      </c>
      <c r="Q51" s="9" t="s">
        <v>46</v>
      </c>
      <c r="R51" s="16"/>
      <c r="S51" s="10">
        <v>1</v>
      </c>
      <c r="T51" s="10">
        <v>1</v>
      </c>
      <c r="U51" s="10">
        <v>0</v>
      </c>
      <c r="V51" s="11">
        <v>0</v>
      </c>
      <c r="W51" s="12"/>
      <c r="X51" s="17"/>
      <c r="Y51" s="13"/>
      <c r="Z51" s="13"/>
      <c r="AA51" s="13"/>
      <c r="AB51" s="14"/>
      <c r="AC51" s="9"/>
      <c r="AD51" s="16"/>
      <c r="AE51" s="10"/>
      <c r="AF51" s="10"/>
      <c r="AG51" s="10"/>
      <c r="AH51" s="11"/>
      <c r="AI51" s="12"/>
      <c r="AJ51" s="17"/>
      <c r="AK51" s="13"/>
      <c r="AL51" s="13"/>
      <c r="AM51" s="13"/>
      <c r="AN51" s="14"/>
      <c r="AO51" s="9"/>
      <c r="AP51" s="16"/>
      <c r="AQ51" s="10"/>
      <c r="AR51" s="10"/>
      <c r="AS51" s="10"/>
      <c r="AT51" s="11"/>
      <c r="AU51" s="12"/>
      <c r="AV51" s="17"/>
      <c r="AW51" s="13"/>
      <c r="AX51" s="13"/>
      <c r="AY51" s="13"/>
      <c r="AZ51" s="14"/>
      <c r="BA51" s="9"/>
      <c r="BB51" s="16"/>
      <c r="BC51" s="10"/>
      <c r="BD51" s="10"/>
      <c r="BE51" s="10"/>
      <c r="BF51" s="11"/>
      <c r="BG51" s="12"/>
      <c r="BH51" s="17"/>
      <c r="BI51" s="13"/>
      <c r="BJ51" s="13"/>
      <c r="BK51" s="13"/>
      <c r="BL51" s="14"/>
      <c r="BM51" s="8">
        <f t="shared" si="9"/>
        <v>1</v>
      </c>
      <c r="BN51" s="8">
        <f t="shared" si="10"/>
        <v>1</v>
      </c>
      <c r="BO51" s="8">
        <f t="shared" si="11"/>
        <v>0</v>
      </c>
      <c r="BP51" s="8">
        <f t="shared" si="12"/>
        <v>0</v>
      </c>
      <c r="BQ51" s="8">
        <f t="shared" si="13"/>
        <v>1</v>
      </c>
      <c r="BR51" s="8">
        <f t="shared" si="14"/>
        <v>0</v>
      </c>
      <c r="BS51" s="15">
        <f t="shared" si="15"/>
        <v>0.71187288191080844</v>
      </c>
      <c r="BT51" s="15" t="str">
        <f t="shared" si="16"/>
        <v>OK - No Upgrade</v>
      </c>
      <c r="BU51" s="15" t="str">
        <f t="shared" si="17"/>
        <v>Need to Balance</v>
      </c>
    </row>
    <row r="52" spans="1:73" ht="15.75" customHeight="1" x14ac:dyDescent="0.25">
      <c r="A52" s="8" t="s">
        <v>1021</v>
      </c>
      <c r="B52" s="8" t="s">
        <v>1021</v>
      </c>
      <c r="C52" s="8" t="s">
        <v>40</v>
      </c>
      <c r="D52" s="8" t="s">
        <v>1141</v>
      </c>
      <c r="E52" s="8" t="s">
        <v>440</v>
      </c>
      <c r="F52" s="8" t="s">
        <v>43</v>
      </c>
      <c r="G52" s="8"/>
      <c r="H52" s="8">
        <v>200</v>
      </c>
      <c r="I52" s="8" t="s">
        <v>1142</v>
      </c>
      <c r="J52" s="8">
        <v>1</v>
      </c>
      <c r="K52" s="8">
        <v>249</v>
      </c>
      <c r="L52" s="8">
        <v>248</v>
      </c>
      <c r="M52" s="8">
        <v>248</v>
      </c>
      <c r="N52" s="8">
        <v>426</v>
      </c>
      <c r="O52" s="8">
        <v>429</v>
      </c>
      <c r="P52" s="8">
        <v>429</v>
      </c>
      <c r="Q52" s="9" t="s">
        <v>46</v>
      </c>
      <c r="R52" s="16"/>
      <c r="S52" s="10">
        <v>45</v>
      </c>
      <c r="T52" s="10">
        <v>58</v>
      </c>
      <c r="U52" s="10">
        <v>50</v>
      </c>
      <c r="V52" s="11">
        <v>14</v>
      </c>
      <c r="W52" s="12"/>
      <c r="X52" s="17"/>
      <c r="Y52" s="13"/>
      <c r="Z52" s="13"/>
      <c r="AA52" s="13"/>
      <c r="AB52" s="14"/>
      <c r="AC52" s="9"/>
      <c r="AD52" s="16"/>
      <c r="AE52" s="10"/>
      <c r="AF52" s="10"/>
      <c r="AG52" s="10"/>
      <c r="AH52" s="11"/>
      <c r="AI52" s="12"/>
      <c r="AJ52" s="17"/>
      <c r="AK52" s="13"/>
      <c r="AL52" s="13"/>
      <c r="AM52" s="13"/>
      <c r="AN52" s="14"/>
      <c r="AO52" s="9"/>
      <c r="AP52" s="16"/>
      <c r="AQ52" s="10"/>
      <c r="AR52" s="10"/>
      <c r="AS52" s="10"/>
      <c r="AT52" s="11"/>
      <c r="AU52" s="12"/>
      <c r="AV52" s="17"/>
      <c r="AW52" s="13"/>
      <c r="AX52" s="13"/>
      <c r="AY52" s="13"/>
      <c r="AZ52" s="14"/>
      <c r="BA52" s="9"/>
      <c r="BB52" s="16"/>
      <c r="BC52" s="10"/>
      <c r="BD52" s="10"/>
      <c r="BE52" s="10"/>
      <c r="BF52" s="11"/>
      <c r="BG52" s="12"/>
      <c r="BH52" s="17"/>
      <c r="BI52" s="13"/>
      <c r="BJ52" s="13"/>
      <c r="BK52" s="13"/>
      <c r="BL52" s="14"/>
      <c r="BM52" s="8">
        <f t="shared" si="9"/>
        <v>45</v>
      </c>
      <c r="BN52" s="8">
        <f t="shared" si="10"/>
        <v>58</v>
      </c>
      <c r="BO52" s="8">
        <f t="shared" si="11"/>
        <v>50</v>
      </c>
      <c r="BP52" s="8">
        <f t="shared" si="12"/>
        <v>14</v>
      </c>
      <c r="BQ52" s="8">
        <f t="shared" si="13"/>
        <v>58</v>
      </c>
      <c r="BR52" s="8">
        <f t="shared" si="14"/>
        <v>45</v>
      </c>
      <c r="BS52" s="15">
        <f t="shared" si="15"/>
        <v>21.397755676705909</v>
      </c>
      <c r="BT52" s="15" t="str">
        <f t="shared" si="16"/>
        <v>OK - No Upgrade</v>
      </c>
      <c r="BU52" s="15" t="str">
        <f t="shared" si="17"/>
        <v>Need to Balance</v>
      </c>
    </row>
    <row r="53" spans="1:73" ht="15.75" customHeight="1" x14ac:dyDescent="0.25">
      <c r="A53" s="8" t="s">
        <v>1021</v>
      </c>
      <c r="B53" s="8" t="s">
        <v>1021</v>
      </c>
      <c r="C53" s="8" t="s">
        <v>40</v>
      </c>
      <c r="D53" s="8" t="s">
        <v>1143</v>
      </c>
      <c r="E53" s="8" t="s">
        <v>436</v>
      </c>
      <c r="F53" s="8" t="s">
        <v>43</v>
      </c>
      <c r="G53" s="8"/>
      <c r="H53" s="8">
        <v>315</v>
      </c>
      <c r="I53" s="8" t="s">
        <v>1144</v>
      </c>
      <c r="J53" s="8">
        <v>1</v>
      </c>
      <c r="K53" s="8">
        <v>237</v>
      </c>
      <c r="L53" s="8">
        <v>238</v>
      </c>
      <c r="M53" s="8">
        <v>236</v>
      </c>
      <c r="N53" s="8">
        <v>411</v>
      </c>
      <c r="O53" s="8">
        <v>409</v>
      </c>
      <c r="P53" s="8">
        <v>410</v>
      </c>
      <c r="Q53" s="9" t="s">
        <v>47</v>
      </c>
      <c r="R53" s="16"/>
      <c r="S53" s="10">
        <v>55</v>
      </c>
      <c r="T53" s="10">
        <v>55</v>
      </c>
      <c r="U53" s="10">
        <v>55</v>
      </c>
      <c r="V53" s="11">
        <v>5</v>
      </c>
      <c r="W53" s="12" t="s">
        <v>47</v>
      </c>
      <c r="X53" s="17"/>
      <c r="Y53" s="13">
        <v>77</v>
      </c>
      <c r="Z53" s="13">
        <v>58</v>
      </c>
      <c r="AA53" s="13">
        <v>56</v>
      </c>
      <c r="AB53" s="14">
        <v>16</v>
      </c>
      <c r="AC53" s="9"/>
      <c r="AD53" s="16"/>
      <c r="AE53" s="10"/>
      <c r="AF53" s="10"/>
      <c r="AG53" s="10"/>
      <c r="AH53" s="11"/>
      <c r="AI53" s="12"/>
      <c r="AJ53" s="17"/>
      <c r="AK53" s="13"/>
      <c r="AL53" s="13"/>
      <c r="AM53" s="13"/>
      <c r="AN53" s="14"/>
      <c r="AO53" s="9"/>
      <c r="AP53" s="16"/>
      <c r="AQ53" s="10"/>
      <c r="AR53" s="10"/>
      <c r="AS53" s="10"/>
      <c r="AT53" s="11"/>
      <c r="AU53" s="12"/>
      <c r="AV53" s="17"/>
      <c r="AW53" s="13"/>
      <c r="AX53" s="13"/>
      <c r="AY53" s="13"/>
      <c r="AZ53" s="14"/>
      <c r="BA53" s="9"/>
      <c r="BB53" s="16"/>
      <c r="BC53" s="10"/>
      <c r="BD53" s="10"/>
      <c r="BE53" s="10"/>
      <c r="BF53" s="11"/>
      <c r="BG53" s="12"/>
      <c r="BH53" s="17"/>
      <c r="BI53" s="13"/>
      <c r="BJ53" s="13"/>
      <c r="BK53" s="13"/>
      <c r="BL53" s="14"/>
      <c r="BM53" s="8">
        <f t="shared" si="9"/>
        <v>132</v>
      </c>
      <c r="BN53" s="8">
        <f t="shared" si="10"/>
        <v>113</v>
      </c>
      <c r="BO53" s="8">
        <f t="shared" si="11"/>
        <v>111</v>
      </c>
      <c r="BP53" s="8">
        <f t="shared" si="12"/>
        <v>21</v>
      </c>
      <c r="BQ53" s="8">
        <f t="shared" si="13"/>
        <v>132</v>
      </c>
      <c r="BR53" s="8">
        <f t="shared" si="14"/>
        <v>111</v>
      </c>
      <c r="BS53" s="15">
        <f t="shared" si="15"/>
        <v>29.830863622929122</v>
      </c>
      <c r="BT53" s="15" t="str">
        <f t="shared" si="16"/>
        <v>OK - No Upgrade</v>
      </c>
      <c r="BU53" s="15" t="str">
        <f t="shared" si="17"/>
        <v>Need to Balance</v>
      </c>
    </row>
    <row r="54" spans="1:73" ht="15.75" customHeight="1" x14ac:dyDescent="0.25">
      <c r="A54" s="8" t="s">
        <v>1021</v>
      </c>
      <c r="B54" s="8" t="s">
        <v>1021</v>
      </c>
      <c r="C54" s="8" t="s">
        <v>40</v>
      </c>
      <c r="D54" s="8" t="s">
        <v>1143</v>
      </c>
      <c r="E54" s="8" t="s">
        <v>436</v>
      </c>
      <c r="F54" s="8" t="s">
        <v>43</v>
      </c>
      <c r="G54" s="8" t="s">
        <v>44</v>
      </c>
      <c r="H54" s="8">
        <v>315</v>
      </c>
      <c r="I54" s="8" t="s">
        <v>1145</v>
      </c>
      <c r="J54" s="8">
        <v>2</v>
      </c>
      <c r="K54" s="8">
        <v>246</v>
      </c>
      <c r="L54" s="8">
        <v>246</v>
      </c>
      <c r="M54" s="8">
        <v>245</v>
      </c>
      <c r="N54" s="8">
        <v>426</v>
      </c>
      <c r="O54" s="8">
        <v>424</v>
      </c>
      <c r="P54" s="8">
        <v>425</v>
      </c>
      <c r="Q54" s="9" t="s">
        <v>46</v>
      </c>
      <c r="R54" s="16"/>
      <c r="S54" s="10">
        <v>78</v>
      </c>
      <c r="T54" s="10">
        <v>76</v>
      </c>
      <c r="U54" s="10">
        <v>78</v>
      </c>
      <c r="V54" s="11">
        <v>5</v>
      </c>
      <c r="W54" s="12" t="s">
        <v>46</v>
      </c>
      <c r="X54" s="17"/>
      <c r="Y54" s="13">
        <v>64</v>
      </c>
      <c r="Z54" s="13">
        <v>63</v>
      </c>
      <c r="AA54" s="13">
        <v>55</v>
      </c>
      <c r="AB54" s="14">
        <v>5</v>
      </c>
      <c r="AC54" s="9"/>
      <c r="AD54" s="16"/>
      <c r="AE54" s="10"/>
      <c r="AF54" s="10"/>
      <c r="AG54" s="10"/>
      <c r="AH54" s="11"/>
      <c r="AI54" s="12"/>
      <c r="AJ54" s="17"/>
      <c r="AK54" s="13"/>
      <c r="AL54" s="13"/>
      <c r="AM54" s="13"/>
      <c r="AN54" s="14"/>
      <c r="AO54" s="9"/>
      <c r="AP54" s="16"/>
      <c r="AQ54" s="10"/>
      <c r="AR54" s="10"/>
      <c r="AS54" s="10"/>
      <c r="AT54" s="11"/>
      <c r="AU54" s="12"/>
      <c r="AV54" s="17"/>
      <c r="AW54" s="13"/>
      <c r="AX54" s="13"/>
      <c r="AY54" s="13"/>
      <c r="AZ54" s="14"/>
      <c r="BA54" s="9"/>
      <c r="BB54" s="16"/>
      <c r="BC54" s="10"/>
      <c r="BD54" s="10"/>
      <c r="BE54" s="10"/>
      <c r="BF54" s="11"/>
      <c r="BG54" s="12"/>
      <c r="BH54" s="17"/>
      <c r="BI54" s="13"/>
      <c r="BJ54" s="13"/>
      <c r="BK54" s="13"/>
      <c r="BL54" s="14"/>
      <c r="BM54" s="8">
        <f t="shared" si="9"/>
        <v>142</v>
      </c>
      <c r="BN54" s="8">
        <f t="shared" si="10"/>
        <v>139</v>
      </c>
      <c r="BO54" s="8">
        <f t="shared" si="11"/>
        <v>133</v>
      </c>
      <c r="BP54" s="8">
        <f t="shared" si="12"/>
        <v>10</v>
      </c>
      <c r="BQ54" s="8">
        <f t="shared" si="13"/>
        <v>142</v>
      </c>
      <c r="BR54" s="8">
        <f t="shared" si="14"/>
        <v>133</v>
      </c>
      <c r="BS54" s="15">
        <f t="shared" si="15"/>
        <v>33.261973794113182</v>
      </c>
      <c r="BT54" s="15" t="str">
        <f t="shared" si="16"/>
        <v>OK - No Upgrade</v>
      </c>
      <c r="BU54" s="15" t="str">
        <f t="shared" si="17"/>
        <v>OK - Balanced</v>
      </c>
    </row>
    <row r="55" spans="1:73" ht="15.75" customHeight="1" x14ac:dyDescent="0.25">
      <c r="A55" s="8" t="s">
        <v>1021</v>
      </c>
      <c r="B55" s="8" t="s">
        <v>1021</v>
      </c>
      <c r="C55" s="8" t="s">
        <v>40</v>
      </c>
      <c r="D55" s="8" t="s">
        <v>1146</v>
      </c>
      <c r="E55" s="8" t="s">
        <v>432</v>
      </c>
      <c r="F55" s="8" t="s">
        <v>43</v>
      </c>
      <c r="G55" s="8"/>
      <c r="H55" s="8">
        <v>100</v>
      </c>
      <c r="I55" s="8" t="s">
        <v>1147</v>
      </c>
      <c r="J55" s="8">
        <v>1</v>
      </c>
      <c r="K55" s="8">
        <v>232</v>
      </c>
      <c r="L55" s="8">
        <v>234</v>
      </c>
      <c r="M55" s="8">
        <v>233</v>
      </c>
      <c r="N55" s="8">
        <v>401</v>
      </c>
      <c r="O55" s="8">
        <v>403</v>
      </c>
      <c r="P55" s="8">
        <v>401</v>
      </c>
      <c r="Q55" s="9" t="s">
        <v>46</v>
      </c>
      <c r="R55" s="16"/>
      <c r="S55" s="10">
        <v>121</v>
      </c>
      <c r="T55" s="10">
        <v>136</v>
      </c>
      <c r="U55" s="10">
        <v>218</v>
      </c>
      <c r="V55" s="11">
        <v>63</v>
      </c>
      <c r="W55" s="12"/>
      <c r="X55" s="17"/>
      <c r="Y55" s="13"/>
      <c r="Z55" s="13"/>
      <c r="AA55" s="13"/>
      <c r="AB55" s="14"/>
      <c r="AC55" s="9"/>
      <c r="AD55" s="16"/>
      <c r="AE55" s="10"/>
      <c r="AF55" s="10"/>
      <c r="AG55" s="10"/>
      <c r="AH55" s="11"/>
      <c r="AI55" s="12"/>
      <c r="AJ55" s="17"/>
      <c r="AK55" s="13"/>
      <c r="AL55" s="13"/>
      <c r="AM55" s="13"/>
      <c r="AN55" s="14"/>
      <c r="AO55" s="9"/>
      <c r="AP55" s="16"/>
      <c r="AQ55" s="10"/>
      <c r="AR55" s="10"/>
      <c r="AS55" s="10"/>
      <c r="AT55" s="11"/>
      <c r="AU55" s="12"/>
      <c r="AV55" s="17"/>
      <c r="AW55" s="13"/>
      <c r="AX55" s="13"/>
      <c r="AY55" s="13"/>
      <c r="AZ55" s="14"/>
      <c r="BA55" s="9"/>
      <c r="BB55" s="16"/>
      <c r="BC55" s="10"/>
      <c r="BD55" s="10"/>
      <c r="BE55" s="10"/>
      <c r="BF55" s="11"/>
      <c r="BG55" s="12"/>
      <c r="BH55" s="17"/>
      <c r="BI55" s="13"/>
      <c r="BJ55" s="13"/>
      <c r="BK55" s="13"/>
      <c r="BL55" s="14"/>
      <c r="BM55" s="8">
        <f t="shared" si="9"/>
        <v>121</v>
      </c>
      <c r="BN55" s="8">
        <f t="shared" si="10"/>
        <v>136</v>
      </c>
      <c r="BO55" s="8">
        <f t="shared" si="11"/>
        <v>218</v>
      </c>
      <c r="BP55" s="8">
        <f t="shared" si="12"/>
        <v>63</v>
      </c>
      <c r="BQ55" s="8">
        <f t="shared" si="13"/>
        <v>218</v>
      </c>
      <c r="BR55" s="8">
        <f t="shared" si="14"/>
        <v>121</v>
      </c>
      <c r="BS55" s="15">
        <f t="shared" si="15"/>
        <v>151.41241749605612</v>
      </c>
      <c r="BT55" s="15" t="str">
        <f t="shared" si="16"/>
        <v>Upgrade</v>
      </c>
      <c r="BU55" s="15" t="str">
        <f t="shared" si="17"/>
        <v>Need to Balance</v>
      </c>
    </row>
    <row r="56" spans="1:73" ht="15.75" customHeight="1" x14ac:dyDescent="0.25">
      <c r="A56" s="8" t="s">
        <v>1021</v>
      </c>
      <c r="B56" s="8" t="s">
        <v>1021</v>
      </c>
      <c r="C56" s="8" t="s">
        <v>40</v>
      </c>
      <c r="D56" s="8" t="s">
        <v>1146</v>
      </c>
      <c r="E56" s="8" t="s">
        <v>432</v>
      </c>
      <c r="F56" s="8" t="s">
        <v>43</v>
      </c>
      <c r="G56" s="8" t="s">
        <v>44</v>
      </c>
      <c r="H56" s="8">
        <v>100</v>
      </c>
      <c r="I56" s="8" t="s">
        <v>1148</v>
      </c>
      <c r="J56" s="8">
        <v>2</v>
      </c>
      <c r="K56" s="8">
        <v>243</v>
      </c>
      <c r="L56" s="8">
        <v>242</v>
      </c>
      <c r="M56" s="8">
        <v>244</v>
      </c>
      <c r="N56" s="8">
        <v>420</v>
      </c>
      <c r="O56" s="8">
        <v>421</v>
      </c>
      <c r="P56" s="8">
        <v>419</v>
      </c>
      <c r="Q56" s="9" t="s">
        <v>46</v>
      </c>
      <c r="R56" s="16"/>
      <c r="S56" s="10">
        <v>100</v>
      </c>
      <c r="T56" s="10">
        <v>71</v>
      </c>
      <c r="U56" s="10">
        <v>53</v>
      </c>
      <c r="V56" s="11">
        <v>45</v>
      </c>
      <c r="W56" s="12"/>
      <c r="X56" s="17"/>
      <c r="Y56" s="13"/>
      <c r="Z56" s="13"/>
      <c r="AA56" s="13"/>
      <c r="AB56" s="14"/>
      <c r="AC56" s="9"/>
      <c r="AD56" s="16"/>
      <c r="AE56" s="10"/>
      <c r="AF56" s="10"/>
      <c r="AG56" s="10"/>
      <c r="AH56" s="11"/>
      <c r="AI56" s="12"/>
      <c r="AJ56" s="17"/>
      <c r="AK56" s="13"/>
      <c r="AL56" s="13"/>
      <c r="AM56" s="13"/>
      <c r="AN56" s="14"/>
      <c r="AO56" s="9"/>
      <c r="AP56" s="16"/>
      <c r="AQ56" s="10"/>
      <c r="AR56" s="10"/>
      <c r="AS56" s="10"/>
      <c r="AT56" s="11"/>
      <c r="AU56" s="12"/>
      <c r="AV56" s="17"/>
      <c r="AW56" s="13"/>
      <c r="AX56" s="13"/>
      <c r="AY56" s="13"/>
      <c r="AZ56" s="14"/>
      <c r="BA56" s="9"/>
      <c r="BB56" s="16"/>
      <c r="BC56" s="10"/>
      <c r="BD56" s="10"/>
      <c r="BE56" s="10"/>
      <c r="BF56" s="11"/>
      <c r="BG56" s="12"/>
      <c r="BH56" s="17"/>
      <c r="BI56" s="13"/>
      <c r="BJ56" s="13"/>
      <c r="BK56" s="13"/>
      <c r="BL56" s="14"/>
      <c r="BM56" s="8">
        <f t="shared" si="9"/>
        <v>100</v>
      </c>
      <c r="BN56" s="8">
        <f t="shared" si="10"/>
        <v>71</v>
      </c>
      <c r="BO56" s="8">
        <f t="shared" si="11"/>
        <v>53</v>
      </c>
      <c r="BP56" s="8">
        <f t="shared" si="12"/>
        <v>45</v>
      </c>
      <c r="BQ56" s="8">
        <f t="shared" si="13"/>
        <v>100</v>
      </c>
      <c r="BR56" s="8">
        <f t="shared" si="14"/>
        <v>53</v>
      </c>
      <c r="BS56" s="15">
        <f t="shared" si="15"/>
        <v>72.746133917892848</v>
      </c>
      <c r="BT56" s="15" t="str">
        <f t="shared" si="16"/>
        <v>Upgrade</v>
      </c>
      <c r="BU56" s="15" t="str">
        <f t="shared" si="17"/>
        <v>Need to Balance</v>
      </c>
    </row>
    <row r="57" spans="1:73" ht="15.75" customHeight="1" x14ac:dyDescent="0.25">
      <c r="A57" s="8" t="s">
        <v>1021</v>
      </c>
      <c r="B57" s="8" t="s">
        <v>1021</v>
      </c>
      <c r="C57" s="8" t="s">
        <v>124</v>
      </c>
      <c r="D57" s="8" t="s">
        <v>1149</v>
      </c>
      <c r="E57" s="8" t="s">
        <v>1150</v>
      </c>
      <c r="F57" s="8" t="s">
        <v>43</v>
      </c>
      <c r="G57" s="8"/>
      <c r="H57" s="8">
        <v>100</v>
      </c>
      <c r="I57" s="8" t="s">
        <v>1151</v>
      </c>
      <c r="J57" s="8">
        <v>1</v>
      </c>
      <c r="K57" s="8">
        <v>245</v>
      </c>
      <c r="L57" s="8">
        <v>246</v>
      </c>
      <c r="M57" s="8">
        <v>246</v>
      </c>
      <c r="N57" s="8">
        <v>428</v>
      </c>
      <c r="O57" s="8">
        <v>426</v>
      </c>
      <c r="P57" s="8">
        <v>428</v>
      </c>
      <c r="Q57" s="9" t="s">
        <v>46</v>
      </c>
      <c r="R57" s="16"/>
      <c r="S57" s="10">
        <v>0</v>
      </c>
      <c r="T57" s="10">
        <v>0</v>
      </c>
      <c r="U57" s="10">
        <v>0</v>
      </c>
      <c r="V57" s="11">
        <v>0</v>
      </c>
      <c r="W57" s="12"/>
      <c r="X57" s="17"/>
      <c r="Y57" s="13"/>
      <c r="Z57" s="13"/>
      <c r="AA57" s="13"/>
      <c r="AB57" s="14"/>
      <c r="AC57" s="9"/>
      <c r="AD57" s="16"/>
      <c r="AE57" s="10"/>
      <c r="AF57" s="10"/>
      <c r="AG57" s="10"/>
      <c r="AH57" s="11"/>
      <c r="AI57" s="12"/>
      <c r="AJ57" s="17"/>
      <c r="AK57" s="13"/>
      <c r="AL57" s="13"/>
      <c r="AM57" s="13"/>
      <c r="AN57" s="14"/>
      <c r="AO57" s="9"/>
      <c r="AP57" s="16"/>
      <c r="AQ57" s="10"/>
      <c r="AR57" s="10"/>
      <c r="AS57" s="10"/>
      <c r="AT57" s="11"/>
      <c r="AU57" s="12"/>
      <c r="AV57" s="17"/>
      <c r="AW57" s="13"/>
      <c r="AX57" s="13"/>
      <c r="AY57" s="13"/>
      <c r="AZ57" s="14"/>
      <c r="BA57" s="9"/>
      <c r="BB57" s="16"/>
      <c r="BC57" s="10"/>
      <c r="BD57" s="10"/>
      <c r="BE57" s="10"/>
      <c r="BF57" s="11"/>
      <c r="BG57" s="12"/>
      <c r="BH57" s="17"/>
      <c r="BI57" s="13"/>
      <c r="BJ57" s="13"/>
      <c r="BK57" s="13"/>
      <c r="BL57" s="14"/>
      <c r="BM57" s="8">
        <f t="shared" si="9"/>
        <v>0</v>
      </c>
      <c r="BN57" s="8">
        <f t="shared" si="10"/>
        <v>0</v>
      </c>
      <c r="BO57" s="8">
        <f t="shared" si="11"/>
        <v>0</v>
      </c>
      <c r="BP57" s="8">
        <f t="shared" si="12"/>
        <v>0</v>
      </c>
      <c r="BQ57" s="8">
        <f t="shared" si="13"/>
        <v>0</v>
      </c>
      <c r="BR57" s="8">
        <f t="shared" si="14"/>
        <v>0</v>
      </c>
      <c r="BS57" s="15">
        <f t="shared" si="15"/>
        <v>0</v>
      </c>
      <c r="BT57" s="15" t="str">
        <f t="shared" si="16"/>
        <v>OK - No Upgrade</v>
      </c>
      <c r="BU57" s="15" t="str">
        <f t="shared" si="17"/>
        <v>OK - Balanced</v>
      </c>
    </row>
    <row r="58" spans="1:73" ht="15.75" customHeight="1" x14ac:dyDescent="0.25">
      <c r="A58" s="8" t="s">
        <v>1021</v>
      </c>
      <c r="B58" s="8" t="s">
        <v>1021</v>
      </c>
      <c r="C58" s="8" t="s">
        <v>124</v>
      </c>
      <c r="D58" s="8" t="s">
        <v>1152</v>
      </c>
      <c r="E58" s="8" t="s">
        <v>1153</v>
      </c>
      <c r="F58" s="8" t="s">
        <v>43</v>
      </c>
      <c r="G58" s="8"/>
      <c r="H58" s="8">
        <v>200</v>
      </c>
      <c r="I58" s="8" t="s">
        <v>1154</v>
      </c>
      <c r="J58" s="8">
        <v>1</v>
      </c>
      <c r="K58" s="8">
        <v>238</v>
      </c>
      <c r="L58" s="8">
        <v>239</v>
      </c>
      <c r="M58" s="8">
        <v>238</v>
      </c>
      <c r="N58" s="8">
        <v>415</v>
      </c>
      <c r="O58" s="8">
        <v>413</v>
      </c>
      <c r="P58" s="8">
        <v>411</v>
      </c>
      <c r="Q58" s="9" t="s">
        <v>46</v>
      </c>
      <c r="R58" s="16"/>
      <c r="S58" s="10">
        <v>11</v>
      </c>
      <c r="T58" s="10">
        <v>19</v>
      </c>
      <c r="U58" s="10">
        <v>10</v>
      </c>
      <c r="V58" s="11">
        <v>7</v>
      </c>
      <c r="W58" s="12"/>
      <c r="X58" s="17"/>
      <c r="Y58" s="13"/>
      <c r="Z58" s="13"/>
      <c r="AA58" s="13"/>
      <c r="AB58" s="14"/>
      <c r="AC58" s="9"/>
      <c r="AD58" s="16"/>
      <c r="AE58" s="10"/>
      <c r="AF58" s="10"/>
      <c r="AG58" s="10"/>
      <c r="AH58" s="11"/>
      <c r="AI58" s="12"/>
      <c r="AJ58" s="17"/>
      <c r="AK58" s="13"/>
      <c r="AL58" s="13"/>
      <c r="AM58" s="13"/>
      <c r="AN58" s="14"/>
      <c r="AO58" s="9"/>
      <c r="AP58" s="16"/>
      <c r="AQ58" s="10"/>
      <c r="AR58" s="10"/>
      <c r="AS58" s="10"/>
      <c r="AT58" s="11"/>
      <c r="AU58" s="12"/>
      <c r="AV58" s="17"/>
      <c r="AW58" s="13"/>
      <c r="AX58" s="13"/>
      <c r="AY58" s="13"/>
      <c r="AZ58" s="14"/>
      <c r="BA58" s="9"/>
      <c r="BB58" s="16"/>
      <c r="BC58" s="10"/>
      <c r="BD58" s="10"/>
      <c r="BE58" s="10"/>
      <c r="BF58" s="11"/>
      <c r="BG58" s="12"/>
      <c r="BH58" s="17"/>
      <c r="BI58" s="13"/>
      <c r="BJ58" s="13"/>
      <c r="BK58" s="13"/>
      <c r="BL58" s="14"/>
      <c r="BM58" s="8">
        <f t="shared" si="9"/>
        <v>11</v>
      </c>
      <c r="BN58" s="8">
        <f t="shared" si="10"/>
        <v>19</v>
      </c>
      <c r="BO58" s="8">
        <f t="shared" si="11"/>
        <v>10</v>
      </c>
      <c r="BP58" s="8">
        <f t="shared" si="12"/>
        <v>7</v>
      </c>
      <c r="BQ58" s="8">
        <f t="shared" si="13"/>
        <v>19</v>
      </c>
      <c r="BR58" s="8">
        <f t="shared" si="14"/>
        <v>10</v>
      </c>
      <c r="BS58" s="15">
        <f t="shared" si="15"/>
        <v>6.8286103088402994</v>
      </c>
      <c r="BT58" s="15" t="str">
        <f t="shared" si="16"/>
        <v>OK - No Upgrade</v>
      </c>
      <c r="BU58" s="15" t="str">
        <f t="shared" si="17"/>
        <v>Need to Balance</v>
      </c>
    </row>
    <row r="59" spans="1:73" ht="15.75" customHeight="1" x14ac:dyDescent="0.25">
      <c r="A59" s="8" t="s">
        <v>1021</v>
      </c>
      <c r="B59" s="8" t="s">
        <v>1021</v>
      </c>
      <c r="C59" s="8" t="s">
        <v>124</v>
      </c>
      <c r="D59" s="8" t="s">
        <v>1155</v>
      </c>
      <c r="E59" s="8" t="s">
        <v>1156</v>
      </c>
      <c r="F59" s="8" t="s">
        <v>43</v>
      </c>
      <c r="G59" s="8"/>
      <c r="H59" s="8">
        <v>100</v>
      </c>
      <c r="I59" s="8" t="s">
        <v>1157</v>
      </c>
      <c r="J59" s="8">
        <v>1</v>
      </c>
      <c r="K59" s="8">
        <v>238</v>
      </c>
      <c r="L59" s="8">
        <v>239</v>
      </c>
      <c r="M59" s="8">
        <v>238</v>
      </c>
      <c r="N59" s="8">
        <v>415</v>
      </c>
      <c r="O59" s="8">
        <v>414</v>
      </c>
      <c r="P59" s="8">
        <v>414</v>
      </c>
      <c r="Q59" s="9" t="s">
        <v>46</v>
      </c>
      <c r="R59" s="16"/>
      <c r="S59" s="10">
        <v>0</v>
      </c>
      <c r="T59" s="10">
        <v>0</v>
      </c>
      <c r="U59" s="10">
        <v>0</v>
      </c>
      <c r="V59" s="11">
        <v>0</v>
      </c>
      <c r="W59" s="12"/>
      <c r="X59" s="17"/>
      <c r="Y59" s="13"/>
      <c r="Z59" s="13"/>
      <c r="AA59" s="13"/>
      <c r="AB59" s="14"/>
      <c r="AC59" s="9"/>
      <c r="AD59" s="16"/>
      <c r="AE59" s="10"/>
      <c r="AF59" s="10"/>
      <c r="AG59" s="10"/>
      <c r="AH59" s="11"/>
      <c r="AI59" s="12"/>
      <c r="AJ59" s="17"/>
      <c r="AK59" s="13"/>
      <c r="AL59" s="13"/>
      <c r="AM59" s="13"/>
      <c r="AN59" s="14"/>
      <c r="AO59" s="9"/>
      <c r="AP59" s="16"/>
      <c r="AQ59" s="10"/>
      <c r="AR59" s="10"/>
      <c r="AS59" s="10"/>
      <c r="AT59" s="11"/>
      <c r="AU59" s="12"/>
      <c r="AV59" s="17"/>
      <c r="AW59" s="13"/>
      <c r="AX59" s="13"/>
      <c r="AY59" s="13"/>
      <c r="AZ59" s="14"/>
      <c r="BA59" s="9"/>
      <c r="BB59" s="16"/>
      <c r="BC59" s="10"/>
      <c r="BD59" s="10"/>
      <c r="BE59" s="10"/>
      <c r="BF59" s="11"/>
      <c r="BG59" s="12"/>
      <c r="BH59" s="17"/>
      <c r="BI59" s="13"/>
      <c r="BJ59" s="13"/>
      <c r="BK59" s="13"/>
      <c r="BL59" s="14"/>
      <c r="BM59" s="8">
        <f t="shared" si="9"/>
        <v>0</v>
      </c>
      <c r="BN59" s="8">
        <f t="shared" si="10"/>
        <v>0</v>
      </c>
      <c r="BO59" s="8">
        <f t="shared" si="11"/>
        <v>0</v>
      </c>
      <c r="BP59" s="8">
        <f t="shared" si="12"/>
        <v>0</v>
      </c>
      <c r="BQ59" s="8">
        <f t="shared" si="13"/>
        <v>0</v>
      </c>
      <c r="BR59" s="8">
        <f t="shared" si="14"/>
        <v>0</v>
      </c>
      <c r="BS59" s="15">
        <f t="shared" si="15"/>
        <v>0</v>
      </c>
      <c r="BT59" s="15" t="str">
        <f t="shared" si="16"/>
        <v>OK - No Upgrade</v>
      </c>
      <c r="BU59" s="15" t="str">
        <f t="shared" si="17"/>
        <v>OK - Balanced</v>
      </c>
    </row>
    <row r="60" spans="1:73" ht="15.75" customHeight="1" x14ac:dyDescent="0.25">
      <c r="A60" s="8" t="s">
        <v>1021</v>
      </c>
      <c r="B60" s="8" t="s">
        <v>1021</v>
      </c>
      <c r="C60" s="8" t="s">
        <v>124</v>
      </c>
      <c r="D60" s="8" t="s">
        <v>1158</v>
      </c>
      <c r="E60" s="8" t="s">
        <v>1159</v>
      </c>
      <c r="F60" s="8" t="s">
        <v>43</v>
      </c>
      <c r="G60" s="8"/>
      <c r="H60" s="8">
        <v>100</v>
      </c>
      <c r="I60" s="8" t="s">
        <v>1160</v>
      </c>
      <c r="J60" s="8">
        <v>1</v>
      </c>
      <c r="K60" s="8">
        <v>238</v>
      </c>
      <c r="L60" s="8">
        <v>239</v>
      </c>
      <c r="M60" s="8">
        <v>239</v>
      </c>
      <c r="N60" s="8">
        <v>415</v>
      </c>
      <c r="O60" s="8">
        <v>415</v>
      </c>
      <c r="P60" s="8">
        <v>414</v>
      </c>
      <c r="Q60" s="9" t="s">
        <v>46</v>
      </c>
      <c r="R60" s="16"/>
      <c r="S60" s="10">
        <v>0</v>
      </c>
      <c r="T60" s="10">
        <v>0</v>
      </c>
      <c r="U60" s="10">
        <v>0</v>
      </c>
      <c r="V60" s="11">
        <v>0</v>
      </c>
      <c r="W60" s="12"/>
      <c r="X60" s="17"/>
      <c r="Y60" s="13"/>
      <c r="Z60" s="13"/>
      <c r="AA60" s="13"/>
      <c r="AB60" s="14"/>
      <c r="AC60" s="9"/>
      <c r="AD60" s="16"/>
      <c r="AE60" s="10"/>
      <c r="AF60" s="10"/>
      <c r="AG60" s="10"/>
      <c r="AH60" s="11"/>
      <c r="AI60" s="12"/>
      <c r="AJ60" s="17"/>
      <c r="AK60" s="13"/>
      <c r="AL60" s="13"/>
      <c r="AM60" s="13"/>
      <c r="AN60" s="14"/>
      <c r="AO60" s="9"/>
      <c r="AP60" s="16"/>
      <c r="AQ60" s="10"/>
      <c r="AR60" s="10"/>
      <c r="AS60" s="10"/>
      <c r="AT60" s="11"/>
      <c r="AU60" s="12"/>
      <c r="AV60" s="17"/>
      <c r="AW60" s="13"/>
      <c r="AX60" s="13"/>
      <c r="AY60" s="13"/>
      <c r="AZ60" s="14"/>
      <c r="BA60" s="9"/>
      <c r="BB60" s="16"/>
      <c r="BC60" s="10"/>
      <c r="BD60" s="10"/>
      <c r="BE60" s="10"/>
      <c r="BF60" s="11"/>
      <c r="BG60" s="12"/>
      <c r="BH60" s="17"/>
      <c r="BI60" s="13"/>
      <c r="BJ60" s="13"/>
      <c r="BK60" s="13"/>
      <c r="BL60" s="14"/>
      <c r="BM60" s="8">
        <f t="shared" si="9"/>
        <v>0</v>
      </c>
      <c r="BN60" s="8">
        <f t="shared" si="10"/>
        <v>0</v>
      </c>
      <c r="BO60" s="8">
        <f t="shared" si="11"/>
        <v>0</v>
      </c>
      <c r="BP60" s="8">
        <f t="shared" si="12"/>
        <v>0</v>
      </c>
      <c r="BQ60" s="8">
        <f t="shared" si="13"/>
        <v>0</v>
      </c>
      <c r="BR60" s="8">
        <f t="shared" si="14"/>
        <v>0</v>
      </c>
      <c r="BS60" s="15">
        <f t="shared" si="15"/>
        <v>0</v>
      </c>
      <c r="BT60" s="15" t="str">
        <f t="shared" si="16"/>
        <v>OK - No Upgrade</v>
      </c>
      <c r="BU60" s="15" t="str">
        <f t="shared" si="17"/>
        <v>OK - Balanced</v>
      </c>
    </row>
    <row r="61" spans="1:73" ht="15.75" customHeight="1" x14ac:dyDescent="0.25">
      <c r="A61" s="8" t="s">
        <v>1021</v>
      </c>
      <c r="B61" s="8" t="s">
        <v>1021</v>
      </c>
      <c r="C61" s="8" t="s">
        <v>124</v>
      </c>
      <c r="D61" s="8" t="s">
        <v>1161</v>
      </c>
      <c r="E61" s="8" t="s">
        <v>1162</v>
      </c>
      <c r="F61" s="8" t="s">
        <v>43</v>
      </c>
      <c r="G61" s="8"/>
      <c r="H61" s="8">
        <v>100</v>
      </c>
      <c r="I61" s="8" t="s">
        <v>1163</v>
      </c>
      <c r="J61" s="8">
        <v>1</v>
      </c>
      <c r="K61" s="8">
        <v>250</v>
      </c>
      <c r="L61" s="8">
        <v>250</v>
      </c>
      <c r="M61" s="8">
        <v>248</v>
      </c>
      <c r="N61" s="8">
        <v>436</v>
      </c>
      <c r="O61" s="8">
        <v>431</v>
      </c>
      <c r="P61" s="8">
        <v>432</v>
      </c>
      <c r="Q61" s="9" t="s">
        <v>46</v>
      </c>
      <c r="R61" s="16"/>
      <c r="S61" s="10">
        <v>12</v>
      </c>
      <c r="T61" s="10">
        <v>18</v>
      </c>
      <c r="U61" s="10">
        <v>24</v>
      </c>
      <c r="V61" s="11">
        <v>12</v>
      </c>
      <c r="W61" s="12"/>
      <c r="X61" s="17"/>
      <c r="Y61" s="13"/>
      <c r="Z61" s="13"/>
      <c r="AA61" s="13"/>
      <c r="AB61" s="14"/>
      <c r="AC61" s="9"/>
      <c r="AD61" s="16"/>
      <c r="AE61" s="10"/>
      <c r="AF61" s="10"/>
      <c r="AG61" s="10"/>
      <c r="AH61" s="11"/>
      <c r="AI61" s="12"/>
      <c r="AJ61" s="17"/>
      <c r="AK61" s="13"/>
      <c r="AL61" s="13"/>
      <c r="AM61" s="13"/>
      <c r="AN61" s="14"/>
      <c r="AO61" s="9"/>
      <c r="AP61" s="16"/>
      <c r="AQ61" s="10"/>
      <c r="AR61" s="10"/>
      <c r="AS61" s="10"/>
      <c r="AT61" s="11"/>
      <c r="AU61" s="12"/>
      <c r="AV61" s="17"/>
      <c r="AW61" s="13"/>
      <c r="AX61" s="13"/>
      <c r="AY61" s="13"/>
      <c r="AZ61" s="14"/>
      <c r="BA61" s="9"/>
      <c r="BB61" s="16"/>
      <c r="BC61" s="10"/>
      <c r="BD61" s="10"/>
      <c r="BE61" s="10"/>
      <c r="BF61" s="11"/>
      <c r="BG61" s="12"/>
      <c r="BH61" s="17"/>
      <c r="BI61" s="13"/>
      <c r="BJ61" s="13"/>
      <c r="BK61" s="13"/>
      <c r="BL61" s="14"/>
      <c r="BM61" s="8">
        <f t="shared" si="9"/>
        <v>12</v>
      </c>
      <c r="BN61" s="8">
        <f t="shared" si="10"/>
        <v>18</v>
      </c>
      <c r="BO61" s="8">
        <f t="shared" si="11"/>
        <v>24</v>
      </c>
      <c r="BP61" s="8">
        <f t="shared" si="12"/>
        <v>12</v>
      </c>
      <c r="BQ61" s="8">
        <f t="shared" si="13"/>
        <v>24</v>
      </c>
      <c r="BR61" s="8">
        <f t="shared" si="14"/>
        <v>12</v>
      </c>
      <c r="BS61" s="15">
        <f t="shared" si="15"/>
        <v>18.12417965040073</v>
      </c>
      <c r="BT61" s="15" t="str">
        <f t="shared" si="16"/>
        <v>OK - No Upgrade</v>
      </c>
      <c r="BU61" s="15" t="str">
        <f t="shared" si="17"/>
        <v>Need to Balance</v>
      </c>
    </row>
    <row r="62" spans="1:73" ht="15.75" customHeight="1" x14ac:dyDescent="0.25">
      <c r="A62" s="8" t="s">
        <v>1021</v>
      </c>
      <c r="B62" s="8" t="s">
        <v>1021</v>
      </c>
      <c r="C62" s="8" t="s">
        <v>40</v>
      </c>
      <c r="D62" s="8" t="s">
        <v>1164</v>
      </c>
      <c r="E62" s="8" t="s">
        <v>1023</v>
      </c>
      <c r="F62" s="8" t="s">
        <v>43</v>
      </c>
      <c r="G62" s="8"/>
      <c r="H62" s="8">
        <v>200</v>
      </c>
      <c r="I62" s="8" t="s">
        <v>1165</v>
      </c>
      <c r="J62" s="8">
        <v>1</v>
      </c>
      <c r="K62" s="8">
        <v>232</v>
      </c>
      <c r="L62" s="8">
        <v>233</v>
      </c>
      <c r="M62" s="8">
        <v>231</v>
      </c>
      <c r="N62" s="8">
        <v>403</v>
      </c>
      <c r="O62" s="8">
        <v>401</v>
      </c>
      <c r="P62" s="8">
        <v>403</v>
      </c>
      <c r="Q62" s="9" t="s">
        <v>46</v>
      </c>
      <c r="R62" s="16"/>
      <c r="S62" s="10">
        <v>17</v>
      </c>
      <c r="T62" s="10">
        <v>58</v>
      </c>
      <c r="U62" s="10">
        <v>17</v>
      </c>
      <c r="V62" s="11">
        <v>41</v>
      </c>
      <c r="W62" s="12"/>
      <c r="X62" s="17"/>
      <c r="Y62" s="13"/>
      <c r="Z62" s="13"/>
      <c r="AA62" s="13"/>
      <c r="AB62" s="14"/>
      <c r="AC62" s="9"/>
      <c r="AD62" s="16"/>
      <c r="AE62" s="10"/>
      <c r="AF62" s="10"/>
      <c r="AG62" s="10"/>
      <c r="AH62" s="11"/>
      <c r="AI62" s="12"/>
      <c r="AJ62" s="17"/>
      <c r="AK62" s="13"/>
      <c r="AL62" s="13"/>
      <c r="AM62" s="13"/>
      <c r="AN62" s="14"/>
      <c r="AO62" s="9"/>
      <c r="AP62" s="16"/>
      <c r="AQ62" s="10"/>
      <c r="AR62" s="10"/>
      <c r="AS62" s="10"/>
      <c r="AT62" s="11"/>
      <c r="AU62" s="12"/>
      <c r="AV62" s="17"/>
      <c r="AW62" s="13"/>
      <c r="AX62" s="13"/>
      <c r="AY62" s="13"/>
      <c r="AZ62" s="14"/>
      <c r="BA62" s="9"/>
      <c r="BB62" s="16"/>
      <c r="BC62" s="10"/>
      <c r="BD62" s="10"/>
      <c r="BE62" s="10"/>
      <c r="BF62" s="11"/>
      <c r="BG62" s="12"/>
      <c r="BH62" s="17"/>
      <c r="BI62" s="13"/>
      <c r="BJ62" s="13"/>
      <c r="BK62" s="13"/>
      <c r="BL62" s="14"/>
      <c r="BM62" s="8">
        <f t="shared" si="9"/>
        <v>17</v>
      </c>
      <c r="BN62" s="8">
        <f t="shared" si="10"/>
        <v>58</v>
      </c>
      <c r="BO62" s="8">
        <f t="shared" si="11"/>
        <v>17</v>
      </c>
      <c r="BP62" s="8">
        <f t="shared" si="12"/>
        <v>41</v>
      </c>
      <c r="BQ62" s="8">
        <f t="shared" si="13"/>
        <v>58</v>
      </c>
      <c r="BR62" s="8">
        <f t="shared" si="14"/>
        <v>17</v>
      </c>
      <c r="BS62" s="15">
        <f t="shared" si="15"/>
        <v>20.242477788057471</v>
      </c>
      <c r="BT62" s="15" t="str">
        <f t="shared" si="16"/>
        <v>OK - No Upgrade</v>
      </c>
      <c r="BU62" s="15" t="str">
        <f t="shared" si="17"/>
        <v>Need to Balance</v>
      </c>
    </row>
    <row r="63" spans="1:73" ht="15.75" customHeight="1" x14ac:dyDescent="0.25">
      <c r="A63" s="8" t="s">
        <v>1021</v>
      </c>
      <c r="B63" s="8" t="s">
        <v>1021</v>
      </c>
      <c r="C63" s="8" t="s">
        <v>40</v>
      </c>
      <c r="D63" s="8" t="s">
        <v>1166</v>
      </c>
      <c r="E63" s="8" t="s">
        <v>1167</v>
      </c>
      <c r="F63" s="8" t="s">
        <v>43</v>
      </c>
      <c r="G63" s="8"/>
      <c r="H63" s="8">
        <v>315</v>
      </c>
      <c r="I63" s="8" t="s">
        <v>1168</v>
      </c>
      <c r="J63" s="8">
        <v>1</v>
      </c>
      <c r="K63" s="8">
        <v>238</v>
      </c>
      <c r="L63" s="8">
        <v>241</v>
      </c>
      <c r="M63" s="8">
        <v>238</v>
      </c>
      <c r="N63" s="8">
        <v>415</v>
      </c>
      <c r="O63" s="8">
        <v>411</v>
      </c>
      <c r="P63" s="8">
        <v>416</v>
      </c>
      <c r="Q63" s="9" t="s">
        <v>46</v>
      </c>
      <c r="R63" s="16"/>
      <c r="S63" s="10">
        <v>8</v>
      </c>
      <c r="T63" s="10">
        <v>5</v>
      </c>
      <c r="U63" s="10">
        <v>1</v>
      </c>
      <c r="V63" s="11">
        <v>9</v>
      </c>
      <c r="W63" s="12" t="s">
        <v>46</v>
      </c>
      <c r="X63" s="17"/>
      <c r="Y63" s="13">
        <v>28</v>
      </c>
      <c r="Z63" s="13">
        <v>4</v>
      </c>
      <c r="AA63" s="13">
        <v>7</v>
      </c>
      <c r="AB63" s="14">
        <v>28</v>
      </c>
      <c r="AC63" s="9"/>
      <c r="AD63" s="16"/>
      <c r="AE63" s="10"/>
      <c r="AF63" s="10"/>
      <c r="AG63" s="10"/>
      <c r="AH63" s="11"/>
      <c r="AI63" s="12"/>
      <c r="AJ63" s="17"/>
      <c r="AK63" s="13"/>
      <c r="AL63" s="13"/>
      <c r="AM63" s="13"/>
      <c r="AN63" s="14"/>
      <c r="AO63" s="9"/>
      <c r="AP63" s="16"/>
      <c r="AQ63" s="10"/>
      <c r="AR63" s="10"/>
      <c r="AS63" s="10"/>
      <c r="AT63" s="11"/>
      <c r="AU63" s="12"/>
      <c r="AV63" s="17"/>
      <c r="AW63" s="13"/>
      <c r="AX63" s="13"/>
      <c r="AY63" s="13"/>
      <c r="AZ63" s="14"/>
      <c r="BA63" s="9"/>
      <c r="BB63" s="16"/>
      <c r="BC63" s="10"/>
      <c r="BD63" s="10"/>
      <c r="BE63" s="10"/>
      <c r="BF63" s="11"/>
      <c r="BG63" s="12"/>
      <c r="BH63" s="17"/>
      <c r="BI63" s="13"/>
      <c r="BJ63" s="13"/>
      <c r="BK63" s="13"/>
      <c r="BL63" s="14"/>
      <c r="BM63" s="8">
        <f t="shared" si="9"/>
        <v>36</v>
      </c>
      <c r="BN63" s="8">
        <f t="shared" si="10"/>
        <v>9</v>
      </c>
      <c r="BO63" s="8">
        <f t="shared" si="11"/>
        <v>8</v>
      </c>
      <c r="BP63" s="8">
        <f t="shared" si="12"/>
        <v>37</v>
      </c>
      <c r="BQ63" s="8">
        <f t="shared" si="13"/>
        <v>36</v>
      </c>
      <c r="BR63" s="8">
        <f t="shared" si="14"/>
        <v>8</v>
      </c>
      <c r="BS63" s="15">
        <f t="shared" si="15"/>
        <v>8.214869544469531</v>
      </c>
      <c r="BT63" s="15" t="str">
        <f t="shared" si="16"/>
        <v>OK - No Upgrade</v>
      </c>
      <c r="BU63" s="15" t="str">
        <f t="shared" si="17"/>
        <v>Need to Balance</v>
      </c>
    </row>
    <row r="64" spans="1:73" ht="15.75" customHeight="1" x14ac:dyDescent="0.25">
      <c r="A64" s="8" t="s">
        <v>1021</v>
      </c>
      <c r="B64" s="8" t="s">
        <v>1021</v>
      </c>
      <c r="C64" s="8" t="s">
        <v>40</v>
      </c>
      <c r="D64" s="8" t="s">
        <v>1169</v>
      </c>
      <c r="E64" s="8" t="s">
        <v>1066</v>
      </c>
      <c r="F64" s="8" t="s">
        <v>43</v>
      </c>
      <c r="G64" s="8"/>
      <c r="H64" s="8">
        <v>100</v>
      </c>
      <c r="I64" s="8" t="s">
        <v>1170</v>
      </c>
      <c r="J64" s="8">
        <v>1</v>
      </c>
      <c r="K64" s="8">
        <v>225</v>
      </c>
      <c r="L64" s="8">
        <v>229</v>
      </c>
      <c r="M64" s="8">
        <v>226</v>
      </c>
      <c r="N64" s="8">
        <v>404</v>
      </c>
      <c r="O64" s="8">
        <v>403</v>
      </c>
      <c r="P64" s="8">
        <v>404</v>
      </c>
      <c r="Q64" s="9" t="s">
        <v>46</v>
      </c>
      <c r="R64" s="16"/>
      <c r="S64" s="10">
        <v>14</v>
      </c>
      <c r="T64" s="10">
        <v>1</v>
      </c>
      <c r="U64" s="10">
        <v>14</v>
      </c>
      <c r="V64" s="11">
        <v>14</v>
      </c>
      <c r="W64" s="12"/>
      <c r="X64" s="17"/>
      <c r="Y64" s="13"/>
      <c r="Z64" s="13"/>
      <c r="AA64" s="13"/>
      <c r="AB64" s="14"/>
      <c r="AC64" s="9"/>
      <c r="AD64" s="16"/>
      <c r="AE64" s="10"/>
      <c r="AF64" s="10"/>
      <c r="AG64" s="10"/>
      <c r="AH64" s="11"/>
      <c r="AI64" s="12"/>
      <c r="AJ64" s="17"/>
      <c r="AK64" s="13"/>
      <c r="AL64" s="13"/>
      <c r="AM64" s="13"/>
      <c r="AN64" s="14"/>
      <c r="AO64" s="9"/>
      <c r="AP64" s="16"/>
      <c r="AQ64" s="10"/>
      <c r="AR64" s="10"/>
      <c r="AS64" s="10"/>
      <c r="AT64" s="11"/>
      <c r="AU64" s="12"/>
      <c r="AV64" s="17"/>
      <c r="AW64" s="13"/>
      <c r="AX64" s="13"/>
      <c r="AY64" s="13"/>
      <c r="AZ64" s="14"/>
      <c r="BA64" s="9"/>
      <c r="BB64" s="16"/>
      <c r="BC64" s="10"/>
      <c r="BD64" s="10"/>
      <c r="BE64" s="10"/>
      <c r="BF64" s="11"/>
      <c r="BG64" s="12"/>
      <c r="BH64" s="17"/>
      <c r="BI64" s="13"/>
      <c r="BJ64" s="13"/>
      <c r="BK64" s="13"/>
      <c r="BL64" s="14"/>
      <c r="BM64" s="8">
        <f t="shared" si="9"/>
        <v>14</v>
      </c>
      <c r="BN64" s="8">
        <f t="shared" si="10"/>
        <v>1</v>
      </c>
      <c r="BO64" s="8">
        <f t="shared" si="11"/>
        <v>14</v>
      </c>
      <c r="BP64" s="8">
        <f t="shared" si="12"/>
        <v>14</v>
      </c>
      <c r="BQ64" s="8">
        <f t="shared" si="13"/>
        <v>14</v>
      </c>
      <c r="BR64" s="8">
        <f t="shared" si="14"/>
        <v>1</v>
      </c>
      <c r="BS64" s="15">
        <f t="shared" si="15"/>
        <v>9.7964793676095709</v>
      </c>
      <c r="BT64" s="15" t="str">
        <f t="shared" si="16"/>
        <v>OK - No Upgrade</v>
      </c>
      <c r="BU64" s="15" t="str">
        <f t="shared" si="17"/>
        <v>Need to Balance</v>
      </c>
    </row>
    <row r="65" spans="1:73" ht="15.75" customHeight="1" x14ac:dyDescent="0.25">
      <c r="A65" s="8" t="s">
        <v>1021</v>
      </c>
      <c r="B65" s="8" t="s">
        <v>1021</v>
      </c>
      <c r="C65" s="8" t="s">
        <v>124</v>
      </c>
      <c r="D65" s="8" t="s">
        <v>1171</v>
      </c>
      <c r="E65" s="8" t="s">
        <v>1172</v>
      </c>
      <c r="F65" s="8" t="s">
        <v>43</v>
      </c>
      <c r="G65" s="8"/>
      <c r="H65" s="8">
        <v>100</v>
      </c>
      <c r="I65" s="8" t="s">
        <v>1173</v>
      </c>
      <c r="J65" s="8">
        <v>1</v>
      </c>
      <c r="K65" s="8">
        <v>237</v>
      </c>
      <c r="L65" s="8">
        <v>237</v>
      </c>
      <c r="M65" s="8">
        <v>236</v>
      </c>
      <c r="N65" s="8">
        <v>412</v>
      </c>
      <c r="O65" s="8">
        <v>412</v>
      </c>
      <c r="P65" s="8">
        <v>410</v>
      </c>
      <c r="Q65" s="9" t="s">
        <v>70</v>
      </c>
      <c r="R65" s="16"/>
      <c r="S65" s="10">
        <v>30</v>
      </c>
      <c r="T65" s="10">
        <v>23</v>
      </c>
      <c r="U65" s="10">
        <v>46</v>
      </c>
      <c r="V65" s="11">
        <v>21</v>
      </c>
      <c r="W65" s="12"/>
      <c r="X65" s="17"/>
      <c r="Y65" s="13"/>
      <c r="Z65" s="13"/>
      <c r="AA65" s="13"/>
      <c r="AB65" s="14"/>
      <c r="AC65" s="9"/>
      <c r="AD65" s="16"/>
      <c r="AE65" s="10"/>
      <c r="AF65" s="10"/>
      <c r="AG65" s="10"/>
      <c r="AH65" s="11"/>
      <c r="AI65" s="12"/>
      <c r="AJ65" s="17"/>
      <c r="AK65" s="13"/>
      <c r="AL65" s="13"/>
      <c r="AM65" s="13"/>
      <c r="AN65" s="14"/>
      <c r="AO65" s="9"/>
      <c r="AP65" s="16"/>
      <c r="AQ65" s="10"/>
      <c r="AR65" s="10"/>
      <c r="AS65" s="10"/>
      <c r="AT65" s="11"/>
      <c r="AU65" s="12"/>
      <c r="AV65" s="17"/>
      <c r="AW65" s="13"/>
      <c r="AX65" s="13"/>
      <c r="AY65" s="13"/>
      <c r="AZ65" s="14"/>
      <c r="BA65" s="9"/>
      <c r="BB65" s="16"/>
      <c r="BC65" s="10"/>
      <c r="BD65" s="10"/>
      <c r="BE65" s="10"/>
      <c r="BF65" s="11"/>
      <c r="BG65" s="12"/>
      <c r="BH65" s="17"/>
      <c r="BI65" s="13"/>
      <c r="BJ65" s="13"/>
      <c r="BK65" s="13"/>
      <c r="BL65" s="14"/>
      <c r="BM65" s="8">
        <f t="shared" si="9"/>
        <v>30</v>
      </c>
      <c r="BN65" s="8">
        <f t="shared" si="10"/>
        <v>23</v>
      </c>
      <c r="BO65" s="8">
        <f t="shared" si="11"/>
        <v>46</v>
      </c>
      <c r="BP65" s="8">
        <f t="shared" si="12"/>
        <v>21</v>
      </c>
      <c r="BQ65" s="8">
        <f t="shared" si="13"/>
        <v>46</v>
      </c>
      <c r="BR65" s="8">
        <f t="shared" si="14"/>
        <v>23</v>
      </c>
      <c r="BS65" s="15">
        <f t="shared" si="15"/>
        <v>32.825826905045361</v>
      </c>
      <c r="BT65" s="15" t="str">
        <f t="shared" si="16"/>
        <v>OK - No Upgrade</v>
      </c>
      <c r="BU65" s="15" t="str">
        <f t="shared" si="17"/>
        <v>Need to Balance</v>
      </c>
    </row>
    <row r="66" spans="1:73" ht="15.75" customHeight="1" x14ac:dyDescent="0.25">
      <c r="A66" s="8" t="s">
        <v>1021</v>
      </c>
      <c r="B66" s="8" t="s">
        <v>1021</v>
      </c>
      <c r="C66" s="8" t="s">
        <v>40</v>
      </c>
      <c r="D66" s="8" t="s">
        <v>1174</v>
      </c>
      <c r="E66" s="8" t="s">
        <v>1153</v>
      </c>
      <c r="F66" s="8" t="s">
        <v>43</v>
      </c>
      <c r="G66" s="8"/>
      <c r="H66" s="8">
        <v>200</v>
      </c>
      <c r="I66" s="8" t="s">
        <v>1175</v>
      </c>
      <c r="J66" s="8">
        <v>1</v>
      </c>
      <c r="K66" s="8">
        <v>233</v>
      </c>
      <c r="L66" s="8">
        <v>234</v>
      </c>
      <c r="M66" s="8">
        <v>232</v>
      </c>
      <c r="N66" s="8">
        <v>405</v>
      </c>
      <c r="O66" s="8">
        <v>401</v>
      </c>
      <c r="P66" s="8">
        <v>403</v>
      </c>
      <c r="Q66" s="9" t="s">
        <v>46</v>
      </c>
      <c r="R66" s="16"/>
      <c r="S66" s="10">
        <v>1</v>
      </c>
      <c r="T66" s="10">
        <v>1</v>
      </c>
      <c r="U66" s="10">
        <v>13</v>
      </c>
      <c r="V66" s="11">
        <v>13</v>
      </c>
      <c r="W66" s="12"/>
      <c r="X66" s="17"/>
      <c r="Y66" s="13"/>
      <c r="Z66" s="13"/>
      <c r="AA66" s="13"/>
      <c r="AB66" s="14"/>
      <c r="AC66" s="9"/>
      <c r="AD66" s="16"/>
      <c r="AE66" s="10"/>
      <c r="AF66" s="10"/>
      <c r="AG66" s="10"/>
      <c r="AH66" s="11"/>
      <c r="AI66" s="12"/>
      <c r="AJ66" s="17"/>
      <c r="AK66" s="13"/>
      <c r="AL66" s="13"/>
      <c r="AM66" s="13"/>
      <c r="AN66" s="14"/>
      <c r="AO66" s="9"/>
      <c r="AP66" s="16"/>
      <c r="AQ66" s="10"/>
      <c r="AR66" s="10"/>
      <c r="AS66" s="10"/>
      <c r="AT66" s="11"/>
      <c r="AU66" s="12"/>
      <c r="AV66" s="17"/>
      <c r="AW66" s="13"/>
      <c r="AX66" s="13"/>
      <c r="AY66" s="13"/>
      <c r="AZ66" s="14"/>
      <c r="BA66" s="9"/>
      <c r="BB66" s="16"/>
      <c r="BC66" s="10"/>
      <c r="BD66" s="10"/>
      <c r="BE66" s="10"/>
      <c r="BF66" s="11"/>
      <c r="BG66" s="12"/>
      <c r="BH66" s="17"/>
      <c r="BI66" s="13"/>
      <c r="BJ66" s="13"/>
      <c r="BK66" s="13"/>
      <c r="BL66" s="14"/>
      <c r="BM66" s="8">
        <f t="shared" si="9"/>
        <v>1</v>
      </c>
      <c r="BN66" s="8">
        <f t="shared" si="10"/>
        <v>1</v>
      </c>
      <c r="BO66" s="8">
        <f t="shared" si="11"/>
        <v>13</v>
      </c>
      <c r="BP66" s="8">
        <f t="shared" si="12"/>
        <v>13</v>
      </c>
      <c r="BQ66" s="8">
        <f t="shared" si="13"/>
        <v>13</v>
      </c>
      <c r="BR66" s="8">
        <f t="shared" si="14"/>
        <v>1</v>
      </c>
      <c r="BS66" s="15">
        <f t="shared" si="15"/>
        <v>4.5596237509250699</v>
      </c>
      <c r="BT66" s="15" t="str">
        <f t="shared" si="16"/>
        <v>OK - No Upgrade</v>
      </c>
      <c r="BU66" s="15" t="str">
        <f t="shared" si="17"/>
        <v>Need to Balance</v>
      </c>
    </row>
    <row r="67" spans="1:73" ht="15.75" customHeight="1" x14ac:dyDescent="0.25">
      <c r="A67" s="8" t="s">
        <v>1021</v>
      </c>
      <c r="B67" s="8" t="s">
        <v>1021</v>
      </c>
      <c r="C67" s="8" t="s">
        <v>124</v>
      </c>
      <c r="D67" s="8" t="s">
        <v>1176</v>
      </c>
      <c r="E67" s="8" t="s">
        <v>1177</v>
      </c>
      <c r="F67" s="8" t="s">
        <v>43</v>
      </c>
      <c r="G67" s="8"/>
      <c r="H67" s="8">
        <v>100</v>
      </c>
      <c r="I67" s="8" t="s">
        <v>1178</v>
      </c>
      <c r="J67" s="8">
        <v>1</v>
      </c>
      <c r="K67" s="8">
        <v>233</v>
      </c>
      <c r="L67" s="8">
        <v>234</v>
      </c>
      <c r="M67" s="8">
        <v>233</v>
      </c>
      <c r="N67" s="8">
        <v>408</v>
      </c>
      <c r="O67" s="8">
        <v>405</v>
      </c>
      <c r="P67" s="8">
        <v>407</v>
      </c>
      <c r="Q67" s="9" t="s">
        <v>46</v>
      </c>
      <c r="R67" s="16"/>
      <c r="S67" s="10">
        <v>0</v>
      </c>
      <c r="T67" s="10">
        <v>1</v>
      </c>
      <c r="U67" s="10">
        <v>2</v>
      </c>
      <c r="V67" s="11">
        <v>2</v>
      </c>
      <c r="W67" s="12"/>
      <c r="X67" s="17"/>
      <c r="Y67" s="13"/>
      <c r="Z67" s="13"/>
      <c r="AA67" s="13"/>
      <c r="AB67" s="14"/>
      <c r="AC67" s="9"/>
      <c r="AD67" s="16"/>
      <c r="AE67" s="10"/>
      <c r="AF67" s="10"/>
      <c r="AG67" s="10"/>
      <c r="AH67" s="11"/>
      <c r="AI67" s="12"/>
      <c r="AJ67" s="17"/>
      <c r="AK67" s="13"/>
      <c r="AL67" s="13"/>
      <c r="AM67" s="13"/>
      <c r="AN67" s="14"/>
      <c r="AO67" s="9"/>
      <c r="AP67" s="16"/>
      <c r="AQ67" s="10"/>
      <c r="AR67" s="10"/>
      <c r="AS67" s="10"/>
      <c r="AT67" s="11"/>
      <c r="AU67" s="12"/>
      <c r="AV67" s="17"/>
      <c r="AW67" s="13"/>
      <c r="AX67" s="13"/>
      <c r="AY67" s="13"/>
      <c r="AZ67" s="14"/>
      <c r="BA67" s="9"/>
      <c r="BB67" s="16"/>
      <c r="BC67" s="10"/>
      <c r="BD67" s="10"/>
      <c r="BE67" s="10"/>
      <c r="BF67" s="11"/>
      <c r="BG67" s="12"/>
      <c r="BH67" s="17"/>
      <c r="BI67" s="13"/>
      <c r="BJ67" s="13"/>
      <c r="BK67" s="13"/>
      <c r="BL67" s="14"/>
      <c r="BM67" s="8">
        <f t="shared" si="9"/>
        <v>0</v>
      </c>
      <c r="BN67" s="8">
        <f t="shared" si="10"/>
        <v>1</v>
      </c>
      <c r="BO67" s="8">
        <f t="shared" si="11"/>
        <v>2</v>
      </c>
      <c r="BP67" s="8">
        <f t="shared" si="12"/>
        <v>2</v>
      </c>
      <c r="BQ67" s="8">
        <f t="shared" si="13"/>
        <v>2</v>
      </c>
      <c r="BR67" s="8">
        <f t="shared" si="14"/>
        <v>0</v>
      </c>
      <c r="BS67" s="15">
        <f t="shared" si="15"/>
        <v>1.4133534589762038</v>
      </c>
      <c r="BT67" s="15" t="str">
        <f t="shared" si="16"/>
        <v>OK - No Upgrade</v>
      </c>
      <c r="BU67" s="15" t="str">
        <f t="shared" si="17"/>
        <v>Need to Balance</v>
      </c>
    </row>
    <row r="68" spans="1:73" ht="15.75" customHeight="1" x14ac:dyDescent="0.25">
      <c r="A68" s="8" t="s">
        <v>1021</v>
      </c>
      <c r="B68" s="8" t="s">
        <v>1021</v>
      </c>
      <c r="C68" s="8" t="s">
        <v>124</v>
      </c>
      <c r="D68" s="8" t="s">
        <v>1179</v>
      </c>
      <c r="E68" s="8" t="s">
        <v>1180</v>
      </c>
      <c r="F68" s="8" t="s">
        <v>43</v>
      </c>
      <c r="G68" s="8"/>
      <c r="H68" s="8">
        <v>100</v>
      </c>
      <c r="I68" s="8" t="s">
        <v>1181</v>
      </c>
      <c r="J68" s="8">
        <v>1</v>
      </c>
      <c r="K68" s="8">
        <v>233</v>
      </c>
      <c r="L68" s="8">
        <v>232</v>
      </c>
      <c r="M68" s="8">
        <v>233</v>
      </c>
      <c r="N68" s="8">
        <v>405</v>
      </c>
      <c r="O68" s="8">
        <v>406</v>
      </c>
      <c r="P68" s="8">
        <v>408</v>
      </c>
      <c r="Q68" s="9" t="s">
        <v>46</v>
      </c>
      <c r="R68" s="16"/>
      <c r="S68" s="10">
        <v>0</v>
      </c>
      <c r="T68" s="10">
        <v>0</v>
      </c>
      <c r="U68" s="10">
        <v>0</v>
      </c>
      <c r="V68" s="11">
        <v>0</v>
      </c>
      <c r="W68" s="12"/>
      <c r="X68" s="17"/>
      <c r="Y68" s="13"/>
      <c r="Z68" s="13"/>
      <c r="AA68" s="13"/>
      <c r="AB68" s="14"/>
      <c r="AC68" s="9"/>
      <c r="AD68" s="16"/>
      <c r="AE68" s="10"/>
      <c r="AF68" s="10"/>
      <c r="AG68" s="10"/>
      <c r="AH68" s="11"/>
      <c r="AI68" s="12"/>
      <c r="AJ68" s="17"/>
      <c r="AK68" s="13"/>
      <c r="AL68" s="13"/>
      <c r="AM68" s="13"/>
      <c r="AN68" s="14"/>
      <c r="AO68" s="9"/>
      <c r="AP68" s="16"/>
      <c r="AQ68" s="10"/>
      <c r="AR68" s="10"/>
      <c r="AS68" s="10"/>
      <c r="AT68" s="11"/>
      <c r="AU68" s="12"/>
      <c r="AV68" s="17"/>
      <c r="AW68" s="13"/>
      <c r="AX68" s="13"/>
      <c r="AY68" s="13"/>
      <c r="AZ68" s="14"/>
      <c r="BA68" s="9"/>
      <c r="BB68" s="16"/>
      <c r="BC68" s="10"/>
      <c r="BD68" s="10"/>
      <c r="BE68" s="10"/>
      <c r="BF68" s="11"/>
      <c r="BG68" s="12"/>
      <c r="BH68" s="17"/>
      <c r="BI68" s="13"/>
      <c r="BJ68" s="13"/>
      <c r="BK68" s="13"/>
      <c r="BL68" s="14"/>
      <c r="BM68" s="8">
        <f t="shared" ref="BM68:BM99" si="18">SUM(S68,Y68,AE68,AK68,AQ68,AW68,BC68,BI68)</f>
        <v>0</v>
      </c>
      <c r="BN68" s="8">
        <f t="shared" ref="BN68:BN99" si="19">SUM(T68,Z68,AF68,AL68,AR68,AX68,BD68,BJ68)</f>
        <v>0</v>
      </c>
      <c r="BO68" s="8">
        <f t="shared" ref="BO68:BO99" si="20">SUM(U68,AA68,AG68,AM68,AS68,AY68,BE68,BK68)</f>
        <v>0</v>
      </c>
      <c r="BP68" s="8">
        <f t="shared" ref="BP68:BP99" si="21">SUM(V68,AB68,AH68,AN68,AT68,AZ68,BF68,BL68)</f>
        <v>0</v>
      </c>
      <c r="BQ68" s="8">
        <f t="shared" ref="BQ68:BQ99" si="22">MAX(BM68:BO68)</f>
        <v>0</v>
      </c>
      <c r="BR68" s="8">
        <f t="shared" ref="BR68:BR99" si="23">MIN(BM68:BO68)</f>
        <v>0</v>
      </c>
      <c r="BS68" s="15">
        <f t="shared" ref="BS68:BS99" si="24">IF(H68&gt;0,(BQ68*SQRT(3)*IF(N68&gt;0,N68,IF(O68&gt;0,O68,IF(P68&gt;0,P68,415)))/(H68*1000))*100,0)</f>
        <v>0</v>
      </c>
      <c r="BT68" s="15" t="str">
        <f t="shared" ref="BT68:BT99" si="25">IF(BS68&gt;70,"Upgrade","OK - No Upgrade")</f>
        <v>OK - No Upgrade</v>
      </c>
      <c r="BU68" s="15" t="str">
        <f t="shared" ref="BU68:BU99" si="26">IF(IF(AVERAGE(BM68:BO68)&gt;0,((BQ68-AVERAGE(BM68:BO68))/AVERAGE(BM68:BO68))*100,0)&gt;10,"Need to Balance","OK - Balanced")</f>
        <v>OK - Balanced</v>
      </c>
    </row>
    <row r="69" spans="1:73" ht="15.75" customHeight="1" x14ac:dyDescent="0.25">
      <c r="A69" s="8" t="s">
        <v>1021</v>
      </c>
      <c r="B69" s="8" t="s">
        <v>1021</v>
      </c>
      <c r="C69" s="8" t="s">
        <v>124</v>
      </c>
      <c r="D69" s="8" t="s">
        <v>1182</v>
      </c>
      <c r="E69" s="8" t="s">
        <v>1083</v>
      </c>
      <c r="F69" s="8" t="s">
        <v>43</v>
      </c>
      <c r="G69" s="8"/>
      <c r="H69" s="8">
        <v>100</v>
      </c>
      <c r="I69" s="8" t="s">
        <v>1183</v>
      </c>
      <c r="J69" s="8">
        <v>1</v>
      </c>
      <c r="K69" s="8">
        <v>240</v>
      </c>
      <c r="L69" s="8">
        <v>239</v>
      </c>
      <c r="M69" s="8">
        <v>238</v>
      </c>
      <c r="N69" s="8">
        <v>415</v>
      </c>
      <c r="O69" s="8">
        <v>415</v>
      </c>
      <c r="P69" s="8">
        <v>414</v>
      </c>
      <c r="Q69" s="9" t="s">
        <v>46</v>
      </c>
      <c r="R69" s="16"/>
      <c r="S69" s="10">
        <v>0</v>
      </c>
      <c r="T69" s="10">
        <v>0</v>
      </c>
      <c r="U69" s="10">
        <v>0</v>
      </c>
      <c r="V69" s="11">
        <v>0</v>
      </c>
      <c r="W69" s="12"/>
      <c r="X69" s="17"/>
      <c r="Y69" s="13"/>
      <c r="Z69" s="13"/>
      <c r="AA69" s="13"/>
      <c r="AB69" s="14"/>
      <c r="AC69" s="9"/>
      <c r="AD69" s="16"/>
      <c r="AE69" s="10"/>
      <c r="AF69" s="10"/>
      <c r="AG69" s="10"/>
      <c r="AH69" s="11"/>
      <c r="AI69" s="12"/>
      <c r="AJ69" s="17"/>
      <c r="AK69" s="13"/>
      <c r="AL69" s="13"/>
      <c r="AM69" s="13"/>
      <c r="AN69" s="14"/>
      <c r="AO69" s="9"/>
      <c r="AP69" s="16"/>
      <c r="AQ69" s="10"/>
      <c r="AR69" s="10"/>
      <c r="AS69" s="10"/>
      <c r="AT69" s="11"/>
      <c r="AU69" s="12"/>
      <c r="AV69" s="17"/>
      <c r="AW69" s="13"/>
      <c r="AX69" s="13"/>
      <c r="AY69" s="13"/>
      <c r="AZ69" s="14"/>
      <c r="BA69" s="9"/>
      <c r="BB69" s="16"/>
      <c r="BC69" s="10"/>
      <c r="BD69" s="10"/>
      <c r="BE69" s="10"/>
      <c r="BF69" s="11"/>
      <c r="BG69" s="12"/>
      <c r="BH69" s="17"/>
      <c r="BI69" s="13"/>
      <c r="BJ69" s="13"/>
      <c r="BK69" s="13"/>
      <c r="BL69" s="14"/>
      <c r="BM69" s="8">
        <f t="shared" si="18"/>
        <v>0</v>
      </c>
      <c r="BN69" s="8">
        <f t="shared" si="19"/>
        <v>0</v>
      </c>
      <c r="BO69" s="8">
        <f t="shared" si="20"/>
        <v>0</v>
      </c>
      <c r="BP69" s="8">
        <f t="shared" si="21"/>
        <v>0</v>
      </c>
      <c r="BQ69" s="8">
        <f t="shared" si="22"/>
        <v>0</v>
      </c>
      <c r="BR69" s="8">
        <f t="shared" si="23"/>
        <v>0</v>
      </c>
      <c r="BS69" s="15">
        <f t="shared" si="24"/>
        <v>0</v>
      </c>
      <c r="BT69" s="15" t="str">
        <f t="shared" si="25"/>
        <v>OK - No Upgrade</v>
      </c>
      <c r="BU69" s="15" t="str">
        <f t="shared" si="26"/>
        <v>OK - Balanced</v>
      </c>
    </row>
    <row r="70" spans="1:73" ht="15.75" customHeight="1" x14ac:dyDescent="0.25">
      <c r="A70" s="8" t="s">
        <v>1021</v>
      </c>
      <c r="B70" s="8" t="s">
        <v>1021</v>
      </c>
      <c r="C70" s="8" t="s">
        <v>40</v>
      </c>
      <c r="D70" s="8" t="s">
        <v>1184</v>
      </c>
      <c r="E70" s="8" t="s">
        <v>1051</v>
      </c>
      <c r="F70" s="8" t="s">
        <v>43</v>
      </c>
      <c r="G70" s="8"/>
      <c r="H70" s="8">
        <v>50</v>
      </c>
      <c r="I70" s="8" t="s">
        <v>1185</v>
      </c>
      <c r="J70" s="8">
        <v>1</v>
      </c>
      <c r="K70" s="8">
        <v>227</v>
      </c>
      <c r="L70" s="8">
        <v>228</v>
      </c>
      <c r="M70" s="8">
        <v>225</v>
      </c>
      <c r="N70" s="8">
        <v>404</v>
      </c>
      <c r="O70" s="8">
        <v>403</v>
      </c>
      <c r="P70" s="8">
        <v>404</v>
      </c>
      <c r="Q70" s="9" t="s">
        <v>46</v>
      </c>
      <c r="R70" s="16"/>
      <c r="S70" s="10">
        <v>2</v>
      </c>
      <c r="T70" s="10">
        <v>2</v>
      </c>
      <c r="U70" s="10">
        <v>15</v>
      </c>
      <c r="V70" s="11">
        <v>14</v>
      </c>
      <c r="W70" s="12"/>
      <c r="X70" s="17"/>
      <c r="Y70" s="13"/>
      <c r="Z70" s="13"/>
      <c r="AA70" s="13"/>
      <c r="AB70" s="14"/>
      <c r="AC70" s="9"/>
      <c r="AD70" s="16"/>
      <c r="AE70" s="10"/>
      <c r="AF70" s="10"/>
      <c r="AG70" s="10"/>
      <c r="AH70" s="11"/>
      <c r="AI70" s="12"/>
      <c r="AJ70" s="17"/>
      <c r="AK70" s="13"/>
      <c r="AL70" s="13"/>
      <c r="AM70" s="13"/>
      <c r="AN70" s="14"/>
      <c r="AO70" s="9"/>
      <c r="AP70" s="16"/>
      <c r="AQ70" s="10"/>
      <c r="AR70" s="10"/>
      <c r="AS70" s="10"/>
      <c r="AT70" s="11"/>
      <c r="AU70" s="12"/>
      <c r="AV70" s="17"/>
      <c r="AW70" s="13"/>
      <c r="AX70" s="13"/>
      <c r="AY70" s="13"/>
      <c r="AZ70" s="14"/>
      <c r="BA70" s="9"/>
      <c r="BB70" s="16"/>
      <c r="BC70" s="10"/>
      <c r="BD70" s="10"/>
      <c r="BE70" s="10"/>
      <c r="BF70" s="11"/>
      <c r="BG70" s="12"/>
      <c r="BH70" s="17"/>
      <c r="BI70" s="13"/>
      <c r="BJ70" s="13"/>
      <c r="BK70" s="13"/>
      <c r="BL70" s="14"/>
      <c r="BM70" s="8">
        <f t="shared" si="18"/>
        <v>2</v>
      </c>
      <c r="BN70" s="8">
        <f t="shared" si="19"/>
        <v>2</v>
      </c>
      <c r="BO70" s="8">
        <f t="shared" si="20"/>
        <v>15</v>
      </c>
      <c r="BP70" s="8">
        <f t="shared" si="21"/>
        <v>14</v>
      </c>
      <c r="BQ70" s="8">
        <f t="shared" si="22"/>
        <v>15</v>
      </c>
      <c r="BR70" s="8">
        <f t="shared" si="23"/>
        <v>2</v>
      </c>
      <c r="BS70" s="15">
        <f t="shared" si="24"/>
        <v>20.992455787734791</v>
      </c>
      <c r="BT70" s="15" t="str">
        <f t="shared" si="25"/>
        <v>OK - No Upgrade</v>
      </c>
      <c r="BU70" s="15" t="str">
        <f t="shared" si="26"/>
        <v>Need to Balance</v>
      </c>
    </row>
    <row r="71" spans="1:73" ht="15.75" customHeight="1" x14ac:dyDescent="0.25">
      <c r="A71" s="8" t="s">
        <v>1021</v>
      </c>
      <c r="B71" s="8" t="s">
        <v>1021</v>
      </c>
      <c r="C71" s="8" t="s">
        <v>124</v>
      </c>
      <c r="D71" s="8" t="s">
        <v>1186</v>
      </c>
      <c r="E71" s="8" t="s">
        <v>1016</v>
      </c>
      <c r="F71" s="8" t="s">
        <v>43</v>
      </c>
      <c r="G71" s="8"/>
      <c r="H71" s="8">
        <v>100</v>
      </c>
      <c r="I71" s="8" t="s">
        <v>1187</v>
      </c>
      <c r="J71" s="8">
        <v>1</v>
      </c>
      <c r="K71" s="8">
        <v>236</v>
      </c>
      <c r="L71" s="8">
        <v>238</v>
      </c>
      <c r="M71" s="8">
        <v>237</v>
      </c>
      <c r="N71" s="8">
        <v>412</v>
      </c>
      <c r="O71" s="8">
        <v>411</v>
      </c>
      <c r="P71" s="8">
        <v>411</v>
      </c>
      <c r="Q71" s="9" t="s">
        <v>46</v>
      </c>
      <c r="R71" s="16"/>
      <c r="S71" s="10">
        <v>39</v>
      </c>
      <c r="T71" s="10">
        <v>20</v>
      </c>
      <c r="U71" s="10">
        <v>18</v>
      </c>
      <c r="V71" s="11">
        <v>18</v>
      </c>
      <c r="W71" s="12"/>
      <c r="X71" s="17"/>
      <c r="Y71" s="13"/>
      <c r="Z71" s="13"/>
      <c r="AA71" s="13"/>
      <c r="AB71" s="14"/>
      <c r="AC71" s="9"/>
      <c r="AD71" s="16"/>
      <c r="AE71" s="10"/>
      <c r="AF71" s="10"/>
      <c r="AG71" s="10"/>
      <c r="AH71" s="11"/>
      <c r="AI71" s="12"/>
      <c r="AJ71" s="17"/>
      <c r="AK71" s="13"/>
      <c r="AL71" s="13"/>
      <c r="AM71" s="13"/>
      <c r="AN71" s="14"/>
      <c r="AO71" s="9"/>
      <c r="AP71" s="16"/>
      <c r="AQ71" s="10"/>
      <c r="AR71" s="10"/>
      <c r="AS71" s="10"/>
      <c r="AT71" s="11"/>
      <c r="AU71" s="12"/>
      <c r="AV71" s="17"/>
      <c r="AW71" s="13"/>
      <c r="AX71" s="13"/>
      <c r="AY71" s="13"/>
      <c r="AZ71" s="14"/>
      <c r="BA71" s="9"/>
      <c r="BB71" s="16"/>
      <c r="BC71" s="10"/>
      <c r="BD71" s="10"/>
      <c r="BE71" s="10"/>
      <c r="BF71" s="11"/>
      <c r="BG71" s="12"/>
      <c r="BH71" s="17"/>
      <c r="BI71" s="13"/>
      <c r="BJ71" s="13"/>
      <c r="BK71" s="13"/>
      <c r="BL71" s="14"/>
      <c r="BM71" s="8">
        <f t="shared" si="18"/>
        <v>39</v>
      </c>
      <c r="BN71" s="8">
        <f t="shared" si="19"/>
        <v>20</v>
      </c>
      <c r="BO71" s="8">
        <f t="shared" si="20"/>
        <v>18</v>
      </c>
      <c r="BP71" s="8">
        <f t="shared" si="21"/>
        <v>18</v>
      </c>
      <c r="BQ71" s="8">
        <f t="shared" si="22"/>
        <v>39</v>
      </c>
      <c r="BR71" s="8">
        <f t="shared" si="23"/>
        <v>18</v>
      </c>
      <c r="BS71" s="15">
        <f t="shared" si="24"/>
        <v>27.830592376016721</v>
      </c>
      <c r="BT71" s="15" t="str">
        <f t="shared" si="25"/>
        <v>OK - No Upgrade</v>
      </c>
      <c r="BU71" s="15" t="str">
        <f t="shared" si="26"/>
        <v>Need to Balance</v>
      </c>
    </row>
    <row r="72" spans="1:73" ht="15.75" customHeight="1" x14ac:dyDescent="0.25">
      <c r="A72" s="8" t="s">
        <v>1021</v>
      </c>
      <c r="B72" s="8" t="s">
        <v>1021</v>
      </c>
      <c r="C72" s="8" t="s">
        <v>124</v>
      </c>
      <c r="D72" s="8" t="s">
        <v>1188</v>
      </c>
      <c r="E72" s="8" t="s">
        <v>1189</v>
      </c>
      <c r="F72" s="8" t="s">
        <v>43</v>
      </c>
      <c r="G72" s="8"/>
      <c r="H72" s="8">
        <v>100</v>
      </c>
      <c r="I72" s="8" t="s">
        <v>1190</v>
      </c>
      <c r="J72" s="8">
        <v>1</v>
      </c>
      <c r="K72" s="8">
        <v>238</v>
      </c>
      <c r="L72" s="8">
        <v>238</v>
      </c>
      <c r="M72" s="8">
        <v>237</v>
      </c>
      <c r="N72" s="8">
        <v>414</v>
      </c>
      <c r="O72" s="8">
        <v>413</v>
      </c>
      <c r="P72" s="8">
        <v>413</v>
      </c>
      <c r="Q72" s="9" t="s">
        <v>46</v>
      </c>
      <c r="R72" s="16"/>
      <c r="S72" s="10">
        <v>10</v>
      </c>
      <c r="T72" s="10">
        <v>10</v>
      </c>
      <c r="U72" s="10">
        <v>10</v>
      </c>
      <c r="V72" s="11">
        <v>1</v>
      </c>
      <c r="W72" s="12"/>
      <c r="X72" s="17"/>
      <c r="Y72" s="13"/>
      <c r="Z72" s="13"/>
      <c r="AA72" s="13"/>
      <c r="AB72" s="14"/>
      <c r="AC72" s="9"/>
      <c r="AD72" s="16"/>
      <c r="AE72" s="10"/>
      <c r="AF72" s="10"/>
      <c r="AG72" s="10"/>
      <c r="AH72" s="11"/>
      <c r="AI72" s="12"/>
      <c r="AJ72" s="17"/>
      <c r="AK72" s="13"/>
      <c r="AL72" s="13"/>
      <c r="AM72" s="13"/>
      <c r="AN72" s="14"/>
      <c r="AO72" s="9"/>
      <c r="AP72" s="16"/>
      <c r="AQ72" s="10"/>
      <c r="AR72" s="10"/>
      <c r="AS72" s="10"/>
      <c r="AT72" s="11"/>
      <c r="AU72" s="12"/>
      <c r="AV72" s="17"/>
      <c r="AW72" s="13"/>
      <c r="AX72" s="13"/>
      <c r="AY72" s="13"/>
      <c r="AZ72" s="14"/>
      <c r="BA72" s="9"/>
      <c r="BB72" s="16"/>
      <c r="BC72" s="10"/>
      <c r="BD72" s="10"/>
      <c r="BE72" s="10"/>
      <c r="BF72" s="11"/>
      <c r="BG72" s="12"/>
      <c r="BH72" s="17"/>
      <c r="BI72" s="13"/>
      <c r="BJ72" s="13"/>
      <c r="BK72" s="13"/>
      <c r="BL72" s="14"/>
      <c r="BM72" s="8">
        <f t="shared" si="18"/>
        <v>10</v>
      </c>
      <c r="BN72" s="8">
        <f t="shared" si="19"/>
        <v>10</v>
      </c>
      <c r="BO72" s="8">
        <f t="shared" si="20"/>
        <v>10</v>
      </c>
      <c r="BP72" s="8">
        <f t="shared" si="21"/>
        <v>1</v>
      </c>
      <c r="BQ72" s="8">
        <f t="shared" si="22"/>
        <v>10</v>
      </c>
      <c r="BR72" s="8">
        <f t="shared" si="23"/>
        <v>10</v>
      </c>
      <c r="BS72" s="15">
        <f t="shared" si="24"/>
        <v>7.170690343335151</v>
      </c>
      <c r="BT72" s="15" t="str">
        <f t="shared" si="25"/>
        <v>OK - No Upgrade</v>
      </c>
      <c r="BU72" s="15" t="str">
        <f t="shared" si="26"/>
        <v>OK - Balanced</v>
      </c>
    </row>
    <row r="73" spans="1:73" ht="15.75" customHeight="1" x14ac:dyDescent="0.25">
      <c r="A73" s="8" t="s">
        <v>1021</v>
      </c>
      <c r="B73" s="8" t="s">
        <v>1021</v>
      </c>
      <c r="C73" s="8" t="s">
        <v>124</v>
      </c>
      <c r="D73" s="8" t="s">
        <v>1191</v>
      </c>
      <c r="E73" s="8" t="s">
        <v>1124</v>
      </c>
      <c r="F73" s="8" t="s">
        <v>43</v>
      </c>
      <c r="G73" s="8"/>
      <c r="H73" s="8">
        <v>100</v>
      </c>
      <c r="I73" s="8" t="s">
        <v>1192</v>
      </c>
      <c r="J73" s="8">
        <v>1</v>
      </c>
      <c r="K73" s="8">
        <v>239</v>
      </c>
      <c r="L73" s="8">
        <v>239</v>
      </c>
      <c r="M73" s="8">
        <v>238</v>
      </c>
      <c r="N73" s="8">
        <v>416</v>
      </c>
      <c r="O73" s="8">
        <v>414</v>
      </c>
      <c r="P73" s="8">
        <v>414</v>
      </c>
      <c r="Q73" s="9" t="s">
        <v>46</v>
      </c>
      <c r="R73" s="16"/>
      <c r="S73" s="10">
        <v>1</v>
      </c>
      <c r="T73" s="10">
        <v>1</v>
      </c>
      <c r="U73" s="10">
        <v>2</v>
      </c>
      <c r="V73" s="11">
        <v>2</v>
      </c>
      <c r="W73" s="12"/>
      <c r="X73" s="17"/>
      <c r="Y73" s="13"/>
      <c r="Z73" s="13"/>
      <c r="AA73" s="13"/>
      <c r="AB73" s="14"/>
      <c r="AC73" s="9"/>
      <c r="AD73" s="16"/>
      <c r="AE73" s="10"/>
      <c r="AF73" s="10"/>
      <c r="AG73" s="10"/>
      <c r="AH73" s="11"/>
      <c r="AI73" s="12"/>
      <c r="AJ73" s="17"/>
      <c r="AK73" s="13"/>
      <c r="AL73" s="13"/>
      <c r="AM73" s="13"/>
      <c r="AN73" s="14"/>
      <c r="AO73" s="9"/>
      <c r="AP73" s="16"/>
      <c r="AQ73" s="10"/>
      <c r="AR73" s="10"/>
      <c r="AS73" s="10"/>
      <c r="AT73" s="11"/>
      <c r="AU73" s="12"/>
      <c r="AV73" s="17"/>
      <c r="AW73" s="13"/>
      <c r="AX73" s="13"/>
      <c r="AY73" s="13"/>
      <c r="AZ73" s="14"/>
      <c r="BA73" s="9"/>
      <c r="BB73" s="16"/>
      <c r="BC73" s="10"/>
      <c r="BD73" s="10"/>
      <c r="BE73" s="10"/>
      <c r="BF73" s="11"/>
      <c r="BG73" s="12"/>
      <c r="BH73" s="17"/>
      <c r="BI73" s="13"/>
      <c r="BJ73" s="13"/>
      <c r="BK73" s="13"/>
      <c r="BL73" s="14"/>
      <c r="BM73" s="8">
        <f t="shared" si="18"/>
        <v>1</v>
      </c>
      <c r="BN73" s="8">
        <f t="shared" si="19"/>
        <v>1</v>
      </c>
      <c r="BO73" s="8">
        <f t="shared" si="20"/>
        <v>2</v>
      </c>
      <c r="BP73" s="8">
        <f t="shared" si="21"/>
        <v>2</v>
      </c>
      <c r="BQ73" s="8">
        <f t="shared" si="22"/>
        <v>2</v>
      </c>
      <c r="BR73" s="8">
        <f t="shared" si="23"/>
        <v>1</v>
      </c>
      <c r="BS73" s="15">
        <f t="shared" si="24"/>
        <v>1.4410662718973057</v>
      </c>
      <c r="BT73" s="15" t="str">
        <f t="shared" si="25"/>
        <v>OK - No Upgrade</v>
      </c>
      <c r="BU73" s="15" t="str">
        <f t="shared" si="26"/>
        <v>Need to Balance</v>
      </c>
    </row>
    <row r="74" spans="1:73" ht="15.75" customHeight="1" x14ac:dyDescent="0.25">
      <c r="A74" s="8" t="s">
        <v>1021</v>
      </c>
      <c r="B74" s="8" t="s">
        <v>1021</v>
      </c>
      <c r="C74" s="8" t="s">
        <v>124</v>
      </c>
      <c r="D74" s="8" t="s">
        <v>1193</v>
      </c>
      <c r="E74" s="8" t="s">
        <v>766</v>
      </c>
      <c r="F74" s="8" t="s">
        <v>43</v>
      </c>
      <c r="G74" s="8"/>
      <c r="H74" s="8">
        <v>100</v>
      </c>
      <c r="I74" s="8" t="s">
        <v>1194</v>
      </c>
      <c r="J74" s="8">
        <v>1</v>
      </c>
      <c r="K74" s="8">
        <v>237</v>
      </c>
      <c r="L74" s="8">
        <v>237</v>
      </c>
      <c r="M74" s="8">
        <v>236</v>
      </c>
      <c r="N74" s="8">
        <v>412</v>
      </c>
      <c r="O74" s="8">
        <v>411</v>
      </c>
      <c r="P74" s="8">
        <v>412</v>
      </c>
      <c r="Q74" s="9" t="s">
        <v>46</v>
      </c>
      <c r="R74" s="16"/>
      <c r="S74" s="10">
        <v>28</v>
      </c>
      <c r="T74" s="10">
        <v>27</v>
      </c>
      <c r="U74" s="10">
        <v>26</v>
      </c>
      <c r="V74" s="11">
        <v>1</v>
      </c>
      <c r="W74" s="12"/>
      <c r="X74" s="17"/>
      <c r="Y74" s="13"/>
      <c r="Z74" s="13"/>
      <c r="AA74" s="13"/>
      <c r="AB74" s="14"/>
      <c r="AC74" s="9"/>
      <c r="AD74" s="16"/>
      <c r="AE74" s="10"/>
      <c r="AF74" s="10"/>
      <c r="AG74" s="10"/>
      <c r="AH74" s="11"/>
      <c r="AI74" s="12"/>
      <c r="AJ74" s="17"/>
      <c r="AK74" s="13"/>
      <c r="AL74" s="13"/>
      <c r="AM74" s="13"/>
      <c r="AN74" s="14"/>
      <c r="AO74" s="9"/>
      <c r="AP74" s="16"/>
      <c r="AQ74" s="10"/>
      <c r="AR74" s="10"/>
      <c r="AS74" s="10"/>
      <c r="AT74" s="11"/>
      <c r="AU74" s="12"/>
      <c r="AV74" s="17"/>
      <c r="AW74" s="13"/>
      <c r="AX74" s="13"/>
      <c r="AY74" s="13"/>
      <c r="AZ74" s="14"/>
      <c r="BA74" s="9"/>
      <c r="BB74" s="16"/>
      <c r="BC74" s="10"/>
      <c r="BD74" s="10"/>
      <c r="BE74" s="10"/>
      <c r="BF74" s="11"/>
      <c r="BG74" s="12"/>
      <c r="BH74" s="17"/>
      <c r="BI74" s="13"/>
      <c r="BJ74" s="13"/>
      <c r="BK74" s="13"/>
      <c r="BL74" s="14"/>
      <c r="BM74" s="8">
        <f t="shared" si="18"/>
        <v>28</v>
      </c>
      <c r="BN74" s="8">
        <f t="shared" si="19"/>
        <v>27</v>
      </c>
      <c r="BO74" s="8">
        <f t="shared" si="20"/>
        <v>26</v>
      </c>
      <c r="BP74" s="8">
        <f t="shared" si="21"/>
        <v>1</v>
      </c>
      <c r="BQ74" s="8">
        <f t="shared" si="22"/>
        <v>28</v>
      </c>
      <c r="BR74" s="8">
        <f t="shared" si="23"/>
        <v>26</v>
      </c>
      <c r="BS74" s="15">
        <f t="shared" si="24"/>
        <v>19.980938116114569</v>
      </c>
      <c r="BT74" s="15" t="str">
        <f t="shared" si="25"/>
        <v>OK - No Upgrade</v>
      </c>
      <c r="BU74" s="15" t="str">
        <f t="shared" si="26"/>
        <v>OK - Balanced</v>
      </c>
    </row>
    <row r="75" spans="1:73" ht="15.75" customHeight="1" x14ac:dyDescent="0.25">
      <c r="A75" s="8" t="s">
        <v>1021</v>
      </c>
      <c r="B75" s="8" t="s">
        <v>1021</v>
      </c>
      <c r="C75" s="8" t="s">
        <v>124</v>
      </c>
      <c r="D75" s="8" t="s">
        <v>1195</v>
      </c>
      <c r="E75" s="8" t="s">
        <v>763</v>
      </c>
      <c r="F75" s="8" t="s">
        <v>43</v>
      </c>
      <c r="G75" s="8"/>
      <c r="H75" s="8">
        <v>100</v>
      </c>
      <c r="I75" s="8" t="s">
        <v>1196</v>
      </c>
      <c r="J75" s="8">
        <v>1</v>
      </c>
      <c r="K75" s="8">
        <v>243</v>
      </c>
      <c r="L75" s="8">
        <v>242</v>
      </c>
      <c r="M75" s="8">
        <v>243</v>
      </c>
      <c r="N75" s="8">
        <v>421</v>
      </c>
      <c r="O75" s="8">
        <v>419</v>
      </c>
      <c r="P75" s="8">
        <v>418</v>
      </c>
      <c r="Q75" s="9" t="s">
        <v>46</v>
      </c>
      <c r="R75" s="16"/>
      <c r="S75" s="10">
        <v>30</v>
      </c>
      <c r="T75" s="10">
        <v>20</v>
      </c>
      <c r="U75" s="10">
        <v>22</v>
      </c>
      <c r="V75" s="11">
        <v>10</v>
      </c>
      <c r="W75" s="12"/>
      <c r="X75" s="17"/>
      <c r="Y75" s="13"/>
      <c r="Z75" s="13"/>
      <c r="AA75" s="13"/>
      <c r="AB75" s="14"/>
      <c r="AC75" s="9"/>
      <c r="AD75" s="16"/>
      <c r="AE75" s="10"/>
      <c r="AF75" s="10"/>
      <c r="AG75" s="10"/>
      <c r="AH75" s="11"/>
      <c r="AI75" s="12"/>
      <c r="AJ75" s="17"/>
      <c r="AK75" s="13"/>
      <c r="AL75" s="13"/>
      <c r="AM75" s="13"/>
      <c r="AN75" s="14"/>
      <c r="AO75" s="9"/>
      <c r="AP75" s="16"/>
      <c r="AQ75" s="10"/>
      <c r="AR75" s="10"/>
      <c r="AS75" s="10"/>
      <c r="AT75" s="11"/>
      <c r="AU75" s="12"/>
      <c r="AV75" s="17"/>
      <c r="AW75" s="13"/>
      <c r="AX75" s="13"/>
      <c r="AY75" s="13"/>
      <c r="AZ75" s="14"/>
      <c r="BA75" s="9"/>
      <c r="BB75" s="16"/>
      <c r="BC75" s="10"/>
      <c r="BD75" s="10"/>
      <c r="BE75" s="10"/>
      <c r="BF75" s="11"/>
      <c r="BG75" s="12"/>
      <c r="BH75" s="17"/>
      <c r="BI75" s="13"/>
      <c r="BJ75" s="13"/>
      <c r="BK75" s="13"/>
      <c r="BL75" s="14"/>
      <c r="BM75" s="8">
        <f t="shared" si="18"/>
        <v>30</v>
      </c>
      <c r="BN75" s="8">
        <f t="shared" si="19"/>
        <v>20</v>
      </c>
      <c r="BO75" s="8">
        <f t="shared" si="20"/>
        <v>22</v>
      </c>
      <c r="BP75" s="8">
        <f t="shared" si="21"/>
        <v>10</v>
      </c>
      <c r="BQ75" s="8">
        <f t="shared" si="22"/>
        <v>30</v>
      </c>
      <c r="BR75" s="8">
        <f t="shared" si="23"/>
        <v>20</v>
      </c>
      <c r="BS75" s="15">
        <f t="shared" si="24"/>
        <v>21.87580169959492</v>
      </c>
      <c r="BT75" s="15" t="str">
        <f t="shared" si="25"/>
        <v>OK - No Upgrade</v>
      </c>
      <c r="BU75" s="15" t="str">
        <f t="shared" si="26"/>
        <v>Need to Balance</v>
      </c>
    </row>
    <row r="76" spans="1:73" ht="15.75" customHeight="1" x14ac:dyDescent="0.25">
      <c r="A76" s="8" t="s">
        <v>1021</v>
      </c>
      <c r="B76" s="8" t="s">
        <v>1021</v>
      </c>
      <c r="C76" s="8" t="s">
        <v>40</v>
      </c>
      <c r="D76" s="8" t="s">
        <v>1197</v>
      </c>
      <c r="E76" s="8" t="s">
        <v>1198</v>
      </c>
      <c r="F76" s="8" t="s">
        <v>43</v>
      </c>
      <c r="G76" s="8"/>
      <c r="H76" s="8">
        <v>100</v>
      </c>
      <c r="I76" s="8" t="s">
        <v>1199</v>
      </c>
      <c r="J76" s="8">
        <v>1</v>
      </c>
      <c r="K76" s="8">
        <v>227</v>
      </c>
      <c r="L76" s="8">
        <v>229</v>
      </c>
      <c r="M76" s="8">
        <v>227</v>
      </c>
      <c r="N76" s="8">
        <v>404</v>
      </c>
      <c r="O76" s="8">
        <v>403</v>
      </c>
      <c r="P76" s="8">
        <v>403</v>
      </c>
      <c r="Q76" s="9" t="s">
        <v>46</v>
      </c>
      <c r="R76" s="16"/>
      <c r="S76" s="10">
        <v>1</v>
      </c>
      <c r="T76" s="10">
        <v>1</v>
      </c>
      <c r="U76" s="10">
        <v>1</v>
      </c>
      <c r="V76" s="11">
        <v>0</v>
      </c>
      <c r="W76" s="12"/>
      <c r="X76" s="17"/>
      <c r="Y76" s="13"/>
      <c r="Z76" s="13"/>
      <c r="AA76" s="13"/>
      <c r="AB76" s="14"/>
      <c r="AC76" s="9"/>
      <c r="AD76" s="16"/>
      <c r="AE76" s="10"/>
      <c r="AF76" s="10"/>
      <c r="AG76" s="10"/>
      <c r="AH76" s="11"/>
      <c r="AI76" s="12"/>
      <c r="AJ76" s="17"/>
      <c r="AK76" s="13"/>
      <c r="AL76" s="13"/>
      <c r="AM76" s="13"/>
      <c r="AN76" s="14"/>
      <c r="AO76" s="9"/>
      <c r="AP76" s="16"/>
      <c r="AQ76" s="10"/>
      <c r="AR76" s="10"/>
      <c r="AS76" s="10"/>
      <c r="AT76" s="11"/>
      <c r="AU76" s="12"/>
      <c r="AV76" s="17"/>
      <c r="AW76" s="13"/>
      <c r="AX76" s="13"/>
      <c r="AY76" s="13"/>
      <c r="AZ76" s="14"/>
      <c r="BA76" s="9"/>
      <c r="BB76" s="16"/>
      <c r="BC76" s="10"/>
      <c r="BD76" s="10"/>
      <c r="BE76" s="10"/>
      <c r="BF76" s="11"/>
      <c r="BG76" s="12"/>
      <c r="BH76" s="17"/>
      <c r="BI76" s="13"/>
      <c r="BJ76" s="13"/>
      <c r="BK76" s="13"/>
      <c r="BL76" s="14"/>
      <c r="BM76" s="8">
        <f t="shared" si="18"/>
        <v>1</v>
      </c>
      <c r="BN76" s="8">
        <f t="shared" si="19"/>
        <v>1</v>
      </c>
      <c r="BO76" s="8">
        <f t="shared" si="20"/>
        <v>1</v>
      </c>
      <c r="BP76" s="8">
        <f t="shared" si="21"/>
        <v>0</v>
      </c>
      <c r="BQ76" s="8">
        <f t="shared" si="22"/>
        <v>1</v>
      </c>
      <c r="BR76" s="8">
        <f t="shared" si="23"/>
        <v>1</v>
      </c>
      <c r="BS76" s="15">
        <f t="shared" si="24"/>
        <v>0.69974852625782635</v>
      </c>
      <c r="BT76" s="15" t="str">
        <f t="shared" si="25"/>
        <v>OK - No Upgrade</v>
      </c>
      <c r="BU76" s="15" t="str">
        <f t="shared" si="26"/>
        <v>OK - Balanced</v>
      </c>
    </row>
    <row r="77" spans="1:73" ht="15.75" customHeight="1" x14ac:dyDescent="0.25">
      <c r="A77" s="8" t="s">
        <v>1021</v>
      </c>
      <c r="B77" s="8" t="s">
        <v>1021</v>
      </c>
      <c r="C77" s="8" t="s">
        <v>40</v>
      </c>
      <c r="D77" s="8" t="s">
        <v>1200</v>
      </c>
      <c r="E77" s="8" t="s">
        <v>1201</v>
      </c>
      <c r="F77" s="8" t="s">
        <v>43</v>
      </c>
      <c r="G77" s="8"/>
      <c r="H77" s="8">
        <v>100</v>
      </c>
      <c r="I77" s="8" t="s">
        <v>1202</v>
      </c>
      <c r="J77" s="8">
        <v>1</v>
      </c>
      <c r="K77" s="8">
        <v>238</v>
      </c>
      <c r="L77" s="8">
        <v>240</v>
      </c>
      <c r="M77" s="8">
        <v>238</v>
      </c>
      <c r="N77" s="8">
        <v>413</v>
      </c>
      <c r="O77" s="8">
        <v>411</v>
      </c>
      <c r="P77" s="8">
        <v>413</v>
      </c>
      <c r="Q77" s="9" t="s">
        <v>46</v>
      </c>
      <c r="R77" s="16"/>
      <c r="S77" s="10">
        <v>3</v>
      </c>
      <c r="T77" s="10">
        <v>1</v>
      </c>
      <c r="U77" s="10">
        <v>4</v>
      </c>
      <c r="V77" s="11">
        <v>1</v>
      </c>
      <c r="W77" s="12"/>
      <c r="X77" s="17"/>
      <c r="Y77" s="13"/>
      <c r="Z77" s="13"/>
      <c r="AA77" s="13"/>
      <c r="AB77" s="14"/>
      <c r="AC77" s="9"/>
      <c r="AD77" s="16"/>
      <c r="AE77" s="10"/>
      <c r="AF77" s="10"/>
      <c r="AG77" s="10"/>
      <c r="AH77" s="11"/>
      <c r="AI77" s="12"/>
      <c r="AJ77" s="17"/>
      <c r="AK77" s="13"/>
      <c r="AL77" s="13"/>
      <c r="AM77" s="13"/>
      <c r="AN77" s="14"/>
      <c r="AO77" s="9"/>
      <c r="AP77" s="16"/>
      <c r="AQ77" s="10"/>
      <c r="AR77" s="10"/>
      <c r="AS77" s="10"/>
      <c r="AT77" s="11"/>
      <c r="AU77" s="12"/>
      <c r="AV77" s="17"/>
      <c r="AW77" s="13"/>
      <c r="AX77" s="13"/>
      <c r="AY77" s="13"/>
      <c r="AZ77" s="14"/>
      <c r="BA77" s="9"/>
      <c r="BB77" s="16"/>
      <c r="BC77" s="10"/>
      <c r="BD77" s="10"/>
      <c r="BE77" s="10"/>
      <c r="BF77" s="11"/>
      <c r="BG77" s="12"/>
      <c r="BH77" s="17"/>
      <c r="BI77" s="13"/>
      <c r="BJ77" s="13"/>
      <c r="BK77" s="13"/>
      <c r="BL77" s="14"/>
      <c r="BM77" s="8">
        <f t="shared" si="18"/>
        <v>3</v>
      </c>
      <c r="BN77" s="8">
        <f t="shared" si="19"/>
        <v>1</v>
      </c>
      <c r="BO77" s="8">
        <f t="shared" si="20"/>
        <v>4</v>
      </c>
      <c r="BP77" s="8">
        <f t="shared" si="21"/>
        <v>1</v>
      </c>
      <c r="BQ77" s="8">
        <f t="shared" si="22"/>
        <v>4</v>
      </c>
      <c r="BR77" s="8">
        <f t="shared" si="23"/>
        <v>1</v>
      </c>
      <c r="BS77" s="15">
        <f t="shared" si="24"/>
        <v>2.8613479341037853</v>
      </c>
      <c r="BT77" s="15" t="str">
        <f t="shared" si="25"/>
        <v>OK - No Upgrade</v>
      </c>
      <c r="BU77" s="15" t="str">
        <f t="shared" si="26"/>
        <v>Need to Balance</v>
      </c>
    </row>
    <row r="78" spans="1:73" ht="15.75" customHeight="1" x14ac:dyDescent="0.25">
      <c r="A78" s="8" t="s">
        <v>1021</v>
      </c>
      <c r="B78" s="8" t="s">
        <v>1021</v>
      </c>
      <c r="C78" s="8" t="s">
        <v>40</v>
      </c>
      <c r="D78" s="8" t="s">
        <v>1203</v>
      </c>
      <c r="E78" s="8" t="s">
        <v>1070</v>
      </c>
      <c r="F78" s="8" t="s">
        <v>43</v>
      </c>
      <c r="G78" s="8"/>
      <c r="H78" s="8">
        <v>100</v>
      </c>
      <c r="I78" s="8" t="s">
        <v>1204</v>
      </c>
      <c r="J78" s="8">
        <v>1</v>
      </c>
      <c r="K78" s="8">
        <v>236</v>
      </c>
      <c r="L78" s="8">
        <v>239</v>
      </c>
      <c r="M78" s="8">
        <v>238</v>
      </c>
      <c r="N78" s="8">
        <v>411</v>
      </c>
      <c r="O78" s="8">
        <v>409</v>
      </c>
      <c r="P78" s="8">
        <v>413</v>
      </c>
      <c r="Q78" s="9" t="s">
        <v>46</v>
      </c>
      <c r="R78" s="16"/>
      <c r="S78" s="10">
        <v>16</v>
      </c>
      <c r="T78" s="10">
        <v>5</v>
      </c>
      <c r="U78" s="10">
        <v>4</v>
      </c>
      <c r="V78" s="11">
        <v>13</v>
      </c>
      <c r="W78" s="12"/>
      <c r="X78" s="17"/>
      <c r="Y78" s="13"/>
      <c r="Z78" s="13"/>
      <c r="AA78" s="13"/>
      <c r="AB78" s="14"/>
      <c r="AC78" s="9"/>
      <c r="AD78" s="16"/>
      <c r="AE78" s="10"/>
      <c r="AF78" s="10"/>
      <c r="AG78" s="10"/>
      <c r="AH78" s="11"/>
      <c r="AI78" s="12"/>
      <c r="AJ78" s="17"/>
      <c r="AK78" s="13"/>
      <c r="AL78" s="13"/>
      <c r="AM78" s="13"/>
      <c r="AN78" s="14"/>
      <c r="AO78" s="9"/>
      <c r="AP78" s="16"/>
      <c r="AQ78" s="10"/>
      <c r="AR78" s="10"/>
      <c r="AS78" s="10"/>
      <c r="AT78" s="11"/>
      <c r="AU78" s="12"/>
      <c r="AV78" s="17"/>
      <c r="AW78" s="13"/>
      <c r="AX78" s="13"/>
      <c r="AY78" s="13"/>
      <c r="AZ78" s="14"/>
      <c r="BA78" s="9"/>
      <c r="BB78" s="16"/>
      <c r="BC78" s="10"/>
      <c r="BD78" s="10"/>
      <c r="BE78" s="10"/>
      <c r="BF78" s="11"/>
      <c r="BG78" s="12"/>
      <c r="BH78" s="17"/>
      <c r="BI78" s="13"/>
      <c r="BJ78" s="13"/>
      <c r="BK78" s="13"/>
      <c r="BL78" s="14"/>
      <c r="BM78" s="8">
        <f t="shared" si="18"/>
        <v>16</v>
      </c>
      <c r="BN78" s="8">
        <f t="shared" si="19"/>
        <v>5</v>
      </c>
      <c r="BO78" s="8">
        <f t="shared" si="20"/>
        <v>4</v>
      </c>
      <c r="BP78" s="8">
        <f t="shared" si="21"/>
        <v>13</v>
      </c>
      <c r="BQ78" s="8">
        <f t="shared" si="22"/>
        <v>16</v>
      </c>
      <c r="BR78" s="8">
        <f t="shared" si="23"/>
        <v>4</v>
      </c>
      <c r="BS78" s="15">
        <f t="shared" si="24"/>
        <v>11.389966110572935</v>
      </c>
      <c r="BT78" s="15" t="str">
        <f t="shared" si="25"/>
        <v>OK - No Upgrade</v>
      </c>
      <c r="BU78" s="15" t="str">
        <f t="shared" si="26"/>
        <v>Need to Balance</v>
      </c>
    </row>
    <row r="79" spans="1:73" ht="15.75" customHeight="1" x14ac:dyDescent="0.25">
      <c r="A79" s="8" t="s">
        <v>1021</v>
      </c>
      <c r="B79" s="8" t="s">
        <v>1021</v>
      </c>
      <c r="C79" s="8" t="s">
        <v>40</v>
      </c>
      <c r="D79" s="8" t="s">
        <v>1205</v>
      </c>
      <c r="E79" s="8" t="s">
        <v>1074</v>
      </c>
      <c r="F79" s="8" t="s">
        <v>43</v>
      </c>
      <c r="G79" s="8"/>
      <c r="H79" s="8">
        <v>100</v>
      </c>
      <c r="I79" s="8" t="s">
        <v>1206</v>
      </c>
      <c r="J79" s="8">
        <v>1</v>
      </c>
      <c r="K79" s="8">
        <v>226</v>
      </c>
      <c r="L79" s="8">
        <v>228</v>
      </c>
      <c r="M79" s="8">
        <v>226</v>
      </c>
      <c r="N79" s="8">
        <v>401</v>
      </c>
      <c r="O79" s="8">
        <v>403</v>
      </c>
      <c r="P79" s="8">
        <v>402</v>
      </c>
      <c r="Q79" s="9" t="s">
        <v>46</v>
      </c>
      <c r="R79" s="16"/>
      <c r="S79" s="10">
        <v>1</v>
      </c>
      <c r="T79" s="10">
        <v>1</v>
      </c>
      <c r="U79" s="10">
        <v>1</v>
      </c>
      <c r="V79" s="11">
        <v>1</v>
      </c>
      <c r="W79" s="12"/>
      <c r="X79" s="17"/>
      <c r="Y79" s="13"/>
      <c r="Z79" s="13"/>
      <c r="AA79" s="13"/>
      <c r="AB79" s="14"/>
      <c r="AC79" s="9"/>
      <c r="AD79" s="16"/>
      <c r="AE79" s="10"/>
      <c r="AF79" s="10"/>
      <c r="AG79" s="10"/>
      <c r="AH79" s="11"/>
      <c r="AI79" s="12"/>
      <c r="AJ79" s="17"/>
      <c r="AK79" s="13"/>
      <c r="AL79" s="13"/>
      <c r="AM79" s="13"/>
      <c r="AN79" s="14"/>
      <c r="AO79" s="9"/>
      <c r="AP79" s="16"/>
      <c r="AQ79" s="10"/>
      <c r="AR79" s="10"/>
      <c r="AS79" s="10"/>
      <c r="AT79" s="11"/>
      <c r="AU79" s="12"/>
      <c r="AV79" s="17"/>
      <c r="AW79" s="13"/>
      <c r="AX79" s="13"/>
      <c r="AY79" s="13"/>
      <c r="AZ79" s="14"/>
      <c r="BA79" s="9"/>
      <c r="BB79" s="16"/>
      <c r="BC79" s="10"/>
      <c r="BD79" s="10"/>
      <c r="BE79" s="10"/>
      <c r="BF79" s="11"/>
      <c r="BG79" s="12"/>
      <c r="BH79" s="17"/>
      <c r="BI79" s="13"/>
      <c r="BJ79" s="13"/>
      <c r="BK79" s="13"/>
      <c r="BL79" s="14"/>
      <c r="BM79" s="8">
        <f t="shared" si="18"/>
        <v>1</v>
      </c>
      <c r="BN79" s="8">
        <f t="shared" si="19"/>
        <v>1</v>
      </c>
      <c r="BO79" s="8">
        <f t="shared" si="20"/>
        <v>1</v>
      </c>
      <c r="BP79" s="8">
        <f t="shared" si="21"/>
        <v>1</v>
      </c>
      <c r="BQ79" s="8">
        <f t="shared" si="22"/>
        <v>1</v>
      </c>
      <c r="BR79" s="8">
        <f t="shared" si="23"/>
        <v>1</v>
      </c>
      <c r="BS79" s="15">
        <f t="shared" si="24"/>
        <v>0.6945523738351197</v>
      </c>
      <c r="BT79" s="15" t="str">
        <f t="shared" si="25"/>
        <v>OK - No Upgrade</v>
      </c>
      <c r="BU79" s="15" t="str">
        <f t="shared" si="26"/>
        <v>OK - Balanced</v>
      </c>
    </row>
    <row r="80" spans="1:73" ht="15.75" customHeight="1" x14ac:dyDescent="0.25">
      <c r="A80" s="8" t="s">
        <v>1021</v>
      </c>
      <c r="B80" s="8" t="s">
        <v>1021</v>
      </c>
      <c r="C80" s="8" t="s">
        <v>40</v>
      </c>
      <c r="D80" s="8" t="s">
        <v>1207</v>
      </c>
      <c r="E80" s="8" t="s">
        <v>1208</v>
      </c>
      <c r="F80" s="8" t="s">
        <v>43</v>
      </c>
      <c r="G80" s="8"/>
      <c r="H80" s="8">
        <v>100</v>
      </c>
      <c r="I80" s="8" t="s">
        <v>1209</v>
      </c>
      <c r="J80" s="8">
        <v>1</v>
      </c>
      <c r="K80" s="8">
        <v>226</v>
      </c>
      <c r="L80" s="8">
        <v>228</v>
      </c>
      <c r="M80" s="8">
        <v>226</v>
      </c>
      <c r="N80" s="8">
        <v>404</v>
      </c>
      <c r="O80" s="8">
        <v>403</v>
      </c>
      <c r="P80" s="8">
        <v>404</v>
      </c>
      <c r="Q80" s="9" t="s">
        <v>46</v>
      </c>
      <c r="R80" s="16"/>
      <c r="S80" s="10">
        <v>3</v>
      </c>
      <c r="T80" s="10">
        <v>2</v>
      </c>
      <c r="U80" s="10">
        <v>1</v>
      </c>
      <c r="V80" s="11">
        <v>1</v>
      </c>
      <c r="W80" s="12"/>
      <c r="X80" s="17"/>
      <c r="Y80" s="13"/>
      <c r="Z80" s="13"/>
      <c r="AA80" s="13"/>
      <c r="AB80" s="14"/>
      <c r="AC80" s="9"/>
      <c r="AD80" s="16"/>
      <c r="AE80" s="10"/>
      <c r="AF80" s="10"/>
      <c r="AG80" s="10"/>
      <c r="AH80" s="11"/>
      <c r="AI80" s="12"/>
      <c r="AJ80" s="17"/>
      <c r="AK80" s="13"/>
      <c r="AL80" s="13"/>
      <c r="AM80" s="13"/>
      <c r="AN80" s="14"/>
      <c r="AO80" s="9"/>
      <c r="AP80" s="16"/>
      <c r="AQ80" s="10"/>
      <c r="AR80" s="10"/>
      <c r="AS80" s="10"/>
      <c r="AT80" s="11"/>
      <c r="AU80" s="12"/>
      <c r="AV80" s="17"/>
      <c r="AW80" s="13"/>
      <c r="AX80" s="13"/>
      <c r="AY80" s="13"/>
      <c r="AZ80" s="14"/>
      <c r="BA80" s="9"/>
      <c r="BB80" s="16"/>
      <c r="BC80" s="10"/>
      <c r="BD80" s="10"/>
      <c r="BE80" s="10"/>
      <c r="BF80" s="11"/>
      <c r="BG80" s="12"/>
      <c r="BH80" s="17"/>
      <c r="BI80" s="13"/>
      <c r="BJ80" s="13"/>
      <c r="BK80" s="13"/>
      <c r="BL80" s="14"/>
      <c r="BM80" s="8">
        <f t="shared" si="18"/>
        <v>3</v>
      </c>
      <c r="BN80" s="8">
        <f t="shared" si="19"/>
        <v>2</v>
      </c>
      <c r="BO80" s="8">
        <f t="shared" si="20"/>
        <v>1</v>
      </c>
      <c r="BP80" s="8">
        <f t="shared" si="21"/>
        <v>1</v>
      </c>
      <c r="BQ80" s="8">
        <f t="shared" si="22"/>
        <v>3</v>
      </c>
      <c r="BR80" s="8">
        <f t="shared" si="23"/>
        <v>1</v>
      </c>
      <c r="BS80" s="15">
        <f t="shared" si="24"/>
        <v>2.0992455787734796</v>
      </c>
      <c r="BT80" s="15" t="str">
        <f t="shared" si="25"/>
        <v>OK - No Upgrade</v>
      </c>
      <c r="BU80" s="15" t="str">
        <f t="shared" si="26"/>
        <v>Need to Balance</v>
      </c>
    </row>
    <row r="81" spans="1:73" ht="15.75" customHeight="1" x14ac:dyDescent="0.25">
      <c r="A81" s="8" t="s">
        <v>1021</v>
      </c>
      <c r="B81" s="8" t="s">
        <v>1021</v>
      </c>
      <c r="C81" s="8" t="s">
        <v>40</v>
      </c>
      <c r="D81" s="8" t="s">
        <v>1210</v>
      </c>
      <c r="E81" s="8" t="s">
        <v>1028</v>
      </c>
      <c r="F81" s="8" t="s">
        <v>43</v>
      </c>
      <c r="G81" s="8"/>
      <c r="H81" s="8">
        <v>100</v>
      </c>
      <c r="I81" s="8" t="s">
        <v>1211</v>
      </c>
      <c r="J81" s="8">
        <v>1</v>
      </c>
      <c r="K81" s="8">
        <v>238</v>
      </c>
      <c r="L81" s="8">
        <v>240</v>
      </c>
      <c r="M81" s="8">
        <v>239</v>
      </c>
      <c r="N81" s="8">
        <v>413</v>
      </c>
      <c r="O81" s="8">
        <v>410</v>
      </c>
      <c r="P81" s="8">
        <v>412</v>
      </c>
      <c r="Q81" s="9" t="s">
        <v>46</v>
      </c>
      <c r="R81" s="16"/>
      <c r="S81" s="10">
        <v>2</v>
      </c>
      <c r="T81" s="10">
        <v>1</v>
      </c>
      <c r="U81" s="10">
        <v>1</v>
      </c>
      <c r="V81" s="11">
        <v>0</v>
      </c>
      <c r="W81" s="12"/>
      <c r="X81" s="17"/>
      <c r="Y81" s="13"/>
      <c r="Z81" s="13"/>
      <c r="AA81" s="13"/>
      <c r="AB81" s="14"/>
      <c r="AC81" s="9"/>
      <c r="AD81" s="16"/>
      <c r="AE81" s="10"/>
      <c r="AF81" s="10"/>
      <c r="AG81" s="10"/>
      <c r="AH81" s="11"/>
      <c r="AI81" s="12"/>
      <c r="AJ81" s="17"/>
      <c r="AK81" s="13"/>
      <c r="AL81" s="13"/>
      <c r="AM81" s="13"/>
      <c r="AN81" s="14"/>
      <c r="AO81" s="9"/>
      <c r="AP81" s="16"/>
      <c r="AQ81" s="10"/>
      <c r="AR81" s="10"/>
      <c r="AS81" s="10"/>
      <c r="AT81" s="11"/>
      <c r="AU81" s="12"/>
      <c r="AV81" s="17"/>
      <c r="AW81" s="13"/>
      <c r="AX81" s="13"/>
      <c r="AY81" s="13"/>
      <c r="AZ81" s="14"/>
      <c r="BA81" s="9"/>
      <c r="BB81" s="16"/>
      <c r="BC81" s="10"/>
      <c r="BD81" s="10"/>
      <c r="BE81" s="10"/>
      <c r="BF81" s="11"/>
      <c r="BG81" s="12"/>
      <c r="BH81" s="17"/>
      <c r="BI81" s="13"/>
      <c r="BJ81" s="13"/>
      <c r="BK81" s="13"/>
      <c r="BL81" s="14"/>
      <c r="BM81" s="8">
        <f t="shared" si="18"/>
        <v>2</v>
      </c>
      <c r="BN81" s="8">
        <f t="shared" si="19"/>
        <v>1</v>
      </c>
      <c r="BO81" s="8">
        <f t="shared" si="20"/>
        <v>1</v>
      </c>
      <c r="BP81" s="8">
        <f t="shared" si="21"/>
        <v>0</v>
      </c>
      <c r="BQ81" s="8">
        <f t="shared" si="22"/>
        <v>2</v>
      </c>
      <c r="BR81" s="8">
        <f t="shared" si="23"/>
        <v>1</v>
      </c>
      <c r="BS81" s="15">
        <f t="shared" si="24"/>
        <v>1.4306739670518926</v>
      </c>
      <c r="BT81" s="15" t="str">
        <f t="shared" si="25"/>
        <v>OK - No Upgrade</v>
      </c>
      <c r="BU81" s="15" t="str">
        <f t="shared" si="26"/>
        <v>Need to Balance</v>
      </c>
    </row>
    <row r="82" spans="1:73" ht="15.75" customHeight="1" x14ac:dyDescent="0.25">
      <c r="A82" s="8" t="s">
        <v>1021</v>
      </c>
      <c r="B82" s="8" t="s">
        <v>1021</v>
      </c>
      <c r="C82" s="8" t="s">
        <v>40</v>
      </c>
      <c r="D82" s="8" t="s">
        <v>1212</v>
      </c>
      <c r="E82" s="8" t="s">
        <v>1172</v>
      </c>
      <c r="F82" s="8" t="s">
        <v>43</v>
      </c>
      <c r="G82" s="8"/>
      <c r="H82" s="8">
        <v>100</v>
      </c>
      <c r="I82" s="8" t="s">
        <v>1213</v>
      </c>
      <c r="J82" s="8">
        <v>1</v>
      </c>
      <c r="K82" s="8">
        <v>226</v>
      </c>
      <c r="L82" s="8">
        <v>227</v>
      </c>
      <c r="M82" s="8">
        <v>225</v>
      </c>
      <c r="N82" s="8">
        <v>402</v>
      </c>
      <c r="O82" s="8">
        <v>401</v>
      </c>
      <c r="P82" s="8">
        <v>402</v>
      </c>
      <c r="Q82" s="9" t="s">
        <v>46</v>
      </c>
      <c r="R82" s="16"/>
      <c r="S82" s="10">
        <v>2</v>
      </c>
      <c r="T82" s="10">
        <v>1</v>
      </c>
      <c r="U82" s="10">
        <v>1</v>
      </c>
      <c r="V82" s="11">
        <v>13</v>
      </c>
      <c r="W82" s="12"/>
      <c r="X82" s="17"/>
      <c r="Y82" s="13"/>
      <c r="Z82" s="13"/>
      <c r="AA82" s="13"/>
      <c r="AB82" s="14"/>
      <c r="AC82" s="9"/>
      <c r="AD82" s="16"/>
      <c r="AE82" s="10"/>
      <c r="AF82" s="10"/>
      <c r="AG82" s="10"/>
      <c r="AH82" s="11"/>
      <c r="AI82" s="12"/>
      <c r="AJ82" s="17"/>
      <c r="AK82" s="13"/>
      <c r="AL82" s="13"/>
      <c r="AM82" s="13"/>
      <c r="AN82" s="14"/>
      <c r="AO82" s="9"/>
      <c r="AP82" s="16"/>
      <c r="AQ82" s="10"/>
      <c r="AR82" s="10"/>
      <c r="AS82" s="10"/>
      <c r="AT82" s="11"/>
      <c r="AU82" s="12"/>
      <c r="AV82" s="17"/>
      <c r="AW82" s="13"/>
      <c r="AX82" s="13"/>
      <c r="AY82" s="13"/>
      <c r="AZ82" s="14"/>
      <c r="BA82" s="9"/>
      <c r="BB82" s="16"/>
      <c r="BC82" s="10"/>
      <c r="BD82" s="10"/>
      <c r="BE82" s="10"/>
      <c r="BF82" s="11"/>
      <c r="BG82" s="12"/>
      <c r="BH82" s="17"/>
      <c r="BI82" s="13"/>
      <c r="BJ82" s="13"/>
      <c r="BK82" s="13"/>
      <c r="BL82" s="14"/>
      <c r="BM82" s="8">
        <f t="shared" si="18"/>
        <v>2</v>
      </c>
      <c r="BN82" s="8">
        <f t="shared" si="19"/>
        <v>1</v>
      </c>
      <c r="BO82" s="8">
        <f t="shared" si="20"/>
        <v>1</v>
      </c>
      <c r="BP82" s="8">
        <f t="shared" si="21"/>
        <v>13</v>
      </c>
      <c r="BQ82" s="8">
        <f t="shared" si="22"/>
        <v>2</v>
      </c>
      <c r="BR82" s="8">
        <f t="shared" si="23"/>
        <v>1</v>
      </c>
      <c r="BS82" s="15">
        <f t="shared" si="24"/>
        <v>1.3925688492853772</v>
      </c>
      <c r="BT82" s="15" t="str">
        <f t="shared" si="25"/>
        <v>OK - No Upgrade</v>
      </c>
      <c r="BU82" s="15" t="str">
        <f t="shared" si="26"/>
        <v>Need to Balance</v>
      </c>
    </row>
    <row r="83" spans="1:73" ht="15.75" customHeight="1" x14ac:dyDescent="0.25">
      <c r="A83" s="8" t="s">
        <v>1021</v>
      </c>
      <c r="B83" s="8" t="s">
        <v>1021</v>
      </c>
      <c r="C83" s="8" t="s">
        <v>40</v>
      </c>
      <c r="D83" s="8" t="s">
        <v>1214</v>
      </c>
      <c r="E83" s="8" t="s">
        <v>1215</v>
      </c>
      <c r="F83" s="8" t="s">
        <v>43</v>
      </c>
      <c r="G83" s="8"/>
      <c r="H83" s="8">
        <v>100</v>
      </c>
      <c r="I83" s="8" t="s">
        <v>1216</v>
      </c>
      <c r="J83" s="8">
        <v>1</v>
      </c>
      <c r="K83" s="8">
        <v>226</v>
      </c>
      <c r="L83" s="8">
        <v>228</v>
      </c>
      <c r="M83" s="8">
        <v>225</v>
      </c>
      <c r="N83" s="8">
        <v>402</v>
      </c>
      <c r="O83" s="8">
        <v>403</v>
      </c>
      <c r="P83" s="8">
        <v>402</v>
      </c>
      <c r="Q83" s="9" t="s">
        <v>46</v>
      </c>
      <c r="R83" s="16"/>
      <c r="S83" s="10">
        <v>1</v>
      </c>
      <c r="T83" s="10">
        <v>1</v>
      </c>
      <c r="U83" s="10">
        <v>10</v>
      </c>
      <c r="V83" s="11">
        <v>5</v>
      </c>
      <c r="W83" s="12"/>
      <c r="X83" s="17"/>
      <c r="Y83" s="13"/>
      <c r="Z83" s="13"/>
      <c r="AA83" s="13"/>
      <c r="AB83" s="14"/>
      <c r="AC83" s="9"/>
      <c r="AD83" s="16"/>
      <c r="AE83" s="10"/>
      <c r="AF83" s="10"/>
      <c r="AG83" s="10"/>
      <c r="AH83" s="11"/>
      <c r="AI83" s="12"/>
      <c r="AJ83" s="17"/>
      <c r="AK83" s="13"/>
      <c r="AL83" s="13"/>
      <c r="AM83" s="13"/>
      <c r="AN83" s="14"/>
      <c r="AO83" s="9"/>
      <c r="AP83" s="16"/>
      <c r="AQ83" s="10"/>
      <c r="AR83" s="10"/>
      <c r="AS83" s="10"/>
      <c r="AT83" s="11"/>
      <c r="AU83" s="12"/>
      <c r="AV83" s="17"/>
      <c r="AW83" s="13"/>
      <c r="AX83" s="13"/>
      <c r="AY83" s="13"/>
      <c r="AZ83" s="14"/>
      <c r="BA83" s="9"/>
      <c r="BB83" s="16"/>
      <c r="BC83" s="10"/>
      <c r="BD83" s="10"/>
      <c r="BE83" s="10"/>
      <c r="BF83" s="11"/>
      <c r="BG83" s="12"/>
      <c r="BH83" s="17"/>
      <c r="BI83" s="13"/>
      <c r="BJ83" s="13"/>
      <c r="BK83" s="13"/>
      <c r="BL83" s="14"/>
      <c r="BM83" s="8">
        <f t="shared" si="18"/>
        <v>1</v>
      </c>
      <c r="BN83" s="8">
        <f t="shared" si="19"/>
        <v>1</v>
      </c>
      <c r="BO83" s="8">
        <f t="shared" si="20"/>
        <v>10</v>
      </c>
      <c r="BP83" s="8">
        <f t="shared" si="21"/>
        <v>5</v>
      </c>
      <c r="BQ83" s="8">
        <f t="shared" si="22"/>
        <v>10</v>
      </c>
      <c r="BR83" s="8">
        <f t="shared" si="23"/>
        <v>1</v>
      </c>
      <c r="BS83" s="15">
        <f t="shared" si="24"/>
        <v>6.9628442464268856</v>
      </c>
      <c r="BT83" s="15" t="str">
        <f t="shared" si="25"/>
        <v>OK - No Upgrade</v>
      </c>
      <c r="BU83" s="15" t="str">
        <f t="shared" si="26"/>
        <v>Need to Balance</v>
      </c>
    </row>
    <row r="84" spans="1:73" ht="15.75" customHeight="1" x14ac:dyDescent="0.25">
      <c r="A84" s="8" t="s">
        <v>1021</v>
      </c>
      <c r="B84" s="8" t="s">
        <v>1021</v>
      </c>
      <c r="C84" s="8" t="s">
        <v>40</v>
      </c>
      <c r="D84" s="8" t="s">
        <v>1217</v>
      </c>
      <c r="E84" s="8" t="s">
        <v>1156</v>
      </c>
      <c r="F84" s="8" t="s">
        <v>43</v>
      </c>
      <c r="G84" s="8"/>
      <c r="H84" s="8">
        <v>100</v>
      </c>
      <c r="I84" s="8" t="s">
        <v>1218</v>
      </c>
      <c r="J84" s="8">
        <v>1</v>
      </c>
      <c r="K84" s="8">
        <v>226</v>
      </c>
      <c r="L84" s="8">
        <v>221</v>
      </c>
      <c r="M84" s="8">
        <v>225</v>
      </c>
      <c r="N84" s="8">
        <v>401</v>
      </c>
      <c r="O84" s="8">
        <v>402</v>
      </c>
      <c r="P84" s="8">
        <v>401</v>
      </c>
      <c r="Q84" s="9" t="s">
        <v>46</v>
      </c>
      <c r="R84" s="16"/>
      <c r="S84" s="10">
        <v>2</v>
      </c>
      <c r="T84" s="10">
        <v>1</v>
      </c>
      <c r="U84" s="10">
        <v>1</v>
      </c>
      <c r="V84" s="11">
        <v>0</v>
      </c>
      <c r="W84" s="12"/>
      <c r="X84" s="17"/>
      <c r="Y84" s="13">
        <v>1</v>
      </c>
      <c r="Z84" s="13">
        <v>1</v>
      </c>
      <c r="AA84" s="13">
        <v>17</v>
      </c>
      <c r="AB84" s="14">
        <v>14</v>
      </c>
      <c r="AC84" s="9"/>
      <c r="AD84" s="16"/>
      <c r="AE84" s="10"/>
      <c r="AF84" s="10"/>
      <c r="AG84" s="10"/>
      <c r="AH84" s="11"/>
      <c r="AI84" s="12"/>
      <c r="AJ84" s="17"/>
      <c r="AK84" s="13"/>
      <c r="AL84" s="13"/>
      <c r="AM84" s="13"/>
      <c r="AN84" s="14"/>
      <c r="AO84" s="9"/>
      <c r="AP84" s="16"/>
      <c r="AQ84" s="10"/>
      <c r="AR84" s="10"/>
      <c r="AS84" s="10"/>
      <c r="AT84" s="11"/>
      <c r="AU84" s="12"/>
      <c r="AV84" s="17"/>
      <c r="AW84" s="13"/>
      <c r="AX84" s="13"/>
      <c r="AY84" s="13"/>
      <c r="AZ84" s="14"/>
      <c r="BA84" s="9"/>
      <c r="BB84" s="16"/>
      <c r="BC84" s="10"/>
      <c r="BD84" s="10"/>
      <c r="BE84" s="10"/>
      <c r="BF84" s="11"/>
      <c r="BG84" s="12"/>
      <c r="BH84" s="17"/>
      <c r="BI84" s="13"/>
      <c r="BJ84" s="13"/>
      <c r="BK84" s="13"/>
      <c r="BL84" s="14"/>
      <c r="BM84" s="8">
        <f t="shared" si="18"/>
        <v>3</v>
      </c>
      <c r="BN84" s="8">
        <f t="shared" si="19"/>
        <v>2</v>
      </c>
      <c r="BO84" s="8">
        <f t="shared" si="20"/>
        <v>18</v>
      </c>
      <c r="BP84" s="8">
        <f t="shared" si="21"/>
        <v>14</v>
      </c>
      <c r="BQ84" s="8">
        <f t="shared" si="22"/>
        <v>18</v>
      </c>
      <c r="BR84" s="8">
        <f t="shared" si="23"/>
        <v>2</v>
      </c>
      <c r="BS84" s="15">
        <f t="shared" si="24"/>
        <v>12.501942729032153</v>
      </c>
      <c r="BT84" s="15" t="str">
        <f t="shared" si="25"/>
        <v>OK - No Upgrade</v>
      </c>
      <c r="BU84" s="15" t="str">
        <f t="shared" si="26"/>
        <v>Need to Balance</v>
      </c>
    </row>
    <row r="85" spans="1:73" ht="15.75" customHeight="1" x14ac:dyDescent="0.25">
      <c r="A85" s="8" t="s">
        <v>1021</v>
      </c>
      <c r="B85" s="8" t="s">
        <v>1021</v>
      </c>
      <c r="C85" s="8" t="s">
        <v>40</v>
      </c>
      <c r="D85" s="8" t="s">
        <v>1219</v>
      </c>
      <c r="E85" s="8" t="s">
        <v>1031</v>
      </c>
      <c r="F85" s="8" t="s">
        <v>43</v>
      </c>
      <c r="G85" s="8"/>
      <c r="H85" s="8">
        <v>100</v>
      </c>
      <c r="I85" s="8" t="s">
        <v>1220</v>
      </c>
      <c r="J85" s="8">
        <v>1</v>
      </c>
      <c r="K85" s="8">
        <v>231</v>
      </c>
      <c r="L85" s="8">
        <v>234</v>
      </c>
      <c r="M85" s="8">
        <v>232</v>
      </c>
      <c r="N85" s="8">
        <v>402</v>
      </c>
      <c r="O85" s="8">
        <v>401</v>
      </c>
      <c r="P85" s="8">
        <v>402</v>
      </c>
      <c r="Q85" s="9" t="s">
        <v>46</v>
      </c>
      <c r="R85" s="16"/>
      <c r="S85" s="10">
        <v>30</v>
      </c>
      <c r="T85" s="10">
        <v>12</v>
      </c>
      <c r="U85" s="10">
        <v>4</v>
      </c>
      <c r="V85" s="11">
        <v>26</v>
      </c>
      <c r="W85" s="12"/>
      <c r="X85" s="17"/>
      <c r="Y85" s="13"/>
      <c r="Z85" s="13"/>
      <c r="AA85" s="13"/>
      <c r="AB85" s="14"/>
      <c r="AC85" s="9"/>
      <c r="AD85" s="16"/>
      <c r="AE85" s="10"/>
      <c r="AF85" s="10"/>
      <c r="AG85" s="10"/>
      <c r="AH85" s="11"/>
      <c r="AI85" s="12"/>
      <c r="AJ85" s="17"/>
      <c r="AK85" s="13"/>
      <c r="AL85" s="13"/>
      <c r="AM85" s="13"/>
      <c r="AN85" s="14"/>
      <c r="AO85" s="9"/>
      <c r="AP85" s="16"/>
      <c r="AQ85" s="10"/>
      <c r="AR85" s="10"/>
      <c r="AS85" s="10"/>
      <c r="AT85" s="11"/>
      <c r="AU85" s="12"/>
      <c r="AV85" s="17"/>
      <c r="AW85" s="13"/>
      <c r="AX85" s="13"/>
      <c r="AY85" s="13"/>
      <c r="AZ85" s="14"/>
      <c r="BA85" s="9"/>
      <c r="BB85" s="16"/>
      <c r="BC85" s="10"/>
      <c r="BD85" s="10"/>
      <c r="BE85" s="10"/>
      <c r="BF85" s="11"/>
      <c r="BG85" s="12"/>
      <c r="BH85" s="17"/>
      <c r="BI85" s="13"/>
      <c r="BJ85" s="13"/>
      <c r="BK85" s="13"/>
      <c r="BL85" s="14"/>
      <c r="BM85" s="8">
        <f t="shared" si="18"/>
        <v>30</v>
      </c>
      <c r="BN85" s="8">
        <f t="shared" si="19"/>
        <v>12</v>
      </c>
      <c r="BO85" s="8">
        <f t="shared" si="20"/>
        <v>4</v>
      </c>
      <c r="BP85" s="8">
        <f t="shared" si="21"/>
        <v>26</v>
      </c>
      <c r="BQ85" s="8">
        <f t="shared" si="22"/>
        <v>30</v>
      </c>
      <c r="BR85" s="8">
        <f t="shared" si="23"/>
        <v>4</v>
      </c>
      <c r="BS85" s="15">
        <f t="shared" si="24"/>
        <v>20.888532739280656</v>
      </c>
      <c r="BT85" s="15" t="str">
        <f t="shared" si="25"/>
        <v>OK - No Upgrade</v>
      </c>
      <c r="BU85" s="15" t="str">
        <f t="shared" si="26"/>
        <v>Need to Balance</v>
      </c>
    </row>
    <row r="86" spans="1:73" ht="15.75" customHeight="1" x14ac:dyDescent="0.25">
      <c r="A86" s="8" t="s">
        <v>1021</v>
      </c>
      <c r="B86" s="8" t="s">
        <v>1021</v>
      </c>
      <c r="C86" s="8" t="s">
        <v>40</v>
      </c>
      <c r="D86" s="8" t="s">
        <v>1221</v>
      </c>
      <c r="E86" s="8" t="s">
        <v>763</v>
      </c>
      <c r="F86" s="8" t="s">
        <v>43</v>
      </c>
      <c r="G86" s="8"/>
      <c r="H86" s="8">
        <v>100</v>
      </c>
      <c r="I86" s="8" t="s">
        <v>1222</v>
      </c>
      <c r="J86" s="8">
        <v>1</v>
      </c>
      <c r="K86" s="8">
        <v>227</v>
      </c>
      <c r="L86" s="8">
        <v>228</v>
      </c>
      <c r="M86" s="8">
        <v>226</v>
      </c>
      <c r="N86" s="8">
        <v>401</v>
      </c>
      <c r="O86" s="8">
        <v>402</v>
      </c>
      <c r="P86" s="8">
        <v>401</v>
      </c>
      <c r="Q86" s="9" t="s">
        <v>46</v>
      </c>
      <c r="R86" s="16"/>
      <c r="S86" s="10">
        <v>2</v>
      </c>
      <c r="T86" s="10">
        <v>2</v>
      </c>
      <c r="U86" s="10">
        <v>3</v>
      </c>
      <c r="V86" s="11">
        <v>0</v>
      </c>
      <c r="W86" s="12"/>
      <c r="X86" s="17"/>
      <c r="Y86" s="13"/>
      <c r="Z86" s="13"/>
      <c r="AA86" s="13"/>
      <c r="AB86" s="14"/>
      <c r="AC86" s="9"/>
      <c r="AD86" s="16"/>
      <c r="AE86" s="10"/>
      <c r="AF86" s="10"/>
      <c r="AG86" s="10"/>
      <c r="AH86" s="11"/>
      <c r="AI86" s="12"/>
      <c r="AJ86" s="17"/>
      <c r="AK86" s="13"/>
      <c r="AL86" s="13"/>
      <c r="AM86" s="13"/>
      <c r="AN86" s="14"/>
      <c r="AO86" s="9"/>
      <c r="AP86" s="16"/>
      <c r="AQ86" s="10"/>
      <c r="AR86" s="10"/>
      <c r="AS86" s="10"/>
      <c r="AT86" s="11"/>
      <c r="AU86" s="12"/>
      <c r="AV86" s="17"/>
      <c r="AW86" s="13"/>
      <c r="AX86" s="13"/>
      <c r="AY86" s="13"/>
      <c r="AZ86" s="14"/>
      <c r="BA86" s="9"/>
      <c r="BB86" s="16"/>
      <c r="BC86" s="10"/>
      <c r="BD86" s="10"/>
      <c r="BE86" s="10"/>
      <c r="BF86" s="11"/>
      <c r="BG86" s="12"/>
      <c r="BH86" s="17"/>
      <c r="BI86" s="13"/>
      <c r="BJ86" s="13"/>
      <c r="BK86" s="13"/>
      <c r="BL86" s="14"/>
      <c r="BM86" s="8">
        <f t="shared" si="18"/>
        <v>2</v>
      </c>
      <c r="BN86" s="8">
        <f t="shared" si="19"/>
        <v>2</v>
      </c>
      <c r="BO86" s="8">
        <f t="shared" si="20"/>
        <v>3</v>
      </c>
      <c r="BP86" s="8">
        <f t="shared" si="21"/>
        <v>0</v>
      </c>
      <c r="BQ86" s="8">
        <f t="shared" si="22"/>
        <v>3</v>
      </c>
      <c r="BR86" s="8">
        <f t="shared" si="23"/>
        <v>2</v>
      </c>
      <c r="BS86" s="15">
        <f t="shared" si="24"/>
        <v>2.0836571215053596</v>
      </c>
      <c r="BT86" s="15" t="str">
        <f t="shared" si="25"/>
        <v>OK - No Upgrade</v>
      </c>
      <c r="BU86" s="15" t="str">
        <f t="shared" si="26"/>
        <v>Need to Balance</v>
      </c>
    </row>
    <row r="87" spans="1:73" ht="15.75" customHeight="1" x14ac:dyDescent="0.25">
      <c r="A87" s="8" t="s">
        <v>1021</v>
      </c>
      <c r="B87" s="8" t="s">
        <v>1021</v>
      </c>
      <c r="C87" s="8" t="s">
        <v>40</v>
      </c>
      <c r="D87" s="8"/>
      <c r="E87" s="8" t="s">
        <v>766</v>
      </c>
      <c r="F87" s="8" t="s">
        <v>43</v>
      </c>
      <c r="G87" s="8"/>
      <c r="H87" s="8">
        <v>100</v>
      </c>
      <c r="I87" s="8" t="s">
        <v>1223</v>
      </c>
      <c r="J87" s="8">
        <v>1</v>
      </c>
      <c r="K87" s="8">
        <v>227</v>
      </c>
      <c r="L87" s="8">
        <v>228</v>
      </c>
      <c r="M87" s="8">
        <v>226</v>
      </c>
      <c r="N87" s="8">
        <v>402</v>
      </c>
      <c r="O87" s="8">
        <v>401</v>
      </c>
      <c r="P87" s="8">
        <v>402</v>
      </c>
      <c r="Q87" s="9" t="s">
        <v>46</v>
      </c>
      <c r="R87" s="16"/>
      <c r="S87" s="10">
        <v>2</v>
      </c>
      <c r="T87" s="10">
        <v>1</v>
      </c>
      <c r="U87" s="10">
        <v>1</v>
      </c>
      <c r="V87" s="11">
        <v>0</v>
      </c>
      <c r="W87" s="12"/>
      <c r="X87" s="17"/>
      <c r="Y87" s="13"/>
      <c r="Z87" s="13"/>
      <c r="AA87" s="13"/>
      <c r="AB87" s="14"/>
      <c r="AC87" s="9"/>
      <c r="AD87" s="16"/>
      <c r="AE87" s="10"/>
      <c r="AF87" s="10"/>
      <c r="AG87" s="10"/>
      <c r="AH87" s="11"/>
      <c r="AI87" s="12"/>
      <c r="AJ87" s="17"/>
      <c r="AK87" s="13"/>
      <c r="AL87" s="13"/>
      <c r="AM87" s="13"/>
      <c r="AN87" s="14"/>
      <c r="AO87" s="9"/>
      <c r="AP87" s="16"/>
      <c r="AQ87" s="10"/>
      <c r="AR87" s="10"/>
      <c r="AS87" s="10"/>
      <c r="AT87" s="11"/>
      <c r="AU87" s="12"/>
      <c r="AV87" s="17"/>
      <c r="AW87" s="13"/>
      <c r="AX87" s="13"/>
      <c r="AY87" s="13"/>
      <c r="AZ87" s="14"/>
      <c r="BA87" s="9"/>
      <c r="BB87" s="16"/>
      <c r="BC87" s="10"/>
      <c r="BD87" s="10"/>
      <c r="BE87" s="10"/>
      <c r="BF87" s="11"/>
      <c r="BG87" s="12"/>
      <c r="BH87" s="17"/>
      <c r="BI87" s="13"/>
      <c r="BJ87" s="13"/>
      <c r="BK87" s="13"/>
      <c r="BL87" s="14"/>
      <c r="BM87" s="8">
        <f t="shared" si="18"/>
        <v>2</v>
      </c>
      <c r="BN87" s="8">
        <f t="shared" si="19"/>
        <v>1</v>
      </c>
      <c r="BO87" s="8">
        <f t="shared" si="20"/>
        <v>1</v>
      </c>
      <c r="BP87" s="8">
        <f t="shared" si="21"/>
        <v>0</v>
      </c>
      <c r="BQ87" s="8">
        <f t="shared" si="22"/>
        <v>2</v>
      </c>
      <c r="BR87" s="8">
        <f t="shared" si="23"/>
        <v>1</v>
      </c>
      <c r="BS87" s="15">
        <f t="shared" si="24"/>
        <v>1.3925688492853772</v>
      </c>
      <c r="BT87" s="15" t="str">
        <f t="shared" si="25"/>
        <v>OK - No Upgrade</v>
      </c>
      <c r="BU87" s="15" t="str">
        <f t="shared" si="26"/>
        <v>Need to Balance</v>
      </c>
    </row>
    <row r="88" spans="1:73" ht="15.75" customHeight="1" x14ac:dyDescent="0.25">
      <c r="A88" s="8" t="s">
        <v>1021</v>
      </c>
      <c r="B88" s="8" t="s">
        <v>1021</v>
      </c>
      <c r="C88" s="8" t="s">
        <v>40</v>
      </c>
      <c r="D88" s="8"/>
      <c r="E88" s="8" t="s">
        <v>1162</v>
      </c>
      <c r="F88" s="8" t="s">
        <v>43</v>
      </c>
      <c r="G88" s="8"/>
      <c r="H88" s="8">
        <v>100</v>
      </c>
      <c r="I88" s="8" t="s">
        <v>1224</v>
      </c>
      <c r="J88" s="8">
        <v>1</v>
      </c>
      <c r="K88" s="8">
        <v>227</v>
      </c>
      <c r="L88" s="8">
        <v>228</v>
      </c>
      <c r="M88" s="8">
        <v>227</v>
      </c>
      <c r="N88" s="8">
        <v>404</v>
      </c>
      <c r="O88" s="8">
        <v>402</v>
      </c>
      <c r="P88" s="8">
        <v>402</v>
      </c>
      <c r="Q88" s="9" t="s">
        <v>46</v>
      </c>
      <c r="R88" s="16"/>
      <c r="S88" s="10">
        <v>2</v>
      </c>
      <c r="T88" s="10">
        <v>1</v>
      </c>
      <c r="U88" s="10">
        <v>1</v>
      </c>
      <c r="V88" s="11">
        <v>0</v>
      </c>
      <c r="W88" s="12"/>
      <c r="X88" s="17"/>
      <c r="Y88" s="13"/>
      <c r="Z88" s="13"/>
      <c r="AA88" s="13"/>
      <c r="AB88" s="14"/>
      <c r="AC88" s="9"/>
      <c r="AD88" s="16"/>
      <c r="AE88" s="10"/>
      <c r="AF88" s="10"/>
      <c r="AG88" s="10"/>
      <c r="AH88" s="11"/>
      <c r="AI88" s="12"/>
      <c r="AJ88" s="17"/>
      <c r="AK88" s="13"/>
      <c r="AL88" s="13"/>
      <c r="AM88" s="13"/>
      <c r="AN88" s="14"/>
      <c r="AO88" s="9"/>
      <c r="AP88" s="16"/>
      <c r="AQ88" s="10"/>
      <c r="AR88" s="10"/>
      <c r="AS88" s="10"/>
      <c r="AT88" s="11"/>
      <c r="AU88" s="12"/>
      <c r="AV88" s="17"/>
      <c r="AW88" s="13"/>
      <c r="AX88" s="13"/>
      <c r="AY88" s="13"/>
      <c r="AZ88" s="14"/>
      <c r="BA88" s="9"/>
      <c r="BB88" s="16"/>
      <c r="BC88" s="10"/>
      <c r="BD88" s="10"/>
      <c r="BE88" s="10"/>
      <c r="BF88" s="11"/>
      <c r="BG88" s="12"/>
      <c r="BH88" s="17"/>
      <c r="BI88" s="13"/>
      <c r="BJ88" s="13"/>
      <c r="BK88" s="13"/>
      <c r="BL88" s="14"/>
      <c r="BM88" s="8">
        <f t="shared" si="18"/>
        <v>2</v>
      </c>
      <c r="BN88" s="8">
        <f t="shared" si="19"/>
        <v>1</v>
      </c>
      <c r="BO88" s="8">
        <f t="shared" si="20"/>
        <v>1</v>
      </c>
      <c r="BP88" s="8">
        <f t="shared" si="21"/>
        <v>0</v>
      </c>
      <c r="BQ88" s="8">
        <f t="shared" si="22"/>
        <v>2</v>
      </c>
      <c r="BR88" s="8">
        <f t="shared" si="23"/>
        <v>1</v>
      </c>
      <c r="BS88" s="15">
        <f t="shared" si="24"/>
        <v>1.3994970525156527</v>
      </c>
      <c r="BT88" s="15" t="str">
        <f t="shared" si="25"/>
        <v>OK - No Upgrade</v>
      </c>
      <c r="BU88" s="15" t="str">
        <f t="shared" si="26"/>
        <v>Need to Balance</v>
      </c>
    </row>
    <row r="89" spans="1:73" ht="15.75" customHeight="1" x14ac:dyDescent="0.25">
      <c r="A89" s="8" t="s">
        <v>1021</v>
      </c>
      <c r="B89" s="8" t="s">
        <v>1021</v>
      </c>
      <c r="C89" s="8" t="s">
        <v>40</v>
      </c>
      <c r="D89" s="8"/>
      <c r="E89" s="8" t="s">
        <v>1038</v>
      </c>
      <c r="F89" s="8" t="s">
        <v>43</v>
      </c>
      <c r="G89" s="8"/>
      <c r="H89" s="8">
        <v>200</v>
      </c>
      <c r="I89" s="8" t="s">
        <v>1225</v>
      </c>
      <c r="J89" s="8">
        <v>1</v>
      </c>
      <c r="K89" s="8">
        <v>239</v>
      </c>
      <c r="L89" s="8">
        <v>238</v>
      </c>
      <c r="M89" s="8">
        <v>237</v>
      </c>
      <c r="N89" s="8">
        <v>414</v>
      </c>
      <c r="O89" s="8">
        <v>411</v>
      </c>
      <c r="P89" s="8">
        <v>410</v>
      </c>
      <c r="Q89" s="9" t="s">
        <v>46</v>
      </c>
      <c r="R89" s="16"/>
      <c r="S89" s="10">
        <v>60</v>
      </c>
      <c r="T89" s="10">
        <v>61</v>
      </c>
      <c r="U89" s="10">
        <v>45</v>
      </c>
      <c r="V89" s="11">
        <v>10</v>
      </c>
      <c r="W89" s="12"/>
      <c r="X89" s="17"/>
      <c r="Y89" s="13"/>
      <c r="Z89" s="13"/>
      <c r="AA89" s="13"/>
      <c r="AB89" s="14"/>
      <c r="AC89" s="9"/>
      <c r="AD89" s="16"/>
      <c r="AE89" s="10"/>
      <c r="AF89" s="10"/>
      <c r="AG89" s="10"/>
      <c r="AH89" s="11"/>
      <c r="AI89" s="12"/>
      <c r="AJ89" s="17"/>
      <c r="AK89" s="13"/>
      <c r="AL89" s="13"/>
      <c r="AM89" s="13"/>
      <c r="AN89" s="14"/>
      <c r="AO89" s="9"/>
      <c r="AP89" s="16"/>
      <c r="AQ89" s="10"/>
      <c r="AR89" s="10"/>
      <c r="AS89" s="10"/>
      <c r="AT89" s="11"/>
      <c r="AU89" s="12"/>
      <c r="AV89" s="17"/>
      <c r="AW89" s="13"/>
      <c r="AX89" s="13"/>
      <c r="AY89" s="13"/>
      <c r="AZ89" s="14"/>
      <c r="BA89" s="9"/>
      <c r="BB89" s="16"/>
      <c r="BC89" s="10"/>
      <c r="BD89" s="10"/>
      <c r="BE89" s="10"/>
      <c r="BF89" s="11"/>
      <c r="BG89" s="12"/>
      <c r="BH89" s="17"/>
      <c r="BI89" s="13"/>
      <c r="BJ89" s="13"/>
      <c r="BK89" s="13"/>
      <c r="BL89" s="14"/>
      <c r="BM89" s="8">
        <f t="shared" si="18"/>
        <v>60</v>
      </c>
      <c r="BN89" s="8">
        <f t="shared" si="19"/>
        <v>61</v>
      </c>
      <c r="BO89" s="8">
        <f t="shared" si="20"/>
        <v>45</v>
      </c>
      <c r="BP89" s="8">
        <f t="shared" si="21"/>
        <v>10</v>
      </c>
      <c r="BQ89" s="8">
        <f t="shared" si="22"/>
        <v>61</v>
      </c>
      <c r="BR89" s="8">
        <f t="shared" si="23"/>
        <v>45</v>
      </c>
      <c r="BS89" s="15">
        <f t="shared" si="24"/>
        <v>21.870605547172215</v>
      </c>
      <c r="BT89" s="15" t="str">
        <f t="shared" si="25"/>
        <v>OK - No Upgrade</v>
      </c>
      <c r="BU89" s="15" t="str">
        <f t="shared" si="26"/>
        <v>Need to Balance</v>
      </c>
    </row>
    <row r="90" spans="1:73" ht="15.75" customHeight="1" x14ac:dyDescent="0.25">
      <c r="A90" s="8" t="s">
        <v>1021</v>
      </c>
      <c r="B90" s="8" t="s">
        <v>1021</v>
      </c>
      <c r="C90" s="8" t="s">
        <v>40</v>
      </c>
      <c r="D90" s="8"/>
      <c r="E90" s="8" t="s">
        <v>1040</v>
      </c>
      <c r="F90" s="8" t="s">
        <v>43</v>
      </c>
      <c r="G90" s="8"/>
      <c r="H90" s="8">
        <v>100</v>
      </c>
      <c r="I90" s="8" t="s">
        <v>1226</v>
      </c>
      <c r="J90" s="8">
        <v>1</v>
      </c>
      <c r="K90" s="8">
        <v>229</v>
      </c>
      <c r="L90" s="8">
        <v>228</v>
      </c>
      <c r="M90" s="8">
        <v>230</v>
      </c>
      <c r="N90" s="8">
        <v>401</v>
      </c>
      <c r="O90" s="8">
        <v>402</v>
      </c>
      <c r="P90" s="8">
        <v>401</v>
      </c>
      <c r="Q90" s="9" t="s">
        <v>46</v>
      </c>
      <c r="R90" s="16"/>
      <c r="S90" s="10">
        <v>2</v>
      </c>
      <c r="T90" s="10">
        <v>1</v>
      </c>
      <c r="U90" s="10">
        <v>1</v>
      </c>
      <c r="V90" s="11">
        <v>1</v>
      </c>
      <c r="W90" s="12"/>
      <c r="X90" s="17"/>
      <c r="Y90" s="13"/>
      <c r="Z90" s="13"/>
      <c r="AA90" s="13"/>
      <c r="AB90" s="14"/>
      <c r="AC90" s="9"/>
      <c r="AD90" s="16"/>
      <c r="AE90" s="10"/>
      <c r="AF90" s="10"/>
      <c r="AG90" s="10"/>
      <c r="AH90" s="11"/>
      <c r="AI90" s="12"/>
      <c r="AJ90" s="17"/>
      <c r="AK90" s="13"/>
      <c r="AL90" s="13"/>
      <c r="AM90" s="13"/>
      <c r="AN90" s="14"/>
      <c r="AO90" s="9"/>
      <c r="AP90" s="16"/>
      <c r="AQ90" s="10"/>
      <c r="AR90" s="10"/>
      <c r="AS90" s="10"/>
      <c r="AT90" s="11"/>
      <c r="AU90" s="12"/>
      <c r="AV90" s="17"/>
      <c r="AW90" s="13"/>
      <c r="AX90" s="13"/>
      <c r="AY90" s="13"/>
      <c r="AZ90" s="14"/>
      <c r="BA90" s="9"/>
      <c r="BB90" s="16"/>
      <c r="BC90" s="10"/>
      <c r="BD90" s="10"/>
      <c r="BE90" s="10"/>
      <c r="BF90" s="11"/>
      <c r="BG90" s="12"/>
      <c r="BH90" s="17"/>
      <c r="BI90" s="13"/>
      <c r="BJ90" s="13"/>
      <c r="BK90" s="13"/>
      <c r="BL90" s="14"/>
      <c r="BM90" s="8">
        <f t="shared" si="18"/>
        <v>2</v>
      </c>
      <c r="BN90" s="8">
        <f t="shared" si="19"/>
        <v>1</v>
      </c>
      <c r="BO90" s="8">
        <f t="shared" si="20"/>
        <v>1</v>
      </c>
      <c r="BP90" s="8">
        <f t="shared" si="21"/>
        <v>1</v>
      </c>
      <c r="BQ90" s="8">
        <f t="shared" si="22"/>
        <v>2</v>
      </c>
      <c r="BR90" s="8">
        <f t="shared" si="23"/>
        <v>1</v>
      </c>
      <c r="BS90" s="15">
        <f t="shared" si="24"/>
        <v>1.3891047476702394</v>
      </c>
      <c r="BT90" s="15" t="str">
        <f t="shared" si="25"/>
        <v>OK - No Upgrade</v>
      </c>
      <c r="BU90" s="15" t="str">
        <f t="shared" si="26"/>
        <v>Need to Balance</v>
      </c>
    </row>
    <row r="91" spans="1:73" ht="15.75" customHeight="1" x14ac:dyDescent="0.25">
      <c r="A91" s="8" t="s">
        <v>1021</v>
      </c>
      <c r="B91" s="8" t="s">
        <v>1021</v>
      </c>
      <c r="C91" s="8" t="s">
        <v>40</v>
      </c>
      <c r="D91" s="8"/>
      <c r="E91" s="8" t="s">
        <v>1180</v>
      </c>
      <c r="F91" s="8" t="s">
        <v>43</v>
      </c>
      <c r="G91" s="8"/>
      <c r="H91" s="8">
        <v>100</v>
      </c>
      <c r="I91" s="8" t="s">
        <v>1227</v>
      </c>
      <c r="J91" s="8">
        <v>1</v>
      </c>
      <c r="K91" s="8">
        <v>228</v>
      </c>
      <c r="L91" s="8">
        <v>230</v>
      </c>
      <c r="M91" s="8">
        <v>228</v>
      </c>
      <c r="N91" s="8">
        <v>401</v>
      </c>
      <c r="O91" s="8">
        <v>402</v>
      </c>
      <c r="P91" s="8">
        <v>401</v>
      </c>
      <c r="Q91" s="9" t="s">
        <v>46</v>
      </c>
      <c r="R91" s="16"/>
      <c r="S91" s="10">
        <v>2</v>
      </c>
      <c r="T91" s="10">
        <v>1</v>
      </c>
      <c r="U91" s="10">
        <v>1</v>
      </c>
      <c r="V91" s="11">
        <v>0</v>
      </c>
      <c r="W91" s="12"/>
      <c r="X91" s="17"/>
      <c r="Y91" s="13"/>
      <c r="Z91" s="13"/>
      <c r="AA91" s="13"/>
      <c r="AB91" s="14"/>
      <c r="AC91" s="9"/>
      <c r="AD91" s="16"/>
      <c r="AE91" s="10"/>
      <c r="AF91" s="10"/>
      <c r="AG91" s="10"/>
      <c r="AH91" s="11"/>
      <c r="AI91" s="12"/>
      <c r="AJ91" s="17"/>
      <c r="AK91" s="13"/>
      <c r="AL91" s="13"/>
      <c r="AM91" s="13"/>
      <c r="AN91" s="14"/>
      <c r="AO91" s="9"/>
      <c r="AP91" s="16"/>
      <c r="AQ91" s="10"/>
      <c r="AR91" s="10"/>
      <c r="AS91" s="10"/>
      <c r="AT91" s="11"/>
      <c r="AU91" s="12"/>
      <c r="AV91" s="17"/>
      <c r="AW91" s="13"/>
      <c r="AX91" s="13"/>
      <c r="AY91" s="13"/>
      <c r="AZ91" s="14"/>
      <c r="BA91" s="9"/>
      <c r="BB91" s="16"/>
      <c r="BC91" s="10"/>
      <c r="BD91" s="10"/>
      <c r="BE91" s="10"/>
      <c r="BF91" s="11"/>
      <c r="BG91" s="12"/>
      <c r="BH91" s="17"/>
      <c r="BI91" s="13"/>
      <c r="BJ91" s="13"/>
      <c r="BK91" s="13"/>
      <c r="BL91" s="14"/>
      <c r="BM91" s="8">
        <f t="shared" si="18"/>
        <v>2</v>
      </c>
      <c r="BN91" s="8">
        <f t="shared" si="19"/>
        <v>1</v>
      </c>
      <c r="BO91" s="8">
        <f t="shared" si="20"/>
        <v>1</v>
      </c>
      <c r="BP91" s="8">
        <f t="shared" si="21"/>
        <v>0</v>
      </c>
      <c r="BQ91" s="8">
        <f t="shared" si="22"/>
        <v>2</v>
      </c>
      <c r="BR91" s="8">
        <f t="shared" si="23"/>
        <v>1</v>
      </c>
      <c r="BS91" s="15">
        <f t="shared" si="24"/>
        <v>1.3891047476702394</v>
      </c>
      <c r="BT91" s="15" t="str">
        <f t="shared" si="25"/>
        <v>OK - No Upgrade</v>
      </c>
      <c r="BU91" s="15" t="str">
        <f t="shared" si="26"/>
        <v>Need to Balance</v>
      </c>
    </row>
    <row r="92" spans="1:73" ht="15.75" customHeight="1" x14ac:dyDescent="0.25">
      <c r="A92" s="8" t="s">
        <v>1021</v>
      </c>
      <c r="B92" s="8" t="s">
        <v>1021</v>
      </c>
      <c r="C92" s="8" t="s">
        <v>40</v>
      </c>
      <c r="D92" s="8"/>
      <c r="E92" s="8" t="s">
        <v>1042</v>
      </c>
      <c r="F92" s="8" t="s">
        <v>43</v>
      </c>
      <c r="G92" s="8"/>
      <c r="H92" s="8">
        <v>100</v>
      </c>
      <c r="I92" s="8" t="s">
        <v>1228</v>
      </c>
      <c r="J92" s="8">
        <v>1</v>
      </c>
      <c r="K92" s="8">
        <v>230</v>
      </c>
      <c r="L92" s="8">
        <v>230</v>
      </c>
      <c r="M92" s="8">
        <v>229</v>
      </c>
      <c r="N92" s="8">
        <v>401</v>
      </c>
      <c r="O92" s="8">
        <v>402</v>
      </c>
      <c r="P92" s="8">
        <v>401</v>
      </c>
      <c r="Q92" s="9" t="s">
        <v>46</v>
      </c>
      <c r="R92" s="16"/>
      <c r="S92" s="10">
        <v>1</v>
      </c>
      <c r="T92" s="10">
        <v>1</v>
      </c>
      <c r="U92" s="10">
        <v>1</v>
      </c>
      <c r="V92" s="11">
        <v>0</v>
      </c>
      <c r="W92" s="12"/>
      <c r="X92" s="17"/>
      <c r="Y92" s="13"/>
      <c r="Z92" s="13"/>
      <c r="AA92" s="13"/>
      <c r="AB92" s="14"/>
      <c r="AC92" s="9"/>
      <c r="AD92" s="16"/>
      <c r="AE92" s="10"/>
      <c r="AF92" s="10"/>
      <c r="AG92" s="10"/>
      <c r="AH92" s="11"/>
      <c r="AI92" s="12"/>
      <c r="AJ92" s="17"/>
      <c r="AK92" s="13"/>
      <c r="AL92" s="13"/>
      <c r="AM92" s="13"/>
      <c r="AN92" s="14"/>
      <c r="AO92" s="9"/>
      <c r="AP92" s="16"/>
      <c r="AQ92" s="10"/>
      <c r="AR92" s="10"/>
      <c r="AS92" s="10"/>
      <c r="AT92" s="11"/>
      <c r="AU92" s="12"/>
      <c r="AV92" s="17"/>
      <c r="AW92" s="13"/>
      <c r="AX92" s="13"/>
      <c r="AY92" s="13"/>
      <c r="AZ92" s="14"/>
      <c r="BA92" s="9"/>
      <c r="BB92" s="16"/>
      <c r="BC92" s="10"/>
      <c r="BD92" s="10"/>
      <c r="BE92" s="10"/>
      <c r="BF92" s="11"/>
      <c r="BG92" s="12"/>
      <c r="BH92" s="17"/>
      <c r="BI92" s="13"/>
      <c r="BJ92" s="13"/>
      <c r="BK92" s="13"/>
      <c r="BL92" s="14"/>
      <c r="BM92" s="8">
        <f t="shared" si="18"/>
        <v>1</v>
      </c>
      <c r="BN92" s="8">
        <f t="shared" si="19"/>
        <v>1</v>
      </c>
      <c r="BO92" s="8">
        <f t="shared" si="20"/>
        <v>1</v>
      </c>
      <c r="BP92" s="8">
        <f t="shared" si="21"/>
        <v>0</v>
      </c>
      <c r="BQ92" s="8">
        <f t="shared" si="22"/>
        <v>1</v>
      </c>
      <c r="BR92" s="8">
        <f t="shared" si="23"/>
        <v>1</v>
      </c>
      <c r="BS92" s="15">
        <f t="shared" si="24"/>
        <v>0.6945523738351197</v>
      </c>
      <c r="BT92" s="15" t="str">
        <f t="shared" si="25"/>
        <v>OK - No Upgrade</v>
      </c>
      <c r="BU92" s="15" t="str">
        <f t="shared" si="26"/>
        <v>OK - Balanced</v>
      </c>
    </row>
    <row r="93" spans="1:73" ht="15.75" customHeight="1" x14ac:dyDescent="0.25">
      <c r="A93" s="8" t="s">
        <v>1021</v>
      </c>
      <c r="B93" s="8" t="s">
        <v>1021</v>
      </c>
      <c r="C93" s="8" t="s">
        <v>40</v>
      </c>
      <c r="D93" s="8"/>
      <c r="E93" s="8" t="s">
        <v>1045</v>
      </c>
      <c r="F93" s="8" t="s">
        <v>43</v>
      </c>
      <c r="G93" s="8"/>
      <c r="H93" s="8">
        <v>100</v>
      </c>
      <c r="I93" s="8" t="s">
        <v>1229</v>
      </c>
      <c r="J93" s="8">
        <v>1</v>
      </c>
      <c r="K93" s="8">
        <v>229</v>
      </c>
      <c r="L93" s="8">
        <v>230</v>
      </c>
      <c r="M93" s="8">
        <v>229</v>
      </c>
      <c r="N93" s="8">
        <v>401</v>
      </c>
      <c r="O93" s="8">
        <v>402</v>
      </c>
      <c r="P93" s="8">
        <v>401</v>
      </c>
      <c r="Q93" s="9" t="s">
        <v>46</v>
      </c>
      <c r="R93" s="16"/>
      <c r="S93" s="10">
        <v>6</v>
      </c>
      <c r="T93" s="10">
        <v>4</v>
      </c>
      <c r="U93" s="10">
        <v>3</v>
      </c>
      <c r="V93" s="11">
        <v>2</v>
      </c>
      <c r="W93" s="12"/>
      <c r="X93" s="17"/>
      <c r="Y93" s="13"/>
      <c r="Z93" s="13"/>
      <c r="AA93" s="13"/>
      <c r="AB93" s="14"/>
      <c r="AC93" s="9"/>
      <c r="AD93" s="16"/>
      <c r="AE93" s="10"/>
      <c r="AF93" s="10"/>
      <c r="AG93" s="10"/>
      <c r="AH93" s="11"/>
      <c r="AI93" s="12"/>
      <c r="AJ93" s="17"/>
      <c r="AK93" s="13"/>
      <c r="AL93" s="13"/>
      <c r="AM93" s="13"/>
      <c r="AN93" s="14"/>
      <c r="AO93" s="9"/>
      <c r="AP93" s="16"/>
      <c r="AQ93" s="10"/>
      <c r="AR93" s="10"/>
      <c r="AS93" s="10"/>
      <c r="AT93" s="11"/>
      <c r="AU93" s="12"/>
      <c r="AV93" s="17"/>
      <c r="AW93" s="13"/>
      <c r="AX93" s="13"/>
      <c r="AY93" s="13"/>
      <c r="AZ93" s="14"/>
      <c r="BA93" s="9"/>
      <c r="BB93" s="16"/>
      <c r="BC93" s="10"/>
      <c r="BD93" s="10"/>
      <c r="BE93" s="10"/>
      <c r="BF93" s="11"/>
      <c r="BG93" s="12"/>
      <c r="BH93" s="17"/>
      <c r="BI93" s="13"/>
      <c r="BJ93" s="13"/>
      <c r="BK93" s="13"/>
      <c r="BL93" s="14"/>
      <c r="BM93" s="8">
        <f t="shared" si="18"/>
        <v>6</v>
      </c>
      <c r="BN93" s="8">
        <f t="shared" si="19"/>
        <v>4</v>
      </c>
      <c r="BO93" s="8">
        <f t="shared" si="20"/>
        <v>3</v>
      </c>
      <c r="BP93" s="8">
        <f t="shared" si="21"/>
        <v>2</v>
      </c>
      <c r="BQ93" s="8">
        <f t="shared" si="22"/>
        <v>6</v>
      </c>
      <c r="BR93" s="8">
        <f t="shared" si="23"/>
        <v>3</v>
      </c>
      <c r="BS93" s="15">
        <f t="shared" si="24"/>
        <v>4.1673142430107193</v>
      </c>
      <c r="BT93" s="15" t="str">
        <f t="shared" si="25"/>
        <v>OK - No Upgrade</v>
      </c>
      <c r="BU93" s="15" t="str">
        <f t="shared" si="26"/>
        <v>Need to Balance</v>
      </c>
    </row>
    <row r="94" spans="1:73" ht="15.75" customHeight="1" x14ac:dyDescent="0.25">
      <c r="A94" s="8" t="s">
        <v>1021</v>
      </c>
      <c r="B94" s="8" t="s">
        <v>1021</v>
      </c>
      <c r="C94" s="8" t="s">
        <v>40</v>
      </c>
      <c r="D94" s="8"/>
      <c r="E94" s="8" t="s">
        <v>1063</v>
      </c>
      <c r="F94" s="8" t="s">
        <v>43</v>
      </c>
      <c r="G94" s="8"/>
      <c r="H94" s="8">
        <v>100</v>
      </c>
      <c r="I94" s="8" t="s">
        <v>1230</v>
      </c>
      <c r="J94" s="8">
        <v>1</v>
      </c>
      <c r="K94" s="8">
        <v>229</v>
      </c>
      <c r="L94" s="8">
        <v>231</v>
      </c>
      <c r="M94" s="8">
        <v>229</v>
      </c>
      <c r="N94" s="8">
        <v>404</v>
      </c>
      <c r="O94" s="8">
        <v>403</v>
      </c>
      <c r="P94" s="8">
        <v>402</v>
      </c>
      <c r="Q94" s="9" t="s">
        <v>46</v>
      </c>
      <c r="R94" s="16"/>
      <c r="S94" s="10">
        <v>2</v>
      </c>
      <c r="T94" s="10">
        <v>2</v>
      </c>
      <c r="U94" s="10">
        <v>1</v>
      </c>
      <c r="V94" s="11">
        <v>0</v>
      </c>
      <c r="W94" s="12"/>
      <c r="X94" s="17"/>
      <c r="Y94" s="13"/>
      <c r="Z94" s="13"/>
      <c r="AA94" s="13"/>
      <c r="AB94" s="14"/>
      <c r="AC94" s="9"/>
      <c r="AD94" s="16"/>
      <c r="AE94" s="10"/>
      <c r="AF94" s="10"/>
      <c r="AG94" s="10"/>
      <c r="AH94" s="11"/>
      <c r="AI94" s="12"/>
      <c r="AJ94" s="17"/>
      <c r="AK94" s="13"/>
      <c r="AL94" s="13"/>
      <c r="AM94" s="13"/>
      <c r="AN94" s="14"/>
      <c r="AO94" s="9"/>
      <c r="AP94" s="16"/>
      <c r="AQ94" s="10"/>
      <c r="AR94" s="10"/>
      <c r="AS94" s="10"/>
      <c r="AT94" s="11"/>
      <c r="AU94" s="12"/>
      <c r="AV94" s="17"/>
      <c r="AW94" s="13"/>
      <c r="AX94" s="13"/>
      <c r="AY94" s="13"/>
      <c r="AZ94" s="14"/>
      <c r="BA94" s="9"/>
      <c r="BB94" s="16"/>
      <c r="BC94" s="10"/>
      <c r="BD94" s="10"/>
      <c r="BE94" s="10"/>
      <c r="BF94" s="11"/>
      <c r="BG94" s="12"/>
      <c r="BH94" s="17"/>
      <c r="BI94" s="13"/>
      <c r="BJ94" s="13"/>
      <c r="BK94" s="13"/>
      <c r="BL94" s="14"/>
      <c r="BM94" s="8">
        <f t="shared" si="18"/>
        <v>2</v>
      </c>
      <c r="BN94" s="8">
        <f t="shared" si="19"/>
        <v>2</v>
      </c>
      <c r="BO94" s="8">
        <f t="shared" si="20"/>
        <v>1</v>
      </c>
      <c r="BP94" s="8">
        <f t="shared" si="21"/>
        <v>0</v>
      </c>
      <c r="BQ94" s="8">
        <f t="shared" si="22"/>
        <v>2</v>
      </c>
      <c r="BR94" s="8">
        <f t="shared" si="23"/>
        <v>1</v>
      </c>
      <c r="BS94" s="15">
        <f t="shared" si="24"/>
        <v>1.3994970525156527</v>
      </c>
      <c r="BT94" s="15" t="str">
        <f t="shared" si="25"/>
        <v>OK - No Upgrade</v>
      </c>
      <c r="BU94" s="15" t="str">
        <f t="shared" si="26"/>
        <v>Need to Balance</v>
      </c>
    </row>
    <row r="95" spans="1:73" ht="15.75" customHeight="1" x14ac:dyDescent="0.25">
      <c r="A95" s="8" t="s">
        <v>1021</v>
      </c>
      <c r="B95" s="8" t="s">
        <v>1021</v>
      </c>
      <c r="C95" s="8" t="s">
        <v>40</v>
      </c>
      <c r="D95" s="8"/>
      <c r="E95" s="8" t="s">
        <v>1054</v>
      </c>
      <c r="F95" s="8" t="s">
        <v>43</v>
      </c>
      <c r="G95" s="8"/>
      <c r="H95" s="8">
        <v>315</v>
      </c>
      <c r="I95" s="8" t="s">
        <v>1231</v>
      </c>
      <c r="J95" s="8">
        <v>1</v>
      </c>
      <c r="K95" s="8">
        <v>235</v>
      </c>
      <c r="L95" s="8">
        <v>236</v>
      </c>
      <c r="M95" s="8">
        <v>235</v>
      </c>
      <c r="N95" s="8">
        <v>409</v>
      </c>
      <c r="O95" s="8">
        <v>406</v>
      </c>
      <c r="P95" s="8">
        <v>404</v>
      </c>
      <c r="Q95" s="9" t="s">
        <v>46</v>
      </c>
      <c r="R95" s="16"/>
      <c r="S95" s="10">
        <v>15</v>
      </c>
      <c r="T95" s="10">
        <v>41</v>
      </c>
      <c r="U95" s="10">
        <v>4</v>
      </c>
      <c r="V95" s="11">
        <v>31</v>
      </c>
      <c r="W95" s="12" t="s">
        <v>46</v>
      </c>
      <c r="X95" s="17"/>
      <c r="Y95" s="13">
        <v>8</v>
      </c>
      <c r="Z95" s="13">
        <v>7</v>
      </c>
      <c r="AA95" s="13">
        <v>2</v>
      </c>
      <c r="AB95" s="14">
        <v>5</v>
      </c>
      <c r="AC95" s="9"/>
      <c r="AD95" s="16"/>
      <c r="AE95" s="10"/>
      <c r="AF95" s="10"/>
      <c r="AG95" s="10"/>
      <c r="AH95" s="11"/>
      <c r="AI95" s="12"/>
      <c r="AJ95" s="17"/>
      <c r="AK95" s="13"/>
      <c r="AL95" s="13"/>
      <c r="AM95" s="13"/>
      <c r="AN95" s="14"/>
      <c r="AO95" s="9"/>
      <c r="AP95" s="16"/>
      <c r="AQ95" s="10"/>
      <c r="AR95" s="10"/>
      <c r="AS95" s="10"/>
      <c r="AT95" s="11"/>
      <c r="AU95" s="12"/>
      <c r="AV95" s="17"/>
      <c r="AW95" s="13"/>
      <c r="AX95" s="13"/>
      <c r="AY95" s="13"/>
      <c r="AZ95" s="14"/>
      <c r="BA95" s="9"/>
      <c r="BB95" s="16"/>
      <c r="BC95" s="10"/>
      <c r="BD95" s="10"/>
      <c r="BE95" s="10"/>
      <c r="BF95" s="11"/>
      <c r="BG95" s="12"/>
      <c r="BH95" s="17"/>
      <c r="BI95" s="13"/>
      <c r="BJ95" s="13"/>
      <c r="BK95" s="13"/>
      <c r="BL95" s="14"/>
      <c r="BM95" s="8">
        <f t="shared" si="18"/>
        <v>23</v>
      </c>
      <c r="BN95" s="8">
        <f t="shared" si="19"/>
        <v>48</v>
      </c>
      <c r="BO95" s="8">
        <f t="shared" si="20"/>
        <v>6</v>
      </c>
      <c r="BP95" s="8">
        <f t="shared" si="21"/>
        <v>36</v>
      </c>
      <c r="BQ95" s="8">
        <f t="shared" si="22"/>
        <v>48</v>
      </c>
      <c r="BR95" s="8">
        <f t="shared" si="23"/>
        <v>6</v>
      </c>
      <c r="BS95" s="15">
        <f t="shared" si="24"/>
        <v>10.794800461648318</v>
      </c>
      <c r="BT95" s="15" t="str">
        <f t="shared" si="25"/>
        <v>OK - No Upgrade</v>
      </c>
      <c r="BU95" s="15" t="str">
        <f t="shared" si="26"/>
        <v>Need to Balance</v>
      </c>
    </row>
    <row r="96" spans="1:73" ht="15.75" customHeight="1" x14ac:dyDescent="0.25">
      <c r="A96" s="8" t="s">
        <v>1021</v>
      </c>
      <c r="B96" s="8" t="s">
        <v>1021</v>
      </c>
      <c r="C96" s="8" t="s">
        <v>40</v>
      </c>
      <c r="D96" s="8"/>
      <c r="E96" s="8" t="s">
        <v>1054</v>
      </c>
      <c r="F96" s="8" t="s">
        <v>43</v>
      </c>
      <c r="G96" s="8" t="s">
        <v>44</v>
      </c>
      <c r="H96" s="8">
        <v>315</v>
      </c>
      <c r="I96" s="8" t="s">
        <v>1232</v>
      </c>
      <c r="J96" s="8">
        <v>2</v>
      </c>
      <c r="K96" s="8">
        <v>240</v>
      </c>
      <c r="L96" s="8">
        <v>240</v>
      </c>
      <c r="M96" s="8">
        <v>239</v>
      </c>
      <c r="N96" s="8">
        <v>414</v>
      </c>
      <c r="O96" s="8">
        <v>411</v>
      </c>
      <c r="P96" s="8">
        <v>411</v>
      </c>
      <c r="Q96" s="9" t="s">
        <v>46</v>
      </c>
      <c r="R96" s="16"/>
      <c r="S96" s="10">
        <v>75</v>
      </c>
      <c r="T96" s="10">
        <v>102</v>
      </c>
      <c r="U96" s="10">
        <v>50</v>
      </c>
      <c r="V96" s="11">
        <v>53</v>
      </c>
      <c r="W96" s="12" t="s">
        <v>46</v>
      </c>
      <c r="X96" s="17"/>
      <c r="Y96" s="13">
        <v>13</v>
      </c>
      <c r="Z96" s="13">
        <v>36</v>
      </c>
      <c r="AA96" s="13">
        <v>8</v>
      </c>
      <c r="AB96" s="14">
        <v>30</v>
      </c>
      <c r="AC96" s="9"/>
      <c r="AD96" s="16"/>
      <c r="AE96" s="10"/>
      <c r="AF96" s="10"/>
      <c r="AG96" s="10"/>
      <c r="AH96" s="11"/>
      <c r="AI96" s="12"/>
      <c r="AJ96" s="17"/>
      <c r="AK96" s="13"/>
      <c r="AL96" s="13"/>
      <c r="AM96" s="13"/>
      <c r="AN96" s="14"/>
      <c r="AO96" s="9"/>
      <c r="AP96" s="16"/>
      <c r="AQ96" s="10"/>
      <c r="AR96" s="10"/>
      <c r="AS96" s="10"/>
      <c r="AT96" s="11"/>
      <c r="AU96" s="12"/>
      <c r="AV96" s="17"/>
      <c r="AW96" s="13"/>
      <c r="AX96" s="13"/>
      <c r="AY96" s="13"/>
      <c r="AZ96" s="14"/>
      <c r="BA96" s="9"/>
      <c r="BB96" s="16"/>
      <c r="BC96" s="10"/>
      <c r="BD96" s="10"/>
      <c r="BE96" s="10"/>
      <c r="BF96" s="11"/>
      <c r="BG96" s="12"/>
      <c r="BH96" s="17"/>
      <c r="BI96" s="13"/>
      <c r="BJ96" s="13"/>
      <c r="BK96" s="13"/>
      <c r="BL96" s="14"/>
      <c r="BM96" s="8">
        <f t="shared" si="18"/>
        <v>88</v>
      </c>
      <c r="BN96" s="8">
        <f t="shared" si="19"/>
        <v>138</v>
      </c>
      <c r="BO96" s="8">
        <f t="shared" si="20"/>
        <v>58</v>
      </c>
      <c r="BP96" s="8">
        <f t="shared" si="21"/>
        <v>83</v>
      </c>
      <c r="BQ96" s="8">
        <f t="shared" si="22"/>
        <v>138</v>
      </c>
      <c r="BR96" s="8">
        <f t="shared" si="23"/>
        <v>58</v>
      </c>
      <c r="BS96" s="15">
        <f t="shared" si="24"/>
        <v>31.414452932706379</v>
      </c>
      <c r="BT96" s="15" t="str">
        <f t="shared" si="25"/>
        <v>OK - No Upgrade</v>
      </c>
      <c r="BU96" s="15" t="str">
        <f t="shared" si="26"/>
        <v>Need to Balance</v>
      </c>
    </row>
    <row r="97" spans="1:73" ht="15.75" customHeight="1" x14ac:dyDescent="0.25">
      <c r="A97" s="8" t="s">
        <v>1021</v>
      </c>
      <c r="B97" s="8" t="s">
        <v>1021</v>
      </c>
      <c r="C97" s="8" t="s">
        <v>40</v>
      </c>
      <c r="D97" s="8" t="s">
        <v>1233</v>
      </c>
      <c r="E97" s="8" t="s">
        <v>1068</v>
      </c>
      <c r="F97" s="8" t="s">
        <v>43</v>
      </c>
      <c r="G97" s="8"/>
      <c r="H97" s="8">
        <v>100</v>
      </c>
      <c r="I97" s="8" t="s">
        <v>1234</v>
      </c>
      <c r="J97" s="8">
        <v>1</v>
      </c>
      <c r="K97" s="8">
        <v>235</v>
      </c>
      <c r="L97" s="8">
        <v>236</v>
      </c>
      <c r="M97" s="8">
        <v>234</v>
      </c>
      <c r="N97" s="8">
        <v>408</v>
      </c>
      <c r="O97" s="8">
        <v>407</v>
      </c>
      <c r="P97" s="8">
        <v>406</v>
      </c>
      <c r="Q97" s="9" t="s">
        <v>46</v>
      </c>
      <c r="R97" s="16"/>
      <c r="S97" s="10">
        <v>2</v>
      </c>
      <c r="T97" s="10">
        <v>1</v>
      </c>
      <c r="U97" s="10">
        <v>1</v>
      </c>
      <c r="V97" s="11">
        <v>0</v>
      </c>
      <c r="W97" s="12"/>
      <c r="X97" s="17"/>
      <c r="Y97" s="13">
        <v>114</v>
      </c>
      <c r="Z97" s="13">
        <v>115</v>
      </c>
      <c r="AA97" s="13">
        <v>112</v>
      </c>
      <c r="AB97" s="14">
        <v>5</v>
      </c>
      <c r="AC97" s="9"/>
      <c r="AD97" s="16"/>
      <c r="AE97" s="10"/>
      <c r="AF97" s="10"/>
      <c r="AG97" s="10"/>
      <c r="AH97" s="11"/>
      <c r="AI97" s="12"/>
      <c r="AJ97" s="17"/>
      <c r="AK97" s="13"/>
      <c r="AL97" s="13"/>
      <c r="AM97" s="13"/>
      <c r="AN97" s="14"/>
      <c r="AO97" s="9"/>
      <c r="AP97" s="16"/>
      <c r="AQ97" s="10"/>
      <c r="AR97" s="10"/>
      <c r="AS97" s="10"/>
      <c r="AT97" s="11"/>
      <c r="AU97" s="12"/>
      <c r="AV97" s="17"/>
      <c r="AW97" s="13"/>
      <c r="AX97" s="13"/>
      <c r="AY97" s="13"/>
      <c r="AZ97" s="14"/>
      <c r="BA97" s="9"/>
      <c r="BB97" s="16"/>
      <c r="BC97" s="10"/>
      <c r="BD97" s="10"/>
      <c r="BE97" s="10"/>
      <c r="BF97" s="11"/>
      <c r="BG97" s="12"/>
      <c r="BH97" s="17"/>
      <c r="BI97" s="13"/>
      <c r="BJ97" s="13"/>
      <c r="BK97" s="13"/>
      <c r="BL97" s="14"/>
      <c r="BM97" s="8">
        <f t="shared" si="18"/>
        <v>116</v>
      </c>
      <c r="BN97" s="8">
        <f t="shared" si="19"/>
        <v>116</v>
      </c>
      <c r="BO97" s="8">
        <f t="shared" si="20"/>
        <v>113</v>
      </c>
      <c r="BP97" s="8">
        <f t="shared" si="21"/>
        <v>5</v>
      </c>
      <c r="BQ97" s="8">
        <f t="shared" si="22"/>
        <v>116</v>
      </c>
      <c r="BR97" s="8">
        <f t="shared" si="23"/>
        <v>113</v>
      </c>
      <c r="BS97" s="15">
        <f t="shared" si="24"/>
        <v>81.974500620619821</v>
      </c>
      <c r="BT97" s="15" t="str">
        <f t="shared" si="25"/>
        <v>Upgrade</v>
      </c>
      <c r="BU97" s="15" t="str">
        <f t="shared" si="26"/>
        <v>OK - Balanced</v>
      </c>
    </row>
    <row r="98" spans="1:73" ht="15.75" customHeight="1" x14ac:dyDescent="0.25">
      <c r="A98" s="8" t="s">
        <v>1021</v>
      </c>
      <c r="B98" s="8" t="s">
        <v>1021</v>
      </c>
      <c r="C98" s="8" t="s">
        <v>40</v>
      </c>
      <c r="D98" s="8" t="s">
        <v>1233</v>
      </c>
      <c r="E98" s="8" t="s">
        <v>1068</v>
      </c>
      <c r="F98" s="8" t="s">
        <v>43</v>
      </c>
      <c r="G98" s="8" t="s">
        <v>44</v>
      </c>
      <c r="H98" s="8">
        <v>100</v>
      </c>
      <c r="I98" s="8" t="s">
        <v>1235</v>
      </c>
      <c r="J98" s="8">
        <v>2</v>
      </c>
      <c r="K98" s="8">
        <v>242</v>
      </c>
      <c r="L98" s="8">
        <v>243</v>
      </c>
      <c r="M98" s="8">
        <v>241</v>
      </c>
      <c r="N98" s="8">
        <v>420</v>
      </c>
      <c r="O98" s="8">
        <v>418</v>
      </c>
      <c r="P98" s="8">
        <v>417</v>
      </c>
      <c r="Q98" s="9" t="s">
        <v>46</v>
      </c>
      <c r="R98" s="16"/>
      <c r="S98" s="10">
        <v>2</v>
      </c>
      <c r="T98" s="10">
        <v>1</v>
      </c>
      <c r="U98" s="10">
        <v>1</v>
      </c>
      <c r="V98" s="11">
        <v>0</v>
      </c>
      <c r="W98" s="12" t="s">
        <v>46</v>
      </c>
      <c r="X98" s="17"/>
      <c r="Y98" s="13">
        <v>105</v>
      </c>
      <c r="Z98" s="13">
        <v>101</v>
      </c>
      <c r="AA98" s="13">
        <v>39</v>
      </c>
      <c r="AB98" s="14">
        <v>5</v>
      </c>
      <c r="AC98" s="9"/>
      <c r="AD98" s="16"/>
      <c r="AE98" s="10"/>
      <c r="AF98" s="10"/>
      <c r="AG98" s="10"/>
      <c r="AH98" s="11"/>
      <c r="AI98" s="12"/>
      <c r="AJ98" s="17"/>
      <c r="AK98" s="13"/>
      <c r="AL98" s="13"/>
      <c r="AM98" s="13"/>
      <c r="AN98" s="14"/>
      <c r="AO98" s="9"/>
      <c r="AP98" s="16"/>
      <c r="AQ98" s="10"/>
      <c r="AR98" s="10"/>
      <c r="AS98" s="10"/>
      <c r="AT98" s="11"/>
      <c r="AU98" s="12"/>
      <c r="AV98" s="17"/>
      <c r="AW98" s="13"/>
      <c r="AX98" s="13"/>
      <c r="AY98" s="13"/>
      <c r="AZ98" s="14"/>
      <c r="BA98" s="9"/>
      <c r="BB98" s="16"/>
      <c r="BC98" s="10"/>
      <c r="BD98" s="10"/>
      <c r="BE98" s="10"/>
      <c r="BF98" s="11"/>
      <c r="BG98" s="12"/>
      <c r="BH98" s="17"/>
      <c r="BI98" s="13"/>
      <c r="BJ98" s="13"/>
      <c r="BK98" s="13"/>
      <c r="BL98" s="14"/>
      <c r="BM98" s="8">
        <f t="shared" si="18"/>
        <v>107</v>
      </c>
      <c r="BN98" s="8">
        <f t="shared" si="19"/>
        <v>102</v>
      </c>
      <c r="BO98" s="8">
        <f t="shared" si="20"/>
        <v>40</v>
      </c>
      <c r="BP98" s="8">
        <f t="shared" si="21"/>
        <v>5</v>
      </c>
      <c r="BQ98" s="8">
        <f t="shared" si="22"/>
        <v>107</v>
      </c>
      <c r="BR98" s="8">
        <f t="shared" si="23"/>
        <v>40</v>
      </c>
      <c r="BS98" s="15">
        <f t="shared" si="24"/>
        <v>77.838363292145345</v>
      </c>
      <c r="BT98" s="15" t="str">
        <f t="shared" si="25"/>
        <v>Upgrade</v>
      </c>
      <c r="BU98" s="15" t="str">
        <f t="shared" si="26"/>
        <v>Need to Balance</v>
      </c>
    </row>
    <row r="99" spans="1:73" ht="15.75" customHeight="1" x14ac:dyDescent="0.25">
      <c r="A99" s="8" t="s">
        <v>1021</v>
      </c>
      <c r="B99" s="8" t="s">
        <v>1021</v>
      </c>
      <c r="C99" s="8" t="s">
        <v>40</v>
      </c>
      <c r="D99" s="8" t="s">
        <v>1236</v>
      </c>
      <c r="E99" s="8" t="s">
        <v>1060</v>
      </c>
      <c r="F99" s="8" t="s">
        <v>43</v>
      </c>
      <c r="G99" s="8"/>
      <c r="H99" s="8">
        <v>315</v>
      </c>
      <c r="I99" s="8" t="s">
        <v>1237</v>
      </c>
      <c r="J99" s="8">
        <v>1</v>
      </c>
      <c r="K99" s="8">
        <v>238</v>
      </c>
      <c r="L99" s="8">
        <v>240</v>
      </c>
      <c r="M99" s="8">
        <v>238</v>
      </c>
      <c r="N99" s="8">
        <v>415</v>
      </c>
      <c r="O99" s="8">
        <v>411</v>
      </c>
      <c r="P99" s="8">
        <v>415</v>
      </c>
      <c r="Q99" s="9" t="s">
        <v>47</v>
      </c>
      <c r="R99" s="16"/>
      <c r="S99" s="10">
        <v>123</v>
      </c>
      <c r="T99" s="10">
        <v>142</v>
      </c>
      <c r="U99" s="10">
        <v>135</v>
      </c>
      <c r="V99" s="11">
        <v>15</v>
      </c>
      <c r="W99" s="12" t="s">
        <v>47</v>
      </c>
      <c r="X99" s="17"/>
      <c r="Y99" s="13">
        <v>54</v>
      </c>
      <c r="Z99" s="13">
        <v>56</v>
      </c>
      <c r="AA99" s="13">
        <v>47</v>
      </c>
      <c r="AB99" s="14">
        <v>14</v>
      </c>
      <c r="AC99" s="9"/>
      <c r="AD99" s="16"/>
      <c r="AE99" s="10"/>
      <c r="AF99" s="10"/>
      <c r="AG99" s="10"/>
      <c r="AH99" s="11"/>
      <c r="AI99" s="12"/>
      <c r="AJ99" s="17"/>
      <c r="AK99" s="13"/>
      <c r="AL99" s="13"/>
      <c r="AM99" s="13"/>
      <c r="AN99" s="14"/>
      <c r="AO99" s="9"/>
      <c r="AP99" s="16"/>
      <c r="AQ99" s="10"/>
      <c r="AR99" s="10"/>
      <c r="AS99" s="10"/>
      <c r="AT99" s="11"/>
      <c r="AU99" s="12"/>
      <c r="AV99" s="17"/>
      <c r="AW99" s="13"/>
      <c r="AX99" s="13"/>
      <c r="AY99" s="13"/>
      <c r="AZ99" s="14"/>
      <c r="BA99" s="9"/>
      <c r="BB99" s="16"/>
      <c r="BC99" s="10"/>
      <c r="BD99" s="10"/>
      <c r="BE99" s="10"/>
      <c r="BF99" s="11"/>
      <c r="BG99" s="12"/>
      <c r="BH99" s="17"/>
      <c r="BI99" s="13"/>
      <c r="BJ99" s="13"/>
      <c r="BK99" s="13"/>
      <c r="BL99" s="14"/>
      <c r="BM99" s="8">
        <f t="shared" si="18"/>
        <v>177</v>
      </c>
      <c r="BN99" s="8">
        <f t="shared" si="19"/>
        <v>198</v>
      </c>
      <c r="BO99" s="8">
        <f t="shared" si="20"/>
        <v>182</v>
      </c>
      <c r="BP99" s="8">
        <f t="shared" si="21"/>
        <v>29</v>
      </c>
      <c r="BQ99" s="8">
        <f t="shared" si="22"/>
        <v>198</v>
      </c>
      <c r="BR99" s="8">
        <f t="shared" si="23"/>
        <v>177</v>
      </c>
      <c r="BS99" s="15">
        <f t="shared" si="24"/>
        <v>45.181782494582414</v>
      </c>
      <c r="BT99" s="15" t="str">
        <f t="shared" si="25"/>
        <v>OK - No Upgrade</v>
      </c>
      <c r="BU99" s="15" t="str">
        <f t="shared" si="26"/>
        <v>OK - Balanced</v>
      </c>
    </row>
    <row r="100" spans="1:73" ht="15.75" customHeight="1" x14ac:dyDescent="0.25">
      <c r="A100" s="8" t="s">
        <v>1021</v>
      </c>
      <c r="B100" s="8" t="s">
        <v>1021</v>
      </c>
      <c r="C100" s="8" t="s">
        <v>40</v>
      </c>
      <c r="D100" s="8" t="s">
        <v>1236</v>
      </c>
      <c r="E100" s="8" t="s">
        <v>1060</v>
      </c>
      <c r="F100" s="8" t="s">
        <v>43</v>
      </c>
      <c r="G100" s="8" t="s">
        <v>44</v>
      </c>
      <c r="H100" s="8">
        <v>315</v>
      </c>
      <c r="I100" s="8" t="s">
        <v>1238</v>
      </c>
      <c r="J100" s="8">
        <v>2</v>
      </c>
      <c r="K100" s="8">
        <v>245</v>
      </c>
      <c r="L100" s="8">
        <v>245</v>
      </c>
      <c r="M100" s="8">
        <v>244</v>
      </c>
      <c r="N100" s="8">
        <v>425</v>
      </c>
      <c r="O100" s="8">
        <v>423</v>
      </c>
      <c r="P100" s="8">
        <v>421</v>
      </c>
      <c r="Q100" s="9" t="s">
        <v>46</v>
      </c>
      <c r="R100" s="16"/>
      <c r="S100" s="10">
        <v>158</v>
      </c>
      <c r="T100" s="10">
        <v>178</v>
      </c>
      <c r="U100" s="10">
        <v>167</v>
      </c>
      <c r="V100" s="11">
        <v>15</v>
      </c>
      <c r="W100" s="12" t="s">
        <v>46</v>
      </c>
      <c r="X100" s="17"/>
      <c r="Y100" s="13">
        <v>81</v>
      </c>
      <c r="Z100" s="13">
        <v>74</v>
      </c>
      <c r="AA100" s="13">
        <v>78</v>
      </c>
      <c r="AB100" s="14">
        <v>13</v>
      </c>
      <c r="AC100" s="9"/>
      <c r="AD100" s="16"/>
      <c r="AE100" s="10"/>
      <c r="AF100" s="10"/>
      <c r="AG100" s="10"/>
      <c r="AH100" s="11"/>
      <c r="AI100" s="12"/>
      <c r="AJ100" s="17"/>
      <c r="AK100" s="13"/>
      <c r="AL100" s="13"/>
      <c r="AM100" s="13"/>
      <c r="AN100" s="14"/>
      <c r="AO100" s="9"/>
      <c r="AP100" s="16"/>
      <c r="AQ100" s="10"/>
      <c r="AR100" s="10"/>
      <c r="AS100" s="10"/>
      <c r="AT100" s="11"/>
      <c r="AU100" s="12"/>
      <c r="AV100" s="17"/>
      <c r="AW100" s="13"/>
      <c r="AX100" s="13"/>
      <c r="AY100" s="13"/>
      <c r="AZ100" s="14"/>
      <c r="BA100" s="9"/>
      <c r="BB100" s="16"/>
      <c r="BC100" s="10"/>
      <c r="BD100" s="10"/>
      <c r="BE100" s="10"/>
      <c r="BF100" s="11"/>
      <c r="BG100" s="12"/>
      <c r="BH100" s="17"/>
      <c r="BI100" s="13"/>
      <c r="BJ100" s="13"/>
      <c r="BK100" s="13"/>
      <c r="BL100" s="14"/>
      <c r="BM100" s="8">
        <f t="shared" ref="BM100:BM131" si="27">SUM(S100,Y100,AE100,AK100,AQ100,AW100,BC100,BI100)</f>
        <v>239</v>
      </c>
      <c r="BN100" s="8">
        <f t="shared" ref="BN100:BN131" si="28">SUM(T100,Z100,AF100,AL100,AR100,AX100,BD100,BJ100)</f>
        <v>252</v>
      </c>
      <c r="BO100" s="8">
        <f t="shared" ref="BO100:BO131" si="29">SUM(U100,AA100,AG100,AM100,AS100,AY100,BE100,BK100)</f>
        <v>245</v>
      </c>
      <c r="BP100" s="8">
        <f t="shared" ref="BP100:BP131" si="30">SUM(V100,AB100,AH100,AN100,AT100,AZ100,BF100,BL100)</f>
        <v>28</v>
      </c>
      <c r="BQ100" s="8">
        <f t="shared" ref="BQ100:BQ131" si="31">MAX(BM100:BO100)</f>
        <v>252</v>
      </c>
      <c r="BR100" s="8">
        <f t="shared" ref="BR100:BR131" si="32">MIN(BM100:BO100)</f>
        <v>239</v>
      </c>
      <c r="BS100" s="15">
        <f t="shared" ref="BS100:BS131" si="33">IF(H100&gt;0,(BQ100*SQRT(3)*IF(N100&gt;0,N100,IF(O100&gt;0,O100,IF(P100&gt;0,P100,415)))/(H100*1000))*100,0)</f>
        <v>58.88972745734182</v>
      </c>
      <c r="BT100" s="15" t="str">
        <f t="shared" ref="BT100:BT131" si="34">IF(BS100&gt;70,"Upgrade","OK - No Upgrade")</f>
        <v>OK - No Upgrade</v>
      </c>
      <c r="BU100" s="15" t="str">
        <f t="shared" ref="BU100:BU131" si="35">IF(IF(AVERAGE(BM100:BO100)&gt;0,((BQ100-AVERAGE(BM100:BO100))/AVERAGE(BM100:BO100))*100,0)&gt;10,"Need to Balance","OK - Balanced")</f>
        <v>OK - Balanced</v>
      </c>
    </row>
    <row r="101" spans="1:73" ht="15.75" customHeight="1" x14ac:dyDescent="0.25">
      <c r="A101" s="8" t="s">
        <v>1021</v>
      </c>
      <c r="B101" s="8" t="s">
        <v>1021</v>
      </c>
      <c r="C101" s="8" t="s">
        <v>40</v>
      </c>
      <c r="D101" s="8" t="s">
        <v>1239</v>
      </c>
      <c r="E101" s="8" t="s">
        <v>1240</v>
      </c>
      <c r="F101" s="8" t="s">
        <v>43</v>
      </c>
      <c r="G101" s="8"/>
      <c r="H101" s="8">
        <v>200</v>
      </c>
      <c r="I101" s="8" t="s">
        <v>1241</v>
      </c>
      <c r="J101" s="8">
        <v>1</v>
      </c>
      <c r="K101" s="8">
        <v>239</v>
      </c>
      <c r="L101" s="8">
        <v>242</v>
      </c>
      <c r="M101" s="8">
        <v>239</v>
      </c>
      <c r="N101" s="8">
        <v>417</v>
      </c>
      <c r="O101" s="8">
        <v>413</v>
      </c>
      <c r="P101" s="8">
        <v>416</v>
      </c>
      <c r="Q101" s="9" t="s">
        <v>46</v>
      </c>
      <c r="R101" s="16"/>
      <c r="S101" s="10">
        <v>86</v>
      </c>
      <c r="T101" s="10">
        <v>81</v>
      </c>
      <c r="U101" s="10">
        <v>86</v>
      </c>
      <c r="V101" s="11">
        <v>8</v>
      </c>
      <c r="W101" s="12"/>
      <c r="X101" s="17"/>
      <c r="Y101" s="13"/>
      <c r="Z101" s="13"/>
      <c r="AA101" s="13"/>
      <c r="AB101" s="14"/>
      <c r="AC101" s="9"/>
      <c r="AD101" s="16"/>
      <c r="AE101" s="10"/>
      <c r="AF101" s="10"/>
      <c r="AG101" s="10"/>
      <c r="AH101" s="11"/>
      <c r="AI101" s="12"/>
      <c r="AJ101" s="17"/>
      <c r="AK101" s="13"/>
      <c r="AL101" s="13"/>
      <c r="AM101" s="13"/>
      <c r="AN101" s="14"/>
      <c r="AO101" s="9"/>
      <c r="AP101" s="16"/>
      <c r="AQ101" s="10"/>
      <c r="AR101" s="10"/>
      <c r="AS101" s="10"/>
      <c r="AT101" s="11"/>
      <c r="AU101" s="12"/>
      <c r="AV101" s="17"/>
      <c r="AW101" s="13"/>
      <c r="AX101" s="13"/>
      <c r="AY101" s="13"/>
      <c r="AZ101" s="14"/>
      <c r="BA101" s="9"/>
      <c r="BB101" s="16"/>
      <c r="BC101" s="10"/>
      <c r="BD101" s="10"/>
      <c r="BE101" s="10"/>
      <c r="BF101" s="11"/>
      <c r="BG101" s="12"/>
      <c r="BH101" s="17"/>
      <c r="BI101" s="13"/>
      <c r="BJ101" s="13"/>
      <c r="BK101" s="13"/>
      <c r="BL101" s="14"/>
      <c r="BM101" s="8">
        <f t="shared" si="27"/>
        <v>86</v>
      </c>
      <c r="BN101" s="8">
        <f t="shared" si="28"/>
        <v>81</v>
      </c>
      <c r="BO101" s="8">
        <f t="shared" si="29"/>
        <v>86</v>
      </c>
      <c r="BP101" s="8">
        <f t="shared" si="30"/>
        <v>8</v>
      </c>
      <c r="BQ101" s="8">
        <f t="shared" si="31"/>
        <v>86</v>
      </c>
      <c r="BR101" s="8">
        <f t="shared" si="32"/>
        <v>81</v>
      </c>
      <c r="BS101" s="15">
        <f t="shared" si="33"/>
        <v>31.057403030517538</v>
      </c>
      <c r="BT101" s="15" t="str">
        <f t="shared" si="34"/>
        <v>OK - No Upgrade</v>
      </c>
      <c r="BU101" s="15" t="str">
        <f t="shared" si="35"/>
        <v>OK - Balanced</v>
      </c>
    </row>
    <row r="102" spans="1:73" ht="15.75" customHeight="1" x14ac:dyDescent="0.25">
      <c r="A102" s="8" t="s">
        <v>1021</v>
      </c>
      <c r="B102" s="8" t="s">
        <v>1021</v>
      </c>
      <c r="C102" s="8" t="s">
        <v>40</v>
      </c>
      <c r="D102" s="8" t="s">
        <v>1239</v>
      </c>
      <c r="E102" s="8" t="s">
        <v>1240</v>
      </c>
      <c r="F102" s="8" t="s">
        <v>43</v>
      </c>
      <c r="G102" s="8" t="s">
        <v>44</v>
      </c>
      <c r="H102" s="8">
        <v>200</v>
      </c>
      <c r="I102" s="8" t="s">
        <v>1242</v>
      </c>
      <c r="J102" s="8">
        <v>2</v>
      </c>
      <c r="K102" s="8">
        <v>246</v>
      </c>
      <c r="L102" s="8">
        <v>247</v>
      </c>
      <c r="M102" s="8">
        <v>245</v>
      </c>
      <c r="N102" s="8">
        <v>427</v>
      </c>
      <c r="O102" s="8">
        <v>425</v>
      </c>
      <c r="P102" s="8">
        <v>423</v>
      </c>
      <c r="Q102" s="9" t="s">
        <v>46</v>
      </c>
      <c r="R102" s="16"/>
      <c r="S102" s="10">
        <v>109</v>
      </c>
      <c r="T102" s="10">
        <v>95</v>
      </c>
      <c r="U102" s="10">
        <v>104</v>
      </c>
      <c r="V102" s="11">
        <v>18</v>
      </c>
      <c r="W102" s="12"/>
      <c r="X102" s="17"/>
      <c r="Y102" s="13"/>
      <c r="Z102" s="13"/>
      <c r="AA102" s="13"/>
      <c r="AB102" s="14"/>
      <c r="AC102" s="9"/>
      <c r="AD102" s="16"/>
      <c r="AE102" s="10"/>
      <c r="AF102" s="10"/>
      <c r="AG102" s="10"/>
      <c r="AH102" s="11"/>
      <c r="AI102" s="12"/>
      <c r="AJ102" s="17"/>
      <c r="AK102" s="13"/>
      <c r="AL102" s="13"/>
      <c r="AM102" s="13"/>
      <c r="AN102" s="14"/>
      <c r="AO102" s="9"/>
      <c r="AP102" s="16"/>
      <c r="AQ102" s="10"/>
      <c r="AR102" s="10"/>
      <c r="AS102" s="10"/>
      <c r="AT102" s="11"/>
      <c r="AU102" s="12"/>
      <c r="AV102" s="17"/>
      <c r="AW102" s="13"/>
      <c r="AX102" s="13"/>
      <c r="AY102" s="13"/>
      <c r="AZ102" s="14"/>
      <c r="BA102" s="9"/>
      <c r="BB102" s="16"/>
      <c r="BC102" s="10"/>
      <c r="BD102" s="10"/>
      <c r="BE102" s="10"/>
      <c r="BF102" s="11"/>
      <c r="BG102" s="12"/>
      <c r="BH102" s="17"/>
      <c r="BI102" s="13"/>
      <c r="BJ102" s="13"/>
      <c r="BK102" s="13"/>
      <c r="BL102" s="14"/>
      <c r="BM102" s="8">
        <f t="shared" si="27"/>
        <v>109</v>
      </c>
      <c r="BN102" s="8">
        <f t="shared" si="28"/>
        <v>95</v>
      </c>
      <c r="BO102" s="8">
        <f t="shared" si="29"/>
        <v>104</v>
      </c>
      <c r="BP102" s="8">
        <f t="shared" si="30"/>
        <v>18</v>
      </c>
      <c r="BQ102" s="8">
        <f t="shared" si="31"/>
        <v>109</v>
      </c>
      <c r="BR102" s="8">
        <f t="shared" si="32"/>
        <v>95</v>
      </c>
      <c r="BS102" s="15">
        <f t="shared" si="33"/>
        <v>40.307420368339123</v>
      </c>
      <c r="BT102" s="15" t="str">
        <f t="shared" si="34"/>
        <v>OK - No Upgrade</v>
      </c>
      <c r="BU102" s="15" t="str">
        <f t="shared" si="35"/>
        <v>OK - Balanced</v>
      </c>
    </row>
    <row r="103" spans="1:73" ht="15.75" customHeight="1" x14ac:dyDescent="0.25">
      <c r="A103" s="8" t="s">
        <v>1021</v>
      </c>
      <c r="B103" s="8" t="s">
        <v>1021</v>
      </c>
      <c r="C103" s="8" t="s">
        <v>40</v>
      </c>
      <c r="D103" s="8" t="s">
        <v>1243</v>
      </c>
      <c r="E103" s="8" t="s">
        <v>1244</v>
      </c>
      <c r="F103" s="8" t="s">
        <v>43</v>
      </c>
      <c r="G103" s="8"/>
      <c r="H103" s="8">
        <v>100</v>
      </c>
      <c r="I103" s="8" t="s">
        <v>1245</v>
      </c>
      <c r="J103" s="8">
        <v>1</v>
      </c>
      <c r="K103" s="8">
        <v>236</v>
      </c>
      <c r="L103" s="8">
        <v>238</v>
      </c>
      <c r="M103" s="8">
        <v>236</v>
      </c>
      <c r="N103" s="8">
        <v>409</v>
      </c>
      <c r="O103" s="8">
        <v>406</v>
      </c>
      <c r="P103" s="8">
        <v>409</v>
      </c>
      <c r="Q103" s="9" t="s">
        <v>46</v>
      </c>
      <c r="R103" s="16"/>
      <c r="S103" s="10">
        <v>100</v>
      </c>
      <c r="T103" s="10">
        <v>99</v>
      </c>
      <c r="U103" s="10">
        <v>95</v>
      </c>
      <c r="V103" s="11">
        <v>5</v>
      </c>
      <c r="W103" s="12"/>
      <c r="X103" s="17"/>
      <c r="Y103" s="13"/>
      <c r="Z103" s="13"/>
      <c r="AA103" s="13"/>
      <c r="AB103" s="14"/>
      <c r="AC103" s="9"/>
      <c r="AD103" s="16"/>
      <c r="AE103" s="10"/>
      <c r="AF103" s="10"/>
      <c r="AG103" s="10"/>
      <c r="AH103" s="11"/>
      <c r="AI103" s="12"/>
      <c r="AJ103" s="17"/>
      <c r="AK103" s="13"/>
      <c r="AL103" s="13"/>
      <c r="AM103" s="13"/>
      <c r="AN103" s="14"/>
      <c r="AO103" s="9"/>
      <c r="AP103" s="16"/>
      <c r="AQ103" s="10"/>
      <c r="AR103" s="10"/>
      <c r="AS103" s="10"/>
      <c r="AT103" s="11"/>
      <c r="AU103" s="12"/>
      <c r="AV103" s="17"/>
      <c r="AW103" s="13"/>
      <c r="AX103" s="13"/>
      <c r="AY103" s="13"/>
      <c r="AZ103" s="14"/>
      <c r="BA103" s="9"/>
      <c r="BB103" s="16"/>
      <c r="BC103" s="10"/>
      <c r="BD103" s="10"/>
      <c r="BE103" s="10"/>
      <c r="BF103" s="11"/>
      <c r="BG103" s="12"/>
      <c r="BH103" s="17"/>
      <c r="BI103" s="13"/>
      <c r="BJ103" s="13"/>
      <c r="BK103" s="13"/>
      <c r="BL103" s="14"/>
      <c r="BM103" s="8">
        <f t="shared" si="27"/>
        <v>100</v>
      </c>
      <c r="BN103" s="8">
        <f t="shared" si="28"/>
        <v>99</v>
      </c>
      <c r="BO103" s="8">
        <f t="shared" si="29"/>
        <v>95</v>
      </c>
      <c r="BP103" s="8">
        <f t="shared" si="30"/>
        <v>5</v>
      </c>
      <c r="BQ103" s="8">
        <f t="shared" si="31"/>
        <v>100</v>
      </c>
      <c r="BR103" s="8">
        <f t="shared" si="32"/>
        <v>95</v>
      </c>
      <c r="BS103" s="15">
        <f t="shared" si="33"/>
        <v>70.840878029567079</v>
      </c>
      <c r="BT103" s="15" t="str">
        <f t="shared" si="34"/>
        <v>Upgrade</v>
      </c>
      <c r="BU103" s="15" t="str">
        <f t="shared" si="35"/>
        <v>OK - Balanced</v>
      </c>
    </row>
    <row r="104" spans="1:73" ht="15.75" customHeight="1" x14ac:dyDescent="0.25">
      <c r="A104" s="8" t="s">
        <v>1021</v>
      </c>
      <c r="B104" s="8" t="s">
        <v>1021</v>
      </c>
      <c r="C104" s="8" t="s">
        <v>40</v>
      </c>
      <c r="D104" s="8" t="s">
        <v>1243</v>
      </c>
      <c r="E104" s="8" t="s">
        <v>1244</v>
      </c>
      <c r="F104" s="8" t="s">
        <v>43</v>
      </c>
      <c r="G104" s="8" t="s">
        <v>1077</v>
      </c>
      <c r="H104" s="8">
        <v>100</v>
      </c>
      <c r="I104" s="8" t="s">
        <v>1246</v>
      </c>
      <c r="J104" s="8">
        <v>2</v>
      </c>
      <c r="K104" s="8">
        <v>242</v>
      </c>
      <c r="L104" s="8">
        <v>244</v>
      </c>
      <c r="M104" s="8">
        <v>242</v>
      </c>
      <c r="N104" s="8">
        <v>421</v>
      </c>
      <c r="O104" s="8">
        <v>420</v>
      </c>
      <c r="P104" s="8">
        <v>419</v>
      </c>
      <c r="Q104" s="9" t="s">
        <v>46</v>
      </c>
      <c r="R104" s="16"/>
      <c r="S104" s="10">
        <v>108</v>
      </c>
      <c r="T104" s="10">
        <v>99</v>
      </c>
      <c r="U104" s="10">
        <v>96</v>
      </c>
      <c r="V104" s="11">
        <v>12</v>
      </c>
      <c r="W104" s="12"/>
      <c r="X104" s="17"/>
      <c r="Y104" s="13"/>
      <c r="Z104" s="13"/>
      <c r="AA104" s="13"/>
      <c r="AB104" s="14"/>
      <c r="AC104" s="9"/>
      <c r="AD104" s="16"/>
      <c r="AE104" s="10"/>
      <c r="AF104" s="10"/>
      <c r="AG104" s="10"/>
      <c r="AH104" s="11"/>
      <c r="AI104" s="12"/>
      <c r="AJ104" s="17"/>
      <c r="AK104" s="13"/>
      <c r="AL104" s="13"/>
      <c r="AM104" s="13"/>
      <c r="AN104" s="14"/>
      <c r="AO104" s="9"/>
      <c r="AP104" s="16"/>
      <c r="AQ104" s="10"/>
      <c r="AR104" s="10"/>
      <c r="AS104" s="10"/>
      <c r="AT104" s="11"/>
      <c r="AU104" s="12"/>
      <c r="AV104" s="17"/>
      <c r="AW104" s="13"/>
      <c r="AX104" s="13"/>
      <c r="AY104" s="13"/>
      <c r="AZ104" s="14"/>
      <c r="BA104" s="9"/>
      <c r="BB104" s="16"/>
      <c r="BC104" s="10"/>
      <c r="BD104" s="10"/>
      <c r="BE104" s="10"/>
      <c r="BF104" s="11"/>
      <c r="BG104" s="12"/>
      <c r="BH104" s="17"/>
      <c r="BI104" s="13"/>
      <c r="BJ104" s="13"/>
      <c r="BK104" s="13"/>
      <c r="BL104" s="14"/>
      <c r="BM104" s="8">
        <f t="shared" si="27"/>
        <v>108</v>
      </c>
      <c r="BN104" s="8">
        <f t="shared" si="28"/>
        <v>99</v>
      </c>
      <c r="BO104" s="8">
        <f t="shared" si="29"/>
        <v>96</v>
      </c>
      <c r="BP104" s="8">
        <f t="shared" si="30"/>
        <v>12</v>
      </c>
      <c r="BQ104" s="8">
        <f t="shared" si="31"/>
        <v>108</v>
      </c>
      <c r="BR104" s="8">
        <f t="shared" si="32"/>
        <v>96</v>
      </c>
      <c r="BS104" s="15">
        <f t="shared" si="33"/>
        <v>78.75288611854171</v>
      </c>
      <c r="BT104" s="15" t="str">
        <f t="shared" si="34"/>
        <v>Upgrade</v>
      </c>
      <c r="BU104" s="15" t="str">
        <f t="shared" si="35"/>
        <v>OK - Balanced</v>
      </c>
    </row>
    <row r="105" spans="1:73" ht="15.75" customHeight="1" x14ac:dyDescent="0.25">
      <c r="A105" s="8" t="s">
        <v>1021</v>
      </c>
      <c r="B105" s="8" t="s">
        <v>1021</v>
      </c>
      <c r="C105" s="8" t="s">
        <v>40</v>
      </c>
      <c r="D105" s="8" t="s">
        <v>1247</v>
      </c>
      <c r="E105" s="8" t="s">
        <v>1072</v>
      </c>
      <c r="F105" s="8" t="s">
        <v>43</v>
      </c>
      <c r="G105" s="8"/>
      <c r="H105" s="8">
        <v>100</v>
      </c>
      <c r="I105" s="8" t="s">
        <v>1248</v>
      </c>
      <c r="J105" s="8">
        <v>1</v>
      </c>
      <c r="K105" s="8">
        <v>232</v>
      </c>
      <c r="L105" s="8">
        <v>234</v>
      </c>
      <c r="M105" s="8">
        <v>232</v>
      </c>
      <c r="N105" s="8">
        <v>403</v>
      </c>
      <c r="O105" s="8">
        <v>403</v>
      </c>
      <c r="P105" s="8">
        <v>404</v>
      </c>
      <c r="Q105" s="9" t="s">
        <v>46</v>
      </c>
      <c r="R105" s="16"/>
      <c r="S105" s="10">
        <v>2</v>
      </c>
      <c r="T105" s="10">
        <v>1</v>
      </c>
      <c r="U105" s="10">
        <v>3</v>
      </c>
      <c r="V105" s="11">
        <v>2</v>
      </c>
      <c r="W105" s="12"/>
      <c r="X105" s="17"/>
      <c r="Y105" s="13"/>
      <c r="Z105" s="13"/>
      <c r="AA105" s="13"/>
      <c r="AB105" s="14"/>
      <c r="AC105" s="9"/>
      <c r="AD105" s="16"/>
      <c r="AE105" s="10"/>
      <c r="AF105" s="10"/>
      <c r="AG105" s="10"/>
      <c r="AH105" s="11"/>
      <c r="AI105" s="12"/>
      <c r="AJ105" s="17"/>
      <c r="AK105" s="13"/>
      <c r="AL105" s="13"/>
      <c r="AM105" s="13"/>
      <c r="AN105" s="14"/>
      <c r="AO105" s="9"/>
      <c r="AP105" s="16"/>
      <c r="AQ105" s="10"/>
      <c r="AR105" s="10"/>
      <c r="AS105" s="10"/>
      <c r="AT105" s="11"/>
      <c r="AU105" s="12"/>
      <c r="AV105" s="17"/>
      <c r="AW105" s="13"/>
      <c r="AX105" s="13"/>
      <c r="AY105" s="13"/>
      <c r="AZ105" s="14"/>
      <c r="BA105" s="9"/>
      <c r="BB105" s="16"/>
      <c r="BC105" s="10"/>
      <c r="BD105" s="10"/>
      <c r="BE105" s="10"/>
      <c r="BF105" s="11"/>
      <c r="BG105" s="12"/>
      <c r="BH105" s="17"/>
      <c r="BI105" s="13"/>
      <c r="BJ105" s="13"/>
      <c r="BK105" s="13"/>
      <c r="BL105" s="14"/>
      <c r="BM105" s="8">
        <f t="shared" si="27"/>
        <v>2</v>
      </c>
      <c r="BN105" s="8">
        <f t="shared" si="28"/>
        <v>1</v>
      </c>
      <c r="BO105" s="8">
        <f t="shared" si="29"/>
        <v>3</v>
      </c>
      <c r="BP105" s="8">
        <f t="shared" si="30"/>
        <v>2</v>
      </c>
      <c r="BQ105" s="8">
        <f t="shared" si="31"/>
        <v>3</v>
      </c>
      <c r="BR105" s="8">
        <f t="shared" si="32"/>
        <v>1</v>
      </c>
      <c r="BS105" s="15">
        <f t="shared" si="33"/>
        <v>2.0940494263507725</v>
      </c>
      <c r="BT105" s="15" t="str">
        <f t="shared" si="34"/>
        <v>OK - No Upgrade</v>
      </c>
      <c r="BU105" s="15" t="str">
        <f t="shared" si="35"/>
        <v>Need to Balance</v>
      </c>
    </row>
    <row r="106" spans="1:73" ht="15.75" customHeight="1" x14ac:dyDescent="0.25">
      <c r="A106" s="8" t="s">
        <v>1021</v>
      </c>
      <c r="B106" s="8" t="s">
        <v>1021</v>
      </c>
      <c r="C106" s="8" t="s">
        <v>40</v>
      </c>
      <c r="D106" s="8" t="s">
        <v>1247</v>
      </c>
      <c r="E106" s="8" t="s">
        <v>1072</v>
      </c>
      <c r="F106" s="8" t="s">
        <v>43</v>
      </c>
      <c r="G106" s="8" t="s">
        <v>44</v>
      </c>
      <c r="H106" s="8">
        <v>100</v>
      </c>
      <c r="I106" s="8" t="s">
        <v>1249</v>
      </c>
      <c r="J106" s="8">
        <v>2</v>
      </c>
      <c r="K106" s="8">
        <v>238</v>
      </c>
      <c r="L106" s="8">
        <v>239</v>
      </c>
      <c r="M106" s="8">
        <v>237</v>
      </c>
      <c r="N106" s="8">
        <v>414</v>
      </c>
      <c r="O106" s="8">
        <v>412</v>
      </c>
      <c r="P106" s="8">
        <v>411</v>
      </c>
      <c r="Q106" s="9" t="s">
        <v>46</v>
      </c>
      <c r="R106" s="16"/>
      <c r="S106" s="10">
        <v>1</v>
      </c>
      <c r="T106" s="10">
        <v>0</v>
      </c>
      <c r="U106" s="10">
        <v>0</v>
      </c>
      <c r="V106" s="11">
        <v>0</v>
      </c>
      <c r="W106" s="12"/>
      <c r="X106" s="17"/>
      <c r="Y106" s="13"/>
      <c r="Z106" s="13"/>
      <c r="AA106" s="13"/>
      <c r="AB106" s="14"/>
      <c r="AC106" s="9"/>
      <c r="AD106" s="16"/>
      <c r="AE106" s="10"/>
      <c r="AF106" s="10"/>
      <c r="AG106" s="10"/>
      <c r="AH106" s="11"/>
      <c r="AI106" s="12"/>
      <c r="AJ106" s="17"/>
      <c r="AK106" s="13"/>
      <c r="AL106" s="13"/>
      <c r="AM106" s="13"/>
      <c r="AN106" s="14"/>
      <c r="AO106" s="9"/>
      <c r="AP106" s="16"/>
      <c r="AQ106" s="10"/>
      <c r="AR106" s="10"/>
      <c r="AS106" s="10"/>
      <c r="AT106" s="11"/>
      <c r="AU106" s="12"/>
      <c r="AV106" s="17"/>
      <c r="AW106" s="13"/>
      <c r="AX106" s="13"/>
      <c r="AY106" s="13"/>
      <c r="AZ106" s="14"/>
      <c r="BA106" s="9"/>
      <c r="BB106" s="16"/>
      <c r="BC106" s="10"/>
      <c r="BD106" s="10"/>
      <c r="BE106" s="10"/>
      <c r="BF106" s="11"/>
      <c r="BG106" s="12"/>
      <c r="BH106" s="17"/>
      <c r="BI106" s="13"/>
      <c r="BJ106" s="13"/>
      <c r="BK106" s="13"/>
      <c r="BL106" s="14"/>
      <c r="BM106" s="8">
        <f t="shared" si="27"/>
        <v>1</v>
      </c>
      <c r="BN106" s="8">
        <f t="shared" si="28"/>
        <v>0</v>
      </c>
      <c r="BO106" s="8">
        <f t="shared" si="29"/>
        <v>0</v>
      </c>
      <c r="BP106" s="8">
        <f t="shared" si="30"/>
        <v>0</v>
      </c>
      <c r="BQ106" s="8">
        <f t="shared" si="31"/>
        <v>1</v>
      </c>
      <c r="BR106" s="8">
        <f t="shared" si="32"/>
        <v>0</v>
      </c>
      <c r="BS106" s="15">
        <f t="shared" si="33"/>
        <v>0.7170690343335151</v>
      </c>
      <c r="BT106" s="15" t="str">
        <f t="shared" si="34"/>
        <v>OK - No Upgrade</v>
      </c>
      <c r="BU106" s="15" t="str">
        <f t="shared" si="35"/>
        <v>Need to Balance</v>
      </c>
    </row>
    <row r="107" spans="1:73" ht="15.75" customHeight="1" x14ac:dyDescent="0.25">
      <c r="A107" s="8" t="s">
        <v>1021</v>
      </c>
      <c r="B107" s="8" t="s">
        <v>1021</v>
      </c>
      <c r="C107" s="8" t="s">
        <v>124</v>
      </c>
      <c r="D107" s="8" t="s">
        <v>1250</v>
      </c>
      <c r="E107" s="8" t="s">
        <v>440</v>
      </c>
      <c r="F107" s="8" t="s">
        <v>43</v>
      </c>
      <c r="G107" s="8"/>
      <c r="H107" s="8">
        <v>100</v>
      </c>
      <c r="I107" s="8" t="s">
        <v>1251</v>
      </c>
      <c r="J107" s="8">
        <v>1</v>
      </c>
      <c r="K107" s="8">
        <v>241</v>
      </c>
      <c r="L107" s="8">
        <v>244</v>
      </c>
      <c r="M107" s="8">
        <v>242</v>
      </c>
      <c r="N107" s="8">
        <v>424</v>
      </c>
      <c r="O107" s="8">
        <v>421</v>
      </c>
      <c r="P107" s="8">
        <v>422</v>
      </c>
      <c r="Q107" s="9" t="s">
        <v>46</v>
      </c>
      <c r="R107" s="16"/>
      <c r="S107" s="10">
        <v>0</v>
      </c>
      <c r="T107" s="10">
        <v>0</v>
      </c>
      <c r="U107" s="10">
        <v>0</v>
      </c>
      <c r="V107" s="11">
        <v>0</v>
      </c>
      <c r="W107" s="12"/>
      <c r="X107" s="17"/>
      <c r="Y107" s="13"/>
      <c r="Z107" s="13"/>
      <c r="AA107" s="13"/>
      <c r="AB107" s="14"/>
      <c r="AC107" s="9"/>
      <c r="AD107" s="16"/>
      <c r="AE107" s="10"/>
      <c r="AF107" s="10"/>
      <c r="AG107" s="10"/>
      <c r="AH107" s="11"/>
      <c r="AI107" s="12"/>
      <c r="AJ107" s="17"/>
      <c r="AK107" s="13"/>
      <c r="AL107" s="13"/>
      <c r="AM107" s="13"/>
      <c r="AN107" s="14"/>
      <c r="AO107" s="9"/>
      <c r="AP107" s="16"/>
      <c r="AQ107" s="10"/>
      <c r="AR107" s="10"/>
      <c r="AS107" s="10"/>
      <c r="AT107" s="11"/>
      <c r="AU107" s="12"/>
      <c r="AV107" s="17"/>
      <c r="AW107" s="13"/>
      <c r="AX107" s="13"/>
      <c r="AY107" s="13"/>
      <c r="AZ107" s="14"/>
      <c r="BA107" s="9"/>
      <c r="BB107" s="16"/>
      <c r="BC107" s="10"/>
      <c r="BD107" s="10"/>
      <c r="BE107" s="10"/>
      <c r="BF107" s="11"/>
      <c r="BG107" s="12"/>
      <c r="BH107" s="17"/>
      <c r="BI107" s="13"/>
      <c r="BJ107" s="13"/>
      <c r="BK107" s="13"/>
      <c r="BL107" s="14"/>
      <c r="BM107" s="8">
        <f t="shared" si="27"/>
        <v>0</v>
      </c>
      <c r="BN107" s="8">
        <f t="shared" si="28"/>
        <v>0</v>
      </c>
      <c r="BO107" s="8">
        <f t="shared" si="29"/>
        <v>0</v>
      </c>
      <c r="BP107" s="8">
        <f t="shared" si="30"/>
        <v>0</v>
      </c>
      <c r="BQ107" s="8">
        <f t="shared" si="31"/>
        <v>0</v>
      </c>
      <c r="BR107" s="8">
        <f t="shared" si="32"/>
        <v>0</v>
      </c>
      <c r="BS107" s="15">
        <f t="shared" si="33"/>
        <v>0</v>
      </c>
      <c r="BT107" s="15" t="str">
        <f t="shared" si="34"/>
        <v>OK - No Upgrade</v>
      </c>
      <c r="BU107" s="15" t="str">
        <f t="shared" si="35"/>
        <v>OK - Balanced</v>
      </c>
    </row>
    <row r="108" spans="1:73" ht="15.75" customHeight="1" x14ac:dyDescent="0.25">
      <c r="A108" s="8" t="s">
        <v>1021</v>
      </c>
      <c r="B108" s="8" t="s">
        <v>1021</v>
      </c>
      <c r="C108" s="8" t="s">
        <v>124</v>
      </c>
      <c r="D108" s="8" t="s">
        <v>1252</v>
      </c>
      <c r="E108" s="8" t="s">
        <v>622</v>
      </c>
      <c r="F108" s="8" t="s">
        <v>43</v>
      </c>
      <c r="G108" s="8"/>
      <c r="H108" s="8">
        <v>100</v>
      </c>
      <c r="I108" s="8" t="s">
        <v>1253</v>
      </c>
      <c r="J108" s="8">
        <v>1</v>
      </c>
      <c r="K108" s="8">
        <v>241</v>
      </c>
      <c r="L108" s="8">
        <v>240</v>
      </c>
      <c r="M108" s="8">
        <v>242</v>
      </c>
      <c r="N108" s="8">
        <v>420</v>
      </c>
      <c r="O108" s="8">
        <v>419</v>
      </c>
      <c r="P108" s="8">
        <v>420</v>
      </c>
      <c r="Q108" s="9" t="s">
        <v>46</v>
      </c>
      <c r="R108" s="16"/>
      <c r="S108" s="10">
        <v>0</v>
      </c>
      <c r="T108" s="10">
        <v>1</v>
      </c>
      <c r="U108" s="10">
        <v>1</v>
      </c>
      <c r="V108" s="11">
        <v>1</v>
      </c>
      <c r="W108" s="12"/>
      <c r="X108" s="17"/>
      <c r="Y108" s="13"/>
      <c r="Z108" s="13"/>
      <c r="AA108" s="13"/>
      <c r="AB108" s="14"/>
      <c r="AC108" s="9"/>
      <c r="AD108" s="16"/>
      <c r="AE108" s="10"/>
      <c r="AF108" s="10"/>
      <c r="AG108" s="10"/>
      <c r="AH108" s="11"/>
      <c r="AI108" s="12"/>
      <c r="AJ108" s="17"/>
      <c r="AK108" s="13"/>
      <c r="AL108" s="13"/>
      <c r="AM108" s="13"/>
      <c r="AN108" s="14"/>
      <c r="AO108" s="9"/>
      <c r="AP108" s="16"/>
      <c r="AQ108" s="10"/>
      <c r="AR108" s="10"/>
      <c r="AS108" s="10"/>
      <c r="AT108" s="11"/>
      <c r="AU108" s="12"/>
      <c r="AV108" s="17"/>
      <c r="AW108" s="13"/>
      <c r="AX108" s="13"/>
      <c r="AY108" s="13"/>
      <c r="AZ108" s="14"/>
      <c r="BA108" s="9"/>
      <c r="BB108" s="16"/>
      <c r="BC108" s="10"/>
      <c r="BD108" s="10"/>
      <c r="BE108" s="10"/>
      <c r="BF108" s="11"/>
      <c r="BG108" s="12"/>
      <c r="BH108" s="17"/>
      <c r="BI108" s="13"/>
      <c r="BJ108" s="13"/>
      <c r="BK108" s="13"/>
      <c r="BL108" s="14"/>
      <c r="BM108" s="8">
        <f t="shared" si="27"/>
        <v>0</v>
      </c>
      <c r="BN108" s="8">
        <f t="shared" si="28"/>
        <v>1</v>
      </c>
      <c r="BO108" s="8">
        <f t="shared" si="29"/>
        <v>1</v>
      </c>
      <c r="BP108" s="8">
        <f t="shared" si="30"/>
        <v>1</v>
      </c>
      <c r="BQ108" s="8">
        <f t="shared" si="31"/>
        <v>1</v>
      </c>
      <c r="BR108" s="8">
        <f t="shared" si="32"/>
        <v>0</v>
      </c>
      <c r="BS108" s="15">
        <f t="shared" si="33"/>
        <v>0.7274613391789283</v>
      </c>
      <c r="BT108" s="15" t="str">
        <f t="shared" si="34"/>
        <v>OK - No Upgrade</v>
      </c>
      <c r="BU108" s="15" t="str">
        <f t="shared" si="35"/>
        <v>Need to Balance</v>
      </c>
    </row>
    <row r="109" spans="1:73" ht="15.75" customHeight="1" x14ac:dyDescent="0.25">
      <c r="A109" s="8" t="s">
        <v>1021</v>
      </c>
      <c r="B109" s="8" t="s">
        <v>1021</v>
      </c>
      <c r="C109" s="8" t="s">
        <v>124</v>
      </c>
      <c r="D109" s="8"/>
      <c r="E109" s="8" t="s">
        <v>1139</v>
      </c>
      <c r="F109" s="8" t="s">
        <v>43</v>
      </c>
      <c r="G109" s="8"/>
      <c r="H109" s="8">
        <v>100</v>
      </c>
      <c r="I109" s="8" t="s">
        <v>1254</v>
      </c>
      <c r="J109" s="8">
        <v>1</v>
      </c>
      <c r="K109" s="8">
        <v>240</v>
      </c>
      <c r="L109" s="8">
        <v>241</v>
      </c>
      <c r="M109" s="8">
        <v>240</v>
      </c>
      <c r="N109" s="8">
        <v>418</v>
      </c>
      <c r="O109" s="8">
        <v>414</v>
      </c>
      <c r="P109" s="8">
        <v>419</v>
      </c>
      <c r="Q109" s="9" t="s">
        <v>46</v>
      </c>
      <c r="R109" s="16"/>
      <c r="S109" s="10">
        <v>14</v>
      </c>
      <c r="T109" s="10">
        <v>13</v>
      </c>
      <c r="U109" s="10">
        <v>13</v>
      </c>
      <c r="V109" s="11">
        <v>0</v>
      </c>
      <c r="W109" s="12"/>
      <c r="X109" s="17"/>
      <c r="Y109" s="13"/>
      <c r="Z109" s="13"/>
      <c r="AA109" s="13"/>
      <c r="AB109" s="14"/>
      <c r="AC109" s="9"/>
      <c r="AD109" s="16"/>
      <c r="AE109" s="10"/>
      <c r="AF109" s="10"/>
      <c r="AG109" s="10"/>
      <c r="AH109" s="11"/>
      <c r="AI109" s="12"/>
      <c r="AJ109" s="17"/>
      <c r="AK109" s="13"/>
      <c r="AL109" s="13"/>
      <c r="AM109" s="13"/>
      <c r="AN109" s="14"/>
      <c r="AO109" s="9"/>
      <c r="AP109" s="16"/>
      <c r="AQ109" s="10"/>
      <c r="AR109" s="10"/>
      <c r="AS109" s="10"/>
      <c r="AT109" s="11"/>
      <c r="AU109" s="12"/>
      <c r="AV109" s="17"/>
      <c r="AW109" s="13"/>
      <c r="AX109" s="13"/>
      <c r="AY109" s="13"/>
      <c r="AZ109" s="14"/>
      <c r="BA109" s="9"/>
      <c r="BB109" s="16"/>
      <c r="BC109" s="10"/>
      <c r="BD109" s="10"/>
      <c r="BE109" s="10"/>
      <c r="BF109" s="11"/>
      <c r="BG109" s="12"/>
      <c r="BH109" s="17"/>
      <c r="BI109" s="13"/>
      <c r="BJ109" s="13"/>
      <c r="BK109" s="13"/>
      <c r="BL109" s="14"/>
      <c r="BM109" s="8">
        <f t="shared" si="27"/>
        <v>14</v>
      </c>
      <c r="BN109" s="8">
        <f t="shared" si="28"/>
        <v>13</v>
      </c>
      <c r="BO109" s="8">
        <f t="shared" si="29"/>
        <v>13</v>
      </c>
      <c r="BP109" s="8">
        <f t="shared" si="30"/>
        <v>0</v>
      </c>
      <c r="BQ109" s="8">
        <f t="shared" si="31"/>
        <v>14</v>
      </c>
      <c r="BR109" s="8">
        <f t="shared" si="32"/>
        <v>13</v>
      </c>
      <c r="BS109" s="15">
        <f t="shared" si="33"/>
        <v>10.135961325893069</v>
      </c>
      <c r="BT109" s="15" t="str">
        <f t="shared" si="34"/>
        <v>OK - No Upgrade</v>
      </c>
      <c r="BU109" s="15" t="str">
        <f t="shared" si="35"/>
        <v>OK - Balanced</v>
      </c>
    </row>
    <row r="110" spans="1:73" ht="15.75" customHeight="1" x14ac:dyDescent="0.25">
      <c r="A110" s="8" t="s">
        <v>1021</v>
      </c>
      <c r="B110" s="8" t="s">
        <v>1021</v>
      </c>
      <c r="C110" s="8" t="s">
        <v>124</v>
      </c>
      <c r="D110" s="8"/>
      <c r="E110" s="8" t="s">
        <v>1255</v>
      </c>
      <c r="F110" s="8" t="s">
        <v>43</v>
      </c>
      <c r="G110" s="8"/>
      <c r="H110" s="8">
        <v>100</v>
      </c>
      <c r="I110" s="8" t="s">
        <v>1256</v>
      </c>
      <c r="J110" s="8">
        <v>1</v>
      </c>
      <c r="K110" s="8">
        <v>242</v>
      </c>
      <c r="L110" s="8">
        <v>240</v>
      </c>
      <c r="M110" s="8">
        <v>241</v>
      </c>
      <c r="N110" s="8">
        <v>420</v>
      </c>
      <c r="O110" s="8">
        <v>419</v>
      </c>
      <c r="P110" s="8">
        <v>419</v>
      </c>
      <c r="Q110" s="9" t="s">
        <v>132</v>
      </c>
      <c r="R110" s="16"/>
      <c r="S110" s="10">
        <v>3</v>
      </c>
      <c r="T110" s="10">
        <v>4</v>
      </c>
      <c r="U110" s="10">
        <v>0</v>
      </c>
      <c r="V110" s="11">
        <v>3</v>
      </c>
      <c r="W110" s="12"/>
      <c r="X110" s="17"/>
      <c r="Y110" s="13"/>
      <c r="Z110" s="13"/>
      <c r="AA110" s="13"/>
      <c r="AB110" s="14"/>
      <c r="AC110" s="9"/>
      <c r="AD110" s="16"/>
      <c r="AE110" s="10"/>
      <c r="AF110" s="10"/>
      <c r="AG110" s="10"/>
      <c r="AH110" s="11"/>
      <c r="AI110" s="12"/>
      <c r="AJ110" s="17"/>
      <c r="AK110" s="13"/>
      <c r="AL110" s="13"/>
      <c r="AM110" s="13"/>
      <c r="AN110" s="14"/>
      <c r="AO110" s="9"/>
      <c r="AP110" s="16"/>
      <c r="AQ110" s="10"/>
      <c r="AR110" s="10"/>
      <c r="AS110" s="10"/>
      <c r="AT110" s="11"/>
      <c r="AU110" s="12"/>
      <c r="AV110" s="17"/>
      <c r="AW110" s="13"/>
      <c r="AX110" s="13"/>
      <c r="AY110" s="13"/>
      <c r="AZ110" s="14"/>
      <c r="BA110" s="9"/>
      <c r="BB110" s="16"/>
      <c r="BC110" s="10"/>
      <c r="BD110" s="10"/>
      <c r="BE110" s="10"/>
      <c r="BF110" s="11"/>
      <c r="BG110" s="12"/>
      <c r="BH110" s="17"/>
      <c r="BI110" s="13"/>
      <c r="BJ110" s="13"/>
      <c r="BK110" s="13"/>
      <c r="BL110" s="14"/>
      <c r="BM110" s="8">
        <f t="shared" si="27"/>
        <v>3</v>
      </c>
      <c r="BN110" s="8">
        <f t="shared" si="28"/>
        <v>4</v>
      </c>
      <c r="BO110" s="8">
        <f t="shared" si="29"/>
        <v>0</v>
      </c>
      <c r="BP110" s="8">
        <f t="shared" si="30"/>
        <v>3</v>
      </c>
      <c r="BQ110" s="8">
        <f t="shared" si="31"/>
        <v>4</v>
      </c>
      <c r="BR110" s="8">
        <f t="shared" si="32"/>
        <v>0</v>
      </c>
      <c r="BS110" s="15">
        <f t="shared" si="33"/>
        <v>2.9098453567157132</v>
      </c>
      <c r="BT110" s="15" t="str">
        <f t="shared" si="34"/>
        <v>OK - No Upgrade</v>
      </c>
      <c r="BU110" s="15" t="str">
        <f t="shared" si="35"/>
        <v>Need to Balance</v>
      </c>
    </row>
    <row r="111" spans="1:73" ht="15.75" customHeight="1" x14ac:dyDescent="0.25">
      <c r="A111" s="8" t="s">
        <v>1021</v>
      </c>
      <c r="B111" s="8" t="s">
        <v>1021</v>
      </c>
      <c r="C111" s="8" t="s">
        <v>265</v>
      </c>
      <c r="D111" s="8" t="s">
        <v>1257</v>
      </c>
      <c r="E111" s="8" t="s">
        <v>1240</v>
      </c>
      <c r="F111" s="8" t="s">
        <v>56</v>
      </c>
      <c r="G111" s="8"/>
      <c r="H111" s="8">
        <v>500</v>
      </c>
      <c r="I111" s="8" t="s">
        <v>1258</v>
      </c>
      <c r="J111" s="8">
        <v>1</v>
      </c>
      <c r="K111" s="8">
        <v>242</v>
      </c>
      <c r="L111" s="8">
        <v>242</v>
      </c>
      <c r="M111" s="8">
        <v>241</v>
      </c>
      <c r="N111" s="8">
        <v>419</v>
      </c>
      <c r="O111" s="8">
        <v>417</v>
      </c>
      <c r="P111" s="8">
        <v>417</v>
      </c>
      <c r="Q111" s="9" t="s">
        <v>47</v>
      </c>
      <c r="R111" s="16"/>
      <c r="S111" s="10">
        <v>10</v>
      </c>
      <c r="T111" s="10">
        <v>1</v>
      </c>
      <c r="U111" s="10">
        <v>1</v>
      </c>
      <c r="V111" s="11">
        <v>4</v>
      </c>
      <c r="W111" s="12" t="s">
        <v>47</v>
      </c>
      <c r="X111" s="17"/>
      <c r="Y111" s="13">
        <v>114</v>
      </c>
      <c r="Z111" s="13">
        <v>127</v>
      </c>
      <c r="AA111" s="13">
        <v>147</v>
      </c>
      <c r="AB111" s="14">
        <v>39</v>
      </c>
      <c r="AC111" s="9"/>
      <c r="AD111" s="16"/>
      <c r="AE111" s="10"/>
      <c r="AF111" s="10"/>
      <c r="AG111" s="10"/>
      <c r="AH111" s="11"/>
      <c r="AI111" s="12"/>
      <c r="AJ111" s="17"/>
      <c r="AK111" s="13"/>
      <c r="AL111" s="13"/>
      <c r="AM111" s="13"/>
      <c r="AN111" s="14"/>
      <c r="AO111" s="9"/>
      <c r="AP111" s="16"/>
      <c r="AQ111" s="10"/>
      <c r="AR111" s="10"/>
      <c r="AS111" s="10"/>
      <c r="AT111" s="11"/>
      <c r="AU111" s="12"/>
      <c r="AV111" s="17"/>
      <c r="AW111" s="13"/>
      <c r="AX111" s="13"/>
      <c r="AY111" s="13"/>
      <c r="AZ111" s="14"/>
      <c r="BA111" s="9"/>
      <c r="BB111" s="16"/>
      <c r="BC111" s="10"/>
      <c r="BD111" s="10"/>
      <c r="BE111" s="10"/>
      <c r="BF111" s="11"/>
      <c r="BG111" s="12"/>
      <c r="BH111" s="17"/>
      <c r="BI111" s="13"/>
      <c r="BJ111" s="13"/>
      <c r="BK111" s="13"/>
      <c r="BL111" s="14"/>
      <c r="BM111" s="8">
        <f t="shared" si="27"/>
        <v>124</v>
      </c>
      <c r="BN111" s="8">
        <f t="shared" si="28"/>
        <v>128</v>
      </c>
      <c r="BO111" s="8">
        <f t="shared" si="29"/>
        <v>148</v>
      </c>
      <c r="BP111" s="8">
        <f t="shared" si="30"/>
        <v>43</v>
      </c>
      <c r="BQ111" s="8">
        <f t="shared" si="31"/>
        <v>148</v>
      </c>
      <c r="BR111" s="8">
        <f t="shared" si="32"/>
        <v>124</v>
      </c>
      <c r="BS111" s="15">
        <f t="shared" si="33"/>
        <v>21.48158693579224</v>
      </c>
      <c r="BT111" s="15" t="str">
        <f t="shared" si="34"/>
        <v>OK - No Upgrade</v>
      </c>
      <c r="BU111" s="15" t="str">
        <f t="shared" si="35"/>
        <v>Need to Balance</v>
      </c>
    </row>
    <row r="112" spans="1:73" ht="15.75" customHeight="1" x14ac:dyDescent="0.25">
      <c r="A112" s="8" t="s">
        <v>1021</v>
      </c>
      <c r="B112" s="8" t="s">
        <v>1021</v>
      </c>
      <c r="C112" s="8" t="s">
        <v>265</v>
      </c>
      <c r="D112" s="8" t="s">
        <v>1259</v>
      </c>
      <c r="E112" s="8" t="s">
        <v>1103</v>
      </c>
      <c r="F112" s="8" t="s">
        <v>43</v>
      </c>
      <c r="G112" s="8"/>
      <c r="H112" s="8">
        <v>100</v>
      </c>
      <c r="I112" s="8" t="s">
        <v>1260</v>
      </c>
      <c r="J112" s="8">
        <v>1</v>
      </c>
      <c r="K112" s="8">
        <v>237</v>
      </c>
      <c r="L112" s="8">
        <v>236</v>
      </c>
      <c r="M112" s="8">
        <v>235</v>
      </c>
      <c r="N112" s="8">
        <v>410</v>
      </c>
      <c r="O112" s="8">
        <v>409</v>
      </c>
      <c r="P112" s="8">
        <v>409</v>
      </c>
      <c r="Q112" s="9" t="s">
        <v>46</v>
      </c>
      <c r="R112" s="16"/>
      <c r="S112" s="10">
        <v>1</v>
      </c>
      <c r="T112" s="10">
        <v>1</v>
      </c>
      <c r="U112" s="10">
        <v>1</v>
      </c>
      <c r="V112" s="11">
        <v>0</v>
      </c>
      <c r="W112" s="12"/>
      <c r="X112" s="17"/>
      <c r="Y112" s="13"/>
      <c r="Z112" s="13"/>
      <c r="AA112" s="13"/>
      <c r="AB112" s="14"/>
      <c r="AC112" s="9"/>
      <c r="AD112" s="16"/>
      <c r="AE112" s="10"/>
      <c r="AF112" s="10"/>
      <c r="AG112" s="10"/>
      <c r="AH112" s="11"/>
      <c r="AI112" s="12"/>
      <c r="AJ112" s="17"/>
      <c r="AK112" s="13"/>
      <c r="AL112" s="13"/>
      <c r="AM112" s="13"/>
      <c r="AN112" s="14"/>
      <c r="AO112" s="9"/>
      <c r="AP112" s="16"/>
      <c r="AQ112" s="10"/>
      <c r="AR112" s="10"/>
      <c r="AS112" s="10"/>
      <c r="AT112" s="11"/>
      <c r="AU112" s="12"/>
      <c r="AV112" s="17"/>
      <c r="AW112" s="13"/>
      <c r="AX112" s="13"/>
      <c r="AY112" s="13"/>
      <c r="AZ112" s="14"/>
      <c r="BA112" s="9"/>
      <c r="BB112" s="16"/>
      <c r="BC112" s="10"/>
      <c r="BD112" s="10"/>
      <c r="BE112" s="10"/>
      <c r="BF112" s="11"/>
      <c r="BG112" s="12"/>
      <c r="BH112" s="17"/>
      <c r="BI112" s="13"/>
      <c r="BJ112" s="13"/>
      <c r="BK112" s="13"/>
      <c r="BL112" s="14"/>
      <c r="BM112" s="8">
        <f t="shared" si="27"/>
        <v>1</v>
      </c>
      <c r="BN112" s="8">
        <f t="shared" si="28"/>
        <v>1</v>
      </c>
      <c r="BO112" s="8">
        <f t="shared" si="29"/>
        <v>1</v>
      </c>
      <c r="BP112" s="8">
        <f t="shared" si="30"/>
        <v>0</v>
      </c>
      <c r="BQ112" s="8">
        <f t="shared" si="31"/>
        <v>1</v>
      </c>
      <c r="BR112" s="8">
        <f t="shared" si="32"/>
        <v>1</v>
      </c>
      <c r="BS112" s="15">
        <f t="shared" si="33"/>
        <v>0.71014083110323956</v>
      </c>
      <c r="BT112" s="15" t="str">
        <f t="shared" si="34"/>
        <v>OK - No Upgrade</v>
      </c>
      <c r="BU112" s="15" t="str">
        <f t="shared" si="35"/>
        <v>OK - Balanced</v>
      </c>
    </row>
    <row r="113" spans="1:73" ht="15.75" customHeight="1" x14ac:dyDescent="0.25">
      <c r="A113" s="8" t="s">
        <v>1021</v>
      </c>
      <c r="B113" s="8" t="s">
        <v>1021</v>
      </c>
      <c r="C113" s="8" t="s">
        <v>265</v>
      </c>
      <c r="D113" s="8" t="s">
        <v>1261</v>
      </c>
      <c r="E113" s="8" t="s">
        <v>1099</v>
      </c>
      <c r="F113" s="8" t="s">
        <v>43</v>
      </c>
      <c r="G113" s="8"/>
      <c r="H113" s="8">
        <v>100</v>
      </c>
      <c r="I113" s="8" t="s">
        <v>1262</v>
      </c>
      <c r="J113" s="8">
        <v>1</v>
      </c>
      <c r="K113" s="8">
        <v>241</v>
      </c>
      <c r="L113" s="8">
        <v>240</v>
      </c>
      <c r="M113" s="8">
        <v>239</v>
      </c>
      <c r="N113" s="8">
        <v>417</v>
      </c>
      <c r="O113" s="8">
        <v>415</v>
      </c>
      <c r="P113" s="8">
        <v>414</v>
      </c>
      <c r="Q113" s="9" t="s">
        <v>46</v>
      </c>
      <c r="R113" s="16"/>
      <c r="S113" s="10">
        <v>2</v>
      </c>
      <c r="T113" s="10">
        <v>1</v>
      </c>
      <c r="U113" s="10">
        <v>0</v>
      </c>
      <c r="V113" s="11">
        <v>0</v>
      </c>
      <c r="W113" s="12"/>
      <c r="X113" s="17"/>
      <c r="Y113" s="13"/>
      <c r="Z113" s="13"/>
      <c r="AA113" s="13"/>
      <c r="AB113" s="14"/>
      <c r="AC113" s="9"/>
      <c r="AD113" s="16"/>
      <c r="AE113" s="10"/>
      <c r="AF113" s="10"/>
      <c r="AG113" s="10"/>
      <c r="AH113" s="11"/>
      <c r="AI113" s="12"/>
      <c r="AJ113" s="17"/>
      <c r="AK113" s="13"/>
      <c r="AL113" s="13"/>
      <c r="AM113" s="13"/>
      <c r="AN113" s="14"/>
      <c r="AO113" s="9"/>
      <c r="AP113" s="16"/>
      <c r="AQ113" s="10"/>
      <c r="AR113" s="10"/>
      <c r="AS113" s="10"/>
      <c r="AT113" s="11"/>
      <c r="AU113" s="12"/>
      <c r="AV113" s="17"/>
      <c r="AW113" s="13"/>
      <c r="AX113" s="13"/>
      <c r="AY113" s="13"/>
      <c r="AZ113" s="14"/>
      <c r="BA113" s="9"/>
      <c r="BB113" s="16"/>
      <c r="BC113" s="10"/>
      <c r="BD113" s="10"/>
      <c r="BE113" s="10"/>
      <c r="BF113" s="11"/>
      <c r="BG113" s="12"/>
      <c r="BH113" s="17"/>
      <c r="BI113" s="13"/>
      <c r="BJ113" s="13"/>
      <c r="BK113" s="13"/>
      <c r="BL113" s="14"/>
      <c r="BM113" s="8">
        <f t="shared" si="27"/>
        <v>2</v>
      </c>
      <c r="BN113" s="8">
        <f t="shared" si="28"/>
        <v>1</v>
      </c>
      <c r="BO113" s="8">
        <f t="shared" si="29"/>
        <v>0</v>
      </c>
      <c r="BP113" s="8">
        <f t="shared" si="30"/>
        <v>0</v>
      </c>
      <c r="BQ113" s="8">
        <f t="shared" si="31"/>
        <v>2</v>
      </c>
      <c r="BR113" s="8">
        <f t="shared" si="32"/>
        <v>0</v>
      </c>
      <c r="BS113" s="15">
        <f t="shared" si="33"/>
        <v>1.4445303735124435</v>
      </c>
      <c r="BT113" s="15" t="str">
        <f t="shared" si="34"/>
        <v>OK - No Upgrade</v>
      </c>
      <c r="BU113" s="15" t="str">
        <f t="shared" si="35"/>
        <v>Need to Balance</v>
      </c>
    </row>
    <row r="114" spans="1:73" ht="15.75" customHeight="1" x14ac:dyDescent="0.25">
      <c r="A114" s="8" t="s">
        <v>1021</v>
      </c>
      <c r="B114" s="8" t="s">
        <v>1021</v>
      </c>
      <c r="C114" s="8" t="s">
        <v>265</v>
      </c>
      <c r="D114" s="8" t="s">
        <v>1263</v>
      </c>
      <c r="E114" s="8" t="s">
        <v>1080</v>
      </c>
      <c r="F114" s="8" t="s">
        <v>56</v>
      </c>
      <c r="G114" s="8"/>
      <c r="H114" s="8">
        <v>500</v>
      </c>
      <c r="I114" s="8" t="s">
        <v>1264</v>
      </c>
      <c r="J114" s="8">
        <v>1</v>
      </c>
      <c r="K114" s="8">
        <v>232</v>
      </c>
      <c r="L114" s="8">
        <v>232</v>
      </c>
      <c r="M114" s="8">
        <v>231</v>
      </c>
      <c r="N114" s="8">
        <v>402</v>
      </c>
      <c r="O114" s="8">
        <v>401</v>
      </c>
      <c r="P114" s="8">
        <v>402</v>
      </c>
      <c r="Q114" s="9" t="s">
        <v>70</v>
      </c>
      <c r="R114" s="16"/>
      <c r="S114" s="10">
        <v>116</v>
      </c>
      <c r="T114" s="10">
        <v>124</v>
      </c>
      <c r="U114" s="10">
        <v>122</v>
      </c>
      <c r="V114" s="11">
        <v>15</v>
      </c>
      <c r="W114" s="12"/>
      <c r="X114" s="17"/>
      <c r="Y114" s="13"/>
      <c r="Z114" s="13"/>
      <c r="AA114" s="13"/>
      <c r="AB114" s="14"/>
      <c r="AC114" s="9"/>
      <c r="AD114" s="16"/>
      <c r="AE114" s="10"/>
      <c r="AF114" s="10"/>
      <c r="AG114" s="10"/>
      <c r="AH114" s="11"/>
      <c r="AI114" s="12"/>
      <c r="AJ114" s="17"/>
      <c r="AK114" s="13"/>
      <c r="AL114" s="13"/>
      <c r="AM114" s="13"/>
      <c r="AN114" s="14"/>
      <c r="AO114" s="9"/>
      <c r="AP114" s="16"/>
      <c r="AQ114" s="10"/>
      <c r="AR114" s="10"/>
      <c r="AS114" s="10"/>
      <c r="AT114" s="11"/>
      <c r="AU114" s="12"/>
      <c r="AV114" s="17"/>
      <c r="AW114" s="13"/>
      <c r="AX114" s="13"/>
      <c r="AY114" s="13"/>
      <c r="AZ114" s="14"/>
      <c r="BA114" s="9"/>
      <c r="BB114" s="16"/>
      <c r="BC114" s="10"/>
      <c r="BD114" s="10"/>
      <c r="BE114" s="10"/>
      <c r="BF114" s="11"/>
      <c r="BG114" s="12"/>
      <c r="BH114" s="17"/>
      <c r="BI114" s="13"/>
      <c r="BJ114" s="13"/>
      <c r="BK114" s="13"/>
      <c r="BL114" s="14"/>
      <c r="BM114" s="8">
        <f t="shared" si="27"/>
        <v>116</v>
      </c>
      <c r="BN114" s="8">
        <f t="shared" si="28"/>
        <v>124</v>
      </c>
      <c r="BO114" s="8">
        <f t="shared" si="29"/>
        <v>122</v>
      </c>
      <c r="BP114" s="8">
        <f t="shared" si="30"/>
        <v>15</v>
      </c>
      <c r="BQ114" s="8">
        <f t="shared" si="31"/>
        <v>124</v>
      </c>
      <c r="BR114" s="8">
        <f t="shared" si="32"/>
        <v>116</v>
      </c>
      <c r="BS114" s="15">
        <f t="shared" si="33"/>
        <v>17.267853731138675</v>
      </c>
      <c r="BT114" s="15" t="str">
        <f t="shared" si="34"/>
        <v>OK - No Upgrade</v>
      </c>
      <c r="BU114" s="15" t="str">
        <f t="shared" si="35"/>
        <v>OK - Balanced</v>
      </c>
    </row>
    <row r="115" spans="1:73" ht="15.75" customHeight="1" x14ac:dyDescent="0.25">
      <c r="A115" s="8" t="s">
        <v>1021</v>
      </c>
      <c r="B115" s="8" t="s">
        <v>1021</v>
      </c>
      <c r="C115" s="8" t="s">
        <v>124</v>
      </c>
      <c r="D115" s="8" t="s">
        <v>1265</v>
      </c>
      <c r="E115" s="8" t="s">
        <v>611</v>
      </c>
      <c r="F115" s="8" t="s">
        <v>43</v>
      </c>
      <c r="G115" s="8"/>
      <c r="H115" s="8">
        <v>315</v>
      </c>
      <c r="I115" s="8" t="s">
        <v>1266</v>
      </c>
      <c r="J115" s="8">
        <v>1</v>
      </c>
      <c r="K115" s="8">
        <v>247</v>
      </c>
      <c r="L115" s="8">
        <v>247</v>
      </c>
      <c r="M115" s="8">
        <v>246</v>
      </c>
      <c r="N115" s="8">
        <v>430</v>
      </c>
      <c r="O115" s="8">
        <v>427</v>
      </c>
      <c r="P115" s="8">
        <v>430</v>
      </c>
      <c r="Q115" s="9" t="s">
        <v>46</v>
      </c>
      <c r="R115" s="16"/>
      <c r="S115" s="10">
        <v>16</v>
      </c>
      <c r="T115" s="10">
        <v>12</v>
      </c>
      <c r="U115" s="10">
        <v>46</v>
      </c>
      <c r="V115" s="11">
        <v>34</v>
      </c>
      <c r="W115" s="12" t="s">
        <v>46</v>
      </c>
      <c r="X115" s="17"/>
      <c r="Y115" s="13">
        <v>0</v>
      </c>
      <c r="Z115" s="13">
        <v>15</v>
      </c>
      <c r="AA115" s="13">
        <v>0</v>
      </c>
      <c r="AB115" s="14">
        <v>17</v>
      </c>
      <c r="AC115" s="9"/>
      <c r="AD115" s="16"/>
      <c r="AE115" s="10"/>
      <c r="AF115" s="10"/>
      <c r="AG115" s="10"/>
      <c r="AH115" s="11"/>
      <c r="AI115" s="12"/>
      <c r="AJ115" s="17"/>
      <c r="AK115" s="13"/>
      <c r="AL115" s="13"/>
      <c r="AM115" s="13"/>
      <c r="AN115" s="14"/>
      <c r="AO115" s="9"/>
      <c r="AP115" s="16"/>
      <c r="AQ115" s="10"/>
      <c r="AR115" s="10"/>
      <c r="AS115" s="10"/>
      <c r="AT115" s="11"/>
      <c r="AU115" s="12"/>
      <c r="AV115" s="17"/>
      <c r="AW115" s="13"/>
      <c r="AX115" s="13"/>
      <c r="AY115" s="13"/>
      <c r="AZ115" s="14"/>
      <c r="BA115" s="9"/>
      <c r="BB115" s="16"/>
      <c r="BC115" s="10"/>
      <c r="BD115" s="10"/>
      <c r="BE115" s="10"/>
      <c r="BF115" s="11"/>
      <c r="BG115" s="12"/>
      <c r="BH115" s="17"/>
      <c r="BI115" s="13"/>
      <c r="BJ115" s="13"/>
      <c r="BK115" s="13"/>
      <c r="BL115" s="14"/>
      <c r="BM115" s="8">
        <f t="shared" si="27"/>
        <v>16</v>
      </c>
      <c r="BN115" s="8">
        <f t="shared" si="28"/>
        <v>27</v>
      </c>
      <c r="BO115" s="8">
        <f t="shared" si="29"/>
        <v>46</v>
      </c>
      <c r="BP115" s="8">
        <f t="shared" si="30"/>
        <v>51</v>
      </c>
      <c r="BQ115" s="8">
        <f t="shared" si="31"/>
        <v>46</v>
      </c>
      <c r="BR115" s="8">
        <f t="shared" si="32"/>
        <v>16</v>
      </c>
      <c r="BS115" s="15">
        <f t="shared" si="33"/>
        <v>10.876179356734092</v>
      </c>
      <c r="BT115" s="15" t="str">
        <f t="shared" si="34"/>
        <v>OK - No Upgrade</v>
      </c>
      <c r="BU115" s="15" t="str">
        <f t="shared" si="35"/>
        <v>Need to Balance</v>
      </c>
    </row>
    <row r="116" spans="1:73" ht="15.75" customHeight="1" x14ac:dyDescent="0.25">
      <c r="A116" s="8" t="s">
        <v>1021</v>
      </c>
      <c r="B116" s="8" t="s">
        <v>1021</v>
      </c>
      <c r="C116" s="8" t="s">
        <v>265</v>
      </c>
      <c r="D116" s="8" t="s">
        <v>1267</v>
      </c>
      <c r="E116" s="8" t="s">
        <v>1088</v>
      </c>
      <c r="F116" s="8" t="s">
        <v>43</v>
      </c>
      <c r="G116" s="8"/>
      <c r="H116" s="8">
        <v>100</v>
      </c>
      <c r="I116" s="8" t="s">
        <v>1266</v>
      </c>
      <c r="J116" s="8">
        <v>1</v>
      </c>
      <c r="K116" s="8">
        <v>236</v>
      </c>
      <c r="L116" s="8">
        <v>235</v>
      </c>
      <c r="M116" s="8">
        <v>235</v>
      </c>
      <c r="N116" s="8">
        <v>410</v>
      </c>
      <c r="O116" s="8">
        <v>408</v>
      </c>
      <c r="P116" s="8">
        <v>406</v>
      </c>
      <c r="Q116" s="9" t="s">
        <v>46</v>
      </c>
      <c r="R116" s="16"/>
      <c r="S116" s="10">
        <v>57</v>
      </c>
      <c r="T116" s="10">
        <v>73</v>
      </c>
      <c r="U116" s="10">
        <v>58</v>
      </c>
      <c r="V116" s="11">
        <v>9</v>
      </c>
      <c r="W116" s="12" t="s">
        <v>46</v>
      </c>
      <c r="X116" s="17"/>
      <c r="Y116" s="13">
        <v>67</v>
      </c>
      <c r="Z116" s="13">
        <v>78</v>
      </c>
      <c r="AA116" s="13">
        <v>92</v>
      </c>
      <c r="AB116" s="14">
        <v>21</v>
      </c>
      <c r="AC116" s="9"/>
      <c r="AD116" s="16"/>
      <c r="AE116" s="10"/>
      <c r="AF116" s="10"/>
      <c r="AG116" s="10"/>
      <c r="AH116" s="11"/>
      <c r="AI116" s="12"/>
      <c r="AJ116" s="17"/>
      <c r="AK116" s="13"/>
      <c r="AL116" s="13"/>
      <c r="AM116" s="13"/>
      <c r="AN116" s="14"/>
      <c r="AO116" s="9"/>
      <c r="AP116" s="16"/>
      <c r="AQ116" s="10"/>
      <c r="AR116" s="10"/>
      <c r="AS116" s="10"/>
      <c r="AT116" s="11"/>
      <c r="AU116" s="12"/>
      <c r="AV116" s="17"/>
      <c r="AW116" s="13"/>
      <c r="AX116" s="13"/>
      <c r="AY116" s="13"/>
      <c r="AZ116" s="14"/>
      <c r="BA116" s="9"/>
      <c r="BB116" s="16"/>
      <c r="BC116" s="10"/>
      <c r="BD116" s="10"/>
      <c r="BE116" s="10"/>
      <c r="BF116" s="11"/>
      <c r="BG116" s="12"/>
      <c r="BH116" s="17"/>
      <c r="BI116" s="13"/>
      <c r="BJ116" s="13"/>
      <c r="BK116" s="13"/>
      <c r="BL116" s="14"/>
      <c r="BM116" s="8">
        <f t="shared" si="27"/>
        <v>124</v>
      </c>
      <c r="BN116" s="8">
        <f t="shared" si="28"/>
        <v>151</v>
      </c>
      <c r="BO116" s="8">
        <f t="shared" si="29"/>
        <v>150</v>
      </c>
      <c r="BP116" s="8">
        <f t="shared" si="30"/>
        <v>30</v>
      </c>
      <c r="BQ116" s="8">
        <f t="shared" si="31"/>
        <v>151</v>
      </c>
      <c r="BR116" s="8">
        <f t="shared" si="32"/>
        <v>124</v>
      </c>
      <c r="BS116" s="15">
        <f t="shared" si="33"/>
        <v>107.23126549658919</v>
      </c>
      <c r="BT116" s="15" t="str">
        <f t="shared" si="34"/>
        <v>Upgrade</v>
      </c>
      <c r="BU116" s="15" t="str">
        <f t="shared" si="35"/>
        <v>OK - Balanced</v>
      </c>
    </row>
    <row r="117" spans="1:73" ht="15.75" customHeight="1" x14ac:dyDescent="0.25">
      <c r="A117" s="8" t="s">
        <v>1021</v>
      </c>
      <c r="B117" s="8" t="s">
        <v>1021</v>
      </c>
      <c r="C117" s="8" t="s">
        <v>124</v>
      </c>
      <c r="D117" s="8" t="s">
        <v>1268</v>
      </c>
      <c r="E117" s="8" t="s">
        <v>1127</v>
      </c>
      <c r="F117" s="8" t="s">
        <v>43</v>
      </c>
      <c r="G117" s="8"/>
      <c r="H117" s="8">
        <v>100</v>
      </c>
      <c r="I117" s="8" t="s">
        <v>1269</v>
      </c>
      <c r="J117" s="8">
        <v>1</v>
      </c>
      <c r="K117" s="8">
        <v>240</v>
      </c>
      <c r="L117" s="8">
        <v>241</v>
      </c>
      <c r="M117" s="8">
        <v>242</v>
      </c>
      <c r="N117" s="8">
        <v>420</v>
      </c>
      <c r="O117" s="8">
        <v>421</v>
      </c>
      <c r="P117" s="8">
        <v>420</v>
      </c>
      <c r="Q117" s="9" t="s">
        <v>46</v>
      </c>
      <c r="R117" s="16"/>
      <c r="S117" s="10">
        <v>50</v>
      </c>
      <c r="T117" s="10">
        <v>27</v>
      </c>
      <c r="U117" s="10">
        <v>37</v>
      </c>
      <c r="V117" s="11">
        <v>15</v>
      </c>
      <c r="W117" s="12" t="s">
        <v>70</v>
      </c>
      <c r="X117" s="17"/>
      <c r="Y117" s="13">
        <v>25</v>
      </c>
      <c r="Z117" s="13">
        <v>36</v>
      </c>
      <c r="AA117" s="13">
        <v>18</v>
      </c>
      <c r="AB117" s="14">
        <v>13</v>
      </c>
      <c r="AC117" s="9"/>
      <c r="AD117" s="16"/>
      <c r="AE117" s="10"/>
      <c r="AF117" s="10"/>
      <c r="AG117" s="10"/>
      <c r="AH117" s="11"/>
      <c r="AI117" s="12"/>
      <c r="AJ117" s="17"/>
      <c r="AK117" s="13"/>
      <c r="AL117" s="13"/>
      <c r="AM117" s="13"/>
      <c r="AN117" s="14"/>
      <c r="AO117" s="9"/>
      <c r="AP117" s="16"/>
      <c r="AQ117" s="10"/>
      <c r="AR117" s="10"/>
      <c r="AS117" s="10"/>
      <c r="AT117" s="11"/>
      <c r="AU117" s="12"/>
      <c r="AV117" s="17"/>
      <c r="AW117" s="13"/>
      <c r="AX117" s="13"/>
      <c r="AY117" s="13"/>
      <c r="AZ117" s="14"/>
      <c r="BA117" s="9"/>
      <c r="BB117" s="16"/>
      <c r="BC117" s="10"/>
      <c r="BD117" s="10"/>
      <c r="BE117" s="10"/>
      <c r="BF117" s="11"/>
      <c r="BG117" s="12"/>
      <c r="BH117" s="17"/>
      <c r="BI117" s="13"/>
      <c r="BJ117" s="13"/>
      <c r="BK117" s="13"/>
      <c r="BL117" s="14"/>
      <c r="BM117" s="8">
        <f t="shared" si="27"/>
        <v>75</v>
      </c>
      <c r="BN117" s="8">
        <f t="shared" si="28"/>
        <v>63</v>
      </c>
      <c r="BO117" s="8">
        <f t="shared" si="29"/>
        <v>55</v>
      </c>
      <c r="BP117" s="8">
        <f t="shared" si="30"/>
        <v>28</v>
      </c>
      <c r="BQ117" s="8">
        <f t="shared" si="31"/>
        <v>75</v>
      </c>
      <c r="BR117" s="8">
        <f t="shared" si="32"/>
        <v>55</v>
      </c>
      <c r="BS117" s="15">
        <f t="shared" si="33"/>
        <v>54.559600438419629</v>
      </c>
      <c r="BT117" s="15" t="str">
        <f t="shared" si="34"/>
        <v>OK - No Upgrade</v>
      </c>
      <c r="BU117" s="15" t="str">
        <f t="shared" si="35"/>
        <v>Need to Balance</v>
      </c>
    </row>
    <row r="118" spans="1:73" ht="15.75" customHeight="1" x14ac:dyDescent="0.25">
      <c r="A118" s="8" t="s">
        <v>1021</v>
      </c>
      <c r="B118" s="8" t="s">
        <v>1021</v>
      </c>
      <c r="C118" s="8" t="s">
        <v>265</v>
      </c>
      <c r="D118" s="8" t="s">
        <v>1270</v>
      </c>
      <c r="E118" s="8" t="s">
        <v>408</v>
      </c>
      <c r="F118" s="8" t="s">
        <v>43</v>
      </c>
      <c r="G118" s="8"/>
      <c r="H118" s="8">
        <v>100</v>
      </c>
      <c r="I118" s="8" t="s">
        <v>1271</v>
      </c>
      <c r="J118" s="8">
        <v>1</v>
      </c>
      <c r="K118" s="8">
        <v>239</v>
      </c>
      <c r="L118" s="8">
        <v>238</v>
      </c>
      <c r="M118" s="8">
        <v>237</v>
      </c>
      <c r="N118" s="8">
        <v>413</v>
      </c>
      <c r="O118" s="8">
        <v>412</v>
      </c>
      <c r="P118" s="8">
        <v>410</v>
      </c>
      <c r="Q118" s="9" t="s">
        <v>46</v>
      </c>
      <c r="R118" s="16"/>
      <c r="S118" s="10">
        <v>2</v>
      </c>
      <c r="T118" s="10">
        <v>10</v>
      </c>
      <c r="U118" s="10">
        <v>2</v>
      </c>
      <c r="V118" s="11">
        <v>9</v>
      </c>
      <c r="W118" s="12"/>
      <c r="X118" s="17"/>
      <c r="Y118" s="13"/>
      <c r="Z118" s="13"/>
      <c r="AA118" s="13"/>
      <c r="AB118" s="14"/>
      <c r="AC118" s="9"/>
      <c r="AD118" s="16"/>
      <c r="AE118" s="10"/>
      <c r="AF118" s="10"/>
      <c r="AG118" s="10"/>
      <c r="AH118" s="11"/>
      <c r="AI118" s="12"/>
      <c r="AJ118" s="17"/>
      <c r="AK118" s="13"/>
      <c r="AL118" s="13"/>
      <c r="AM118" s="13"/>
      <c r="AN118" s="14"/>
      <c r="AO118" s="9"/>
      <c r="AP118" s="16"/>
      <c r="AQ118" s="10"/>
      <c r="AR118" s="10"/>
      <c r="AS118" s="10"/>
      <c r="AT118" s="11"/>
      <c r="AU118" s="12"/>
      <c r="AV118" s="17"/>
      <c r="AW118" s="13"/>
      <c r="AX118" s="13"/>
      <c r="AY118" s="13"/>
      <c r="AZ118" s="14"/>
      <c r="BA118" s="9"/>
      <c r="BB118" s="16"/>
      <c r="BC118" s="10"/>
      <c r="BD118" s="10"/>
      <c r="BE118" s="10"/>
      <c r="BF118" s="11"/>
      <c r="BG118" s="12"/>
      <c r="BH118" s="17"/>
      <c r="BI118" s="13"/>
      <c r="BJ118" s="13"/>
      <c r="BK118" s="13"/>
      <c r="BL118" s="14"/>
      <c r="BM118" s="8">
        <f t="shared" si="27"/>
        <v>2</v>
      </c>
      <c r="BN118" s="8">
        <f t="shared" si="28"/>
        <v>10</v>
      </c>
      <c r="BO118" s="8">
        <f t="shared" si="29"/>
        <v>2</v>
      </c>
      <c r="BP118" s="8">
        <f t="shared" si="30"/>
        <v>9</v>
      </c>
      <c r="BQ118" s="8">
        <f t="shared" si="31"/>
        <v>10</v>
      </c>
      <c r="BR118" s="8">
        <f t="shared" si="32"/>
        <v>2</v>
      </c>
      <c r="BS118" s="15">
        <f t="shared" si="33"/>
        <v>7.153369835259463</v>
      </c>
      <c r="BT118" s="15" t="str">
        <f t="shared" si="34"/>
        <v>OK - No Upgrade</v>
      </c>
      <c r="BU118" s="15" t="str">
        <f t="shared" si="35"/>
        <v>Need to Balance</v>
      </c>
    </row>
    <row r="119" spans="1:73" ht="15.75" customHeight="1" x14ac:dyDescent="0.25">
      <c r="A119" s="8" t="s">
        <v>1021</v>
      </c>
      <c r="B119" s="8" t="s">
        <v>1021</v>
      </c>
      <c r="C119" s="8" t="s">
        <v>124</v>
      </c>
      <c r="D119" s="8" t="s">
        <v>1272</v>
      </c>
      <c r="E119" s="8" t="s">
        <v>1130</v>
      </c>
      <c r="F119" s="8" t="s">
        <v>43</v>
      </c>
      <c r="G119" s="8"/>
      <c r="H119" s="8">
        <v>100</v>
      </c>
      <c r="I119" s="8" t="s">
        <v>1271</v>
      </c>
      <c r="J119" s="8">
        <v>1</v>
      </c>
      <c r="K119" s="8">
        <v>233</v>
      </c>
      <c r="L119" s="8">
        <v>234</v>
      </c>
      <c r="M119" s="8">
        <v>233</v>
      </c>
      <c r="N119" s="8">
        <v>407</v>
      </c>
      <c r="O119" s="8">
        <v>403</v>
      </c>
      <c r="P119" s="8">
        <v>406</v>
      </c>
      <c r="Q119" s="9" t="s">
        <v>46</v>
      </c>
      <c r="R119" s="16"/>
      <c r="S119" s="10">
        <v>79</v>
      </c>
      <c r="T119" s="10">
        <v>85</v>
      </c>
      <c r="U119" s="10">
        <v>95</v>
      </c>
      <c r="V119" s="11">
        <v>16</v>
      </c>
      <c r="W119" s="12"/>
      <c r="X119" s="17"/>
      <c r="Y119" s="13"/>
      <c r="Z119" s="13"/>
      <c r="AA119" s="13"/>
      <c r="AB119" s="14"/>
      <c r="AC119" s="9"/>
      <c r="AD119" s="16"/>
      <c r="AE119" s="10"/>
      <c r="AF119" s="10"/>
      <c r="AG119" s="10"/>
      <c r="AH119" s="11"/>
      <c r="AI119" s="12"/>
      <c r="AJ119" s="17"/>
      <c r="AK119" s="13"/>
      <c r="AL119" s="13"/>
      <c r="AM119" s="13"/>
      <c r="AN119" s="14"/>
      <c r="AO119" s="9"/>
      <c r="AP119" s="16"/>
      <c r="AQ119" s="10"/>
      <c r="AR119" s="10"/>
      <c r="AS119" s="10"/>
      <c r="AT119" s="11"/>
      <c r="AU119" s="12"/>
      <c r="AV119" s="17"/>
      <c r="AW119" s="13"/>
      <c r="AX119" s="13"/>
      <c r="AY119" s="13"/>
      <c r="AZ119" s="14"/>
      <c r="BA119" s="9"/>
      <c r="BB119" s="16"/>
      <c r="BC119" s="10"/>
      <c r="BD119" s="10"/>
      <c r="BE119" s="10"/>
      <c r="BF119" s="11"/>
      <c r="BG119" s="12"/>
      <c r="BH119" s="17"/>
      <c r="BI119" s="13"/>
      <c r="BJ119" s="13"/>
      <c r="BK119" s="13"/>
      <c r="BL119" s="14"/>
      <c r="BM119" s="8">
        <f t="shared" si="27"/>
        <v>79</v>
      </c>
      <c r="BN119" s="8">
        <f t="shared" si="28"/>
        <v>85</v>
      </c>
      <c r="BO119" s="8">
        <f t="shared" si="29"/>
        <v>95</v>
      </c>
      <c r="BP119" s="8">
        <f t="shared" si="30"/>
        <v>16</v>
      </c>
      <c r="BQ119" s="8">
        <f t="shared" si="31"/>
        <v>95</v>
      </c>
      <c r="BR119" s="8">
        <f t="shared" si="32"/>
        <v>79</v>
      </c>
      <c r="BS119" s="15">
        <f t="shared" si="33"/>
        <v>66.969744474650639</v>
      </c>
      <c r="BT119" s="15" t="str">
        <f t="shared" si="34"/>
        <v>OK - No Upgrade</v>
      </c>
      <c r="BU119" s="15" t="str">
        <f t="shared" si="35"/>
        <v>Need to Balance</v>
      </c>
    </row>
    <row r="120" spans="1:73" ht="15.75" customHeight="1" x14ac:dyDescent="0.25">
      <c r="A120" s="8" t="s">
        <v>1021</v>
      </c>
      <c r="B120" s="8" t="s">
        <v>1021</v>
      </c>
      <c r="C120" s="8" t="s">
        <v>265</v>
      </c>
      <c r="D120" s="8" t="s">
        <v>1273</v>
      </c>
      <c r="E120" s="8" t="s">
        <v>1167</v>
      </c>
      <c r="F120" s="8" t="s">
        <v>43</v>
      </c>
      <c r="G120" s="8"/>
      <c r="H120" s="8">
        <v>100</v>
      </c>
      <c r="I120" s="8" t="s">
        <v>1274</v>
      </c>
      <c r="J120" s="8">
        <v>1</v>
      </c>
      <c r="K120" s="8">
        <v>238</v>
      </c>
      <c r="L120" s="8">
        <v>238</v>
      </c>
      <c r="M120" s="8">
        <v>237</v>
      </c>
      <c r="N120" s="8">
        <v>413</v>
      </c>
      <c r="O120" s="8">
        <v>410</v>
      </c>
      <c r="P120" s="8">
        <v>409</v>
      </c>
      <c r="Q120" s="9" t="s">
        <v>46</v>
      </c>
      <c r="R120" s="16"/>
      <c r="S120" s="10">
        <v>1</v>
      </c>
      <c r="T120" s="10">
        <v>1</v>
      </c>
      <c r="U120" s="10">
        <v>1</v>
      </c>
      <c r="V120" s="11">
        <v>1</v>
      </c>
      <c r="W120" s="12"/>
      <c r="X120" s="17"/>
      <c r="Y120" s="13"/>
      <c r="Z120" s="13"/>
      <c r="AA120" s="13"/>
      <c r="AB120" s="14"/>
      <c r="AC120" s="9"/>
      <c r="AD120" s="16"/>
      <c r="AE120" s="10"/>
      <c r="AF120" s="10"/>
      <c r="AG120" s="10"/>
      <c r="AH120" s="11"/>
      <c r="AI120" s="12"/>
      <c r="AJ120" s="17"/>
      <c r="AK120" s="13"/>
      <c r="AL120" s="13"/>
      <c r="AM120" s="13"/>
      <c r="AN120" s="14"/>
      <c r="AO120" s="9"/>
      <c r="AP120" s="16"/>
      <c r="AQ120" s="10"/>
      <c r="AR120" s="10"/>
      <c r="AS120" s="10"/>
      <c r="AT120" s="11"/>
      <c r="AU120" s="12"/>
      <c r="AV120" s="17"/>
      <c r="AW120" s="13"/>
      <c r="AX120" s="13"/>
      <c r="AY120" s="13"/>
      <c r="AZ120" s="14"/>
      <c r="BA120" s="9"/>
      <c r="BB120" s="16"/>
      <c r="BC120" s="10"/>
      <c r="BD120" s="10"/>
      <c r="BE120" s="10"/>
      <c r="BF120" s="11"/>
      <c r="BG120" s="12"/>
      <c r="BH120" s="17"/>
      <c r="BI120" s="13"/>
      <c r="BJ120" s="13"/>
      <c r="BK120" s="13"/>
      <c r="BL120" s="14"/>
      <c r="BM120" s="8">
        <f t="shared" si="27"/>
        <v>1</v>
      </c>
      <c r="BN120" s="8">
        <f t="shared" si="28"/>
        <v>1</v>
      </c>
      <c r="BO120" s="8">
        <f t="shared" si="29"/>
        <v>1</v>
      </c>
      <c r="BP120" s="8">
        <f t="shared" si="30"/>
        <v>1</v>
      </c>
      <c r="BQ120" s="8">
        <f t="shared" si="31"/>
        <v>1</v>
      </c>
      <c r="BR120" s="8">
        <f t="shared" si="32"/>
        <v>1</v>
      </c>
      <c r="BS120" s="15">
        <f t="shared" si="33"/>
        <v>0.71533698352594632</v>
      </c>
      <c r="BT120" s="15" t="str">
        <f t="shared" si="34"/>
        <v>OK - No Upgrade</v>
      </c>
      <c r="BU120" s="15" t="str">
        <f t="shared" si="35"/>
        <v>OK - Balanced</v>
      </c>
    </row>
    <row r="121" spans="1:73" ht="15.75" customHeight="1" x14ac:dyDescent="0.25">
      <c r="A121" s="8" t="s">
        <v>1021</v>
      </c>
      <c r="B121" s="8" t="s">
        <v>1021</v>
      </c>
      <c r="C121" s="8" t="s">
        <v>124</v>
      </c>
      <c r="D121" s="8" t="s">
        <v>1275</v>
      </c>
      <c r="E121" s="8" t="s">
        <v>1121</v>
      </c>
      <c r="F121" s="8" t="s">
        <v>43</v>
      </c>
      <c r="G121" s="8"/>
      <c r="H121" s="8">
        <v>100</v>
      </c>
      <c r="I121" s="8" t="s">
        <v>1276</v>
      </c>
      <c r="J121" s="8">
        <v>1</v>
      </c>
      <c r="K121" s="8">
        <v>237</v>
      </c>
      <c r="L121" s="8">
        <v>238</v>
      </c>
      <c r="M121" s="8">
        <v>239</v>
      </c>
      <c r="N121" s="8">
        <v>412</v>
      </c>
      <c r="O121" s="8">
        <v>415</v>
      </c>
      <c r="P121" s="8">
        <v>414</v>
      </c>
      <c r="Q121" s="9" t="s">
        <v>46</v>
      </c>
      <c r="R121" s="16"/>
      <c r="S121" s="10">
        <v>17</v>
      </c>
      <c r="T121" s="10">
        <v>16</v>
      </c>
      <c r="U121" s="10">
        <v>18</v>
      </c>
      <c r="V121" s="11">
        <v>5</v>
      </c>
      <c r="W121" s="12"/>
      <c r="X121" s="17"/>
      <c r="Y121" s="13"/>
      <c r="Z121" s="13"/>
      <c r="AA121" s="13"/>
      <c r="AB121" s="14"/>
      <c r="AC121" s="9"/>
      <c r="AD121" s="16"/>
      <c r="AE121" s="10"/>
      <c r="AF121" s="10"/>
      <c r="AG121" s="10"/>
      <c r="AH121" s="11"/>
      <c r="AI121" s="12"/>
      <c r="AJ121" s="17"/>
      <c r="AK121" s="13"/>
      <c r="AL121" s="13"/>
      <c r="AM121" s="13"/>
      <c r="AN121" s="14"/>
      <c r="AO121" s="9"/>
      <c r="AP121" s="16"/>
      <c r="AQ121" s="10"/>
      <c r="AR121" s="10"/>
      <c r="AS121" s="10"/>
      <c r="AT121" s="11"/>
      <c r="AU121" s="12"/>
      <c r="AV121" s="17"/>
      <c r="AW121" s="13"/>
      <c r="AX121" s="13"/>
      <c r="AY121" s="13"/>
      <c r="AZ121" s="14"/>
      <c r="BA121" s="9"/>
      <c r="BB121" s="16"/>
      <c r="BC121" s="10"/>
      <c r="BD121" s="10"/>
      <c r="BE121" s="10"/>
      <c r="BF121" s="11"/>
      <c r="BG121" s="12"/>
      <c r="BH121" s="17"/>
      <c r="BI121" s="13"/>
      <c r="BJ121" s="13"/>
      <c r="BK121" s="13"/>
      <c r="BL121" s="14"/>
      <c r="BM121" s="8">
        <f t="shared" si="27"/>
        <v>17</v>
      </c>
      <c r="BN121" s="8">
        <f t="shared" si="28"/>
        <v>16</v>
      </c>
      <c r="BO121" s="8">
        <f t="shared" si="29"/>
        <v>18</v>
      </c>
      <c r="BP121" s="8">
        <f t="shared" si="30"/>
        <v>5</v>
      </c>
      <c r="BQ121" s="8">
        <f t="shared" si="31"/>
        <v>18</v>
      </c>
      <c r="BR121" s="8">
        <f t="shared" si="32"/>
        <v>16</v>
      </c>
      <c r="BS121" s="15">
        <f t="shared" si="33"/>
        <v>12.844888788930794</v>
      </c>
      <c r="BT121" s="15" t="str">
        <f t="shared" si="34"/>
        <v>OK - No Upgrade</v>
      </c>
      <c r="BU121" s="15" t="str">
        <f t="shared" si="35"/>
        <v>OK - Balanced</v>
      </c>
    </row>
    <row r="122" spans="1:73" ht="15.75" customHeight="1" x14ac:dyDescent="0.25">
      <c r="A122" s="8" t="s">
        <v>1021</v>
      </c>
      <c r="B122" s="8" t="s">
        <v>1021</v>
      </c>
      <c r="C122" s="8" t="s">
        <v>265</v>
      </c>
      <c r="D122" s="8" t="s">
        <v>1277</v>
      </c>
      <c r="E122" s="8" t="s">
        <v>412</v>
      </c>
      <c r="F122" s="8" t="s">
        <v>43</v>
      </c>
      <c r="G122" s="8"/>
      <c r="H122" s="8">
        <v>100</v>
      </c>
      <c r="I122" s="8" t="s">
        <v>1278</v>
      </c>
      <c r="J122" s="8">
        <v>1</v>
      </c>
      <c r="K122" s="8">
        <v>238</v>
      </c>
      <c r="L122" s="8">
        <v>237</v>
      </c>
      <c r="M122" s="8">
        <v>236</v>
      </c>
      <c r="N122" s="8">
        <v>411</v>
      </c>
      <c r="O122" s="8">
        <v>410</v>
      </c>
      <c r="P122" s="8">
        <v>409</v>
      </c>
      <c r="Q122" s="9" t="s">
        <v>46</v>
      </c>
      <c r="R122" s="16"/>
      <c r="S122" s="10">
        <v>10</v>
      </c>
      <c r="T122" s="10">
        <v>4</v>
      </c>
      <c r="U122" s="10">
        <v>3</v>
      </c>
      <c r="V122" s="11">
        <v>10</v>
      </c>
      <c r="W122" s="12"/>
      <c r="X122" s="17"/>
      <c r="Y122" s="13"/>
      <c r="Z122" s="13"/>
      <c r="AA122" s="13"/>
      <c r="AB122" s="14"/>
      <c r="AC122" s="9"/>
      <c r="AD122" s="16"/>
      <c r="AE122" s="10"/>
      <c r="AF122" s="10"/>
      <c r="AG122" s="10"/>
      <c r="AH122" s="11"/>
      <c r="AI122" s="12"/>
      <c r="AJ122" s="17"/>
      <c r="AK122" s="13"/>
      <c r="AL122" s="13"/>
      <c r="AM122" s="13"/>
      <c r="AN122" s="14"/>
      <c r="AO122" s="9"/>
      <c r="AP122" s="16"/>
      <c r="AQ122" s="10"/>
      <c r="AR122" s="10"/>
      <c r="AS122" s="10"/>
      <c r="AT122" s="11"/>
      <c r="AU122" s="12"/>
      <c r="AV122" s="17"/>
      <c r="AW122" s="13"/>
      <c r="AX122" s="13"/>
      <c r="AY122" s="13"/>
      <c r="AZ122" s="14"/>
      <c r="BA122" s="9"/>
      <c r="BB122" s="16"/>
      <c r="BC122" s="10"/>
      <c r="BD122" s="10"/>
      <c r="BE122" s="10"/>
      <c r="BF122" s="11"/>
      <c r="BG122" s="12"/>
      <c r="BH122" s="17"/>
      <c r="BI122" s="13"/>
      <c r="BJ122" s="13"/>
      <c r="BK122" s="13"/>
      <c r="BL122" s="14"/>
      <c r="BM122" s="8">
        <f t="shared" si="27"/>
        <v>10</v>
      </c>
      <c r="BN122" s="8">
        <f t="shared" si="28"/>
        <v>4</v>
      </c>
      <c r="BO122" s="8">
        <f t="shared" si="29"/>
        <v>3</v>
      </c>
      <c r="BP122" s="8">
        <f t="shared" si="30"/>
        <v>10</v>
      </c>
      <c r="BQ122" s="8">
        <f t="shared" si="31"/>
        <v>10</v>
      </c>
      <c r="BR122" s="8">
        <f t="shared" si="32"/>
        <v>3</v>
      </c>
      <c r="BS122" s="15">
        <f t="shared" si="33"/>
        <v>7.1187288191080844</v>
      </c>
      <c r="BT122" s="15" t="str">
        <f t="shared" si="34"/>
        <v>OK - No Upgrade</v>
      </c>
      <c r="BU122" s="15" t="str">
        <f t="shared" si="35"/>
        <v>Need to Balance</v>
      </c>
    </row>
    <row r="123" spans="1:73" ht="15.75" customHeight="1" x14ac:dyDescent="0.25">
      <c r="A123" s="8" t="s">
        <v>1021</v>
      </c>
      <c r="B123" s="8" t="s">
        <v>1021</v>
      </c>
      <c r="C123" s="8" t="s">
        <v>124</v>
      </c>
      <c r="D123" s="8" t="s">
        <v>1279</v>
      </c>
      <c r="E123" s="8" t="s">
        <v>1118</v>
      </c>
      <c r="F123" s="8" t="s">
        <v>43</v>
      </c>
      <c r="G123" s="8"/>
      <c r="H123" s="8">
        <v>100</v>
      </c>
      <c r="I123" s="8" t="s">
        <v>1280</v>
      </c>
      <c r="J123" s="8">
        <v>1</v>
      </c>
      <c r="K123" s="8">
        <v>241</v>
      </c>
      <c r="L123" s="8">
        <v>244</v>
      </c>
      <c r="M123" s="8">
        <v>243</v>
      </c>
      <c r="N123" s="8">
        <v>422</v>
      </c>
      <c r="O123" s="8">
        <v>418</v>
      </c>
      <c r="P123" s="8">
        <v>423</v>
      </c>
      <c r="Q123" s="9" t="s">
        <v>46</v>
      </c>
      <c r="R123" s="16"/>
      <c r="S123" s="10">
        <v>20</v>
      </c>
      <c r="T123" s="10">
        <v>18</v>
      </c>
      <c r="U123" s="10">
        <v>18</v>
      </c>
      <c r="V123" s="11">
        <v>7</v>
      </c>
      <c r="W123" s="12"/>
      <c r="X123" s="17"/>
      <c r="Y123" s="13"/>
      <c r="Z123" s="13"/>
      <c r="AA123" s="13"/>
      <c r="AB123" s="14"/>
      <c r="AC123" s="9"/>
      <c r="AD123" s="16"/>
      <c r="AE123" s="10"/>
      <c r="AF123" s="10"/>
      <c r="AG123" s="10"/>
      <c r="AH123" s="11"/>
      <c r="AI123" s="12"/>
      <c r="AJ123" s="17"/>
      <c r="AK123" s="13"/>
      <c r="AL123" s="13"/>
      <c r="AM123" s="13"/>
      <c r="AN123" s="14"/>
      <c r="AO123" s="9"/>
      <c r="AP123" s="16"/>
      <c r="AQ123" s="10"/>
      <c r="AR123" s="10"/>
      <c r="AS123" s="10"/>
      <c r="AT123" s="11"/>
      <c r="AU123" s="12"/>
      <c r="AV123" s="17"/>
      <c r="AW123" s="13"/>
      <c r="AX123" s="13"/>
      <c r="AY123" s="13"/>
      <c r="AZ123" s="14"/>
      <c r="BA123" s="9"/>
      <c r="BB123" s="16"/>
      <c r="BC123" s="10"/>
      <c r="BD123" s="10"/>
      <c r="BE123" s="10"/>
      <c r="BF123" s="11"/>
      <c r="BG123" s="12"/>
      <c r="BH123" s="17"/>
      <c r="BI123" s="13"/>
      <c r="BJ123" s="13"/>
      <c r="BK123" s="13"/>
      <c r="BL123" s="14"/>
      <c r="BM123" s="8">
        <f t="shared" si="27"/>
        <v>20</v>
      </c>
      <c r="BN123" s="8">
        <f t="shared" si="28"/>
        <v>18</v>
      </c>
      <c r="BO123" s="8">
        <f t="shared" si="29"/>
        <v>18</v>
      </c>
      <c r="BP123" s="8">
        <f t="shared" si="30"/>
        <v>7</v>
      </c>
      <c r="BQ123" s="8">
        <f t="shared" si="31"/>
        <v>20</v>
      </c>
      <c r="BR123" s="8">
        <f t="shared" si="32"/>
        <v>18</v>
      </c>
      <c r="BS123" s="15">
        <f t="shared" si="33"/>
        <v>14.618508815881324</v>
      </c>
      <c r="BT123" s="15" t="str">
        <f t="shared" si="34"/>
        <v>OK - No Upgrade</v>
      </c>
      <c r="BU123" s="15" t="str">
        <f t="shared" si="35"/>
        <v>OK - Balanced</v>
      </c>
    </row>
    <row r="124" spans="1:73" ht="15.75" customHeight="1" x14ac:dyDescent="0.25">
      <c r="A124" s="8" t="s">
        <v>1021</v>
      </c>
      <c r="B124" s="8" t="s">
        <v>1021</v>
      </c>
      <c r="C124" s="8" t="s">
        <v>265</v>
      </c>
      <c r="D124" s="8" t="s">
        <v>1281</v>
      </c>
      <c r="E124" s="8" t="s">
        <v>428</v>
      </c>
      <c r="F124" s="8" t="s">
        <v>43</v>
      </c>
      <c r="G124" s="8"/>
      <c r="H124" s="8">
        <v>100</v>
      </c>
      <c r="I124" s="8" t="s">
        <v>1282</v>
      </c>
      <c r="J124" s="8">
        <v>1</v>
      </c>
      <c r="K124" s="8">
        <v>233</v>
      </c>
      <c r="L124" s="8">
        <v>232</v>
      </c>
      <c r="M124" s="8">
        <v>234</v>
      </c>
      <c r="N124" s="8">
        <v>404</v>
      </c>
      <c r="O124" s="8">
        <v>401</v>
      </c>
      <c r="P124" s="8">
        <v>401</v>
      </c>
      <c r="Q124" s="9" t="s">
        <v>46</v>
      </c>
      <c r="R124" s="16"/>
      <c r="S124" s="10">
        <v>54</v>
      </c>
      <c r="T124" s="10">
        <v>48</v>
      </c>
      <c r="U124" s="10">
        <v>21</v>
      </c>
      <c r="V124" s="11">
        <v>16</v>
      </c>
      <c r="W124" s="12"/>
      <c r="X124" s="17"/>
      <c r="Y124" s="13"/>
      <c r="Z124" s="13"/>
      <c r="AA124" s="13"/>
      <c r="AB124" s="14"/>
      <c r="AC124" s="9"/>
      <c r="AD124" s="16"/>
      <c r="AE124" s="10"/>
      <c r="AF124" s="10"/>
      <c r="AG124" s="10"/>
      <c r="AH124" s="11"/>
      <c r="AI124" s="12"/>
      <c r="AJ124" s="17"/>
      <c r="AK124" s="13"/>
      <c r="AL124" s="13"/>
      <c r="AM124" s="13"/>
      <c r="AN124" s="14"/>
      <c r="AO124" s="9"/>
      <c r="AP124" s="16"/>
      <c r="AQ124" s="10"/>
      <c r="AR124" s="10"/>
      <c r="AS124" s="10"/>
      <c r="AT124" s="11"/>
      <c r="AU124" s="12"/>
      <c r="AV124" s="17"/>
      <c r="AW124" s="13"/>
      <c r="AX124" s="13"/>
      <c r="AY124" s="13"/>
      <c r="AZ124" s="14"/>
      <c r="BA124" s="9"/>
      <c r="BB124" s="16"/>
      <c r="BC124" s="10"/>
      <c r="BD124" s="10"/>
      <c r="BE124" s="10"/>
      <c r="BF124" s="11"/>
      <c r="BG124" s="12"/>
      <c r="BH124" s="17"/>
      <c r="BI124" s="13"/>
      <c r="BJ124" s="13"/>
      <c r="BK124" s="13"/>
      <c r="BL124" s="14"/>
      <c r="BM124" s="8">
        <f t="shared" si="27"/>
        <v>54</v>
      </c>
      <c r="BN124" s="8">
        <f t="shared" si="28"/>
        <v>48</v>
      </c>
      <c r="BO124" s="8">
        <f t="shared" si="29"/>
        <v>21</v>
      </c>
      <c r="BP124" s="8">
        <f t="shared" si="30"/>
        <v>16</v>
      </c>
      <c r="BQ124" s="8">
        <f t="shared" si="31"/>
        <v>54</v>
      </c>
      <c r="BR124" s="8">
        <f t="shared" si="32"/>
        <v>21</v>
      </c>
      <c r="BS124" s="15">
        <f t="shared" si="33"/>
        <v>37.786420417922621</v>
      </c>
      <c r="BT124" s="15" t="str">
        <f t="shared" si="34"/>
        <v>OK - No Upgrade</v>
      </c>
      <c r="BU124" s="15" t="str">
        <f t="shared" si="35"/>
        <v>Need to Balance</v>
      </c>
    </row>
    <row r="125" spans="1:73" ht="15.75" customHeight="1" x14ac:dyDescent="0.25">
      <c r="A125" s="8" t="s">
        <v>1021</v>
      </c>
      <c r="B125" s="8" t="s">
        <v>1021</v>
      </c>
      <c r="C125" s="8" t="s">
        <v>124</v>
      </c>
      <c r="D125" s="8" t="s">
        <v>1283</v>
      </c>
      <c r="E125" s="8" t="s">
        <v>1115</v>
      </c>
      <c r="F125" s="8" t="s">
        <v>43</v>
      </c>
      <c r="G125" s="8"/>
      <c r="H125" s="8">
        <v>100</v>
      </c>
      <c r="I125" s="8" t="s">
        <v>1284</v>
      </c>
      <c r="J125" s="8">
        <v>1</v>
      </c>
      <c r="K125" s="8">
        <v>235</v>
      </c>
      <c r="L125" s="8">
        <v>237</v>
      </c>
      <c r="M125" s="8">
        <v>236</v>
      </c>
      <c r="N125" s="8">
        <v>410</v>
      </c>
      <c r="O125" s="8">
        <v>409</v>
      </c>
      <c r="P125" s="8">
        <v>413</v>
      </c>
      <c r="Q125" s="9" t="s">
        <v>46</v>
      </c>
      <c r="R125" s="16"/>
      <c r="S125" s="10">
        <v>27</v>
      </c>
      <c r="T125" s="10">
        <v>13</v>
      </c>
      <c r="U125" s="10">
        <v>10</v>
      </c>
      <c r="V125" s="11">
        <v>12</v>
      </c>
      <c r="W125" s="12"/>
      <c r="X125" s="17"/>
      <c r="Y125" s="13"/>
      <c r="Z125" s="13"/>
      <c r="AA125" s="13"/>
      <c r="AB125" s="14"/>
      <c r="AC125" s="9"/>
      <c r="AD125" s="16"/>
      <c r="AE125" s="10"/>
      <c r="AF125" s="10"/>
      <c r="AG125" s="10"/>
      <c r="AH125" s="11"/>
      <c r="AI125" s="12"/>
      <c r="AJ125" s="17"/>
      <c r="AK125" s="13"/>
      <c r="AL125" s="13"/>
      <c r="AM125" s="13"/>
      <c r="AN125" s="14"/>
      <c r="AO125" s="9"/>
      <c r="AP125" s="16"/>
      <c r="AQ125" s="10"/>
      <c r="AR125" s="10"/>
      <c r="AS125" s="10"/>
      <c r="AT125" s="11"/>
      <c r="AU125" s="12"/>
      <c r="AV125" s="17"/>
      <c r="AW125" s="13"/>
      <c r="AX125" s="13"/>
      <c r="AY125" s="13"/>
      <c r="AZ125" s="14"/>
      <c r="BA125" s="9"/>
      <c r="BB125" s="16"/>
      <c r="BC125" s="10"/>
      <c r="BD125" s="10"/>
      <c r="BE125" s="10"/>
      <c r="BF125" s="11"/>
      <c r="BG125" s="12"/>
      <c r="BH125" s="17"/>
      <c r="BI125" s="13"/>
      <c r="BJ125" s="13"/>
      <c r="BK125" s="13"/>
      <c r="BL125" s="14"/>
      <c r="BM125" s="8">
        <f t="shared" si="27"/>
        <v>27</v>
      </c>
      <c r="BN125" s="8">
        <f t="shared" si="28"/>
        <v>13</v>
      </c>
      <c r="BO125" s="8">
        <f t="shared" si="29"/>
        <v>10</v>
      </c>
      <c r="BP125" s="8">
        <f t="shared" si="30"/>
        <v>12</v>
      </c>
      <c r="BQ125" s="8">
        <f t="shared" si="31"/>
        <v>27</v>
      </c>
      <c r="BR125" s="8">
        <f t="shared" si="32"/>
        <v>10</v>
      </c>
      <c r="BS125" s="15">
        <f t="shared" si="33"/>
        <v>19.173802439787469</v>
      </c>
      <c r="BT125" s="15" t="str">
        <f t="shared" si="34"/>
        <v>OK - No Upgrade</v>
      </c>
      <c r="BU125" s="15" t="str">
        <f t="shared" si="35"/>
        <v>Need to Balance</v>
      </c>
    </row>
    <row r="126" spans="1:73" ht="15.75" customHeight="1" x14ac:dyDescent="0.25">
      <c r="A126" s="8" t="s">
        <v>1021</v>
      </c>
      <c r="B126" s="8" t="s">
        <v>1021</v>
      </c>
      <c r="C126" s="8" t="s">
        <v>124</v>
      </c>
      <c r="D126" s="8" t="s">
        <v>1285</v>
      </c>
      <c r="E126" s="8" t="s">
        <v>1111</v>
      </c>
      <c r="F126" s="8" t="s">
        <v>43</v>
      </c>
      <c r="G126" s="8"/>
      <c r="H126" s="8">
        <v>100</v>
      </c>
      <c r="I126" s="8" t="s">
        <v>1286</v>
      </c>
      <c r="J126" s="8">
        <v>1</v>
      </c>
      <c r="K126" s="8">
        <v>232</v>
      </c>
      <c r="L126" s="8">
        <v>234</v>
      </c>
      <c r="M126" s="8">
        <v>233</v>
      </c>
      <c r="N126" s="8">
        <v>405</v>
      </c>
      <c r="O126" s="8">
        <v>403</v>
      </c>
      <c r="P126" s="8">
        <v>407</v>
      </c>
      <c r="Q126" s="9" t="s">
        <v>46</v>
      </c>
      <c r="R126" s="16"/>
      <c r="S126" s="10">
        <v>35</v>
      </c>
      <c r="T126" s="10">
        <v>32</v>
      </c>
      <c r="U126" s="10">
        <v>25</v>
      </c>
      <c r="V126" s="11">
        <v>13</v>
      </c>
      <c r="W126" s="12"/>
      <c r="X126" s="17"/>
      <c r="Y126" s="13"/>
      <c r="Z126" s="13"/>
      <c r="AA126" s="13"/>
      <c r="AB126" s="14"/>
      <c r="AC126" s="9"/>
      <c r="AD126" s="16"/>
      <c r="AE126" s="10"/>
      <c r="AF126" s="10"/>
      <c r="AG126" s="10"/>
      <c r="AH126" s="11"/>
      <c r="AI126" s="12"/>
      <c r="AJ126" s="17"/>
      <c r="AK126" s="13"/>
      <c r="AL126" s="13"/>
      <c r="AM126" s="13"/>
      <c r="AN126" s="14"/>
      <c r="AO126" s="9"/>
      <c r="AP126" s="16"/>
      <c r="AQ126" s="10"/>
      <c r="AR126" s="10"/>
      <c r="AS126" s="10"/>
      <c r="AT126" s="11"/>
      <c r="AU126" s="12"/>
      <c r="AV126" s="17"/>
      <c r="AW126" s="13"/>
      <c r="AX126" s="13"/>
      <c r="AY126" s="13"/>
      <c r="AZ126" s="14"/>
      <c r="BA126" s="9"/>
      <c r="BB126" s="16"/>
      <c r="BC126" s="10"/>
      <c r="BD126" s="10"/>
      <c r="BE126" s="10"/>
      <c r="BF126" s="11"/>
      <c r="BG126" s="12"/>
      <c r="BH126" s="17"/>
      <c r="BI126" s="13"/>
      <c r="BJ126" s="13"/>
      <c r="BK126" s="13"/>
      <c r="BL126" s="14"/>
      <c r="BM126" s="8">
        <f t="shared" si="27"/>
        <v>35</v>
      </c>
      <c r="BN126" s="8">
        <f t="shared" si="28"/>
        <v>32</v>
      </c>
      <c r="BO126" s="8">
        <f t="shared" si="29"/>
        <v>25</v>
      </c>
      <c r="BP126" s="8">
        <f t="shared" si="30"/>
        <v>13</v>
      </c>
      <c r="BQ126" s="8">
        <f t="shared" si="31"/>
        <v>35</v>
      </c>
      <c r="BR126" s="8">
        <f t="shared" si="32"/>
        <v>25</v>
      </c>
      <c r="BS126" s="15">
        <f t="shared" si="33"/>
        <v>24.551820197288833</v>
      </c>
      <c r="BT126" s="15" t="str">
        <f t="shared" si="34"/>
        <v>OK - No Upgrade</v>
      </c>
      <c r="BU126" s="15" t="str">
        <f t="shared" si="35"/>
        <v>Need to Balance</v>
      </c>
    </row>
    <row r="127" spans="1:73" ht="15.75" customHeight="1" x14ac:dyDescent="0.25">
      <c r="A127" s="8" t="s">
        <v>1021</v>
      </c>
      <c r="B127" s="8" t="s">
        <v>1021</v>
      </c>
      <c r="C127" s="8" t="s">
        <v>124</v>
      </c>
      <c r="D127" s="8" t="s">
        <v>1287</v>
      </c>
      <c r="E127" s="8" t="s">
        <v>1107</v>
      </c>
      <c r="F127" s="8" t="s">
        <v>43</v>
      </c>
      <c r="G127" s="8"/>
      <c r="H127" s="8">
        <v>100</v>
      </c>
      <c r="I127" s="8" t="s">
        <v>1288</v>
      </c>
      <c r="J127" s="8">
        <v>1</v>
      </c>
      <c r="K127" s="8">
        <v>233</v>
      </c>
      <c r="L127" s="8">
        <v>236</v>
      </c>
      <c r="M127" s="8">
        <v>234</v>
      </c>
      <c r="N127" s="8">
        <v>408</v>
      </c>
      <c r="O127" s="8">
        <v>409</v>
      </c>
      <c r="P127" s="8">
        <v>405</v>
      </c>
      <c r="Q127" s="9" t="s">
        <v>46</v>
      </c>
      <c r="R127" s="16"/>
      <c r="S127" s="10">
        <v>0</v>
      </c>
      <c r="T127" s="10">
        <v>1</v>
      </c>
      <c r="U127" s="10">
        <v>0</v>
      </c>
      <c r="V127" s="11">
        <v>1</v>
      </c>
      <c r="W127" s="12"/>
      <c r="X127" s="17"/>
      <c r="Y127" s="13"/>
      <c r="Z127" s="13"/>
      <c r="AA127" s="13"/>
      <c r="AB127" s="14"/>
      <c r="AC127" s="9"/>
      <c r="AD127" s="16"/>
      <c r="AE127" s="10"/>
      <c r="AF127" s="10"/>
      <c r="AG127" s="10"/>
      <c r="AH127" s="11"/>
      <c r="AI127" s="12"/>
      <c r="AJ127" s="17"/>
      <c r="AK127" s="13"/>
      <c r="AL127" s="13"/>
      <c r="AM127" s="13"/>
      <c r="AN127" s="14"/>
      <c r="AO127" s="9"/>
      <c r="AP127" s="16"/>
      <c r="AQ127" s="10"/>
      <c r="AR127" s="10"/>
      <c r="AS127" s="10"/>
      <c r="AT127" s="11"/>
      <c r="AU127" s="12"/>
      <c r="AV127" s="17"/>
      <c r="AW127" s="13"/>
      <c r="AX127" s="13"/>
      <c r="AY127" s="13"/>
      <c r="AZ127" s="14"/>
      <c r="BA127" s="9"/>
      <c r="BB127" s="16"/>
      <c r="BC127" s="10"/>
      <c r="BD127" s="10"/>
      <c r="BE127" s="10"/>
      <c r="BF127" s="11"/>
      <c r="BG127" s="12"/>
      <c r="BH127" s="17"/>
      <c r="BI127" s="13"/>
      <c r="BJ127" s="13"/>
      <c r="BK127" s="13"/>
      <c r="BL127" s="14"/>
      <c r="BM127" s="8">
        <f t="shared" si="27"/>
        <v>0</v>
      </c>
      <c r="BN127" s="8">
        <f t="shared" si="28"/>
        <v>1</v>
      </c>
      <c r="BO127" s="8">
        <f t="shared" si="29"/>
        <v>0</v>
      </c>
      <c r="BP127" s="8">
        <f t="shared" si="30"/>
        <v>1</v>
      </c>
      <c r="BQ127" s="8">
        <f t="shared" si="31"/>
        <v>1</v>
      </c>
      <c r="BR127" s="8">
        <f t="shared" si="32"/>
        <v>0</v>
      </c>
      <c r="BS127" s="15">
        <f t="shared" si="33"/>
        <v>0.7066767294881019</v>
      </c>
      <c r="BT127" s="15" t="str">
        <f t="shared" si="34"/>
        <v>OK - No Upgrade</v>
      </c>
      <c r="BU127" s="15" t="str">
        <f t="shared" si="35"/>
        <v>Need to Balance</v>
      </c>
    </row>
    <row r="128" spans="1:73" ht="15.75" customHeight="1" x14ac:dyDescent="0.25">
      <c r="A128" s="8" t="s">
        <v>1021</v>
      </c>
      <c r="B128" s="8" t="s">
        <v>1021</v>
      </c>
      <c r="C128" s="8" t="s">
        <v>124</v>
      </c>
      <c r="D128" s="8" t="s">
        <v>1289</v>
      </c>
      <c r="E128" s="8" t="s">
        <v>1095</v>
      </c>
      <c r="F128" s="8" t="s">
        <v>43</v>
      </c>
      <c r="G128" s="8"/>
      <c r="H128" s="8">
        <v>100</v>
      </c>
      <c r="I128" s="8" t="s">
        <v>1290</v>
      </c>
      <c r="J128" s="8">
        <v>1</v>
      </c>
      <c r="K128" s="8">
        <v>232</v>
      </c>
      <c r="L128" s="8">
        <v>236</v>
      </c>
      <c r="M128" s="8">
        <v>233</v>
      </c>
      <c r="N128" s="8">
        <v>407</v>
      </c>
      <c r="O128" s="8">
        <v>407</v>
      </c>
      <c r="P128" s="8">
        <v>405</v>
      </c>
      <c r="Q128" s="9" t="s">
        <v>46</v>
      </c>
      <c r="R128" s="16"/>
      <c r="S128" s="10">
        <v>25</v>
      </c>
      <c r="T128" s="10">
        <v>6</v>
      </c>
      <c r="U128" s="10">
        <v>1</v>
      </c>
      <c r="V128" s="11">
        <v>15</v>
      </c>
      <c r="W128" s="12"/>
      <c r="X128" s="17"/>
      <c r="Y128" s="13"/>
      <c r="Z128" s="13"/>
      <c r="AA128" s="13"/>
      <c r="AB128" s="14"/>
      <c r="AC128" s="9"/>
      <c r="AD128" s="16"/>
      <c r="AE128" s="10"/>
      <c r="AF128" s="10"/>
      <c r="AG128" s="10"/>
      <c r="AH128" s="11"/>
      <c r="AI128" s="12"/>
      <c r="AJ128" s="17"/>
      <c r="AK128" s="13"/>
      <c r="AL128" s="13"/>
      <c r="AM128" s="13"/>
      <c r="AN128" s="14"/>
      <c r="AO128" s="9"/>
      <c r="AP128" s="16"/>
      <c r="AQ128" s="10"/>
      <c r="AR128" s="10"/>
      <c r="AS128" s="10"/>
      <c r="AT128" s="11"/>
      <c r="AU128" s="12"/>
      <c r="AV128" s="17"/>
      <c r="AW128" s="13"/>
      <c r="AX128" s="13"/>
      <c r="AY128" s="13"/>
      <c r="AZ128" s="14"/>
      <c r="BA128" s="9"/>
      <c r="BB128" s="16"/>
      <c r="BC128" s="10"/>
      <c r="BD128" s="10"/>
      <c r="BE128" s="10"/>
      <c r="BF128" s="11"/>
      <c r="BG128" s="12"/>
      <c r="BH128" s="17"/>
      <c r="BI128" s="13"/>
      <c r="BJ128" s="13"/>
      <c r="BK128" s="13"/>
      <c r="BL128" s="14"/>
      <c r="BM128" s="8">
        <f t="shared" si="27"/>
        <v>25</v>
      </c>
      <c r="BN128" s="8">
        <f t="shared" si="28"/>
        <v>6</v>
      </c>
      <c r="BO128" s="8">
        <f t="shared" si="29"/>
        <v>1</v>
      </c>
      <c r="BP128" s="8">
        <f t="shared" si="30"/>
        <v>15</v>
      </c>
      <c r="BQ128" s="8">
        <f t="shared" si="31"/>
        <v>25</v>
      </c>
      <c r="BR128" s="8">
        <f t="shared" si="32"/>
        <v>1</v>
      </c>
      <c r="BS128" s="15">
        <f t="shared" si="33"/>
        <v>17.623616967013326</v>
      </c>
      <c r="BT128" s="15" t="str">
        <f t="shared" si="34"/>
        <v>OK - No Upgrade</v>
      </c>
      <c r="BU128" s="15" t="str">
        <f t="shared" si="35"/>
        <v>Need to Balance</v>
      </c>
    </row>
    <row r="129" spans="1:73" ht="15.75" customHeight="1" x14ac:dyDescent="0.25">
      <c r="A129" s="8" t="s">
        <v>1021</v>
      </c>
      <c r="B129" s="8" t="s">
        <v>1021</v>
      </c>
      <c r="C129" s="8" t="s">
        <v>265</v>
      </c>
      <c r="D129" s="8" t="s">
        <v>1291</v>
      </c>
      <c r="E129" s="8" t="s">
        <v>436</v>
      </c>
      <c r="F129" s="8" t="s">
        <v>43</v>
      </c>
      <c r="G129" s="8"/>
      <c r="H129" s="8">
        <v>100</v>
      </c>
      <c r="I129" s="8" t="s">
        <v>1292</v>
      </c>
      <c r="J129" s="8">
        <v>1</v>
      </c>
      <c r="K129" s="8">
        <v>234</v>
      </c>
      <c r="L129" s="8">
        <v>233</v>
      </c>
      <c r="M129" s="8">
        <v>232</v>
      </c>
      <c r="N129" s="8">
        <v>405</v>
      </c>
      <c r="O129" s="8">
        <v>406</v>
      </c>
      <c r="P129" s="8">
        <v>402</v>
      </c>
      <c r="Q129" s="9" t="s">
        <v>46</v>
      </c>
      <c r="R129" s="16"/>
      <c r="S129" s="10">
        <v>56</v>
      </c>
      <c r="T129" s="10">
        <v>57</v>
      </c>
      <c r="U129" s="10">
        <v>45</v>
      </c>
      <c r="V129" s="11">
        <v>10</v>
      </c>
      <c r="W129" s="12"/>
      <c r="X129" s="17"/>
      <c r="Y129" s="13"/>
      <c r="Z129" s="13"/>
      <c r="AA129" s="13"/>
      <c r="AB129" s="14"/>
      <c r="AC129" s="9"/>
      <c r="AD129" s="16"/>
      <c r="AE129" s="10"/>
      <c r="AF129" s="10"/>
      <c r="AG129" s="10"/>
      <c r="AH129" s="11"/>
      <c r="AI129" s="12"/>
      <c r="AJ129" s="17"/>
      <c r="AK129" s="13"/>
      <c r="AL129" s="13"/>
      <c r="AM129" s="13"/>
      <c r="AN129" s="14"/>
      <c r="AO129" s="9"/>
      <c r="AP129" s="16"/>
      <c r="AQ129" s="10"/>
      <c r="AR129" s="10"/>
      <c r="AS129" s="10"/>
      <c r="AT129" s="11"/>
      <c r="AU129" s="12"/>
      <c r="AV129" s="17"/>
      <c r="AW129" s="13"/>
      <c r="AX129" s="13"/>
      <c r="AY129" s="13"/>
      <c r="AZ129" s="14"/>
      <c r="BA129" s="9"/>
      <c r="BB129" s="16"/>
      <c r="BC129" s="10"/>
      <c r="BD129" s="10"/>
      <c r="BE129" s="10"/>
      <c r="BF129" s="11"/>
      <c r="BG129" s="12"/>
      <c r="BH129" s="17"/>
      <c r="BI129" s="13"/>
      <c r="BJ129" s="13"/>
      <c r="BK129" s="13"/>
      <c r="BL129" s="14"/>
      <c r="BM129" s="8">
        <f t="shared" si="27"/>
        <v>56</v>
      </c>
      <c r="BN129" s="8">
        <f t="shared" si="28"/>
        <v>57</v>
      </c>
      <c r="BO129" s="8">
        <f t="shared" si="29"/>
        <v>45</v>
      </c>
      <c r="BP129" s="8">
        <f t="shared" si="30"/>
        <v>10</v>
      </c>
      <c r="BQ129" s="8">
        <f t="shared" si="31"/>
        <v>57</v>
      </c>
      <c r="BR129" s="8">
        <f t="shared" si="32"/>
        <v>45</v>
      </c>
      <c r="BS129" s="15">
        <f t="shared" si="33"/>
        <v>39.984392892727527</v>
      </c>
      <c r="BT129" s="15" t="str">
        <f t="shared" si="34"/>
        <v>OK - No Upgrade</v>
      </c>
      <c r="BU129" s="15" t="str">
        <f t="shared" si="35"/>
        <v>OK - Balanced</v>
      </c>
    </row>
    <row r="130" spans="1:73" ht="15.75" customHeight="1" x14ac:dyDescent="0.25">
      <c r="A130" s="8" t="s">
        <v>1021</v>
      </c>
      <c r="B130" s="8" t="s">
        <v>1021</v>
      </c>
      <c r="C130" s="8" t="s">
        <v>124</v>
      </c>
      <c r="D130" s="8" t="s">
        <v>1293</v>
      </c>
      <c r="E130" s="8" t="s">
        <v>1208</v>
      </c>
      <c r="F130" s="8" t="s">
        <v>43</v>
      </c>
      <c r="G130" s="8"/>
      <c r="H130" s="8">
        <v>200</v>
      </c>
      <c r="I130" s="8" t="s">
        <v>1294</v>
      </c>
      <c r="J130" s="8">
        <v>1</v>
      </c>
      <c r="K130" s="8">
        <v>238</v>
      </c>
      <c r="L130" s="8">
        <v>241</v>
      </c>
      <c r="M130" s="8">
        <v>237</v>
      </c>
      <c r="N130" s="8">
        <v>417</v>
      </c>
      <c r="O130" s="8">
        <v>410</v>
      </c>
      <c r="P130" s="8">
        <v>416</v>
      </c>
      <c r="Q130" s="9" t="s">
        <v>70</v>
      </c>
      <c r="R130" s="16"/>
      <c r="S130" s="10">
        <v>22</v>
      </c>
      <c r="T130" s="10">
        <v>40</v>
      </c>
      <c r="U130" s="10">
        <v>65</v>
      </c>
      <c r="V130" s="11">
        <v>35</v>
      </c>
      <c r="W130" s="12"/>
      <c r="X130" s="17"/>
      <c r="Y130" s="13"/>
      <c r="Z130" s="13"/>
      <c r="AA130" s="13"/>
      <c r="AB130" s="14"/>
      <c r="AC130" s="9"/>
      <c r="AD130" s="16"/>
      <c r="AE130" s="10"/>
      <c r="AF130" s="10"/>
      <c r="AG130" s="10"/>
      <c r="AH130" s="11"/>
      <c r="AI130" s="12"/>
      <c r="AJ130" s="17"/>
      <c r="AK130" s="13"/>
      <c r="AL130" s="13"/>
      <c r="AM130" s="13"/>
      <c r="AN130" s="14"/>
      <c r="AO130" s="9"/>
      <c r="AP130" s="16"/>
      <c r="AQ130" s="10"/>
      <c r="AR130" s="10"/>
      <c r="AS130" s="10"/>
      <c r="AT130" s="11"/>
      <c r="AU130" s="12"/>
      <c r="AV130" s="17"/>
      <c r="AW130" s="13"/>
      <c r="AX130" s="13"/>
      <c r="AY130" s="13"/>
      <c r="AZ130" s="14"/>
      <c r="BA130" s="9"/>
      <c r="BB130" s="16"/>
      <c r="BC130" s="10"/>
      <c r="BD130" s="10"/>
      <c r="BE130" s="10"/>
      <c r="BF130" s="11"/>
      <c r="BG130" s="12"/>
      <c r="BH130" s="17"/>
      <c r="BI130" s="13"/>
      <c r="BJ130" s="13"/>
      <c r="BK130" s="13"/>
      <c r="BL130" s="14"/>
      <c r="BM130" s="8">
        <f t="shared" si="27"/>
        <v>22</v>
      </c>
      <c r="BN130" s="8">
        <f t="shared" si="28"/>
        <v>40</v>
      </c>
      <c r="BO130" s="8">
        <f t="shared" si="29"/>
        <v>65</v>
      </c>
      <c r="BP130" s="8">
        <f t="shared" si="30"/>
        <v>35</v>
      </c>
      <c r="BQ130" s="8">
        <f t="shared" si="31"/>
        <v>65</v>
      </c>
      <c r="BR130" s="8">
        <f t="shared" si="32"/>
        <v>22</v>
      </c>
      <c r="BS130" s="15">
        <f t="shared" si="33"/>
        <v>23.473618569577205</v>
      </c>
      <c r="BT130" s="15" t="str">
        <f t="shared" si="34"/>
        <v>OK - No Upgrade</v>
      </c>
      <c r="BU130" s="15" t="str">
        <f t="shared" si="35"/>
        <v>Need to Balance</v>
      </c>
    </row>
    <row r="131" spans="1:73" ht="15.75" customHeight="1" x14ac:dyDescent="0.25">
      <c r="A131" s="8" t="s">
        <v>1021</v>
      </c>
      <c r="B131" s="8" t="s">
        <v>1021</v>
      </c>
      <c r="C131" s="8" t="s">
        <v>124</v>
      </c>
      <c r="D131" s="8" t="s">
        <v>1295</v>
      </c>
      <c r="E131" s="8" t="s">
        <v>1099</v>
      </c>
      <c r="F131" s="8" t="s">
        <v>43</v>
      </c>
      <c r="G131" s="8"/>
      <c r="H131" s="8">
        <v>100</v>
      </c>
      <c r="I131" s="8" t="s">
        <v>1296</v>
      </c>
      <c r="J131" s="8">
        <v>1</v>
      </c>
      <c r="K131" s="8">
        <v>229</v>
      </c>
      <c r="L131" s="8">
        <v>230</v>
      </c>
      <c r="M131" s="8">
        <v>229</v>
      </c>
      <c r="N131" s="8">
        <v>400</v>
      </c>
      <c r="O131" s="8">
        <v>400</v>
      </c>
      <c r="P131" s="8">
        <v>400</v>
      </c>
      <c r="Q131" s="9" t="s">
        <v>46</v>
      </c>
      <c r="R131" s="16"/>
      <c r="S131" s="10">
        <v>20</v>
      </c>
      <c r="T131" s="10">
        <v>31</v>
      </c>
      <c r="U131" s="10">
        <v>19</v>
      </c>
      <c r="V131" s="11">
        <v>10</v>
      </c>
      <c r="W131" s="12"/>
      <c r="X131" s="17"/>
      <c r="Y131" s="13"/>
      <c r="Z131" s="13"/>
      <c r="AA131" s="13"/>
      <c r="AB131" s="14"/>
      <c r="AC131" s="9"/>
      <c r="AD131" s="16"/>
      <c r="AE131" s="10"/>
      <c r="AF131" s="10"/>
      <c r="AG131" s="10"/>
      <c r="AH131" s="11"/>
      <c r="AI131" s="12"/>
      <c r="AJ131" s="17"/>
      <c r="AK131" s="13"/>
      <c r="AL131" s="13"/>
      <c r="AM131" s="13"/>
      <c r="AN131" s="14"/>
      <c r="AO131" s="9"/>
      <c r="AP131" s="16"/>
      <c r="AQ131" s="10"/>
      <c r="AR131" s="10"/>
      <c r="AS131" s="10"/>
      <c r="AT131" s="11"/>
      <c r="AU131" s="12"/>
      <c r="AV131" s="17"/>
      <c r="AW131" s="13"/>
      <c r="AX131" s="13"/>
      <c r="AY131" s="13"/>
      <c r="AZ131" s="14"/>
      <c r="BA131" s="9"/>
      <c r="BB131" s="16"/>
      <c r="BC131" s="10"/>
      <c r="BD131" s="10"/>
      <c r="BE131" s="10"/>
      <c r="BF131" s="11"/>
      <c r="BG131" s="12"/>
      <c r="BH131" s="17"/>
      <c r="BI131" s="13"/>
      <c r="BJ131" s="13"/>
      <c r="BK131" s="13"/>
      <c r="BL131" s="14"/>
      <c r="BM131" s="8">
        <f t="shared" si="27"/>
        <v>20</v>
      </c>
      <c r="BN131" s="8">
        <f t="shared" si="28"/>
        <v>31</v>
      </c>
      <c r="BO131" s="8">
        <f t="shared" si="29"/>
        <v>19</v>
      </c>
      <c r="BP131" s="8">
        <f t="shared" si="30"/>
        <v>10</v>
      </c>
      <c r="BQ131" s="8">
        <f t="shared" si="31"/>
        <v>31</v>
      </c>
      <c r="BR131" s="8">
        <f t="shared" si="32"/>
        <v>19</v>
      </c>
      <c r="BS131" s="15">
        <f t="shared" si="33"/>
        <v>21.477430013854079</v>
      </c>
      <c r="BT131" s="15" t="str">
        <f t="shared" si="34"/>
        <v>OK - No Upgrade</v>
      </c>
      <c r="BU131" s="15" t="str">
        <f t="shared" si="35"/>
        <v>Need to Balance</v>
      </c>
    </row>
    <row r="132" spans="1:73" ht="15.75" customHeight="1" x14ac:dyDescent="0.25">
      <c r="A132" s="8" t="s">
        <v>1021</v>
      </c>
      <c r="B132" s="8" t="s">
        <v>1021</v>
      </c>
      <c r="C132" s="8" t="s">
        <v>265</v>
      </c>
      <c r="D132" s="8" t="s">
        <v>1297</v>
      </c>
      <c r="E132" s="8" t="s">
        <v>440</v>
      </c>
      <c r="F132" s="8" t="s">
        <v>43</v>
      </c>
      <c r="G132" s="8"/>
      <c r="H132" s="8">
        <v>200</v>
      </c>
      <c r="I132" s="8" t="s">
        <v>1298</v>
      </c>
      <c r="J132" s="8">
        <v>1</v>
      </c>
      <c r="K132" s="8">
        <v>236</v>
      </c>
      <c r="L132" s="8">
        <v>235</v>
      </c>
      <c r="M132" s="8">
        <v>234</v>
      </c>
      <c r="N132" s="8">
        <v>404</v>
      </c>
      <c r="O132" s="8">
        <v>405</v>
      </c>
      <c r="P132" s="8">
        <v>404</v>
      </c>
      <c r="Q132" s="9" t="s">
        <v>46</v>
      </c>
      <c r="R132" s="16"/>
      <c r="S132" s="10">
        <v>41</v>
      </c>
      <c r="T132" s="10">
        <v>34</v>
      </c>
      <c r="U132" s="10">
        <v>62</v>
      </c>
      <c r="V132" s="11">
        <v>21</v>
      </c>
      <c r="W132" s="12" t="s">
        <v>46</v>
      </c>
      <c r="X132" s="17"/>
      <c r="Y132" s="13">
        <v>7</v>
      </c>
      <c r="Z132" s="13">
        <v>41</v>
      </c>
      <c r="AA132" s="13">
        <v>7</v>
      </c>
      <c r="AB132" s="14">
        <v>34</v>
      </c>
      <c r="AC132" s="9"/>
      <c r="AD132" s="16"/>
      <c r="AE132" s="10"/>
      <c r="AF132" s="10"/>
      <c r="AG132" s="10"/>
      <c r="AH132" s="11"/>
      <c r="AI132" s="12"/>
      <c r="AJ132" s="17"/>
      <c r="AK132" s="13"/>
      <c r="AL132" s="13"/>
      <c r="AM132" s="13"/>
      <c r="AN132" s="14"/>
      <c r="AO132" s="9"/>
      <c r="AP132" s="16"/>
      <c r="AQ132" s="10"/>
      <c r="AR132" s="10"/>
      <c r="AS132" s="10"/>
      <c r="AT132" s="11"/>
      <c r="AU132" s="12"/>
      <c r="AV132" s="17"/>
      <c r="AW132" s="13"/>
      <c r="AX132" s="13"/>
      <c r="AY132" s="13"/>
      <c r="AZ132" s="14"/>
      <c r="BA132" s="9"/>
      <c r="BB132" s="16"/>
      <c r="BC132" s="10"/>
      <c r="BD132" s="10"/>
      <c r="BE132" s="10"/>
      <c r="BF132" s="11"/>
      <c r="BG132" s="12"/>
      <c r="BH132" s="17"/>
      <c r="BI132" s="13"/>
      <c r="BJ132" s="13"/>
      <c r="BK132" s="13"/>
      <c r="BL132" s="14"/>
      <c r="BM132" s="8">
        <f t="shared" ref="BM132:BM163" si="36">SUM(S132,Y132,AE132,AK132,AQ132,AW132,BC132,BI132)</f>
        <v>48</v>
      </c>
      <c r="BN132" s="8">
        <f t="shared" ref="BN132:BN163" si="37">SUM(T132,Z132,AF132,AL132,AR132,AX132,BD132,BJ132)</f>
        <v>75</v>
      </c>
      <c r="BO132" s="8">
        <f t="shared" ref="BO132:BO163" si="38">SUM(U132,AA132,AG132,AM132,AS132,AY132,BE132,BK132)</f>
        <v>69</v>
      </c>
      <c r="BP132" s="8">
        <f t="shared" ref="BP132:BP163" si="39">SUM(V132,AB132,AH132,AN132,AT132,AZ132,BF132,BL132)</f>
        <v>55</v>
      </c>
      <c r="BQ132" s="8">
        <f t="shared" ref="BQ132:BQ163" si="40">MAX(BM132:BO132)</f>
        <v>75</v>
      </c>
      <c r="BR132" s="8">
        <f t="shared" ref="BR132:BR163" si="41">MIN(BM132:BO132)</f>
        <v>48</v>
      </c>
      <c r="BS132" s="15">
        <f t="shared" ref="BS132:BS163" si="42">IF(H132&gt;0,(BQ132*SQRT(3)*IF(N132&gt;0,N132,IF(O132&gt;0,O132,IF(P132&gt;0,P132,415)))/(H132*1000))*100,0)</f>
        <v>26.24056973466849</v>
      </c>
      <c r="BT132" s="15" t="str">
        <f t="shared" ref="BT132:BT163" si="43">IF(BS132&gt;70,"Upgrade","OK - No Upgrade")</f>
        <v>OK - No Upgrade</v>
      </c>
      <c r="BU132" s="15" t="str">
        <f t="shared" ref="BU132:BU163" si="44">IF(IF(AVERAGE(BM132:BO132)&gt;0,((BQ132-AVERAGE(BM132:BO132))/AVERAGE(BM132:BO132))*100,0)&gt;10,"Need to Balance","OK - Balanced")</f>
        <v>Need to Balance</v>
      </c>
    </row>
    <row r="133" spans="1:73" ht="15.75" customHeight="1" x14ac:dyDescent="0.25">
      <c r="A133" s="8" t="s">
        <v>1021</v>
      </c>
      <c r="B133" s="8" t="s">
        <v>1021</v>
      </c>
      <c r="C133" s="8" t="s">
        <v>265</v>
      </c>
      <c r="D133" s="8" t="s">
        <v>1299</v>
      </c>
      <c r="E133" s="8" t="s">
        <v>1139</v>
      </c>
      <c r="F133" s="8" t="s">
        <v>43</v>
      </c>
      <c r="G133" s="8"/>
      <c r="H133" s="8">
        <v>100</v>
      </c>
      <c r="I133" s="8" t="s">
        <v>1300</v>
      </c>
      <c r="J133" s="8">
        <v>1</v>
      </c>
      <c r="K133" s="8">
        <v>238</v>
      </c>
      <c r="L133" s="8">
        <v>230</v>
      </c>
      <c r="M133" s="8">
        <v>228</v>
      </c>
      <c r="N133" s="8">
        <v>413</v>
      </c>
      <c r="O133" s="8">
        <v>410</v>
      </c>
      <c r="P133" s="8">
        <v>401</v>
      </c>
      <c r="Q133" s="9" t="s">
        <v>46</v>
      </c>
      <c r="R133" s="16"/>
      <c r="S133" s="10">
        <v>2</v>
      </c>
      <c r="T133" s="10">
        <v>1</v>
      </c>
      <c r="U133" s="10">
        <v>0</v>
      </c>
      <c r="V133" s="11">
        <v>0</v>
      </c>
      <c r="W133" s="12"/>
      <c r="X133" s="17"/>
      <c r="Y133" s="13"/>
      <c r="Z133" s="13"/>
      <c r="AA133" s="13"/>
      <c r="AB133" s="14"/>
      <c r="AC133" s="9"/>
      <c r="AD133" s="16"/>
      <c r="AE133" s="10"/>
      <c r="AF133" s="10"/>
      <c r="AG133" s="10"/>
      <c r="AH133" s="11"/>
      <c r="AI133" s="12"/>
      <c r="AJ133" s="17"/>
      <c r="AK133" s="13"/>
      <c r="AL133" s="13"/>
      <c r="AM133" s="13"/>
      <c r="AN133" s="14"/>
      <c r="AO133" s="9"/>
      <c r="AP133" s="16"/>
      <c r="AQ133" s="10"/>
      <c r="AR133" s="10"/>
      <c r="AS133" s="10"/>
      <c r="AT133" s="11"/>
      <c r="AU133" s="12"/>
      <c r="AV133" s="17"/>
      <c r="AW133" s="13"/>
      <c r="AX133" s="13"/>
      <c r="AY133" s="13"/>
      <c r="AZ133" s="14"/>
      <c r="BA133" s="9"/>
      <c r="BB133" s="16"/>
      <c r="BC133" s="10"/>
      <c r="BD133" s="10"/>
      <c r="BE133" s="10"/>
      <c r="BF133" s="11"/>
      <c r="BG133" s="12"/>
      <c r="BH133" s="17"/>
      <c r="BI133" s="13"/>
      <c r="BJ133" s="13"/>
      <c r="BK133" s="13"/>
      <c r="BL133" s="14"/>
      <c r="BM133" s="8">
        <f t="shared" si="36"/>
        <v>2</v>
      </c>
      <c r="BN133" s="8">
        <f t="shared" si="37"/>
        <v>1</v>
      </c>
      <c r="BO133" s="8">
        <f t="shared" si="38"/>
        <v>0</v>
      </c>
      <c r="BP133" s="8">
        <f t="shared" si="39"/>
        <v>0</v>
      </c>
      <c r="BQ133" s="8">
        <f t="shared" si="40"/>
        <v>2</v>
      </c>
      <c r="BR133" s="8">
        <f t="shared" si="41"/>
        <v>0</v>
      </c>
      <c r="BS133" s="15">
        <f t="shared" si="42"/>
        <v>1.4306739670518926</v>
      </c>
      <c r="BT133" s="15" t="str">
        <f t="shared" si="43"/>
        <v>OK - No Upgrade</v>
      </c>
      <c r="BU133" s="15" t="str">
        <f t="shared" si="44"/>
        <v>Need to Balance</v>
      </c>
    </row>
    <row r="134" spans="1:73" ht="15.75" customHeight="1" x14ac:dyDescent="0.25">
      <c r="A134" s="8" t="s">
        <v>1021</v>
      </c>
      <c r="B134" s="8" t="s">
        <v>1021</v>
      </c>
      <c r="C134" s="8" t="s">
        <v>265</v>
      </c>
      <c r="D134" s="8" t="s">
        <v>1301</v>
      </c>
      <c r="E134" s="8" t="s">
        <v>622</v>
      </c>
      <c r="F134" s="8" t="s">
        <v>43</v>
      </c>
      <c r="G134" s="8"/>
      <c r="H134" s="8">
        <v>100</v>
      </c>
      <c r="I134" s="8" t="s">
        <v>1302</v>
      </c>
      <c r="J134" s="8">
        <v>1</v>
      </c>
      <c r="K134" s="8">
        <v>231</v>
      </c>
      <c r="L134" s="8">
        <v>230</v>
      </c>
      <c r="M134" s="8">
        <v>229</v>
      </c>
      <c r="N134" s="8">
        <v>404</v>
      </c>
      <c r="O134" s="8">
        <v>405</v>
      </c>
      <c r="P134" s="8">
        <v>404</v>
      </c>
      <c r="Q134" s="9" t="s">
        <v>46</v>
      </c>
      <c r="R134" s="16"/>
      <c r="S134" s="10">
        <v>12</v>
      </c>
      <c r="T134" s="10">
        <v>14</v>
      </c>
      <c r="U134" s="10">
        <v>14</v>
      </c>
      <c r="V134" s="11">
        <v>5</v>
      </c>
      <c r="W134" s="12"/>
      <c r="X134" s="17"/>
      <c r="Y134" s="13"/>
      <c r="Z134" s="13"/>
      <c r="AA134" s="13"/>
      <c r="AB134" s="14"/>
      <c r="AC134" s="9"/>
      <c r="AD134" s="16"/>
      <c r="AE134" s="10"/>
      <c r="AF134" s="10"/>
      <c r="AG134" s="10"/>
      <c r="AH134" s="11"/>
      <c r="AI134" s="12"/>
      <c r="AJ134" s="17"/>
      <c r="AK134" s="13"/>
      <c r="AL134" s="13"/>
      <c r="AM134" s="13"/>
      <c r="AN134" s="14"/>
      <c r="AO134" s="9"/>
      <c r="AP134" s="16"/>
      <c r="AQ134" s="10"/>
      <c r="AR134" s="10"/>
      <c r="AS134" s="10"/>
      <c r="AT134" s="11"/>
      <c r="AU134" s="12"/>
      <c r="AV134" s="17"/>
      <c r="AW134" s="13"/>
      <c r="AX134" s="13"/>
      <c r="AY134" s="13"/>
      <c r="AZ134" s="14"/>
      <c r="BA134" s="9"/>
      <c r="BB134" s="16"/>
      <c r="BC134" s="10"/>
      <c r="BD134" s="10"/>
      <c r="BE134" s="10"/>
      <c r="BF134" s="11"/>
      <c r="BG134" s="12"/>
      <c r="BH134" s="17"/>
      <c r="BI134" s="13"/>
      <c r="BJ134" s="13"/>
      <c r="BK134" s="13"/>
      <c r="BL134" s="14"/>
      <c r="BM134" s="8">
        <f t="shared" si="36"/>
        <v>12</v>
      </c>
      <c r="BN134" s="8">
        <f t="shared" si="37"/>
        <v>14</v>
      </c>
      <c r="BO134" s="8">
        <f t="shared" si="38"/>
        <v>14</v>
      </c>
      <c r="BP134" s="8">
        <f t="shared" si="39"/>
        <v>5</v>
      </c>
      <c r="BQ134" s="8">
        <f t="shared" si="40"/>
        <v>14</v>
      </c>
      <c r="BR134" s="8">
        <f t="shared" si="41"/>
        <v>12</v>
      </c>
      <c r="BS134" s="15">
        <f t="shared" si="42"/>
        <v>9.7964793676095709</v>
      </c>
      <c r="BT134" s="15" t="str">
        <f t="shared" si="43"/>
        <v>OK - No Upgrade</v>
      </c>
      <c r="BU134" s="15" t="str">
        <f t="shared" si="44"/>
        <v>OK - Balanced</v>
      </c>
    </row>
    <row r="135" spans="1:73" ht="15.75" customHeight="1" x14ac:dyDescent="0.25">
      <c r="A135" s="8" t="s">
        <v>1021</v>
      </c>
      <c r="B135" s="8" t="s">
        <v>1021</v>
      </c>
      <c r="C135" s="8" t="s">
        <v>265</v>
      </c>
      <c r="D135" s="8" t="s">
        <v>1303</v>
      </c>
      <c r="E135" s="8" t="s">
        <v>1115</v>
      </c>
      <c r="F135" s="8" t="s">
        <v>43</v>
      </c>
      <c r="G135" s="8"/>
      <c r="H135" s="8">
        <v>100</v>
      </c>
      <c r="I135" s="8" t="s">
        <v>1304</v>
      </c>
      <c r="J135" s="8">
        <v>1</v>
      </c>
      <c r="K135" s="8">
        <v>218</v>
      </c>
      <c r="L135" s="8">
        <v>229</v>
      </c>
      <c r="M135" s="8">
        <v>219</v>
      </c>
      <c r="N135" s="8">
        <v>412</v>
      </c>
      <c r="O135" s="8">
        <v>411</v>
      </c>
      <c r="P135" s="8">
        <v>416</v>
      </c>
      <c r="Q135" s="9" t="s">
        <v>46</v>
      </c>
      <c r="R135" s="16"/>
      <c r="S135" s="10">
        <v>1</v>
      </c>
      <c r="T135" s="10">
        <v>1</v>
      </c>
      <c r="U135" s="10">
        <v>0</v>
      </c>
      <c r="V135" s="11">
        <v>0</v>
      </c>
      <c r="W135" s="12"/>
      <c r="X135" s="17"/>
      <c r="Y135" s="13"/>
      <c r="Z135" s="13"/>
      <c r="AA135" s="13"/>
      <c r="AB135" s="14"/>
      <c r="AC135" s="9"/>
      <c r="AD135" s="16"/>
      <c r="AE135" s="10"/>
      <c r="AF135" s="10"/>
      <c r="AG135" s="10"/>
      <c r="AH135" s="11"/>
      <c r="AI135" s="12"/>
      <c r="AJ135" s="17"/>
      <c r="AK135" s="13"/>
      <c r="AL135" s="13"/>
      <c r="AM135" s="13"/>
      <c r="AN135" s="14"/>
      <c r="AO135" s="9"/>
      <c r="AP135" s="16"/>
      <c r="AQ135" s="10"/>
      <c r="AR135" s="10"/>
      <c r="AS135" s="10"/>
      <c r="AT135" s="11"/>
      <c r="AU135" s="12"/>
      <c r="AV135" s="17"/>
      <c r="AW135" s="13"/>
      <c r="AX135" s="13"/>
      <c r="AY135" s="13"/>
      <c r="AZ135" s="14"/>
      <c r="BA135" s="9"/>
      <c r="BB135" s="16"/>
      <c r="BC135" s="10"/>
      <c r="BD135" s="10"/>
      <c r="BE135" s="10"/>
      <c r="BF135" s="11"/>
      <c r="BG135" s="12"/>
      <c r="BH135" s="17"/>
      <c r="BI135" s="13"/>
      <c r="BJ135" s="13"/>
      <c r="BK135" s="13"/>
      <c r="BL135" s="14"/>
      <c r="BM135" s="8">
        <f t="shared" si="36"/>
        <v>1</v>
      </c>
      <c r="BN135" s="8">
        <f t="shared" si="37"/>
        <v>1</v>
      </c>
      <c r="BO135" s="8">
        <f t="shared" si="38"/>
        <v>0</v>
      </c>
      <c r="BP135" s="8">
        <f t="shared" si="39"/>
        <v>0</v>
      </c>
      <c r="BQ135" s="8">
        <f t="shared" si="40"/>
        <v>1</v>
      </c>
      <c r="BR135" s="8">
        <f t="shared" si="41"/>
        <v>0</v>
      </c>
      <c r="BS135" s="15">
        <f t="shared" si="42"/>
        <v>0.71360493271837744</v>
      </c>
      <c r="BT135" s="15" t="str">
        <f t="shared" si="43"/>
        <v>OK - No Upgrade</v>
      </c>
      <c r="BU135" s="15" t="str">
        <f t="shared" si="44"/>
        <v>Need to Balance</v>
      </c>
    </row>
    <row r="136" spans="1:73" ht="15.75" customHeight="1" x14ac:dyDescent="0.25">
      <c r="A136" s="8" t="s">
        <v>1021</v>
      </c>
      <c r="B136" s="8" t="s">
        <v>1021</v>
      </c>
      <c r="C136" s="8" t="s">
        <v>265</v>
      </c>
      <c r="D136" s="8" t="s">
        <v>1305</v>
      </c>
      <c r="E136" s="8" t="s">
        <v>1107</v>
      </c>
      <c r="F136" s="8" t="s">
        <v>43</v>
      </c>
      <c r="G136" s="8"/>
      <c r="H136" s="8">
        <v>100</v>
      </c>
      <c r="I136" s="8" t="s">
        <v>1306</v>
      </c>
      <c r="J136" s="8">
        <v>1</v>
      </c>
      <c r="K136" s="8">
        <v>238</v>
      </c>
      <c r="L136" s="8">
        <v>240</v>
      </c>
      <c r="M136" s="8">
        <v>238</v>
      </c>
      <c r="N136" s="8">
        <v>413</v>
      </c>
      <c r="O136" s="8">
        <v>412</v>
      </c>
      <c r="P136" s="8">
        <v>414</v>
      </c>
      <c r="Q136" s="9" t="s">
        <v>46</v>
      </c>
      <c r="R136" s="16"/>
      <c r="S136" s="10">
        <v>10</v>
      </c>
      <c r="T136" s="10">
        <v>4</v>
      </c>
      <c r="U136" s="10">
        <v>1</v>
      </c>
      <c r="V136" s="11">
        <v>8</v>
      </c>
      <c r="W136" s="12"/>
      <c r="X136" s="17"/>
      <c r="Y136" s="13"/>
      <c r="Z136" s="13"/>
      <c r="AA136" s="13"/>
      <c r="AB136" s="14"/>
      <c r="AC136" s="9"/>
      <c r="AD136" s="16"/>
      <c r="AE136" s="10"/>
      <c r="AF136" s="10"/>
      <c r="AG136" s="10"/>
      <c r="AH136" s="11"/>
      <c r="AI136" s="12"/>
      <c r="AJ136" s="17"/>
      <c r="AK136" s="13"/>
      <c r="AL136" s="13"/>
      <c r="AM136" s="13"/>
      <c r="AN136" s="14"/>
      <c r="AO136" s="9"/>
      <c r="AP136" s="16"/>
      <c r="AQ136" s="10"/>
      <c r="AR136" s="10"/>
      <c r="AS136" s="10"/>
      <c r="AT136" s="11"/>
      <c r="AU136" s="12"/>
      <c r="AV136" s="17"/>
      <c r="AW136" s="13"/>
      <c r="AX136" s="13"/>
      <c r="AY136" s="13"/>
      <c r="AZ136" s="14"/>
      <c r="BA136" s="9"/>
      <c r="BB136" s="16"/>
      <c r="BC136" s="10"/>
      <c r="BD136" s="10"/>
      <c r="BE136" s="10"/>
      <c r="BF136" s="11"/>
      <c r="BG136" s="12"/>
      <c r="BH136" s="17"/>
      <c r="BI136" s="13"/>
      <c r="BJ136" s="13"/>
      <c r="BK136" s="13"/>
      <c r="BL136" s="14"/>
      <c r="BM136" s="8">
        <f t="shared" si="36"/>
        <v>10</v>
      </c>
      <c r="BN136" s="8">
        <f t="shared" si="37"/>
        <v>4</v>
      </c>
      <c r="BO136" s="8">
        <f t="shared" si="38"/>
        <v>1</v>
      </c>
      <c r="BP136" s="8">
        <f t="shared" si="39"/>
        <v>8</v>
      </c>
      <c r="BQ136" s="8">
        <f t="shared" si="40"/>
        <v>10</v>
      </c>
      <c r="BR136" s="8">
        <f t="shared" si="41"/>
        <v>1</v>
      </c>
      <c r="BS136" s="15">
        <f t="shared" si="42"/>
        <v>7.153369835259463</v>
      </c>
      <c r="BT136" s="15" t="str">
        <f t="shared" si="43"/>
        <v>OK - No Upgrade</v>
      </c>
      <c r="BU136" s="15" t="str">
        <f t="shared" si="44"/>
        <v>Need to Balance</v>
      </c>
    </row>
    <row r="137" spans="1:73" ht="15.75" customHeight="1" x14ac:dyDescent="0.25">
      <c r="A137" s="8" t="s">
        <v>1021</v>
      </c>
      <c r="B137" s="8" t="s">
        <v>1021</v>
      </c>
      <c r="C137" s="8" t="s">
        <v>265</v>
      </c>
      <c r="D137" s="8" t="s">
        <v>1307</v>
      </c>
      <c r="E137" s="8" t="s">
        <v>1111</v>
      </c>
      <c r="F137" s="8" t="s">
        <v>43</v>
      </c>
      <c r="G137" s="8"/>
      <c r="H137" s="8">
        <v>100</v>
      </c>
      <c r="I137" s="8" t="s">
        <v>1308</v>
      </c>
      <c r="J137" s="8">
        <v>1</v>
      </c>
      <c r="K137" s="8">
        <v>237</v>
      </c>
      <c r="L137" s="8">
        <v>228</v>
      </c>
      <c r="M137" s="8">
        <v>234</v>
      </c>
      <c r="N137" s="8">
        <v>387</v>
      </c>
      <c r="O137" s="8">
        <v>412</v>
      </c>
      <c r="P137" s="8">
        <v>413</v>
      </c>
      <c r="Q137" s="9" t="s">
        <v>46</v>
      </c>
      <c r="R137" s="16"/>
      <c r="S137" s="10">
        <v>16</v>
      </c>
      <c r="T137" s="10">
        <v>2</v>
      </c>
      <c r="U137" s="10">
        <v>10</v>
      </c>
      <c r="V137" s="11">
        <v>11</v>
      </c>
      <c r="W137" s="12"/>
      <c r="X137" s="17"/>
      <c r="Y137" s="13"/>
      <c r="Z137" s="13"/>
      <c r="AA137" s="13"/>
      <c r="AB137" s="14"/>
      <c r="AC137" s="9"/>
      <c r="AD137" s="16"/>
      <c r="AE137" s="10"/>
      <c r="AF137" s="10"/>
      <c r="AG137" s="10"/>
      <c r="AH137" s="11"/>
      <c r="AI137" s="12"/>
      <c r="AJ137" s="17"/>
      <c r="AK137" s="13"/>
      <c r="AL137" s="13"/>
      <c r="AM137" s="13"/>
      <c r="AN137" s="14"/>
      <c r="AO137" s="9"/>
      <c r="AP137" s="16"/>
      <c r="AQ137" s="10"/>
      <c r="AR137" s="10"/>
      <c r="AS137" s="10"/>
      <c r="AT137" s="11"/>
      <c r="AU137" s="12"/>
      <c r="AV137" s="17"/>
      <c r="AW137" s="13"/>
      <c r="AX137" s="13"/>
      <c r="AY137" s="13"/>
      <c r="AZ137" s="14"/>
      <c r="BA137" s="9"/>
      <c r="BB137" s="16"/>
      <c r="BC137" s="10"/>
      <c r="BD137" s="10"/>
      <c r="BE137" s="10"/>
      <c r="BF137" s="11"/>
      <c r="BG137" s="12"/>
      <c r="BH137" s="17"/>
      <c r="BI137" s="13"/>
      <c r="BJ137" s="13"/>
      <c r="BK137" s="13"/>
      <c r="BL137" s="14"/>
      <c r="BM137" s="8">
        <f t="shared" si="36"/>
        <v>16</v>
      </c>
      <c r="BN137" s="8">
        <f t="shared" si="37"/>
        <v>2</v>
      </c>
      <c r="BO137" s="8">
        <f t="shared" si="38"/>
        <v>10</v>
      </c>
      <c r="BP137" s="8">
        <f t="shared" si="39"/>
        <v>11</v>
      </c>
      <c r="BQ137" s="8">
        <f t="shared" si="40"/>
        <v>16</v>
      </c>
      <c r="BR137" s="8">
        <f t="shared" si="41"/>
        <v>2</v>
      </c>
      <c r="BS137" s="15">
        <f t="shared" si="42"/>
        <v>10.724858600466487</v>
      </c>
      <c r="BT137" s="15" t="str">
        <f t="shared" si="43"/>
        <v>OK - No Upgrade</v>
      </c>
      <c r="BU137" s="15" t="str">
        <f t="shared" si="44"/>
        <v>Need to Balance</v>
      </c>
    </row>
    <row r="138" spans="1:73" ht="15.75" customHeight="1" x14ac:dyDescent="0.25">
      <c r="A138" s="8" t="s">
        <v>1021</v>
      </c>
      <c r="B138" s="8" t="s">
        <v>1021</v>
      </c>
      <c r="C138" s="8" t="s">
        <v>124</v>
      </c>
      <c r="D138" s="8" t="s">
        <v>1309</v>
      </c>
      <c r="E138" s="8" t="s">
        <v>1244</v>
      </c>
      <c r="F138" s="8" t="s">
        <v>43</v>
      </c>
      <c r="G138" s="8"/>
      <c r="H138" s="8">
        <v>100</v>
      </c>
      <c r="I138" s="8" t="s">
        <v>1310</v>
      </c>
      <c r="J138" s="8">
        <v>1</v>
      </c>
      <c r="K138" s="8">
        <v>233</v>
      </c>
      <c r="L138" s="8">
        <v>234</v>
      </c>
      <c r="M138" s="8">
        <v>232</v>
      </c>
      <c r="N138" s="8">
        <v>409</v>
      </c>
      <c r="O138" s="8">
        <v>405</v>
      </c>
      <c r="P138" s="8">
        <v>407</v>
      </c>
      <c r="Q138" s="9" t="s">
        <v>70</v>
      </c>
      <c r="R138" s="16"/>
      <c r="S138" s="10">
        <v>35</v>
      </c>
      <c r="T138" s="10">
        <v>60</v>
      </c>
      <c r="U138" s="10">
        <v>47</v>
      </c>
      <c r="V138" s="11">
        <v>20</v>
      </c>
      <c r="W138" s="12"/>
      <c r="X138" s="17"/>
      <c r="Y138" s="13"/>
      <c r="Z138" s="13"/>
      <c r="AA138" s="13"/>
      <c r="AB138" s="14"/>
      <c r="AC138" s="9"/>
      <c r="AD138" s="16"/>
      <c r="AE138" s="10"/>
      <c r="AF138" s="10"/>
      <c r="AG138" s="10"/>
      <c r="AH138" s="11"/>
      <c r="AI138" s="12"/>
      <c r="AJ138" s="17"/>
      <c r="AK138" s="13"/>
      <c r="AL138" s="13"/>
      <c r="AM138" s="13"/>
      <c r="AN138" s="14"/>
      <c r="AO138" s="9"/>
      <c r="AP138" s="16"/>
      <c r="AQ138" s="10"/>
      <c r="AR138" s="10"/>
      <c r="AS138" s="10"/>
      <c r="AT138" s="11"/>
      <c r="AU138" s="12"/>
      <c r="AV138" s="17"/>
      <c r="AW138" s="13"/>
      <c r="AX138" s="13"/>
      <c r="AY138" s="13"/>
      <c r="AZ138" s="14"/>
      <c r="BA138" s="9"/>
      <c r="BB138" s="16"/>
      <c r="BC138" s="10"/>
      <c r="BD138" s="10"/>
      <c r="BE138" s="10"/>
      <c r="BF138" s="11"/>
      <c r="BG138" s="12"/>
      <c r="BH138" s="17"/>
      <c r="BI138" s="13"/>
      <c r="BJ138" s="13"/>
      <c r="BK138" s="13"/>
      <c r="BL138" s="14"/>
      <c r="BM138" s="8">
        <f t="shared" si="36"/>
        <v>35</v>
      </c>
      <c r="BN138" s="8">
        <f t="shared" si="37"/>
        <v>60</v>
      </c>
      <c r="BO138" s="8">
        <f t="shared" si="38"/>
        <v>47</v>
      </c>
      <c r="BP138" s="8">
        <f t="shared" si="39"/>
        <v>20</v>
      </c>
      <c r="BQ138" s="8">
        <f t="shared" si="40"/>
        <v>60</v>
      </c>
      <c r="BR138" s="8">
        <f t="shared" si="41"/>
        <v>35</v>
      </c>
      <c r="BS138" s="15">
        <f t="shared" si="42"/>
        <v>42.504526817740249</v>
      </c>
      <c r="BT138" s="15" t="str">
        <f t="shared" si="43"/>
        <v>OK - No Upgrade</v>
      </c>
      <c r="BU138" s="15" t="str">
        <f t="shared" si="44"/>
        <v>Need to Balance</v>
      </c>
    </row>
    <row r="139" spans="1:73" ht="15.75" customHeight="1" x14ac:dyDescent="0.25">
      <c r="A139" s="8" t="s">
        <v>1021</v>
      </c>
      <c r="B139" s="8" t="s">
        <v>1021</v>
      </c>
      <c r="C139" s="8" t="s">
        <v>265</v>
      </c>
      <c r="D139" s="8" t="s">
        <v>1311</v>
      </c>
      <c r="E139" s="8" t="s">
        <v>1118</v>
      </c>
      <c r="F139" s="8" t="s">
        <v>43</v>
      </c>
      <c r="G139" s="8"/>
      <c r="H139" s="8">
        <v>100</v>
      </c>
      <c r="I139" s="8" t="s">
        <v>1312</v>
      </c>
      <c r="J139" s="8">
        <v>1</v>
      </c>
      <c r="K139" s="8">
        <v>240</v>
      </c>
      <c r="L139" s="8">
        <v>241</v>
      </c>
      <c r="M139" s="8">
        <v>237</v>
      </c>
      <c r="N139" s="8">
        <v>416</v>
      </c>
      <c r="O139" s="8">
        <v>141</v>
      </c>
      <c r="P139" s="8">
        <v>405</v>
      </c>
      <c r="Q139" s="9" t="s">
        <v>46</v>
      </c>
      <c r="R139" s="16"/>
      <c r="S139" s="10">
        <v>1</v>
      </c>
      <c r="T139" s="10">
        <v>1</v>
      </c>
      <c r="U139" s="10">
        <v>12</v>
      </c>
      <c r="V139" s="11">
        <v>10</v>
      </c>
      <c r="W139" s="12"/>
      <c r="X139" s="17"/>
      <c r="Y139" s="13"/>
      <c r="Z139" s="13"/>
      <c r="AA139" s="13"/>
      <c r="AB139" s="14"/>
      <c r="AC139" s="9"/>
      <c r="AD139" s="16"/>
      <c r="AE139" s="10"/>
      <c r="AF139" s="10"/>
      <c r="AG139" s="10"/>
      <c r="AH139" s="11"/>
      <c r="AI139" s="12"/>
      <c r="AJ139" s="17"/>
      <c r="AK139" s="13"/>
      <c r="AL139" s="13"/>
      <c r="AM139" s="13"/>
      <c r="AN139" s="14"/>
      <c r="AO139" s="9"/>
      <c r="AP139" s="16"/>
      <c r="AQ139" s="10"/>
      <c r="AR139" s="10"/>
      <c r="AS139" s="10"/>
      <c r="AT139" s="11"/>
      <c r="AU139" s="12"/>
      <c r="AV139" s="17"/>
      <c r="AW139" s="13"/>
      <c r="AX139" s="13"/>
      <c r="AY139" s="13"/>
      <c r="AZ139" s="14"/>
      <c r="BA139" s="9"/>
      <c r="BB139" s="16"/>
      <c r="BC139" s="10"/>
      <c r="BD139" s="10"/>
      <c r="BE139" s="10"/>
      <c r="BF139" s="11"/>
      <c r="BG139" s="12"/>
      <c r="BH139" s="17"/>
      <c r="BI139" s="13"/>
      <c r="BJ139" s="13"/>
      <c r="BK139" s="13"/>
      <c r="BL139" s="14"/>
      <c r="BM139" s="8">
        <f t="shared" si="36"/>
        <v>1</v>
      </c>
      <c r="BN139" s="8">
        <f t="shared" si="37"/>
        <v>1</v>
      </c>
      <c r="BO139" s="8">
        <f t="shared" si="38"/>
        <v>12</v>
      </c>
      <c r="BP139" s="8">
        <f t="shared" si="39"/>
        <v>10</v>
      </c>
      <c r="BQ139" s="8">
        <f t="shared" si="40"/>
        <v>12</v>
      </c>
      <c r="BR139" s="8">
        <f t="shared" si="41"/>
        <v>1</v>
      </c>
      <c r="BS139" s="15">
        <f t="shared" si="42"/>
        <v>8.6463976313838362</v>
      </c>
      <c r="BT139" s="15" t="str">
        <f t="shared" si="43"/>
        <v>OK - No Upgrade</v>
      </c>
      <c r="BU139" s="15" t="str">
        <f t="shared" si="44"/>
        <v>Need to Balance</v>
      </c>
    </row>
    <row r="140" spans="1:73" ht="15.75" customHeight="1" x14ac:dyDescent="0.25">
      <c r="A140" s="8" t="s">
        <v>1021</v>
      </c>
      <c r="B140" s="8" t="s">
        <v>1021</v>
      </c>
      <c r="C140" s="8" t="s">
        <v>124</v>
      </c>
      <c r="D140" s="8" t="s">
        <v>1313</v>
      </c>
      <c r="E140" s="8" t="s">
        <v>1103</v>
      </c>
      <c r="F140" s="8" t="s">
        <v>43</v>
      </c>
      <c r="G140" s="8"/>
      <c r="H140" s="8">
        <v>100</v>
      </c>
      <c r="I140" s="8" t="s">
        <v>1314</v>
      </c>
      <c r="J140" s="8">
        <v>1</v>
      </c>
      <c r="K140" s="8">
        <v>230</v>
      </c>
      <c r="L140" s="8">
        <v>230</v>
      </c>
      <c r="M140" s="8">
        <v>229</v>
      </c>
      <c r="N140" s="8">
        <v>400</v>
      </c>
      <c r="O140" s="8">
        <v>400</v>
      </c>
      <c r="P140" s="8">
        <v>400</v>
      </c>
      <c r="Q140" s="9" t="s">
        <v>46</v>
      </c>
      <c r="R140" s="16"/>
      <c r="S140" s="10">
        <v>0</v>
      </c>
      <c r="T140" s="10">
        <v>0</v>
      </c>
      <c r="U140" s="10">
        <v>0</v>
      </c>
      <c r="V140" s="11">
        <v>0</v>
      </c>
      <c r="W140" s="12" t="s">
        <v>132</v>
      </c>
      <c r="X140" s="17"/>
      <c r="Y140" s="13">
        <v>0</v>
      </c>
      <c r="Z140" s="13">
        <v>0</v>
      </c>
      <c r="AA140" s="13">
        <v>0</v>
      </c>
      <c r="AB140" s="14">
        <v>0</v>
      </c>
      <c r="AC140" s="9"/>
      <c r="AD140" s="16"/>
      <c r="AE140" s="10"/>
      <c r="AF140" s="10"/>
      <c r="AG140" s="10"/>
      <c r="AH140" s="11"/>
      <c r="AI140" s="12"/>
      <c r="AJ140" s="17"/>
      <c r="AK140" s="13"/>
      <c r="AL140" s="13"/>
      <c r="AM140" s="13"/>
      <c r="AN140" s="14"/>
      <c r="AO140" s="9"/>
      <c r="AP140" s="16"/>
      <c r="AQ140" s="10"/>
      <c r="AR140" s="10"/>
      <c r="AS140" s="10"/>
      <c r="AT140" s="11"/>
      <c r="AU140" s="12"/>
      <c r="AV140" s="17"/>
      <c r="AW140" s="13"/>
      <c r="AX140" s="13"/>
      <c r="AY140" s="13"/>
      <c r="AZ140" s="14"/>
      <c r="BA140" s="9"/>
      <c r="BB140" s="16"/>
      <c r="BC140" s="10"/>
      <c r="BD140" s="10"/>
      <c r="BE140" s="10"/>
      <c r="BF140" s="11"/>
      <c r="BG140" s="12"/>
      <c r="BH140" s="17"/>
      <c r="BI140" s="13"/>
      <c r="BJ140" s="13"/>
      <c r="BK140" s="13"/>
      <c r="BL140" s="14"/>
      <c r="BM140" s="8">
        <f t="shared" si="36"/>
        <v>0</v>
      </c>
      <c r="BN140" s="8">
        <f t="shared" si="37"/>
        <v>0</v>
      </c>
      <c r="BO140" s="8">
        <f t="shared" si="38"/>
        <v>0</v>
      </c>
      <c r="BP140" s="8">
        <f t="shared" si="39"/>
        <v>0</v>
      </c>
      <c r="BQ140" s="8">
        <f t="shared" si="40"/>
        <v>0</v>
      </c>
      <c r="BR140" s="8">
        <f t="shared" si="41"/>
        <v>0</v>
      </c>
      <c r="BS140" s="15">
        <f t="shared" si="42"/>
        <v>0</v>
      </c>
      <c r="BT140" s="15" t="str">
        <f t="shared" si="43"/>
        <v>OK - No Upgrade</v>
      </c>
      <c r="BU140" s="15" t="str">
        <f t="shared" si="44"/>
        <v>OK - Balanced</v>
      </c>
    </row>
    <row r="141" spans="1:73" ht="15.75" customHeight="1" x14ac:dyDescent="0.25">
      <c r="A141" s="8" t="s">
        <v>1021</v>
      </c>
      <c r="B141" s="8" t="s">
        <v>1021</v>
      </c>
      <c r="C141" s="8" t="s">
        <v>265</v>
      </c>
      <c r="D141" s="8" t="s">
        <v>1315</v>
      </c>
      <c r="E141" s="8" t="s">
        <v>1121</v>
      </c>
      <c r="F141" s="8" t="s">
        <v>43</v>
      </c>
      <c r="G141" s="8"/>
      <c r="H141" s="8">
        <v>100</v>
      </c>
      <c r="I141" s="8" t="s">
        <v>1316</v>
      </c>
      <c r="J141" s="8">
        <v>1</v>
      </c>
      <c r="K141" s="8">
        <v>240</v>
      </c>
      <c r="L141" s="8">
        <v>241</v>
      </c>
      <c r="M141" s="8">
        <v>240</v>
      </c>
      <c r="N141" s="8">
        <v>416</v>
      </c>
      <c r="O141" s="8">
        <v>414</v>
      </c>
      <c r="P141" s="8">
        <v>410</v>
      </c>
      <c r="Q141" s="9" t="s">
        <v>46</v>
      </c>
      <c r="R141" s="16"/>
      <c r="S141" s="10">
        <v>11</v>
      </c>
      <c r="T141" s="10">
        <v>12</v>
      </c>
      <c r="U141" s="10">
        <v>4</v>
      </c>
      <c r="V141" s="11">
        <v>10</v>
      </c>
      <c r="W141" s="12"/>
      <c r="X141" s="17"/>
      <c r="Y141" s="13"/>
      <c r="Z141" s="13"/>
      <c r="AA141" s="13"/>
      <c r="AB141" s="14"/>
      <c r="AC141" s="9"/>
      <c r="AD141" s="16"/>
      <c r="AE141" s="10"/>
      <c r="AF141" s="10"/>
      <c r="AG141" s="10"/>
      <c r="AH141" s="11"/>
      <c r="AI141" s="12"/>
      <c r="AJ141" s="17"/>
      <c r="AK141" s="13"/>
      <c r="AL141" s="13"/>
      <c r="AM141" s="13"/>
      <c r="AN141" s="14"/>
      <c r="AO141" s="9"/>
      <c r="AP141" s="16"/>
      <c r="AQ141" s="10"/>
      <c r="AR141" s="10"/>
      <c r="AS141" s="10"/>
      <c r="AT141" s="11"/>
      <c r="AU141" s="12"/>
      <c r="AV141" s="17"/>
      <c r="AW141" s="13"/>
      <c r="AX141" s="13"/>
      <c r="AY141" s="13"/>
      <c r="AZ141" s="14"/>
      <c r="BA141" s="9"/>
      <c r="BB141" s="16"/>
      <c r="BC141" s="10"/>
      <c r="BD141" s="10"/>
      <c r="BE141" s="10"/>
      <c r="BF141" s="11"/>
      <c r="BG141" s="12"/>
      <c r="BH141" s="17"/>
      <c r="BI141" s="13"/>
      <c r="BJ141" s="13"/>
      <c r="BK141" s="13"/>
      <c r="BL141" s="14"/>
      <c r="BM141" s="8">
        <f t="shared" si="36"/>
        <v>11</v>
      </c>
      <c r="BN141" s="8">
        <f t="shared" si="37"/>
        <v>12</v>
      </c>
      <c r="BO141" s="8">
        <f t="shared" si="38"/>
        <v>4</v>
      </c>
      <c r="BP141" s="8">
        <f t="shared" si="39"/>
        <v>10</v>
      </c>
      <c r="BQ141" s="8">
        <f t="shared" si="40"/>
        <v>12</v>
      </c>
      <c r="BR141" s="8">
        <f t="shared" si="41"/>
        <v>4</v>
      </c>
      <c r="BS141" s="15">
        <f t="shared" si="42"/>
        <v>8.6463976313838362</v>
      </c>
      <c r="BT141" s="15" t="str">
        <f t="shared" si="43"/>
        <v>OK - No Upgrade</v>
      </c>
      <c r="BU141" s="15" t="str">
        <f t="shared" si="44"/>
        <v>Need to Balance</v>
      </c>
    </row>
    <row r="142" spans="1:73" ht="15.75" customHeight="1" x14ac:dyDescent="0.25">
      <c r="A142" s="8" t="s">
        <v>1021</v>
      </c>
      <c r="B142" s="8" t="s">
        <v>1021</v>
      </c>
      <c r="C142" s="8" t="s">
        <v>124</v>
      </c>
      <c r="D142" s="8" t="s">
        <v>1317</v>
      </c>
      <c r="E142" s="8" t="s">
        <v>1240</v>
      </c>
      <c r="F142" s="8" t="s">
        <v>43</v>
      </c>
      <c r="G142" s="8"/>
      <c r="H142" s="8">
        <v>200</v>
      </c>
      <c r="I142" s="8" t="s">
        <v>1318</v>
      </c>
      <c r="J142" s="8">
        <v>1</v>
      </c>
      <c r="K142" s="8">
        <v>234</v>
      </c>
      <c r="L142" s="8">
        <v>238</v>
      </c>
      <c r="M142" s="8">
        <v>234</v>
      </c>
      <c r="N142" s="8">
        <v>411</v>
      </c>
      <c r="O142" s="8">
        <v>412</v>
      </c>
      <c r="P142" s="8">
        <v>408</v>
      </c>
      <c r="Q142" s="9" t="s">
        <v>70</v>
      </c>
      <c r="R142" s="16"/>
      <c r="S142" s="10">
        <v>37</v>
      </c>
      <c r="T142" s="10">
        <v>50</v>
      </c>
      <c r="U142" s="10">
        <v>60</v>
      </c>
      <c r="V142" s="11">
        <v>22</v>
      </c>
      <c r="W142" s="12" t="s">
        <v>46</v>
      </c>
      <c r="X142" s="17"/>
      <c r="Y142" s="13">
        <v>0</v>
      </c>
      <c r="Z142" s="13">
        <v>0</v>
      </c>
      <c r="AA142" s="13">
        <v>0</v>
      </c>
      <c r="AB142" s="14">
        <v>0</v>
      </c>
      <c r="AC142" s="9"/>
      <c r="AD142" s="16"/>
      <c r="AE142" s="10"/>
      <c r="AF142" s="10"/>
      <c r="AG142" s="10"/>
      <c r="AH142" s="11"/>
      <c r="AI142" s="12"/>
      <c r="AJ142" s="17"/>
      <c r="AK142" s="13"/>
      <c r="AL142" s="13"/>
      <c r="AM142" s="13"/>
      <c r="AN142" s="14"/>
      <c r="AO142" s="9"/>
      <c r="AP142" s="16"/>
      <c r="AQ142" s="10"/>
      <c r="AR142" s="10"/>
      <c r="AS142" s="10"/>
      <c r="AT142" s="11"/>
      <c r="AU142" s="12"/>
      <c r="AV142" s="17"/>
      <c r="AW142" s="13"/>
      <c r="AX142" s="13"/>
      <c r="AY142" s="13"/>
      <c r="AZ142" s="14"/>
      <c r="BA142" s="9"/>
      <c r="BB142" s="16"/>
      <c r="BC142" s="10"/>
      <c r="BD142" s="10"/>
      <c r="BE142" s="10"/>
      <c r="BF142" s="11"/>
      <c r="BG142" s="12"/>
      <c r="BH142" s="17"/>
      <c r="BI142" s="13"/>
      <c r="BJ142" s="13"/>
      <c r="BK142" s="13"/>
      <c r="BL142" s="14"/>
      <c r="BM142" s="8">
        <f t="shared" si="36"/>
        <v>37</v>
      </c>
      <c r="BN142" s="8">
        <f t="shared" si="37"/>
        <v>50</v>
      </c>
      <c r="BO142" s="8">
        <f t="shared" si="38"/>
        <v>60</v>
      </c>
      <c r="BP142" s="8">
        <f t="shared" si="39"/>
        <v>22</v>
      </c>
      <c r="BQ142" s="8">
        <f t="shared" si="40"/>
        <v>60</v>
      </c>
      <c r="BR142" s="8">
        <f t="shared" si="41"/>
        <v>37</v>
      </c>
      <c r="BS142" s="15">
        <f t="shared" si="42"/>
        <v>21.356186457324256</v>
      </c>
      <c r="BT142" s="15" t="str">
        <f t="shared" si="43"/>
        <v>OK - No Upgrade</v>
      </c>
      <c r="BU142" s="15" t="str">
        <f t="shared" si="44"/>
        <v>Need to Balance</v>
      </c>
    </row>
    <row r="143" spans="1:73" ht="15.75" customHeight="1" x14ac:dyDescent="0.25">
      <c r="A143" s="8" t="s">
        <v>1021</v>
      </c>
      <c r="B143" s="8" t="s">
        <v>1021</v>
      </c>
      <c r="C143" s="8" t="s">
        <v>265</v>
      </c>
      <c r="D143" s="8" t="s">
        <v>1319</v>
      </c>
      <c r="E143" s="8" t="s">
        <v>1127</v>
      </c>
      <c r="F143" s="8" t="s">
        <v>43</v>
      </c>
      <c r="G143" s="8"/>
      <c r="H143" s="8">
        <v>100</v>
      </c>
      <c r="I143" s="8" t="s">
        <v>1320</v>
      </c>
      <c r="J143" s="8">
        <v>1</v>
      </c>
      <c r="K143" s="8">
        <v>241</v>
      </c>
      <c r="L143" s="8">
        <v>242</v>
      </c>
      <c r="M143" s="8">
        <v>240</v>
      </c>
      <c r="N143" s="8">
        <v>418</v>
      </c>
      <c r="O143" s="8">
        <v>416</v>
      </c>
      <c r="P143" s="8">
        <v>415</v>
      </c>
      <c r="Q143" s="9" t="s">
        <v>46</v>
      </c>
      <c r="R143" s="16"/>
      <c r="S143" s="10">
        <v>2</v>
      </c>
      <c r="T143" s="10">
        <v>1</v>
      </c>
      <c r="U143" s="10">
        <v>1</v>
      </c>
      <c r="V143" s="11">
        <v>0</v>
      </c>
      <c r="W143" s="12"/>
      <c r="X143" s="17"/>
      <c r="Y143" s="13"/>
      <c r="Z143" s="13"/>
      <c r="AA143" s="13"/>
      <c r="AB143" s="14"/>
      <c r="AC143" s="9"/>
      <c r="AD143" s="16"/>
      <c r="AE143" s="10"/>
      <c r="AF143" s="10"/>
      <c r="AG143" s="10"/>
      <c r="AH143" s="11"/>
      <c r="AI143" s="12"/>
      <c r="AJ143" s="17"/>
      <c r="AK143" s="13"/>
      <c r="AL143" s="13"/>
      <c r="AM143" s="13"/>
      <c r="AN143" s="14"/>
      <c r="AO143" s="9"/>
      <c r="AP143" s="16"/>
      <c r="AQ143" s="10"/>
      <c r="AR143" s="10"/>
      <c r="AS143" s="10"/>
      <c r="AT143" s="11"/>
      <c r="AU143" s="12"/>
      <c r="AV143" s="17"/>
      <c r="AW143" s="13"/>
      <c r="AX143" s="13"/>
      <c r="AY143" s="13"/>
      <c r="AZ143" s="14"/>
      <c r="BA143" s="9"/>
      <c r="BB143" s="16"/>
      <c r="BC143" s="10"/>
      <c r="BD143" s="10"/>
      <c r="BE143" s="10"/>
      <c r="BF143" s="11"/>
      <c r="BG143" s="12"/>
      <c r="BH143" s="17"/>
      <c r="BI143" s="13"/>
      <c r="BJ143" s="13"/>
      <c r="BK143" s="13"/>
      <c r="BL143" s="14"/>
      <c r="BM143" s="8">
        <f t="shared" si="36"/>
        <v>2</v>
      </c>
      <c r="BN143" s="8">
        <f t="shared" si="37"/>
        <v>1</v>
      </c>
      <c r="BO143" s="8">
        <f t="shared" si="38"/>
        <v>1</v>
      </c>
      <c r="BP143" s="8">
        <f t="shared" si="39"/>
        <v>0</v>
      </c>
      <c r="BQ143" s="8">
        <f t="shared" si="40"/>
        <v>2</v>
      </c>
      <c r="BR143" s="8">
        <f t="shared" si="41"/>
        <v>1</v>
      </c>
      <c r="BS143" s="15">
        <f t="shared" si="42"/>
        <v>1.4479944751275813</v>
      </c>
      <c r="BT143" s="15" t="str">
        <f t="shared" si="43"/>
        <v>OK - No Upgrade</v>
      </c>
      <c r="BU143" s="15" t="str">
        <f t="shared" si="44"/>
        <v>Need to Balance</v>
      </c>
    </row>
    <row r="144" spans="1:73" ht="15.75" customHeight="1" x14ac:dyDescent="0.25">
      <c r="A144" s="8" t="s">
        <v>1021</v>
      </c>
      <c r="B144" s="8" t="s">
        <v>1021</v>
      </c>
      <c r="C144" s="8" t="s">
        <v>124</v>
      </c>
      <c r="D144" s="8" t="s">
        <v>1321</v>
      </c>
      <c r="E144" s="8" t="s">
        <v>1167</v>
      </c>
      <c r="F144" s="8" t="s">
        <v>43</v>
      </c>
      <c r="G144" s="8"/>
      <c r="H144" s="8">
        <v>100</v>
      </c>
      <c r="I144" s="8" t="s">
        <v>1322</v>
      </c>
      <c r="J144" s="8">
        <v>1</v>
      </c>
      <c r="K144" s="8">
        <v>235</v>
      </c>
      <c r="L144" s="8">
        <v>235</v>
      </c>
      <c r="M144" s="8">
        <v>236</v>
      </c>
      <c r="N144" s="8">
        <v>411</v>
      </c>
      <c r="O144" s="8">
        <v>405</v>
      </c>
      <c r="P144" s="8">
        <v>407</v>
      </c>
      <c r="Q144" s="9" t="s">
        <v>70</v>
      </c>
      <c r="R144" s="16"/>
      <c r="S144" s="10">
        <v>3</v>
      </c>
      <c r="T144" s="10">
        <v>66</v>
      </c>
      <c r="U144" s="10">
        <v>61</v>
      </c>
      <c r="V144" s="11">
        <v>65</v>
      </c>
      <c r="W144" s="12"/>
      <c r="X144" s="17"/>
      <c r="Y144" s="13"/>
      <c r="Z144" s="13"/>
      <c r="AA144" s="13"/>
      <c r="AB144" s="14"/>
      <c r="AC144" s="9"/>
      <c r="AD144" s="16"/>
      <c r="AE144" s="10"/>
      <c r="AF144" s="10"/>
      <c r="AG144" s="10"/>
      <c r="AH144" s="11"/>
      <c r="AI144" s="12"/>
      <c r="AJ144" s="17"/>
      <c r="AK144" s="13"/>
      <c r="AL144" s="13"/>
      <c r="AM144" s="13"/>
      <c r="AN144" s="14"/>
      <c r="AO144" s="9"/>
      <c r="AP144" s="16"/>
      <c r="AQ144" s="10"/>
      <c r="AR144" s="10"/>
      <c r="AS144" s="10"/>
      <c r="AT144" s="11"/>
      <c r="AU144" s="12"/>
      <c r="AV144" s="17"/>
      <c r="AW144" s="13"/>
      <c r="AX144" s="13"/>
      <c r="AY144" s="13"/>
      <c r="AZ144" s="14"/>
      <c r="BA144" s="9"/>
      <c r="BB144" s="16"/>
      <c r="BC144" s="10"/>
      <c r="BD144" s="10"/>
      <c r="BE144" s="10"/>
      <c r="BF144" s="11"/>
      <c r="BG144" s="12"/>
      <c r="BH144" s="17"/>
      <c r="BI144" s="13"/>
      <c r="BJ144" s="13"/>
      <c r="BK144" s="13"/>
      <c r="BL144" s="14"/>
      <c r="BM144" s="8">
        <f t="shared" si="36"/>
        <v>3</v>
      </c>
      <c r="BN144" s="8">
        <f t="shared" si="37"/>
        <v>66</v>
      </c>
      <c r="BO144" s="8">
        <f t="shared" si="38"/>
        <v>61</v>
      </c>
      <c r="BP144" s="8">
        <f t="shared" si="39"/>
        <v>65</v>
      </c>
      <c r="BQ144" s="8">
        <f t="shared" si="40"/>
        <v>66</v>
      </c>
      <c r="BR144" s="8">
        <f t="shared" si="41"/>
        <v>3</v>
      </c>
      <c r="BS144" s="15">
        <f t="shared" si="42"/>
        <v>46.983610206113362</v>
      </c>
      <c r="BT144" s="15" t="str">
        <f t="shared" si="43"/>
        <v>OK - No Upgrade</v>
      </c>
      <c r="BU144" s="15" t="str">
        <f t="shared" si="44"/>
        <v>Need to Balance</v>
      </c>
    </row>
    <row r="145" spans="1:73" ht="15.75" customHeight="1" x14ac:dyDescent="0.25">
      <c r="A145" s="8" t="s">
        <v>1021</v>
      </c>
      <c r="B145" s="8" t="s">
        <v>1021</v>
      </c>
      <c r="C145" s="8" t="s">
        <v>265</v>
      </c>
      <c r="D145" s="8" t="s">
        <v>1323</v>
      </c>
      <c r="E145" s="8" t="s">
        <v>1130</v>
      </c>
      <c r="F145" s="8" t="s">
        <v>43</v>
      </c>
      <c r="G145" s="8"/>
      <c r="H145" s="8">
        <v>100</v>
      </c>
      <c r="I145" s="8" t="s">
        <v>1324</v>
      </c>
      <c r="J145" s="8">
        <v>1</v>
      </c>
      <c r="K145" s="8">
        <v>240</v>
      </c>
      <c r="L145" s="8">
        <v>241</v>
      </c>
      <c r="M145" s="8">
        <v>239</v>
      </c>
      <c r="N145" s="8">
        <v>417</v>
      </c>
      <c r="O145" s="8">
        <v>413</v>
      </c>
      <c r="P145" s="8">
        <v>417</v>
      </c>
      <c r="Q145" s="9" t="s">
        <v>46</v>
      </c>
      <c r="R145" s="16"/>
      <c r="S145" s="10">
        <v>2</v>
      </c>
      <c r="T145" s="10">
        <v>1</v>
      </c>
      <c r="U145" s="10">
        <v>1</v>
      </c>
      <c r="V145" s="11">
        <v>0</v>
      </c>
      <c r="W145" s="12"/>
      <c r="X145" s="17"/>
      <c r="Y145" s="13"/>
      <c r="Z145" s="13"/>
      <c r="AA145" s="13"/>
      <c r="AB145" s="14"/>
      <c r="AC145" s="9"/>
      <c r="AD145" s="16"/>
      <c r="AE145" s="10"/>
      <c r="AF145" s="10"/>
      <c r="AG145" s="10"/>
      <c r="AH145" s="11"/>
      <c r="AI145" s="12"/>
      <c r="AJ145" s="17"/>
      <c r="AK145" s="13"/>
      <c r="AL145" s="13"/>
      <c r="AM145" s="13"/>
      <c r="AN145" s="14"/>
      <c r="AO145" s="9"/>
      <c r="AP145" s="16"/>
      <c r="AQ145" s="10"/>
      <c r="AR145" s="10"/>
      <c r="AS145" s="10"/>
      <c r="AT145" s="11"/>
      <c r="AU145" s="12"/>
      <c r="AV145" s="17"/>
      <c r="AW145" s="13"/>
      <c r="AX145" s="13"/>
      <c r="AY145" s="13"/>
      <c r="AZ145" s="14"/>
      <c r="BA145" s="9"/>
      <c r="BB145" s="16"/>
      <c r="BC145" s="10"/>
      <c r="BD145" s="10"/>
      <c r="BE145" s="10"/>
      <c r="BF145" s="11"/>
      <c r="BG145" s="12"/>
      <c r="BH145" s="17"/>
      <c r="BI145" s="13"/>
      <c r="BJ145" s="13"/>
      <c r="BK145" s="13"/>
      <c r="BL145" s="14"/>
      <c r="BM145" s="8">
        <f t="shared" si="36"/>
        <v>2</v>
      </c>
      <c r="BN145" s="8">
        <f t="shared" si="37"/>
        <v>1</v>
      </c>
      <c r="BO145" s="8">
        <f t="shared" si="38"/>
        <v>1</v>
      </c>
      <c r="BP145" s="8">
        <f t="shared" si="39"/>
        <v>0</v>
      </c>
      <c r="BQ145" s="8">
        <f t="shared" si="40"/>
        <v>2</v>
      </c>
      <c r="BR145" s="8">
        <f t="shared" si="41"/>
        <v>1</v>
      </c>
      <c r="BS145" s="15">
        <f t="shared" si="42"/>
        <v>1.4445303735124435</v>
      </c>
      <c r="BT145" s="15" t="str">
        <f t="shared" si="43"/>
        <v>OK - No Upgrade</v>
      </c>
      <c r="BU145" s="15" t="str">
        <f t="shared" si="44"/>
        <v>Need to Balance</v>
      </c>
    </row>
    <row r="146" spans="1:73" ht="15.75" customHeight="1" x14ac:dyDescent="0.25">
      <c r="A146" s="8" t="s">
        <v>1021</v>
      </c>
      <c r="B146" s="8" t="s">
        <v>1021</v>
      </c>
      <c r="C146" s="8" t="s">
        <v>124</v>
      </c>
      <c r="D146" s="8" t="s">
        <v>1325</v>
      </c>
      <c r="E146" s="8" t="s">
        <v>1023</v>
      </c>
      <c r="F146" s="8" t="s">
        <v>56</v>
      </c>
      <c r="G146" s="8"/>
      <c r="H146" s="8">
        <v>500</v>
      </c>
      <c r="I146" s="8" t="s">
        <v>1326</v>
      </c>
      <c r="J146" s="8">
        <v>1</v>
      </c>
      <c r="K146" s="8">
        <v>230</v>
      </c>
      <c r="L146" s="8">
        <v>232</v>
      </c>
      <c r="M146" s="8">
        <v>230</v>
      </c>
      <c r="N146" s="8">
        <v>400</v>
      </c>
      <c r="O146" s="8">
        <v>400</v>
      </c>
      <c r="P146" s="8">
        <v>402</v>
      </c>
      <c r="Q146" s="9" t="s">
        <v>47</v>
      </c>
      <c r="R146" s="16"/>
      <c r="S146" s="10">
        <v>176</v>
      </c>
      <c r="T146" s="10">
        <v>88</v>
      </c>
      <c r="U146" s="10">
        <v>68</v>
      </c>
      <c r="V146" s="11">
        <v>83</v>
      </c>
      <c r="W146" s="12"/>
      <c r="X146" s="17"/>
      <c r="Y146" s="13"/>
      <c r="Z146" s="13"/>
      <c r="AA146" s="13"/>
      <c r="AB146" s="14"/>
      <c r="AC146" s="9"/>
      <c r="AD146" s="16"/>
      <c r="AE146" s="10"/>
      <c r="AF146" s="10"/>
      <c r="AG146" s="10"/>
      <c r="AH146" s="11"/>
      <c r="AI146" s="12"/>
      <c r="AJ146" s="17"/>
      <c r="AK146" s="13"/>
      <c r="AL146" s="13"/>
      <c r="AM146" s="13"/>
      <c r="AN146" s="14"/>
      <c r="AO146" s="9"/>
      <c r="AP146" s="16"/>
      <c r="AQ146" s="10"/>
      <c r="AR146" s="10"/>
      <c r="AS146" s="10"/>
      <c r="AT146" s="11"/>
      <c r="AU146" s="12"/>
      <c r="AV146" s="17"/>
      <c r="AW146" s="13"/>
      <c r="AX146" s="13"/>
      <c r="AY146" s="13"/>
      <c r="AZ146" s="14"/>
      <c r="BA146" s="9"/>
      <c r="BB146" s="16"/>
      <c r="BC146" s="10"/>
      <c r="BD146" s="10"/>
      <c r="BE146" s="10"/>
      <c r="BF146" s="11"/>
      <c r="BG146" s="12"/>
      <c r="BH146" s="17"/>
      <c r="BI146" s="13"/>
      <c r="BJ146" s="13"/>
      <c r="BK146" s="13"/>
      <c r="BL146" s="14"/>
      <c r="BM146" s="8">
        <f t="shared" si="36"/>
        <v>176</v>
      </c>
      <c r="BN146" s="8">
        <f t="shared" si="37"/>
        <v>88</v>
      </c>
      <c r="BO146" s="8">
        <f t="shared" si="38"/>
        <v>68</v>
      </c>
      <c r="BP146" s="8">
        <f t="shared" si="39"/>
        <v>83</v>
      </c>
      <c r="BQ146" s="8">
        <f t="shared" si="40"/>
        <v>176</v>
      </c>
      <c r="BR146" s="8">
        <f t="shared" si="41"/>
        <v>68</v>
      </c>
      <c r="BS146" s="15">
        <f t="shared" si="42"/>
        <v>24.387275370569792</v>
      </c>
      <c r="BT146" s="15" t="str">
        <f t="shared" si="43"/>
        <v>OK - No Upgrade</v>
      </c>
      <c r="BU146" s="15" t="str">
        <f t="shared" si="44"/>
        <v>Need to Balance</v>
      </c>
    </row>
    <row r="147" spans="1:73" ht="15.75" customHeight="1" x14ac:dyDescent="0.25">
      <c r="A147" s="8" t="s">
        <v>1021</v>
      </c>
      <c r="B147" s="8" t="s">
        <v>1021</v>
      </c>
      <c r="C147" s="8" t="s">
        <v>124</v>
      </c>
      <c r="D147" s="8" t="s">
        <v>1327</v>
      </c>
      <c r="E147" s="8" t="s">
        <v>1198</v>
      </c>
      <c r="F147" s="8" t="s">
        <v>43</v>
      </c>
      <c r="G147" s="8"/>
      <c r="H147" s="8">
        <v>100</v>
      </c>
      <c r="I147" s="8" t="s">
        <v>1328</v>
      </c>
      <c r="J147" s="8">
        <v>1</v>
      </c>
      <c r="K147" s="8">
        <v>230</v>
      </c>
      <c r="L147" s="8">
        <v>234</v>
      </c>
      <c r="M147" s="8">
        <v>230</v>
      </c>
      <c r="N147" s="8">
        <v>404</v>
      </c>
      <c r="O147" s="8">
        <v>400</v>
      </c>
      <c r="P147" s="8">
        <v>403</v>
      </c>
      <c r="Q147" s="9" t="s">
        <v>46</v>
      </c>
      <c r="R147" s="16"/>
      <c r="S147" s="10">
        <v>6</v>
      </c>
      <c r="T147" s="10">
        <v>0</v>
      </c>
      <c r="U147" s="10">
        <v>0</v>
      </c>
      <c r="V147" s="11">
        <v>5</v>
      </c>
      <c r="W147" s="12"/>
      <c r="X147" s="17"/>
      <c r="Y147" s="13"/>
      <c r="Z147" s="13"/>
      <c r="AA147" s="13"/>
      <c r="AB147" s="14"/>
      <c r="AC147" s="9"/>
      <c r="AD147" s="16"/>
      <c r="AE147" s="10"/>
      <c r="AF147" s="10"/>
      <c r="AG147" s="10"/>
      <c r="AH147" s="11"/>
      <c r="AI147" s="12"/>
      <c r="AJ147" s="17"/>
      <c r="AK147" s="13"/>
      <c r="AL147" s="13"/>
      <c r="AM147" s="13"/>
      <c r="AN147" s="14"/>
      <c r="AO147" s="9"/>
      <c r="AP147" s="16"/>
      <c r="AQ147" s="10"/>
      <c r="AR147" s="10"/>
      <c r="AS147" s="10"/>
      <c r="AT147" s="11"/>
      <c r="AU147" s="12"/>
      <c r="AV147" s="17"/>
      <c r="AW147" s="13"/>
      <c r="AX147" s="13"/>
      <c r="AY147" s="13"/>
      <c r="AZ147" s="14"/>
      <c r="BA147" s="9"/>
      <c r="BB147" s="16"/>
      <c r="BC147" s="10"/>
      <c r="BD147" s="10"/>
      <c r="BE147" s="10"/>
      <c r="BF147" s="11"/>
      <c r="BG147" s="12"/>
      <c r="BH147" s="17"/>
      <c r="BI147" s="13"/>
      <c r="BJ147" s="13"/>
      <c r="BK147" s="13"/>
      <c r="BL147" s="14"/>
      <c r="BM147" s="8">
        <f t="shared" si="36"/>
        <v>6</v>
      </c>
      <c r="BN147" s="8">
        <f t="shared" si="37"/>
        <v>0</v>
      </c>
      <c r="BO147" s="8">
        <f t="shared" si="38"/>
        <v>0</v>
      </c>
      <c r="BP147" s="8">
        <f t="shared" si="39"/>
        <v>5</v>
      </c>
      <c r="BQ147" s="8">
        <f t="shared" si="40"/>
        <v>6</v>
      </c>
      <c r="BR147" s="8">
        <f t="shared" si="41"/>
        <v>0</v>
      </c>
      <c r="BS147" s="15">
        <f t="shared" si="42"/>
        <v>4.1984911575469592</v>
      </c>
      <c r="BT147" s="15" t="str">
        <f t="shared" si="43"/>
        <v>OK - No Upgrade</v>
      </c>
      <c r="BU147" s="15" t="str">
        <f t="shared" si="44"/>
        <v>Need to Balance</v>
      </c>
    </row>
    <row r="148" spans="1:73" ht="15.75" customHeight="1" x14ac:dyDescent="0.25">
      <c r="A148" s="8" t="s">
        <v>1021</v>
      </c>
      <c r="B148" s="8" t="s">
        <v>1021</v>
      </c>
      <c r="C148" s="8" t="s">
        <v>124</v>
      </c>
      <c r="D148" s="8" t="s">
        <v>1329</v>
      </c>
      <c r="E148" s="8" t="s">
        <v>1201</v>
      </c>
      <c r="F148" s="8" t="s">
        <v>43</v>
      </c>
      <c r="G148" s="8"/>
      <c r="H148" s="8">
        <v>100</v>
      </c>
      <c r="I148" s="8" t="s">
        <v>1326</v>
      </c>
      <c r="J148" s="8">
        <v>1</v>
      </c>
      <c r="K148" s="8">
        <v>230</v>
      </c>
      <c r="L148" s="8">
        <v>234</v>
      </c>
      <c r="M148" s="8">
        <v>230</v>
      </c>
      <c r="N148" s="8">
        <v>405</v>
      </c>
      <c r="O148" s="8">
        <v>400</v>
      </c>
      <c r="P148" s="8">
        <v>402</v>
      </c>
      <c r="Q148" s="9" t="s">
        <v>46</v>
      </c>
      <c r="R148" s="16"/>
      <c r="S148" s="10">
        <v>31</v>
      </c>
      <c r="T148" s="10">
        <v>0</v>
      </c>
      <c r="U148" s="10">
        <v>27</v>
      </c>
      <c r="V148" s="11">
        <v>50</v>
      </c>
      <c r="W148" s="12"/>
      <c r="X148" s="17"/>
      <c r="Y148" s="13"/>
      <c r="Z148" s="13"/>
      <c r="AA148" s="13"/>
      <c r="AB148" s="14"/>
      <c r="AC148" s="9"/>
      <c r="AD148" s="16"/>
      <c r="AE148" s="10"/>
      <c r="AF148" s="10"/>
      <c r="AG148" s="10"/>
      <c r="AH148" s="11"/>
      <c r="AI148" s="12"/>
      <c r="AJ148" s="17"/>
      <c r="AK148" s="13"/>
      <c r="AL148" s="13"/>
      <c r="AM148" s="13"/>
      <c r="AN148" s="14"/>
      <c r="AO148" s="9"/>
      <c r="AP148" s="16"/>
      <c r="AQ148" s="10"/>
      <c r="AR148" s="10"/>
      <c r="AS148" s="10"/>
      <c r="AT148" s="11"/>
      <c r="AU148" s="12"/>
      <c r="AV148" s="17"/>
      <c r="AW148" s="13"/>
      <c r="AX148" s="13"/>
      <c r="AY148" s="13"/>
      <c r="AZ148" s="14"/>
      <c r="BA148" s="9"/>
      <c r="BB148" s="16"/>
      <c r="BC148" s="10"/>
      <c r="BD148" s="10"/>
      <c r="BE148" s="10"/>
      <c r="BF148" s="11"/>
      <c r="BG148" s="12"/>
      <c r="BH148" s="17"/>
      <c r="BI148" s="13"/>
      <c r="BJ148" s="13"/>
      <c r="BK148" s="13"/>
      <c r="BL148" s="14"/>
      <c r="BM148" s="8">
        <f t="shared" si="36"/>
        <v>31</v>
      </c>
      <c r="BN148" s="8">
        <f t="shared" si="37"/>
        <v>0</v>
      </c>
      <c r="BO148" s="8">
        <f t="shared" si="38"/>
        <v>27</v>
      </c>
      <c r="BP148" s="8">
        <f t="shared" si="39"/>
        <v>50</v>
      </c>
      <c r="BQ148" s="8">
        <f t="shared" si="40"/>
        <v>31</v>
      </c>
      <c r="BR148" s="8">
        <f t="shared" si="41"/>
        <v>0</v>
      </c>
      <c r="BS148" s="15">
        <f t="shared" si="42"/>
        <v>21.745897889027255</v>
      </c>
      <c r="BT148" s="15" t="str">
        <f t="shared" si="43"/>
        <v>OK - No Upgrade</v>
      </c>
      <c r="BU148" s="15" t="str">
        <f t="shared" si="44"/>
        <v>Need to Balance</v>
      </c>
    </row>
    <row r="149" spans="1:73" ht="15.75" customHeight="1" x14ac:dyDescent="0.25">
      <c r="A149" s="8" t="s">
        <v>1021</v>
      </c>
      <c r="B149" s="8" t="s">
        <v>1021</v>
      </c>
      <c r="C149" s="8" t="s">
        <v>265</v>
      </c>
      <c r="D149" s="8" t="s">
        <v>1330</v>
      </c>
      <c r="E149" s="8" t="s">
        <v>611</v>
      </c>
      <c r="F149" s="8" t="s">
        <v>43</v>
      </c>
      <c r="G149" s="8"/>
      <c r="H149" s="8">
        <v>200</v>
      </c>
      <c r="I149" s="8" t="s">
        <v>1331</v>
      </c>
      <c r="J149" s="8">
        <v>1</v>
      </c>
      <c r="K149" s="8">
        <v>236</v>
      </c>
      <c r="L149" s="8">
        <v>237</v>
      </c>
      <c r="M149" s="8">
        <v>236</v>
      </c>
      <c r="N149" s="8">
        <v>410</v>
      </c>
      <c r="O149" s="8">
        <v>407</v>
      </c>
      <c r="P149" s="8">
        <v>408</v>
      </c>
      <c r="Q149" s="9" t="s">
        <v>47</v>
      </c>
      <c r="R149" s="16"/>
      <c r="S149" s="10">
        <v>143</v>
      </c>
      <c r="T149" s="10">
        <v>150</v>
      </c>
      <c r="U149" s="10">
        <v>118</v>
      </c>
      <c r="V149" s="11">
        <v>24</v>
      </c>
      <c r="W149" s="12"/>
      <c r="X149" s="17"/>
      <c r="Y149" s="13"/>
      <c r="Z149" s="13"/>
      <c r="AA149" s="13"/>
      <c r="AB149" s="14"/>
      <c r="AC149" s="9"/>
      <c r="AD149" s="16"/>
      <c r="AE149" s="10"/>
      <c r="AF149" s="10"/>
      <c r="AG149" s="10"/>
      <c r="AH149" s="11"/>
      <c r="AI149" s="12"/>
      <c r="AJ149" s="17"/>
      <c r="AK149" s="13"/>
      <c r="AL149" s="13"/>
      <c r="AM149" s="13"/>
      <c r="AN149" s="14"/>
      <c r="AO149" s="9"/>
      <c r="AP149" s="16"/>
      <c r="AQ149" s="10"/>
      <c r="AR149" s="10"/>
      <c r="AS149" s="10"/>
      <c r="AT149" s="11"/>
      <c r="AU149" s="12"/>
      <c r="AV149" s="17"/>
      <c r="AW149" s="13"/>
      <c r="AX149" s="13"/>
      <c r="AY149" s="13"/>
      <c r="AZ149" s="14"/>
      <c r="BA149" s="9"/>
      <c r="BB149" s="16"/>
      <c r="BC149" s="10"/>
      <c r="BD149" s="10"/>
      <c r="BE149" s="10"/>
      <c r="BF149" s="11"/>
      <c r="BG149" s="12"/>
      <c r="BH149" s="17"/>
      <c r="BI149" s="13"/>
      <c r="BJ149" s="13"/>
      <c r="BK149" s="13"/>
      <c r="BL149" s="14"/>
      <c r="BM149" s="8">
        <f t="shared" si="36"/>
        <v>143</v>
      </c>
      <c r="BN149" s="8">
        <f t="shared" si="37"/>
        <v>150</v>
      </c>
      <c r="BO149" s="8">
        <f t="shared" si="38"/>
        <v>118</v>
      </c>
      <c r="BP149" s="8">
        <f t="shared" si="39"/>
        <v>24</v>
      </c>
      <c r="BQ149" s="8">
        <f t="shared" si="40"/>
        <v>150</v>
      </c>
      <c r="BR149" s="8">
        <f t="shared" si="41"/>
        <v>118</v>
      </c>
      <c r="BS149" s="15">
        <f t="shared" si="42"/>
        <v>53.260562332742978</v>
      </c>
      <c r="BT149" s="15" t="str">
        <f t="shared" si="43"/>
        <v>OK - No Upgrade</v>
      </c>
      <c r="BU149" s="15" t="str">
        <f t="shared" si="44"/>
        <v>OK - Balanced</v>
      </c>
    </row>
    <row r="150" spans="1:73" ht="15.75" customHeight="1" x14ac:dyDescent="0.25">
      <c r="A150" s="8" t="s">
        <v>1021</v>
      </c>
      <c r="B150" s="8" t="s">
        <v>1021</v>
      </c>
      <c r="C150" s="8" t="s">
        <v>265</v>
      </c>
      <c r="D150" s="8" t="s">
        <v>1332</v>
      </c>
      <c r="E150" s="8" t="s">
        <v>1244</v>
      </c>
      <c r="F150" s="8" t="s">
        <v>43</v>
      </c>
      <c r="G150" s="8"/>
      <c r="H150" s="8">
        <v>100</v>
      </c>
      <c r="I150" s="8" t="s">
        <v>1333</v>
      </c>
      <c r="J150" s="8">
        <v>1</v>
      </c>
      <c r="K150" s="8">
        <v>240</v>
      </c>
      <c r="L150" s="8">
        <v>241</v>
      </c>
      <c r="M150" s="8">
        <v>239</v>
      </c>
      <c r="N150" s="8">
        <v>417</v>
      </c>
      <c r="O150" s="8">
        <v>414</v>
      </c>
      <c r="P150" s="8">
        <v>415</v>
      </c>
      <c r="Q150" s="9" t="s">
        <v>47</v>
      </c>
      <c r="R150" s="16"/>
      <c r="S150" s="10">
        <v>16</v>
      </c>
      <c r="T150" s="10">
        <v>17</v>
      </c>
      <c r="U150" s="10">
        <v>10</v>
      </c>
      <c r="V150" s="11">
        <v>5</v>
      </c>
      <c r="W150" s="12" t="s">
        <v>46</v>
      </c>
      <c r="X150" s="17"/>
      <c r="Y150" s="13">
        <v>0</v>
      </c>
      <c r="Z150" s="13">
        <v>0</v>
      </c>
      <c r="AA150" s="13">
        <v>0</v>
      </c>
      <c r="AB150" s="14">
        <v>0</v>
      </c>
      <c r="AC150" s="9"/>
      <c r="AD150" s="16"/>
      <c r="AE150" s="10"/>
      <c r="AF150" s="10"/>
      <c r="AG150" s="10"/>
      <c r="AH150" s="11"/>
      <c r="AI150" s="12"/>
      <c r="AJ150" s="17"/>
      <c r="AK150" s="13"/>
      <c r="AL150" s="13"/>
      <c r="AM150" s="13"/>
      <c r="AN150" s="14"/>
      <c r="AO150" s="9"/>
      <c r="AP150" s="16"/>
      <c r="AQ150" s="10"/>
      <c r="AR150" s="10"/>
      <c r="AS150" s="10"/>
      <c r="AT150" s="11"/>
      <c r="AU150" s="12"/>
      <c r="AV150" s="17"/>
      <c r="AW150" s="13"/>
      <c r="AX150" s="13"/>
      <c r="AY150" s="13"/>
      <c r="AZ150" s="14"/>
      <c r="BA150" s="9"/>
      <c r="BB150" s="16"/>
      <c r="BC150" s="10"/>
      <c r="BD150" s="10"/>
      <c r="BE150" s="10"/>
      <c r="BF150" s="11"/>
      <c r="BG150" s="12"/>
      <c r="BH150" s="17"/>
      <c r="BI150" s="13"/>
      <c r="BJ150" s="13"/>
      <c r="BK150" s="13"/>
      <c r="BL150" s="14"/>
      <c r="BM150" s="8">
        <f t="shared" si="36"/>
        <v>16</v>
      </c>
      <c r="BN150" s="8">
        <f t="shared" si="37"/>
        <v>17</v>
      </c>
      <c r="BO150" s="8">
        <f t="shared" si="38"/>
        <v>10</v>
      </c>
      <c r="BP150" s="8">
        <f t="shared" si="39"/>
        <v>5</v>
      </c>
      <c r="BQ150" s="8">
        <f t="shared" si="40"/>
        <v>17</v>
      </c>
      <c r="BR150" s="8">
        <f t="shared" si="41"/>
        <v>10</v>
      </c>
      <c r="BS150" s="15">
        <f t="shared" si="42"/>
        <v>12.278508174855771</v>
      </c>
      <c r="BT150" s="15" t="str">
        <f t="shared" si="43"/>
        <v>OK - No Upgrade</v>
      </c>
      <c r="BU150" s="15" t="str">
        <f t="shared" si="44"/>
        <v>Need to Balance</v>
      </c>
    </row>
    <row r="151" spans="1:73" ht="15.75" customHeight="1" x14ac:dyDescent="0.25">
      <c r="A151" s="8" t="s">
        <v>1021</v>
      </c>
      <c r="B151" s="8" t="s">
        <v>1021</v>
      </c>
      <c r="C151" s="8" t="s">
        <v>265</v>
      </c>
      <c r="D151" s="8" t="s">
        <v>1334</v>
      </c>
      <c r="E151" s="8" t="s">
        <v>1095</v>
      </c>
      <c r="F151" s="8" t="s">
        <v>43</v>
      </c>
      <c r="G151" s="8"/>
      <c r="H151" s="8">
        <v>100</v>
      </c>
      <c r="I151" s="8" t="s">
        <v>1335</v>
      </c>
      <c r="J151" s="8">
        <v>1</v>
      </c>
      <c r="K151" s="8">
        <v>238</v>
      </c>
      <c r="L151" s="8">
        <v>236</v>
      </c>
      <c r="M151" s="8">
        <v>239</v>
      </c>
      <c r="N151" s="8">
        <v>413</v>
      </c>
      <c r="O151" s="8">
        <v>411</v>
      </c>
      <c r="P151" s="8">
        <v>408</v>
      </c>
      <c r="Q151" s="9" t="s">
        <v>46</v>
      </c>
      <c r="R151" s="16"/>
      <c r="S151" s="10">
        <v>29</v>
      </c>
      <c r="T151" s="10">
        <v>94</v>
      </c>
      <c r="U151" s="10">
        <v>15</v>
      </c>
      <c r="V151" s="11">
        <v>74</v>
      </c>
      <c r="W151" s="12"/>
      <c r="X151" s="17"/>
      <c r="Y151" s="13"/>
      <c r="Z151" s="13"/>
      <c r="AA151" s="13"/>
      <c r="AB151" s="14"/>
      <c r="AC151" s="9"/>
      <c r="AD151" s="16"/>
      <c r="AE151" s="10"/>
      <c r="AF151" s="10"/>
      <c r="AG151" s="10"/>
      <c r="AH151" s="11"/>
      <c r="AI151" s="12"/>
      <c r="AJ151" s="17"/>
      <c r="AK151" s="13"/>
      <c r="AL151" s="13"/>
      <c r="AM151" s="13"/>
      <c r="AN151" s="14"/>
      <c r="AO151" s="9"/>
      <c r="AP151" s="16"/>
      <c r="AQ151" s="10"/>
      <c r="AR151" s="10"/>
      <c r="AS151" s="10"/>
      <c r="AT151" s="11"/>
      <c r="AU151" s="12"/>
      <c r="AV151" s="17"/>
      <c r="AW151" s="13"/>
      <c r="AX151" s="13"/>
      <c r="AY151" s="13"/>
      <c r="AZ151" s="14"/>
      <c r="BA151" s="9"/>
      <c r="BB151" s="16"/>
      <c r="BC151" s="10"/>
      <c r="BD151" s="10"/>
      <c r="BE151" s="10"/>
      <c r="BF151" s="11"/>
      <c r="BG151" s="12"/>
      <c r="BH151" s="17"/>
      <c r="BI151" s="13"/>
      <c r="BJ151" s="13"/>
      <c r="BK151" s="13"/>
      <c r="BL151" s="14"/>
      <c r="BM151" s="8">
        <f t="shared" si="36"/>
        <v>29</v>
      </c>
      <c r="BN151" s="8">
        <f t="shared" si="37"/>
        <v>94</v>
      </c>
      <c r="BO151" s="8">
        <f t="shared" si="38"/>
        <v>15</v>
      </c>
      <c r="BP151" s="8">
        <f t="shared" si="39"/>
        <v>74</v>
      </c>
      <c r="BQ151" s="8">
        <f t="shared" si="40"/>
        <v>94</v>
      </c>
      <c r="BR151" s="8">
        <f t="shared" si="41"/>
        <v>15</v>
      </c>
      <c r="BS151" s="15">
        <f t="shared" si="42"/>
        <v>67.241676451438948</v>
      </c>
      <c r="BT151" s="15" t="str">
        <f t="shared" si="43"/>
        <v>OK - No Upgrade</v>
      </c>
      <c r="BU151" s="15" t="str">
        <f t="shared" si="44"/>
        <v>Need to Balance</v>
      </c>
    </row>
    <row r="152" spans="1:73" ht="15.75" customHeight="1" x14ac:dyDescent="0.25">
      <c r="A152" s="8" t="s">
        <v>1021</v>
      </c>
      <c r="B152" s="8" t="s">
        <v>1021</v>
      </c>
      <c r="C152" s="8" t="s">
        <v>265</v>
      </c>
      <c r="D152" s="8" t="s">
        <v>1336</v>
      </c>
      <c r="E152" s="8" t="s">
        <v>1048</v>
      </c>
      <c r="F152" s="8" t="s">
        <v>43</v>
      </c>
      <c r="G152" s="8"/>
      <c r="H152" s="8">
        <v>315</v>
      </c>
      <c r="I152" s="8" t="s">
        <v>1337</v>
      </c>
      <c r="J152" s="8">
        <v>1</v>
      </c>
      <c r="K152" s="8">
        <v>243</v>
      </c>
      <c r="L152" s="8">
        <v>245</v>
      </c>
      <c r="M152" s="8">
        <v>243</v>
      </c>
      <c r="N152" s="8">
        <v>423</v>
      </c>
      <c r="O152" s="8">
        <v>419</v>
      </c>
      <c r="P152" s="8">
        <v>423</v>
      </c>
      <c r="Q152" s="9" t="s">
        <v>47</v>
      </c>
      <c r="R152" s="16"/>
      <c r="S152" s="10">
        <v>81</v>
      </c>
      <c r="T152" s="10">
        <v>53</v>
      </c>
      <c r="U152" s="10">
        <v>73</v>
      </c>
      <c r="V152" s="11">
        <v>28</v>
      </c>
      <c r="W152" s="12" t="s">
        <v>46</v>
      </c>
      <c r="X152" s="17"/>
      <c r="Y152" s="13">
        <v>73</v>
      </c>
      <c r="Z152" s="13">
        <v>52</v>
      </c>
      <c r="AA152" s="13">
        <v>93</v>
      </c>
      <c r="AB152" s="14">
        <v>28</v>
      </c>
      <c r="AC152" s="9"/>
      <c r="AD152" s="16"/>
      <c r="AE152" s="10"/>
      <c r="AF152" s="10"/>
      <c r="AG152" s="10"/>
      <c r="AH152" s="11"/>
      <c r="AI152" s="12"/>
      <c r="AJ152" s="17"/>
      <c r="AK152" s="13"/>
      <c r="AL152" s="13"/>
      <c r="AM152" s="13"/>
      <c r="AN152" s="14"/>
      <c r="AO152" s="9"/>
      <c r="AP152" s="16"/>
      <c r="AQ152" s="10"/>
      <c r="AR152" s="10"/>
      <c r="AS152" s="10"/>
      <c r="AT152" s="11"/>
      <c r="AU152" s="12"/>
      <c r="AV152" s="17"/>
      <c r="AW152" s="13"/>
      <c r="AX152" s="13"/>
      <c r="AY152" s="13"/>
      <c r="AZ152" s="14"/>
      <c r="BA152" s="9"/>
      <c r="BB152" s="16"/>
      <c r="BC152" s="10"/>
      <c r="BD152" s="10"/>
      <c r="BE152" s="10"/>
      <c r="BF152" s="11"/>
      <c r="BG152" s="12"/>
      <c r="BH152" s="17"/>
      <c r="BI152" s="13"/>
      <c r="BJ152" s="13"/>
      <c r="BK152" s="13"/>
      <c r="BL152" s="14"/>
      <c r="BM152" s="8">
        <f t="shared" si="36"/>
        <v>154</v>
      </c>
      <c r="BN152" s="8">
        <f t="shared" si="37"/>
        <v>105</v>
      </c>
      <c r="BO152" s="8">
        <f t="shared" si="38"/>
        <v>166</v>
      </c>
      <c r="BP152" s="8">
        <f t="shared" si="39"/>
        <v>56</v>
      </c>
      <c r="BQ152" s="8">
        <f t="shared" si="40"/>
        <v>166</v>
      </c>
      <c r="BR152" s="8">
        <f t="shared" si="41"/>
        <v>105</v>
      </c>
      <c r="BS152" s="15">
        <f t="shared" si="42"/>
        <v>38.609886859006799</v>
      </c>
      <c r="BT152" s="15" t="str">
        <f t="shared" si="43"/>
        <v>OK - No Upgrade</v>
      </c>
      <c r="BU152" s="15" t="str">
        <f t="shared" si="44"/>
        <v>Need to Balance</v>
      </c>
    </row>
    <row r="153" spans="1:73" ht="15.75" customHeight="1" x14ac:dyDescent="0.25">
      <c r="A153" s="8" t="s">
        <v>1021</v>
      </c>
      <c r="B153" s="8" t="s">
        <v>1021</v>
      </c>
      <c r="C153" s="8" t="s">
        <v>40</v>
      </c>
      <c r="D153" s="8"/>
      <c r="E153" s="8" t="s">
        <v>1101</v>
      </c>
      <c r="F153" s="8" t="s">
        <v>56</v>
      </c>
      <c r="G153" s="8"/>
      <c r="H153" s="8">
        <v>500</v>
      </c>
      <c r="I153" s="8" t="s">
        <v>1338</v>
      </c>
      <c r="J153" s="8">
        <v>1</v>
      </c>
      <c r="K153" s="8">
        <v>245</v>
      </c>
      <c r="L153" s="8">
        <v>246</v>
      </c>
      <c r="M153" s="8">
        <v>246</v>
      </c>
      <c r="N153" s="8">
        <v>426</v>
      </c>
      <c r="O153" s="8">
        <v>424</v>
      </c>
      <c r="P153" s="8">
        <v>430</v>
      </c>
      <c r="Q153" s="9" t="s">
        <v>70</v>
      </c>
      <c r="R153" s="16"/>
      <c r="S153" s="10">
        <v>8</v>
      </c>
      <c r="T153" s="10">
        <v>0</v>
      </c>
      <c r="U153" s="10">
        <v>0</v>
      </c>
      <c r="V153" s="11">
        <v>0</v>
      </c>
      <c r="W153" s="12"/>
      <c r="X153" s="17"/>
      <c r="Y153" s="13"/>
      <c r="Z153" s="13"/>
      <c r="AA153" s="13"/>
      <c r="AB153" s="14"/>
      <c r="AC153" s="9"/>
      <c r="AD153" s="16"/>
      <c r="AE153" s="10"/>
      <c r="AF153" s="10"/>
      <c r="AG153" s="10"/>
      <c r="AH153" s="11"/>
      <c r="AI153" s="12"/>
      <c r="AJ153" s="17"/>
      <c r="AK153" s="13"/>
      <c r="AL153" s="13"/>
      <c r="AM153" s="13"/>
      <c r="AN153" s="14"/>
      <c r="AO153" s="9"/>
      <c r="AP153" s="16"/>
      <c r="AQ153" s="10"/>
      <c r="AR153" s="10"/>
      <c r="AS153" s="10"/>
      <c r="AT153" s="11"/>
      <c r="AU153" s="12"/>
      <c r="AV153" s="17"/>
      <c r="AW153" s="13"/>
      <c r="AX153" s="13"/>
      <c r="AY153" s="13"/>
      <c r="AZ153" s="14"/>
      <c r="BA153" s="9"/>
      <c r="BB153" s="16"/>
      <c r="BC153" s="10"/>
      <c r="BD153" s="10"/>
      <c r="BE153" s="10"/>
      <c r="BF153" s="11"/>
      <c r="BG153" s="12"/>
      <c r="BH153" s="17"/>
      <c r="BI153" s="13"/>
      <c r="BJ153" s="13"/>
      <c r="BK153" s="13"/>
      <c r="BL153" s="14"/>
      <c r="BM153" s="8">
        <f t="shared" si="36"/>
        <v>8</v>
      </c>
      <c r="BN153" s="8">
        <f t="shared" si="37"/>
        <v>0</v>
      </c>
      <c r="BO153" s="8">
        <f t="shared" si="38"/>
        <v>0</v>
      </c>
      <c r="BP153" s="8">
        <f t="shared" si="39"/>
        <v>0</v>
      </c>
      <c r="BQ153" s="8">
        <f t="shared" si="40"/>
        <v>8</v>
      </c>
      <c r="BR153" s="8">
        <f t="shared" si="41"/>
        <v>0</v>
      </c>
      <c r="BS153" s="15">
        <f t="shared" si="42"/>
        <v>1.1805658304389466</v>
      </c>
      <c r="BT153" s="15" t="str">
        <f t="shared" si="43"/>
        <v>OK - No Upgrade</v>
      </c>
      <c r="BU153" s="15" t="str">
        <f t="shared" si="44"/>
        <v>Need to Balance</v>
      </c>
    </row>
    <row r="154" spans="1:73" ht="15.75" customHeight="1" x14ac:dyDescent="0.25">
      <c r="A154" s="8" t="s">
        <v>1021</v>
      </c>
      <c r="B154" s="8" t="s">
        <v>1021</v>
      </c>
      <c r="C154" s="8" t="s">
        <v>40</v>
      </c>
      <c r="D154" s="8"/>
      <c r="E154" s="8" t="s">
        <v>1339</v>
      </c>
      <c r="F154" s="8" t="s">
        <v>43</v>
      </c>
      <c r="G154" s="8"/>
      <c r="H154" s="8">
        <v>100</v>
      </c>
      <c r="I154" s="8" t="s">
        <v>1340</v>
      </c>
      <c r="J154" s="8">
        <v>1</v>
      </c>
      <c r="K154" s="8">
        <v>245</v>
      </c>
      <c r="L154" s="8">
        <v>244</v>
      </c>
      <c r="M154" s="8">
        <v>244</v>
      </c>
      <c r="N154" s="8">
        <v>424</v>
      </c>
      <c r="O154" s="8">
        <v>426</v>
      </c>
      <c r="P154" s="8">
        <v>425</v>
      </c>
      <c r="Q154" s="9" t="s">
        <v>46</v>
      </c>
      <c r="R154" s="16"/>
      <c r="S154" s="10">
        <v>10</v>
      </c>
      <c r="T154" s="10">
        <v>13</v>
      </c>
      <c r="U154" s="10">
        <v>11</v>
      </c>
      <c r="V154" s="11">
        <v>5</v>
      </c>
      <c r="W154" s="12"/>
      <c r="X154" s="17"/>
      <c r="Y154" s="13"/>
      <c r="Z154" s="13"/>
      <c r="AA154" s="13"/>
      <c r="AB154" s="14"/>
      <c r="AC154" s="9"/>
      <c r="AD154" s="16"/>
      <c r="AE154" s="10"/>
      <c r="AF154" s="10"/>
      <c r="AG154" s="10"/>
      <c r="AH154" s="11"/>
      <c r="AI154" s="12"/>
      <c r="AJ154" s="17"/>
      <c r="AK154" s="13"/>
      <c r="AL154" s="13"/>
      <c r="AM154" s="13"/>
      <c r="AN154" s="14"/>
      <c r="AO154" s="9"/>
      <c r="AP154" s="16"/>
      <c r="AQ154" s="10"/>
      <c r="AR154" s="10"/>
      <c r="AS154" s="10"/>
      <c r="AT154" s="11"/>
      <c r="AU154" s="12"/>
      <c r="AV154" s="17"/>
      <c r="AW154" s="13"/>
      <c r="AX154" s="13"/>
      <c r="AY154" s="13"/>
      <c r="AZ154" s="14"/>
      <c r="BA154" s="9"/>
      <c r="BB154" s="16"/>
      <c r="BC154" s="10"/>
      <c r="BD154" s="10"/>
      <c r="BE154" s="10"/>
      <c r="BF154" s="11"/>
      <c r="BG154" s="12"/>
      <c r="BH154" s="17"/>
      <c r="BI154" s="13"/>
      <c r="BJ154" s="13"/>
      <c r="BK154" s="13"/>
      <c r="BL154" s="14"/>
      <c r="BM154" s="8">
        <f t="shared" si="36"/>
        <v>10</v>
      </c>
      <c r="BN154" s="8">
        <f t="shared" si="37"/>
        <v>13</v>
      </c>
      <c r="BO154" s="8">
        <f t="shared" si="38"/>
        <v>11</v>
      </c>
      <c r="BP154" s="8">
        <f t="shared" si="39"/>
        <v>5</v>
      </c>
      <c r="BQ154" s="8">
        <f t="shared" si="40"/>
        <v>13</v>
      </c>
      <c r="BR154" s="8">
        <f t="shared" si="41"/>
        <v>10</v>
      </c>
      <c r="BS154" s="15">
        <f t="shared" si="42"/>
        <v>9.5470640513196514</v>
      </c>
      <c r="BT154" s="15" t="str">
        <f t="shared" si="43"/>
        <v>OK - No Upgrade</v>
      </c>
      <c r="BU154" s="15" t="str">
        <f t="shared" si="44"/>
        <v>Need to Balance</v>
      </c>
    </row>
    <row r="155" spans="1:73" ht="15.75" customHeight="1" x14ac:dyDescent="0.25">
      <c r="A155" s="8" t="s">
        <v>1021</v>
      </c>
      <c r="B155" s="8" t="s">
        <v>1021</v>
      </c>
      <c r="C155" s="8" t="s">
        <v>40</v>
      </c>
      <c r="D155" s="8"/>
      <c r="E155" s="8" t="s">
        <v>1341</v>
      </c>
      <c r="F155" s="8" t="s">
        <v>43</v>
      </c>
      <c r="G155" s="8"/>
      <c r="H155" s="8">
        <v>100</v>
      </c>
      <c r="I155" s="8" t="s">
        <v>1342</v>
      </c>
      <c r="J155" s="8">
        <v>1</v>
      </c>
      <c r="K155" s="8">
        <v>244</v>
      </c>
      <c r="L155" s="8">
        <v>246</v>
      </c>
      <c r="M155" s="8">
        <v>245</v>
      </c>
      <c r="N155" s="8">
        <v>426</v>
      </c>
      <c r="O155" s="8">
        <v>427</v>
      </c>
      <c r="P155" s="8">
        <v>426</v>
      </c>
      <c r="Q155" s="9" t="s">
        <v>46</v>
      </c>
      <c r="R155" s="16"/>
      <c r="S155" s="10">
        <v>18</v>
      </c>
      <c r="T155" s="10">
        <v>0</v>
      </c>
      <c r="U155" s="10">
        <v>1</v>
      </c>
      <c r="V155" s="11">
        <v>14</v>
      </c>
      <c r="W155" s="12"/>
      <c r="X155" s="17"/>
      <c r="Y155" s="13"/>
      <c r="Z155" s="13"/>
      <c r="AA155" s="13"/>
      <c r="AB155" s="14"/>
      <c r="AC155" s="9"/>
      <c r="AD155" s="16"/>
      <c r="AE155" s="10"/>
      <c r="AF155" s="10"/>
      <c r="AG155" s="10"/>
      <c r="AH155" s="11"/>
      <c r="AI155" s="12"/>
      <c r="AJ155" s="17"/>
      <c r="AK155" s="13"/>
      <c r="AL155" s="13"/>
      <c r="AM155" s="13"/>
      <c r="AN155" s="14"/>
      <c r="AO155" s="9"/>
      <c r="AP155" s="16"/>
      <c r="AQ155" s="10"/>
      <c r="AR155" s="10"/>
      <c r="AS155" s="10"/>
      <c r="AT155" s="11"/>
      <c r="AU155" s="12"/>
      <c r="AV155" s="17"/>
      <c r="AW155" s="13"/>
      <c r="AX155" s="13"/>
      <c r="AY155" s="13"/>
      <c r="AZ155" s="14"/>
      <c r="BA155" s="9"/>
      <c r="BB155" s="16"/>
      <c r="BC155" s="10"/>
      <c r="BD155" s="10"/>
      <c r="BE155" s="10"/>
      <c r="BF155" s="11"/>
      <c r="BG155" s="12"/>
      <c r="BH155" s="17"/>
      <c r="BI155" s="13"/>
      <c r="BJ155" s="13"/>
      <c r="BK155" s="13"/>
      <c r="BL155" s="14"/>
      <c r="BM155" s="8">
        <f t="shared" si="36"/>
        <v>18</v>
      </c>
      <c r="BN155" s="8">
        <f t="shared" si="37"/>
        <v>0</v>
      </c>
      <c r="BO155" s="8">
        <f t="shared" si="38"/>
        <v>1</v>
      </c>
      <c r="BP155" s="8">
        <f t="shared" si="39"/>
        <v>14</v>
      </c>
      <c r="BQ155" s="8">
        <f t="shared" si="40"/>
        <v>18</v>
      </c>
      <c r="BR155" s="8">
        <f t="shared" si="41"/>
        <v>0</v>
      </c>
      <c r="BS155" s="15">
        <f t="shared" si="42"/>
        <v>13.281365592438149</v>
      </c>
      <c r="BT155" s="15" t="str">
        <f t="shared" si="43"/>
        <v>OK - No Upgrade</v>
      </c>
      <c r="BU155" s="15" t="str">
        <f t="shared" si="44"/>
        <v>Need to Balance</v>
      </c>
    </row>
    <row r="156" spans="1:73" ht="15.75" customHeight="1" x14ac:dyDescent="0.25">
      <c r="A156" s="8" t="s">
        <v>1021</v>
      </c>
      <c r="B156" s="8" t="s">
        <v>1021</v>
      </c>
      <c r="C156" s="8" t="s">
        <v>40</v>
      </c>
      <c r="D156" s="8"/>
      <c r="E156" s="8" t="s">
        <v>1016</v>
      </c>
      <c r="F156" s="8" t="s">
        <v>43</v>
      </c>
      <c r="G156" s="8"/>
      <c r="H156" s="8">
        <v>100</v>
      </c>
      <c r="I156" s="8" t="s">
        <v>1343</v>
      </c>
      <c r="J156" s="8">
        <v>1</v>
      </c>
      <c r="K156" s="8">
        <v>234</v>
      </c>
      <c r="L156" s="8">
        <v>235</v>
      </c>
      <c r="M156" s="8">
        <v>233</v>
      </c>
      <c r="N156" s="8">
        <v>408</v>
      </c>
      <c r="O156" s="8">
        <v>405</v>
      </c>
      <c r="P156" s="8">
        <v>406</v>
      </c>
      <c r="Q156" s="9" t="s">
        <v>46</v>
      </c>
      <c r="R156" s="16"/>
      <c r="S156" s="10">
        <v>1</v>
      </c>
      <c r="T156" s="10">
        <v>0</v>
      </c>
      <c r="U156" s="10">
        <v>25</v>
      </c>
      <c r="V156" s="11">
        <v>19</v>
      </c>
      <c r="W156" s="12"/>
      <c r="X156" s="17"/>
      <c r="Y156" s="13"/>
      <c r="Z156" s="13"/>
      <c r="AA156" s="13"/>
      <c r="AB156" s="14"/>
      <c r="AC156" s="9"/>
      <c r="AD156" s="16"/>
      <c r="AE156" s="10"/>
      <c r="AF156" s="10"/>
      <c r="AG156" s="10"/>
      <c r="AH156" s="11"/>
      <c r="AI156" s="12"/>
      <c r="AJ156" s="17"/>
      <c r="AK156" s="13"/>
      <c r="AL156" s="13"/>
      <c r="AM156" s="13"/>
      <c r="AN156" s="14"/>
      <c r="AO156" s="9"/>
      <c r="AP156" s="16"/>
      <c r="AQ156" s="10"/>
      <c r="AR156" s="10"/>
      <c r="AS156" s="10"/>
      <c r="AT156" s="11"/>
      <c r="AU156" s="12"/>
      <c r="AV156" s="17"/>
      <c r="AW156" s="13"/>
      <c r="AX156" s="13"/>
      <c r="AY156" s="13"/>
      <c r="AZ156" s="14"/>
      <c r="BA156" s="9"/>
      <c r="BB156" s="16"/>
      <c r="BC156" s="10"/>
      <c r="BD156" s="10"/>
      <c r="BE156" s="10"/>
      <c r="BF156" s="11"/>
      <c r="BG156" s="12"/>
      <c r="BH156" s="17"/>
      <c r="BI156" s="13"/>
      <c r="BJ156" s="13"/>
      <c r="BK156" s="13"/>
      <c r="BL156" s="14"/>
      <c r="BM156" s="8">
        <f t="shared" si="36"/>
        <v>1</v>
      </c>
      <c r="BN156" s="8">
        <f t="shared" si="37"/>
        <v>0</v>
      </c>
      <c r="BO156" s="8">
        <f t="shared" si="38"/>
        <v>25</v>
      </c>
      <c r="BP156" s="8">
        <f t="shared" si="39"/>
        <v>19</v>
      </c>
      <c r="BQ156" s="8">
        <f t="shared" si="40"/>
        <v>25</v>
      </c>
      <c r="BR156" s="8">
        <f t="shared" si="41"/>
        <v>0</v>
      </c>
      <c r="BS156" s="15">
        <f t="shared" si="42"/>
        <v>17.666918237202548</v>
      </c>
      <c r="BT156" s="15" t="str">
        <f t="shared" si="43"/>
        <v>OK - No Upgrade</v>
      </c>
      <c r="BU156" s="15" t="str">
        <f t="shared" si="44"/>
        <v>Need to Balance</v>
      </c>
    </row>
    <row r="157" spans="1:73" ht="15.75" customHeight="1" x14ac:dyDescent="0.25">
      <c r="A157" s="8" t="s">
        <v>1021</v>
      </c>
      <c r="B157" s="8" t="s">
        <v>1021</v>
      </c>
      <c r="C157" s="8" t="s">
        <v>40</v>
      </c>
      <c r="D157" s="8"/>
      <c r="E157" s="8" t="s">
        <v>1344</v>
      </c>
      <c r="F157" s="8" t="s">
        <v>43</v>
      </c>
      <c r="G157" s="8"/>
      <c r="H157" s="8">
        <v>100</v>
      </c>
      <c r="I157" s="8" t="s">
        <v>1345</v>
      </c>
      <c r="J157" s="8">
        <v>1</v>
      </c>
      <c r="K157" s="8">
        <v>245</v>
      </c>
      <c r="L157" s="8">
        <v>245</v>
      </c>
      <c r="M157" s="8">
        <v>243</v>
      </c>
      <c r="N157" s="8">
        <v>428</v>
      </c>
      <c r="O157" s="8">
        <v>422</v>
      </c>
      <c r="P157" s="8">
        <v>424</v>
      </c>
      <c r="Q157" s="9" t="s">
        <v>46</v>
      </c>
      <c r="R157" s="16"/>
      <c r="S157" s="10">
        <v>4</v>
      </c>
      <c r="T157" s="10">
        <v>23</v>
      </c>
      <c r="U157" s="10">
        <v>57</v>
      </c>
      <c r="V157" s="11">
        <v>19</v>
      </c>
      <c r="W157" s="12" t="s">
        <v>46</v>
      </c>
      <c r="X157" s="17"/>
      <c r="Y157" s="13">
        <v>16</v>
      </c>
      <c r="Z157" s="13">
        <v>0</v>
      </c>
      <c r="AA157" s="13">
        <v>10</v>
      </c>
      <c r="AB157" s="14">
        <v>8</v>
      </c>
      <c r="AC157" s="9"/>
      <c r="AD157" s="16"/>
      <c r="AE157" s="10"/>
      <c r="AF157" s="10"/>
      <c r="AG157" s="10"/>
      <c r="AH157" s="11"/>
      <c r="AI157" s="12"/>
      <c r="AJ157" s="17"/>
      <c r="AK157" s="13"/>
      <c r="AL157" s="13"/>
      <c r="AM157" s="13"/>
      <c r="AN157" s="14"/>
      <c r="AO157" s="9"/>
      <c r="AP157" s="16"/>
      <c r="AQ157" s="10"/>
      <c r="AR157" s="10"/>
      <c r="AS157" s="10"/>
      <c r="AT157" s="11"/>
      <c r="AU157" s="12"/>
      <c r="AV157" s="17"/>
      <c r="AW157" s="13"/>
      <c r="AX157" s="13"/>
      <c r="AY157" s="13"/>
      <c r="AZ157" s="14"/>
      <c r="BA157" s="9"/>
      <c r="BB157" s="16"/>
      <c r="BC157" s="10"/>
      <c r="BD157" s="10"/>
      <c r="BE157" s="10"/>
      <c r="BF157" s="11"/>
      <c r="BG157" s="12"/>
      <c r="BH157" s="17"/>
      <c r="BI157" s="13"/>
      <c r="BJ157" s="13"/>
      <c r="BK157" s="13"/>
      <c r="BL157" s="14"/>
      <c r="BM157" s="8">
        <f t="shared" si="36"/>
        <v>20</v>
      </c>
      <c r="BN157" s="8">
        <f t="shared" si="37"/>
        <v>23</v>
      </c>
      <c r="BO157" s="8">
        <f t="shared" si="38"/>
        <v>67</v>
      </c>
      <c r="BP157" s="8">
        <f t="shared" si="39"/>
        <v>27</v>
      </c>
      <c r="BQ157" s="8">
        <f t="shared" si="40"/>
        <v>67</v>
      </c>
      <c r="BR157" s="8">
        <f t="shared" si="41"/>
        <v>20</v>
      </c>
      <c r="BS157" s="15">
        <f t="shared" si="42"/>
        <v>49.668288957845121</v>
      </c>
      <c r="BT157" s="15" t="str">
        <f t="shared" si="43"/>
        <v>OK - No Upgrade</v>
      </c>
      <c r="BU157" s="15" t="str">
        <f t="shared" si="44"/>
        <v>Need to Balance</v>
      </c>
    </row>
    <row r="158" spans="1:73" ht="15.75" customHeight="1" x14ac:dyDescent="0.25">
      <c r="A158" s="8" t="s">
        <v>1021</v>
      </c>
      <c r="B158" s="8" t="s">
        <v>1021</v>
      </c>
      <c r="C158" s="8" t="s">
        <v>40</v>
      </c>
      <c r="D158" s="8"/>
      <c r="E158" s="8" t="s">
        <v>1346</v>
      </c>
      <c r="F158" s="8" t="s">
        <v>43</v>
      </c>
      <c r="G158" s="8"/>
      <c r="H158" s="8">
        <v>100</v>
      </c>
      <c r="I158" s="8" t="s">
        <v>1347</v>
      </c>
      <c r="J158" s="8">
        <v>1</v>
      </c>
      <c r="K158" s="8">
        <v>247</v>
      </c>
      <c r="L158" s="8">
        <v>246</v>
      </c>
      <c r="M158" s="8">
        <v>244</v>
      </c>
      <c r="N158" s="8">
        <v>430</v>
      </c>
      <c r="O158" s="8">
        <v>427</v>
      </c>
      <c r="P158" s="8">
        <v>426</v>
      </c>
      <c r="Q158" s="9" t="s">
        <v>70</v>
      </c>
      <c r="R158" s="16"/>
      <c r="S158" s="10">
        <v>0</v>
      </c>
      <c r="T158" s="10">
        <v>0</v>
      </c>
      <c r="U158" s="10">
        <v>0</v>
      </c>
      <c r="V158" s="11">
        <v>0</v>
      </c>
      <c r="W158" s="12"/>
      <c r="X158" s="17"/>
      <c r="Y158" s="13">
        <v>1</v>
      </c>
      <c r="Z158" s="13">
        <v>0</v>
      </c>
      <c r="AA158" s="13">
        <v>12</v>
      </c>
      <c r="AB158" s="14">
        <v>8</v>
      </c>
      <c r="AC158" s="9"/>
      <c r="AD158" s="16"/>
      <c r="AE158" s="10"/>
      <c r="AF158" s="10"/>
      <c r="AG158" s="10"/>
      <c r="AH158" s="11"/>
      <c r="AI158" s="12"/>
      <c r="AJ158" s="17"/>
      <c r="AK158" s="13"/>
      <c r="AL158" s="13"/>
      <c r="AM158" s="13"/>
      <c r="AN158" s="14"/>
      <c r="AO158" s="9"/>
      <c r="AP158" s="16"/>
      <c r="AQ158" s="10"/>
      <c r="AR158" s="10"/>
      <c r="AS158" s="10"/>
      <c r="AT158" s="11"/>
      <c r="AU158" s="12"/>
      <c r="AV158" s="17"/>
      <c r="AW158" s="13"/>
      <c r="AX158" s="13"/>
      <c r="AY158" s="13"/>
      <c r="AZ158" s="14"/>
      <c r="BA158" s="9"/>
      <c r="BB158" s="16"/>
      <c r="BC158" s="10"/>
      <c r="BD158" s="10"/>
      <c r="BE158" s="10"/>
      <c r="BF158" s="11"/>
      <c r="BG158" s="12"/>
      <c r="BH158" s="17"/>
      <c r="BI158" s="13"/>
      <c r="BJ158" s="13"/>
      <c r="BK158" s="13"/>
      <c r="BL158" s="14"/>
      <c r="BM158" s="8">
        <f t="shared" si="36"/>
        <v>1</v>
      </c>
      <c r="BN158" s="8">
        <f t="shared" si="37"/>
        <v>0</v>
      </c>
      <c r="BO158" s="8">
        <f t="shared" si="38"/>
        <v>12</v>
      </c>
      <c r="BP158" s="8">
        <f t="shared" si="39"/>
        <v>8</v>
      </c>
      <c r="BQ158" s="8">
        <f t="shared" si="40"/>
        <v>12</v>
      </c>
      <c r="BR158" s="8">
        <f t="shared" si="41"/>
        <v>0</v>
      </c>
      <c r="BS158" s="15">
        <f t="shared" si="42"/>
        <v>8.9373821670554054</v>
      </c>
      <c r="BT158" s="15" t="str">
        <f t="shared" si="43"/>
        <v>OK - No Upgrade</v>
      </c>
      <c r="BU158" s="15" t="str">
        <f t="shared" si="44"/>
        <v>Need to Balance</v>
      </c>
    </row>
    <row r="159" spans="1:73" ht="15.75" customHeight="1" x14ac:dyDescent="0.25">
      <c r="A159" s="8" t="s">
        <v>1021</v>
      </c>
      <c r="B159" s="8" t="s">
        <v>1021</v>
      </c>
      <c r="C159" s="8" t="s">
        <v>124</v>
      </c>
      <c r="D159" s="8"/>
      <c r="E159" s="8" t="s">
        <v>1346</v>
      </c>
      <c r="F159" s="8" t="s">
        <v>56</v>
      </c>
      <c r="G159" s="8"/>
      <c r="H159" s="8">
        <v>500</v>
      </c>
      <c r="I159" s="8" t="s">
        <v>1348</v>
      </c>
      <c r="J159" s="8">
        <v>1</v>
      </c>
      <c r="K159" s="8">
        <v>234</v>
      </c>
      <c r="L159" s="8">
        <v>235</v>
      </c>
      <c r="M159" s="8">
        <v>235</v>
      </c>
      <c r="N159" s="8">
        <v>406</v>
      </c>
      <c r="O159" s="8">
        <v>405</v>
      </c>
      <c r="P159" s="8">
        <v>407</v>
      </c>
      <c r="Q159" s="9" t="s">
        <v>46</v>
      </c>
      <c r="R159" s="16"/>
      <c r="S159" s="10">
        <v>93</v>
      </c>
      <c r="T159" s="10">
        <v>35</v>
      </c>
      <c r="U159" s="10">
        <v>29</v>
      </c>
      <c r="V159" s="11">
        <v>55</v>
      </c>
      <c r="W159" s="12"/>
      <c r="X159" s="17"/>
      <c r="Y159" s="13"/>
      <c r="Z159" s="13"/>
      <c r="AA159" s="13"/>
      <c r="AB159" s="14"/>
      <c r="AC159" s="9"/>
      <c r="AD159" s="16"/>
      <c r="AE159" s="10"/>
      <c r="AF159" s="10"/>
      <c r="AG159" s="10"/>
      <c r="AH159" s="11"/>
      <c r="AI159" s="12"/>
      <c r="AJ159" s="17"/>
      <c r="AK159" s="13"/>
      <c r="AL159" s="13"/>
      <c r="AM159" s="13"/>
      <c r="AN159" s="14"/>
      <c r="AO159" s="9"/>
      <c r="AP159" s="16"/>
      <c r="AQ159" s="10"/>
      <c r="AR159" s="10"/>
      <c r="AS159" s="10"/>
      <c r="AT159" s="11"/>
      <c r="AU159" s="12"/>
      <c r="AV159" s="17"/>
      <c r="AW159" s="13"/>
      <c r="AX159" s="13"/>
      <c r="AY159" s="13"/>
      <c r="AZ159" s="14"/>
      <c r="BA159" s="9"/>
      <c r="BB159" s="16"/>
      <c r="BC159" s="10"/>
      <c r="BD159" s="10"/>
      <c r="BE159" s="10"/>
      <c r="BF159" s="11"/>
      <c r="BG159" s="12"/>
      <c r="BH159" s="17"/>
      <c r="BI159" s="13"/>
      <c r="BJ159" s="13"/>
      <c r="BK159" s="13"/>
      <c r="BL159" s="14"/>
      <c r="BM159" s="8">
        <f t="shared" si="36"/>
        <v>93</v>
      </c>
      <c r="BN159" s="8">
        <f t="shared" si="37"/>
        <v>35</v>
      </c>
      <c r="BO159" s="8">
        <f t="shared" si="38"/>
        <v>29</v>
      </c>
      <c r="BP159" s="8">
        <f t="shared" si="39"/>
        <v>55</v>
      </c>
      <c r="BQ159" s="8">
        <f t="shared" si="40"/>
        <v>93</v>
      </c>
      <c r="BR159" s="8">
        <f t="shared" si="41"/>
        <v>29</v>
      </c>
      <c r="BS159" s="15">
        <f t="shared" si="42"/>
        <v>13.079754878437132</v>
      </c>
      <c r="BT159" s="15" t="str">
        <f t="shared" si="43"/>
        <v>OK - No Upgrade</v>
      </c>
      <c r="BU159" s="15" t="str">
        <f t="shared" si="44"/>
        <v>Need to Balance</v>
      </c>
    </row>
    <row r="160" spans="1:73" ht="15.75" customHeight="1" x14ac:dyDescent="0.25">
      <c r="A160" s="8" t="s">
        <v>1021</v>
      </c>
      <c r="B160" s="8" t="s">
        <v>1021</v>
      </c>
      <c r="C160" s="8" t="s">
        <v>124</v>
      </c>
      <c r="D160" s="8"/>
      <c r="E160" s="8" t="s">
        <v>1344</v>
      </c>
      <c r="F160" s="8" t="s">
        <v>56</v>
      </c>
      <c r="G160" s="8"/>
      <c r="H160" s="8">
        <v>500</v>
      </c>
      <c r="I160" s="8" t="s">
        <v>1349</v>
      </c>
      <c r="J160" s="8">
        <v>1</v>
      </c>
      <c r="K160" s="8">
        <v>245</v>
      </c>
      <c r="L160" s="8">
        <v>246</v>
      </c>
      <c r="M160" s="8">
        <v>246</v>
      </c>
      <c r="N160" s="8">
        <v>426</v>
      </c>
      <c r="O160" s="8">
        <v>426</v>
      </c>
      <c r="P160" s="8">
        <v>428</v>
      </c>
      <c r="Q160" s="9" t="s">
        <v>47</v>
      </c>
      <c r="R160" s="16"/>
      <c r="S160" s="10">
        <v>101</v>
      </c>
      <c r="T160" s="10">
        <v>62</v>
      </c>
      <c r="U160" s="10">
        <v>33</v>
      </c>
      <c r="V160" s="11">
        <v>54</v>
      </c>
      <c r="W160" s="12"/>
      <c r="X160" s="17"/>
      <c r="Y160" s="13"/>
      <c r="Z160" s="13"/>
      <c r="AA160" s="13"/>
      <c r="AB160" s="14"/>
      <c r="AC160" s="9"/>
      <c r="AD160" s="16"/>
      <c r="AE160" s="10"/>
      <c r="AF160" s="10"/>
      <c r="AG160" s="10"/>
      <c r="AH160" s="11"/>
      <c r="AI160" s="12"/>
      <c r="AJ160" s="17"/>
      <c r="AK160" s="13"/>
      <c r="AL160" s="13"/>
      <c r="AM160" s="13"/>
      <c r="AN160" s="14"/>
      <c r="AO160" s="9"/>
      <c r="AP160" s="16"/>
      <c r="AQ160" s="10"/>
      <c r="AR160" s="10"/>
      <c r="AS160" s="10"/>
      <c r="AT160" s="11"/>
      <c r="AU160" s="12"/>
      <c r="AV160" s="17"/>
      <c r="AW160" s="13"/>
      <c r="AX160" s="13"/>
      <c r="AY160" s="13"/>
      <c r="AZ160" s="14"/>
      <c r="BA160" s="9"/>
      <c r="BB160" s="16"/>
      <c r="BC160" s="10"/>
      <c r="BD160" s="10"/>
      <c r="BE160" s="10"/>
      <c r="BF160" s="11"/>
      <c r="BG160" s="12"/>
      <c r="BH160" s="17"/>
      <c r="BI160" s="13"/>
      <c r="BJ160" s="13"/>
      <c r="BK160" s="13"/>
      <c r="BL160" s="14"/>
      <c r="BM160" s="8">
        <f t="shared" si="36"/>
        <v>101</v>
      </c>
      <c r="BN160" s="8">
        <f t="shared" si="37"/>
        <v>62</v>
      </c>
      <c r="BO160" s="8">
        <f t="shared" si="38"/>
        <v>33</v>
      </c>
      <c r="BP160" s="8">
        <f t="shared" si="39"/>
        <v>54</v>
      </c>
      <c r="BQ160" s="8">
        <f t="shared" si="40"/>
        <v>101</v>
      </c>
      <c r="BR160" s="8">
        <f t="shared" si="41"/>
        <v>33</v>
      </c>
      <c r="BS160" s="15">
        <f t="shared" si="42"/>
        <v>14.904643609291702</v>
      </c>
      <c r="BT160" s="15" t="str">
        <f t="shared" si="43"/>
        <v>OK - No Upgrade</v>
      </c>
      <c r="BU160" s="15" t="str">
        <f t="shared" si="44"/>
        <v>Need to Balance</v>
      </c>
    </row>
    <row r="161" spans="1:73" ht="15.75" customHeight="1" x14ac:dyDescent="0.25">
      <c r="A161" s="8" t="s">
        <v>1021</v>
      </c>
      <c r="B161" s="8" t="s">
        <v>1021</v>
      </c>
      <c r="C161" s="8" t="s">
        <v>124</v>
      </c>
      <c r="D161" s="8"/>
      <c r="E161" s="8" t="s">
        <v>1350</v>
      </c>
      <c r="F161" s="8" t="s">
        <v>43</v>
      </c>
      <c r="G161" s="8"/>
      <c r="H161" s="8">
        <v>100</v>
      </c>
      <c r="I161" s="8" t="s">
        <v>1351</v>
      </c>
      <c r="J161" s="8">
        <v>1</v>
      </c>
      <c r="K161" s="8">
        <v>230</v>
      </c>
      <c r="L161" s="8">
        <v>231</v>
      </c>
      <c r="M161" s="8">
        <v>230</v>
      </c>
      <c r="N161" s="8">
        <v>400</v>
      </c>
      <c r="O161" s="8">
        <v>400</v>
      </c>
      <c r="P161" s="8">
        <v>400</v>
      </c>
      <c r="Q161" s="9" t="s">
        <v>46</v>
      </c>
      <c r="R161" s="16"/>
      <c r="S161" s="10">
        <v>7</v>
      </c>
      <c r="T161" s="10">
        <v>6</v>
      </c>
      <c r="U161" s="10">
        <v>5</v>
      </c>
      <c r="V161" s="11">
        <v>1</v>
      </c>
      <c r="W161" s="12"/>
      <c r="X161" s="17"/>
      <c r="Y161" s="13"/>
      <c r="Z161" s="13"/>
      <c r="AA161" s="13"/>
      <c r="AB161" s="14"/>
      <c r="AC161" s="9"/>
      <c r="AD161" s="16"/>
      <c r="AE161" s="10"/>
      <c r="AF161" s="10"/>
      <c r="AG161" s="10"/>
      <c r="AH161" s="11"/>
      <c r="AI161" s="12"/>
      <c r="AJ161" s="17"/>
      <c r="AK161" s="13"/>
      <c r="AL161" s="13"/>
      <c r="AM161" s="13"/>
      <c r="AN161" s="14"/>
      <c r="AO161" s="9"/>
      <c r="AP161" s="16"/>
      <c r="AQ161" s="10"/>
      <c r="AR161" s="10"/>
      <c r="AS161" s="10"/>
      <c r="AT161" s="11"/>
      <c r="AU161" s="12"/>
      <c r="AV161" s="17"/>
      <c r="AW161" s="13"/>
      <c r="AX161" s="13"/>
      <c r="AY161" s="13"/>
      <c r="AZ161" s="14"/>
      <c r="BA161" s="9"/>
      <c r="BB161" s="16"/>
      <c r="BC161" s="10"/>
      <c r="BD161" s="10"/>
      <c r="BE161" s="10"/>
      <c r="BF161" s="11"/>
      <c r="BG161" s="12"/>
      <c r="BH161" s="17"/>
      <c r="BI161" s="13"/>
      <c r="BJ161" s="13"/>
      <c r="BK161" s="13"/>
      <c r="BL161" s="14"/>
      <c r="BM161" s="8">
        <f t="shared" si="36"/>
        <v>7</v>
      </c>
      <c r="BN161" s="8">
        <f t="shared" si="37"/>
        <v>6</v>
      </c>
      <c r="BO161" s="8">
        <f t="shared" si="38"/>
        <v>5</v>
      </c>
      <c r="BP161" s="8">
        <f t="shared" si="39"/>
        <v>1</v>
      </c>
      <c r="BQ161" s="8">
        <f t="shared" si="40"/>
        <v>7</v>
      </c>
      <c r="BR161" s="8">
        <f t="shared" si="41"/>
        <v>5</v>
      </c>
      <c r="BS161" s="15">
        <f t="shared" si="42"/>
        <v>4.8497422611928558</v>
      </c>
      <c r="BT161" s="15" t="str">
        <f t="shared" si="43"/>
        <v>OK - No Upgrade</v>
      </c>
      <c r="BU161" s="15" t="str">
        <f t="shared" si="44"/>
        <v>Need to Balance</v>
      </c>
    </row>
    <row r="162" spans="1:73" ht="15.75" customHeight="1" x14ac:dyDescent="0.25">
      <c r="A162" s="8" t="s">
        <v>1021</v>
      </c>
      <c r="B162" s="8" t="s">
        <v>1021</v>
      </c>
      <c r="C162" s="8" t="s">
        <v>124</v>
      </c>
      <c r="D162" s="8"/>
      <c r="E162" s="8" t="s">
        <v>1339</v>
      </c>
      <c r="F162" s="8" t="s">
        <v>56</v>
      </c>
      <c r="G162" s="8"/>
      <c r="H162" s="8">
        <v>1000</v>
      </c>
      <c r="I162" s="8" t="s">
        <v>1352</v>
      </c>
      <c r="J162" s="8">
        <v>1</v>
      </c>
      <c r="K162" s="8">
        <v>246</v>
      </c>
      <c r="L162" s="8">
        <v>246</v>
      </c>
      <c r="M162" s="8">
        <v>245</v>
      </c>
      <c r="N162" s="8">
        <v>428</v>
      </c>
      <c r="O162" s="8">
        <v>427</v>
      </c>
      <c r="P162" s="8">
        <v>428</v>
      </c>
      <c r="Q162" s="9" t="s">
        <v>70</v>
      </c>
      <c r="R162" s="16"/>
      <c r="S162" s="10">
        <v>50</v>
      </c>
      <c r="T162" s="10">
        <v>48</v>
      </c>
      <c r="U162" s="10">
        <v>49</v>
      </c>
      <c r="V162" s="11">
        <v>0</v>
      </c>
      <c r="W162" s="12"/>
      <c r="X162" s="17"/>
      <c r="Y162" s="13"/>
      <c r="Z162" s="13"/>
      <c r="AA162" s="13"/>
      <c r="AB162" s="14"/>
      <c r="AC162" s="9"/>
      <c r="AD162" s="16"/>
      <c r="AE162" s="10"/>
      <c r="AF162" s="10"/>
      <c r="AG162" s="10"/>
      <c r="AH162" s="11"/>
      <c r="AI162" s="12"/>
      <c r="AJ162" s="17"/>
      <c r="AK162" s="13"/>
      <c r="AL162" s="13"/>
      <c r="AM162" s="13"/>
      <c r="AN162" s="14"/>
      <c r="AO162" s="9"/>
      <c r="AP162" s="16"/>
      <c r="AQ162" s="10"/>
      <c r="AR162" s="10"/>
      <c r="AS162" s="10"/>
      <c r="AT162" s="11"/>
      <c r="AU162" s="12"/>
      <c r="AV162" s="17"/>
      <c r="AW162" s="13"/>
      <c r="AX162" s="13"/>
      <c r="AY162" s="13"/>
      <c r="AZ162" s="14"/>
      <c r="BA162" s="9"/>
      <c r="BB162" s="16"/>
      <c r="BC162" s="10"/>
      <c r="BD162" s="10"/>
      <c r="BE162" s="10"/>
      <c r="BF162" s="11"/>
      <c r="BG162" s="12"/>
      <c r="BH162" s="17"/>
      <c r="BI162" s="13"/>
      <c r="BJ162" s="13"/>
      <c r="BK162" s="13"/>
      <c r="BL162" s="14"/>
      <c r="BM162" s="8">
        <f t="shared" si="36"/>
        <v>50</v>
      </c>
      <c r="BN162" s="8">
        <f t="shared" si="37"/>
        <v>48</v>
      </c>
      <c r="BO162" s="8">
        <f t="shared" si="38"/>
        <v>49</v>
      </c>
      <c r="BP162" s="8">
        <f t="shared" si="39"/>
        <v>0</v>
      </c>
      <c r="BQ162" s="8">
        <f t="shared" si="40"/>
        <v>50</v>
      </c>
      <c r="BR162" s="8">
        <f t="shared" si="41"/>
        <v>48</v>
      </c>
      <c r="BS162" s="15">
        <f t="shared" si="42"/>
        <v>3.706588728197397</v>
      </c>
      <c r="BT162" s="15" t="str">
        <f t="shared" si="43"/>
        <v>OK - No Upgrade</v>
      </c>
      <c r="BU162" s="15" t="str">
        <f t="shared" si="44"/>
        <v>OK - Balanced</v>
      </c>
    </row>
    <row r="163" spans="1:73" ht="15.75" customHeight="1" x14ac:dyDescent="0.25">
      <c r="A163" s="8" t="s">
        <v>1021</v>
      </c>
      <c r="B163" s="8" t="s">
        <v>1021</v>
      </c>
      <c r="C163" s="8" t="s">
        <v>124</v>
      </c>
      <c r="D163" s="8"/>
      <c r="E163" s="8" t="s">
        <v>1353</v>
      </c>
      <c r="F163" s="8" t="s">
        <v>43</v>
      </c>
      <c r="G163" s="8"/>
      <c r="H163" s="8">
        <v>100</v>
      </c>
      <c r="I163" s="8" t="s">
        <v>1354</v>
      </c>
      <c r="J163" s="8">
        <v>1</v>
      </c>
      <c r="K163" s="8">
        <v>244</v>
      </c>
      <c r="L163" s="8">
        <v>242</v>
      </c>
      <c r="M163" s="8">
        <v>240</v>
      </c>
      <c r="N163" s="8">
        <v>423</v>
      </c>
      <c r="O163" s="8">
        <v>420</v>
      </c>
      <c r="P163" s="8">
        <v>419</v>
      </c>
      <c r="Q163" s="9" t="s">
        <v>47</v>
      </c>
      <c r="R163" s="16"/>
      <c r="S163" s="10">
        <v>25</v>
      </c>
      <c r="T163" s="10">
        <v>48</v>
      </c>
      <c r="U163" s="10">
        <v>65</v>
      </c>
      <c r="V163" s="11">
        <v>32</v>
      </c>
      <c r="W163" s="12"/>
      <c r="X163" s="17"/>
      <c r="Y163" s="13"/>
      <c r="Z163" s="13"/>
      <c r="AA163" s="13"/>
      <c r="AB163" s="14"/>
      <c r="AC163" s="9"/>
      <c r="AD163" s="16"/>
      <c r="AE163" s="10"/>
      <c r="AF163" s="10"/>
      <c r="AG163" s="10"/>
      <c r="AH163" s="11"/>
      <c r="AI163" s="12"/>
      <c r="AJ163" s="17"/>
      <c r="AK163" s="13"/>
      <c r="AL163" s="13"/>
      <c r="AM163" s="13"/>
      <c r="AN163" s="14"/>
      <c r="AO163" s="9"/>
      <c r="AP163" s="16"/>
      <c r="AQ163" s="10"/>
      <c r="AR163" s="10"/>
      <c r="AS163" s="10"/>
      <c r="AT163" s="11"/>
      <c r="AU163" s="12"/>
      <c r="AV163" s="17"/>
      <c r="AW163" s="13"/>
      <c r="AX163" s="13"/>
      <c r="AY163" s="13"/>
      <c r="AZ163" s="14"/>
      <c r="BA163" s="9"/>
      <c r="BB163" s="16"/>
      <c r="BC163" s="10"/>
      <c r="BD163" s="10"/>
      <c r="BE163" s="10"/>
      <c r="BF163" s="11"/>
      <c r="BG163" s="12"/>
      <c r="BH163" s="17"/>
      <c r="BI163" s="13"/>
      <c r="BJ163" s="13"/>
      <c r="BK163" s="13"/>
      <c r="BL163" s="14"/>
      <c r="BM163" s="8">
        <f t="shared" si="36"/>
        <v>25</v>
      </c>
      <c r="BN163" s="8">
        <f t="shared" si="37"/>
        <v>48</v>
      </c>
      <c r="BO163" s="8">
        <f t="shared" si="38"/>
        <v>65</v>
      </c>
      <c r="BP163" s="8">
        <f t="shared" si="39"/>
        <v>32</v>
      </c>
      <c r="BQ163" s="8">
        <f t="shared" si="40"/>
        <v>65</v>
      </c>
      <c r="BR163" s="8">
        <f t="shared" si="41"/>
        <v>25</v>
      </c>
      <c r="BS163" s="15">
        <f t="shared" si="42"/>
        <v>47.62273695410628</v>
      </c>
      <c r="BT163" s="15" t="str">
        <f t="shared" si="43"/>
        <v>OK - No Upgrade</v>
      </c>
      <c r="BU163" s="15" t="str">
        <f t="shared" si="44"/>
        <v>Need to Balance</v>
      </c>
    </row>
    <row r="164" spans="1:73" ht="15.75" customHeight="1" x14ac:dyDescent="0.25">
      <c r="A164" s="8" t="s">
        <v>1021</v>
      </c>
      <c r="B164" s="8" t="s">
        <v>1021</v>
      </c>
      <c r="C164" s="8" t="s">
        <v>124</v>
      </c>
      <c r="D164" s="8"/>
      <c r="E164" s="8" t="s">
        <v>408</v>
      </c>
      <c r="F164" s="8" t="s">
        <v>43</v>
      </c>
      <c r="G164" s="8"/>
      <c r="H164" s="8">
        <v>100</v>
      </c>
      <c r="I164" s="8" t="s">
        <v>1355</v>
      </c>
      <c r="J164" s="8">
        <v>1</v>
      </c>
      <c r="K164" s="8">
        <v>238</v>
      </c>
      <c r="L164" s="8">
        <v>239</v>
      </c>
      <c r="M164" s="8">
        <v>238</v>
      </c>
      <c r="N164" s="8">
        <v>414</v>
      </c>
      <c r="O164" s="8">
        <v>415</v>
      </c>
      <c r="P164" s="8">
        <v>414</v>
      </c>
      <c r="Q164" s="9" t="s">
        <v>46</v>
      </c>
      <c r="R164" s="16"/>
      <c r="S164" s="10">
        <v>30</v>
      </c>
      <c r="T164" s="10">
        <v>14</v>
      </c>
      <c r="U164" s="10">
        <v>8</v>
      </c>
      <c r="V164" s="11">
        <v>18</v>
      </c>
      <c r="W164" s="12"/>
      <c r="X164" s="17"/>
      <c r="Y164" s="13"/>
      <c r="Z164" s="13"/>
      <c r="AA164" s="13"/>
      <c r="AB164" s="14"/>
      <c r="AC164" s="9"/>
      <c r="AD164" s="16"/>
      <c r="AE164" s="10"/>
      <c r="AF164" s="10"/>
      <c r="AG164" s="10"/>
      <c r="AH164" s="11"/>
      <c r="AI164" s="12"/>
      <c r="AJ164" s="17"/>
      <c r="AK164" s="13"/>
      <c r="AL164" s="13"/>
      <c r="AM164" s="13"/>
      <c r="AN164" s="14"/>
      <c r="AO164" s="9"/>
      <c r="AP164" s="16"/>
      <c r="AQ164" s="10"/>
      <c r="AR164" s="10"/>
      <c r="AS164" s="10"/>
      <c r="AT164" s="11"/>
      <c r="AU164" s="12"/>
      <c r="AV164" s="17"/>
      <c r="AW164" s="13"/>
      <c r="AX164" s="13"/>
      <c r="AY164" s="13"/>
      <c r="AZ164" s="14"/>
      <c r="BA164" s="9"/>
      <c r="BB164" s="16"/>
      <c r="BC164" s="10"/>
      <c r="BD164" s="10"/>
      <c r="BE164" s="10"/>
      <c r="BF164" s="11"/>
      <c r="BG164" s="12"/>
      <c r="BH164" s="17"/>
      <c r="BI164" s="13"/>
      <c r="BJ164" s="13"/>
      <c r="BK164" s="13"/>
      <c r="BL164" s="14"/>
      <c r="BM164" s="8">
        <f t="shared" ref="BM164:BM175" si="45">SUM(S164,Y164,AE164,AK164,AQ164,AW164,BC164,BI164)</f>
        <v>30</v>
      </c>
      <c r="BN164" s="8">
        <f t="shared" ref="BN164:BN175" si="46">SUM(T164,Z164,AF164,AL164,AR164,AX164,BD164,BJ164)</f>
        <v>14</v>
      </c>
      <c r="BO164" s="8">
        <f t="shared" ref="BO164:BO175" si="47">SUM(U164,AA164,AG164,AM164,AS164,AY164,BE164,BK164)</f>
        <v>8</v>
      </c>
      <c r="BP164" s="8">
        <f t="shared" ref="BP164:BP175" si="48">SUM(V164,AB164,AH164,AN164,AT164,AZ164,BF164,BL164)</f>
        <v>18</v>
      </c>
      <c r="BQ164" s="8">
        <f t="shared" ref="BQ164:BQ175" si="49">MAX(BM164:BO164)</f>
        <v>30</v>
      </c>
      <c r="BR164" s="8">
        <f t="shared" ref="BR164:BR175" si="50">MIN(BM164:BO164)</f>
        <v>8</v>
      </c>
      <c r="BS164" s="15">
        <f t="shared" ref="BS164:BS175" si="51">IF(H164&gt;0,(BQ164*SQRT(3)*IF(N164&gt;0,N164,IF(O164&gt;0,O164,IF(P164&gt;0,P164,415)))/(H164*1000))*100,0)</f>
        <v>21.512071030005451</v>
      </c>
      <c r="BT164" s="15" t="str">
        <f t="shared" ref="BT164:BT195" si="52">IF(BS164&gt;70,"Upgrade","OK - No Upgrade")</f>
        <v>OK - No Upgrade</v>
      </c>
      <c r="BU164" s="15" t="str">
        <f t="shared" ref="BU164:BU175" si="53">IF(IF(AVERAGE(BM164:BO164)&gt;0,((BQ164-AVERAGE(BM164:BO164))/AVERAGE(BM164:BO164))*100,0)&gt;10,"Need to Balance","OK - Balanced")</f>
        <v>Need to Balance</v>
      </c>
    </row>
    <row r="165" spans="1:73" ht="15.75" customHeight="1" x14ac:dyDescent="0.25">
      <c r="A165" s="8" t="s">
        <v>1021</v>
      </c>
      <c r="B165" s="8" t="s">
        <v>1021</v>
      </c>
      <c r="C165" s="8" t="s">
        <v>124</v>
      </c>
      <c r="D165" s="8"/>
      <c r="E165" s="8" t="s">
        <v>1356</v>
      </c>
      <c r="F165" s="8" t="s">
        <v>43</v>
      </c>
      <c r="G165" s="8"/>
      <c r="H165" s="8">
        <v>100</v>
      </c>
      <c r="I165" s="8" t="s">
        <v>1357</v>
      </c>
      <c r="J165" s="8">
        <v>1</v>
      </c>
      <c r="K165" s="8">
        <v>240</v>
      </c>
      <c r="L165" s="8">
        <v>239</v>
      </c>
      <c r="M165" s="8">
        <v>238</v>
      </c>
      <c r="N165" s="8">
        <v>417</v>
      </c>
      <c r="O165" s="8">
        <v>414</v>
      </c>
      <c r="P165" s="8">
        <v>413</v>
      </c>
      <c r="Q165" s="9" t="s">
        <v>47</v>
      </c>
      <c r="R165" s="16"/>
      <c r="S165" s="10">
        <v>7</v>
      </c>
      <c r="T165" s="10">
        <v>26</v>
      </c>
      <c r="U165" s="10">
        <v>3</v>
      </c>
      <c r="V165" s="11">
        <v>15</v>
      </c>
      <c r="W165" s="12"/>
      <c r="X165" s="17"/>
      <c r="Y165" s="13"/>
      <c r="Z165" s="13"/>
      <c r="AA165" s="13"/>
      <c r="AB165" s="14"/>
      <c r="AC165" s="9"/>
      <c r="AD165" s="16"/>
      <c r="AE165" s="10"/>
      <c r="AF165" s="10"/>
      <c r="AG165" s="10"/>
      <c r="AH165" s="11"/>
      <c r="AI165" s="12"/>
      <c r="AJ165" s="17"/>
      <c r="AK165" s="13"/>
      <c r="AL165" s="13"/>
      <c r="AM165" s="13"/>
      <c r="AN165" s="14"/>
      <c r="AO165" s="9"/>
      <c r="AP165" s="16"/>
      <c r="AQ165" s="10"/>
      <c r="AR165" s="10"/>
      <c r="AS165" s="10"/>
      <c r="AT165" s="11"/>
      <c r="AU165" s="12"/>
      <c r="AV165" s="17"/>
      <c r="AW165" s="13"/>
      <c r="AX165" s="13"/>
      <c r="AY165" s="13"/>
      <c r="AZ165" s="14"/>
      <c r="BA165" s="9"/>
      <c r="BB165" s="16"/>
      <c r="BC165" s="10"/>
      <c r="BD165" s="10"/>
      <c r="BE165" s="10"/>
      <c r="BF165" s="11"/>
      <c r="BG165" s="12"/>
      <c r="BH165" s="17"/>
      <c r="BI165" s="13"/>
      <c r="BJ165" s="13"/>
      <c r="BK165" s="13"/>
      <c r="BL165" s="14"/>
      <c r="BM165" s="8">
        <f t="shared" si="45"/>
        <v>7</v>
      </c>
      <c r="BN165" s="8">
        <f t="shared" si="46"/>
        <v>26</v>
      </c>
      <c r="BO165" s="8">
        <f t="shared" si="47"/>
        <v>3</v>
      </c>
      <c r="BP165" s="8">
        <f t="shared" si="48"/>
        <v>15</v>
      </c>
      <c r="BQ165" s="8">
        <f t="shared" si="49"/>
        <v>26</v>
      </c>
      <c r="BR165" s="8">
        <f t="shared" si="50"/>
        <v>3</v>
      </c>
      <c r="BS165" s="15">
        <f t="shared" si="51"/>
        <v>18.778894855661765</v>
      </c>
      <c r="BT165" s="15" t="str">
        <f t="shared" si="52"/>
        <v>OK - No Upgrade</v>
      </c>
      <c r="BU165" s="15" t="str">
        <f t="shared" si="53"/>
        <v>Need to Balance</v>
      </c>
    </row>
    <row r="166" spans="1:73" ht="15.75" customHeight="1" x14ac:dyDescent="0.25">
      <c r="A166" s="8" t="s">
        <v>1021</v>
      </c>
      <c r="B166" s="8" t="s">
        <v>1021</v>
      </c>
      <c r="C166" s="8" t="s">
        <v>124</v>
      </c>
      <c r="D166" s="8"/>
      <c r="E166" s="8" t="s">
        <v>469</v>
      </c>
      <c r="F166" s="8" t="s">
        <v>56</v>
      </c>
      <c r="G166" s="8"/>
      <c r="H166" s="8">
        <v>500</v>
      </c>
      <c r="I166" s="8" t="s">
        <v>1358</v>
      </c>
      <c r="J166" s="8">
        <v>1</v>
      </c>
      <c r="K166" s="8">
        <v>243</v>
      </c>
      <c r="L166" s="8">
        <v>244</v>
      </c>
      <c r="M166" s="8">
        <v>242</v>
      </c>
      <c r="N166" s="8">
        <v>422</v>
      </c>
      <c r="O166" s="8">
        <v>420</v>
      </c>
      <c r="P166" s="8">
        <v>421</v>
      </c>
      <c r="Q166" s="9" t="s">
        <v>47</v>
      </c>
      <c r="R166" s="16"/>
      <c r="S166" s="10">
        <v>320</v>
      </c>
      <c r="T166" s="10">
        <v>290</v>
      </c>
      <c r="U166" s="10">
        <v>318</v>
      </c>
      <c r="V166" s="11">
        <v>135</v>
      </c>
      <c r="W166" s="12"/>
      <c r="X166" s="17"/>
      <c r="Y166" s="13"/>
      <c r="Z166" s="13"/>
      <c r="AA166" s="13"/>
      <c r="AB166" s="14"/>
      <c r="AC166" s="9"/>
      <c r="AD166" s="16"/>
      <c r="AE166" s="10"/>
      <c r="AF166" s="10"/>
      <c r="AG166" s="10"/>
      <c r="AH166" s="11"/>
      <c r="AI166" s="12"/>
      <c r="AJ166" s="17"/>
      <c r="AK166" s="13"/>
      <c r="AL166" s="13"/>
      <c r="AM166" s="13"/>
      <c r="AN166" s="14"/>
      <c r="AO166" s="9"/>
      <c r="AP166" s="16"/>
      <c r="AQ166" s="10"/>
      <c r="AR166" s="10"/>
      <c r="AS166" s="10"/>
      <c r="AT166" s="11"/>
      <c r="AU166" s="12"/>
      <c r="AV166" s="17"/>
      <c r="AW166" s="13"/>
      <c r="AX166" s="13"/>
      <c r="AY166" s="13"/>
      <c r="AZ166" s="14"/>
      <c r="BA166" s="9"/>
      <c r="BB166" s="16"/>
      <c r="BC166" s="10"/>
      <c r="BD166" s="10"/>
      <c r="BE166" s="10"/>
      <c r="BF166" s="11"/>
      <c r="BG166" s="12"/>
      <c r="BH166" s="17"/>
      <c r="BI166" s="13"/>
      <c r="BJ166" s="13"/>
      <c r="BK166" s="13"/>
      <c r="BL166" s="14"/>
      <c r="BM166" s="8">
        <f t="shared" si="45"/>
        <v>320</v>
      </c>
      <c r="BN166" s="8">
        <f t="shared" si="46"/>
        <v>290</v>
      </c>
      <c r="BO166" s="8">
        <f t="shared" si="47"/>
        <v>318</v>
      </c>
      <c r="BP166" s="8">
        <f t="shared" si="48"/>
        <v>135</v>
      </c>
      <c r="BQ166" s="8">
        <f t="shared" si="49"/>
        <v>320</v>
      </c>
      <c r="BR166" s="8">
        <f t="shared" si="50"/>
        <v>290</v>
      </c>
      <c r="BS166" s="15">
        <f t="shared" si="51"/>
        <v>46.779228210820236</v>
      </c>
      <c r="BT166" s="15" t="str">
        <f t="shared" si="52"/>
        <v>OK - No Upgrade</v>
      </c>
      <c r="BU166" s="15" t="str">
        <f t="shared" si="53"/>
        <v>OK - Balanced</v>
      </c>
    </row>
    <row r="167" spans="1:73" ht="15.75" customHeight="1" x14ac:dyDescent="0.25">
      <c r="A167" s="8" t="s">
        <v>1021</v>
      </c>
      <c r="B167" s="8" t="s">
        <v>1021</v>
      </c>
      <c r="C167" s="8" t="s">
        <v>124</v>
      </c>
      <c r="D167" s="8"/>
      <c r="E167" s="8" t="s">
        <v>44</v>
      </c>
      <c r="F167" s="8" t="s">
        <v>56</v>
      </c>
      <c r="G167" s="8"/>
      <c r="H167" s="8">
        <v>1000</v>
      </c>
      <c r="I167" s="8" t="s">
        <v>1359</v>
      </c>
      <c r="J167" s="8">
        <v>1</v>
      </c>
      <c r="K167" s="8">
        <v>238</v>
      </c>
      <c r="L167" s="8">
        <v>239</v>
      </c>
      <c r="M167" s="8">
        <v>238</v>
      </c>
      <c r="N167" s="8">
        <v>415</v>
      </c>
      <c r="O167" s="8">
        <v>416</v>
      </c>
      <c r="P167" s="8">
        <v>414</v>
      </c>
      <c r="Q167" s="9" t="s">
        <v>47</v>
      </c>
      <c r="R167" s="16"/>
      <c r="S167" s="10">
        <v>365</v>
      </c>
      <c r="T167" s="10">
        <v>330</v>
      </c>
      <c r="U167" s="10">
        <v>290</v>
      </c>
      <c r="V167" s="11">
        <v>171</v>
      </c>
      <c r="W167" s="12"/>
      <c r="X167" s="17"/>
      <c r="Y167" s="13"/>
      <c r="Z167" s="13"/>
      <c r="AA167" s="13"/>
      <c r="AB167" s="14"/>
      <c r="AC167" s="9"/>
      <c r="AD167" s="16"/>
      <c r="AE167" s="10"/>
      <c r="AF167" s="10"/>
      <c r="AG167" s="10"/>
      <c r="AH167" s="11"/>
      <c r="AI167" s="12"/>
      <c r="AJ167" s="17"/>
      <c r="AK167" s="13"/>
      <c r="AL167" s="13"/>
      <c r="AM167" s="13"/>
      <c r="AN167" s="14"/>
      <c r="AO167" s="9"/>
      <c r="AP167" s="16"/>
      <c r="AQ167" s="10"/>
      <c r="AR167" s="10"/>
      <c r="AS167" s="10"/>
      <c r="AT167" s="11"/>
      <c r="AU167" s="12"/>
      <c r="AV167" s="17"/>
      <c r="AW167" s="13"/>
      <c r="AX167" s="13"/>
      <c r="AY167" s="13"/>
      <c r="AZ167" s="14"/>
      <c r="BA167" s="9"/>
      <c r="BB167" s="16"/>
      <c r="BC167" s="10"/>
      <c r="BD167" s="10"/>
      <c r="BE167" s="10"/>
      <c r="BF167" s="11"/>
      <c r="BG167" s="12"/>
      <c r="BH167" s="17"/>
      <c r="BI167" s="13"/>
      <c r="BJ167" s="13"/>
      <c r="BK167" s="13"/>
      <c r="BL167" s="14"/>
      <c r="BM167" s="8">
        <f t="shared" si="45"/>
        <v>365</v>
      </c>
      <c r="BN167" s="8">
        <f t="shared" si="46"/>
        <v>330</v>
      </c>
      <c r="BO167" s="8">
        <f t="shared" si="47"/>
        <v>290</v>
      </c>
      <c r="BP167" s="8">
        <f t="shared" si="48"/>
        <v>171</v>
      </c>
      <c r="BQ167" s="8">
        <f t="shared" si="49"/>
        <v>365</v>
      </c>
      <c r="BR167" s="8">
        <f t="shared" si="50"/>
        <v>290</v>
      </c>
      <c r="BS167" s="15">
        <f t="shared" si="51"/>
        <v>26.236239607649566</v>
      </c>
      <c r="BT167" s="15" t="str">
        <f t="shared" si="52"/>
        <v>OK - No Upgrade</v>
      </c>
      <c r="BU167" s="15" t="str">
        <f t="shared" si="53"/>
        <v>Need to Balance</v>
      </c>
    </row>
    <row r="168" spans="1:73" ht="15.75" customHeight="1" x14ac:dyDescent="0.25">
      <c r="A168" s="8" t="s">
        <v>1021</v>
      </c>
      <c r="B168" s="8" t="s">
        <v>1021</v>
      </c>
      <c r="C168" s="8" t="s">
        <v>124</v>
      </c>
      <c r="D168" s="8"/>
      <c r="E168" s="8" t="s">
        <v>428</v>
      </c>
      <c r="F168" s="8" t="s">
        <v>43</v>
      </c>
      <c r="G168" s="8"/>
      <c r="H168" s="8">
        <v>200</v>
      </c>
      <c r="I168" s="8" t="s">
        <v>1360</v>
      </c>
      <c r="J168" s="8">
        <v>1</v>
      </c>
      <c r="K168" s="8">
        <v>251</v>
      </c>
      <c r="L168" s="8">
        <v>250</v>
      </c>
      <c r="M168" s="8">
        <v>250</v>
      </c>
      <c r="N168" s="8">
        <v>435</v>
      </c>
      <c r="O168" s="8">
        <v>436</v>
      </c>
      <c r="P168" s="8">
        <v>433</v>
      </c>
      <c r="Q168" s="9" t="s">
        <v>46</v>
      </c>
      <c r="R168" s="16"/>
      <c r="S168" s="10">
        <v>0</v>
      </c>
      <c r="T168" s="10">
        <v>0</v>
      </c>
      <c r="U168" s="10">
        <v>0</v>
      </c>
      <c r="V168" s="11">
        <v>0</v>
      </c>
      <c r="W168" s="12"/>
      <c r="X168" s="17"/>
      <c r="Y168" s="13"/>
      <c r="Z168" s="13"/>
      <c r="AA168" s="13"/>
      <c r="AB168" s="14"/>
      <c r="AC168" s="9"/>
      <c r="AD168" s="16"/>
      <c r="AE168" s="10"/>
      <c r="AF168" s="10"/>
      <c r="AG168" s="10"/>
      <c r="AH168" s="11"/>
      <c r="AI168" s="12"/>
      <c r="AJ168" s="17"/>
      <c r="AK168" s="13"/>
      <c r="AL168" s="13"/>
      <c r="AM168" s="13"/>
      <c r="AN168" s="14"/>
      <c r="AO168" s="9"/>
      <c r="AP168" s="16"/>
      <c r="AQ168" s="10"/>
      <c r="AR168" s="10"/>
      <c r="AS168" s="10"/>
      <c r="AT168" s="11"/>
      <c r="AU168" s="12"/>
      <c r="AV168" s="17"/>
      <c r="AW168" s="13"/>
      <c r="AX168" s="13"/>
      <c r="AY168" s="13"/>
      <c r="AZ168" s="14"/>
      <c r="BA168" s="9"/>
      <c r="BB168" s="16"/>
      <c r="BC168" s="10"/>
      <c r="BD168" s="10"/>
      <c r="BE168" s="10"/>
      <c r="BF168" s="11"/>
      <c r="BG168" s="12"/>
      <c r="BH168" s="17"/>
      <c r="BI168" s="13"/>
      <c r="BJ168" s="13"/>
      <c r="BK168" s="13"/>
      <c r="BL168" s="14"/>
      <c r="BM168" s="8">
        <f t="shared" si="45"/>
        <v>0</v>
      </c>
      <c r="BN168" s="8">
        <f t="shared" si="46"/>
        <v>0</v>
      </c>
      <c r="BO168" s="8">
        <f t="shared" si="47"/>
        <v>0</v>
      </c>
      <c r="BP168" s="8">
        <f t="shared" si="48"/>
        <v>0</v>
      </c>
      <c r="BQ168" s="8">
        <f t="shared" si="49"/>
        <v>0</v>
      </c>
      <c r="BR168" s="8">
        <f t="shared" si="50"/>
        <v>0</v>
      </c>
      <c r="BS168" s="15">
        <f t="shared" si="51"/>
        <v>0</v>
      </c>
      <c r="BT168" s="15" t="str">
        <f t="shared" si="52"/>
        <v>OK - No Upgrade</v>
      </c>
      <c r="BU168" s="15" t="str">
        <f t="shared" si="53"/>
        <v>OK - Balanced</v>
      </c>
    </row>
    <row r="169" spans="1:73" ht="15.75" customHeight="1" x14ac:dyDescent="0.25">
      <c r="A169" s="8" t="s">
        <v>1021</v>
      </c>
      <c r="B169" s="8" t="s">
        <v>1021</v>
      </c>
      <c r="C169" s="8" t="s">
        <v>124</v>
      </c>
      <c r="D169" s="8"/>
      <c r="E169" s="8" t="s">
        <v>432</v>
      </c>
      <c r="F169" s="8" t="s">
        <v>43</v>
      </c>
      <c r="G169" s="8"/>
      <c r="H169" s="8">
        <v>100</v>
      </c>
      <c r="I169" s="8" t="s">
        <v>1361</v>
      </c>
      <c r="J169" s="8">
        <v>1</v>
      </c>
      <c r="K169" s="8">
        <v>244</v>
      </c>
      <c r="L169" s="8">
        <v>243</v>
      </c>
      <c r="M169" s="8">
        <v>244</v>
      </c>
      <c r="N169" s="8">
        <v>423</v>
      </c>
      <c r="O169" s="8">
        <v>423</v>
      </c>
      <c r="P169" s="8">
        <v>420</v>
      </c>
      <c r="Q169" s="9" t="s">
        <v>46</v>
      </c>
      <c r="R169" s="16"/>
      <c r="S169" s="10">
        <v>18</v>
      </c>
      <c r="T169" s="10">
        <v>35</v>
      </c>
      <c r="U169" s="10">
        <v>1</v>
      </c>
      <c r="V169" s="11">
        <v>20</v>
      </c>
      <c r="W169" s="12"/>
      <c r="X169" s="17"/>
      <c r="Y169" s="13"/>
      <c r="Z169" s="13"/>
      <c r="AA169" s="13"/>
      <c r="AB169" s="14"/>
      <c r="AC169" s="9"/>
      <c r="AD169" s="16"/>
      <c r="AE169" s="10"/>
      <c r="AF169" s="10"/>
      <c r="AG169" s="10"/>
      <c r="AH169" s="11"/>
      <c r="AI169" s="12"/>
      <c r="AJ169" s="17"/>
      <c r="AK169" s="13"/>
      <c r="AL169" s="13"/>
      <c r="AM169" s="13"/>
      <c r="AN169" s="14"/>
      <c r="AO169" s="9"/>
      <c r="AP169" s="16"/>
      <c r="AQ169" s="10"/>
      <c r="AR169" s="10"/>
      <c r="AS169" s="10"/>
      <c r="AT169" s="11"/>
      <c r="AU169" s="12"/>
      <c r="AV169" s="17"/>
      <c r="AW169" s="13"/>
      <c r="AX169" s="13"/>
      <c r="AY169" s="13"/>
      <c r="AZ169" s="14"/>
      <c r="BA169" s="9"/>
      <c r="BB169" s="16"/>
      <c r="BC169" s="10"/>
      <c r="BD169" s="10"/>
      <c r="BE169" s="10"/>
      <c r="BF169" s="11"/>
      <c r="BG169" s="12"/>
      <c r="BH169" s="17"/>
      <c r="BI169" s="13"/>
      <c r="BJ169" s="13"/>
      <c r="BK169" s="13"/>
      <c r="BL169" s="14"/>
      <c r="BM169" s="8">
        <f t="shared" si="45"/>
        <v>18</v>
      </c>
      <c r="BN169" s="8">
        <f t="shared" si="46"/>
        <v>35</v>
      </c>
      <c r="BO169" s="8">
        <f t="shared" si="47"/>
        <v>1</v>
      </c>
      <c r="BP169" s="8">
        <f t="shared" si="48"/>
        <v>20</v>
      </c>
      <c r="BQ169" s="8">
        <f t="shared" si="49"/>
        <v>35</v>
      </c>
      <c r="BR169" s="8">
        <f t="shared" si="50"/>
        <v>1</v>
      </c>
      <c r="BS169" s="15">
        <f t="shared" si="51"/>
        <v>25.643012206057232</v>
      </c>
      <c r="BT169" s="15" t="str">
        <f t="shared" si="52"/>
        <v>OK - No Upgrade</v>
      </c>
      <c r="BU169" s="15" t="str">
        <f t="shared" si="53"/>
        <v>Need to Balance</v>
      </c>
    </row>
    <row r="170" spans="1:73" ht="15.75" customHeight="1" x14ac:dyDescent="0.25">
      <c r="A170" s="8" t="s">
        <v>1021</v>
      </c>
      <c r="B170" s="8" t="s">
        <v>1021</v>
      </c>
      <c r="C170" s="8" t="s">
        <v>124</v>
      </c>
      <c r="D170" s="8"/>
      <c r="E170" s="8" t="s">
        <v>436</v>
      </c>
      <c r="F170" s="8" t="s">
        <v>43</v>
      </c>
      <c r="G170" s="8"/>
      <c r="H170" s="8">
        <v>315</v>
      </c>
      <c r="I170" s="8" t="s">
        <v>1362</v>
      </c>
      <c r="J170" s="8">
        <v>1</v>
      </c>
      <c r="K170" s="8">
        <v>243</v>
      </c>
      <c r="L170" s="8">
        <v>243</v>
      </c>
      <c r="M170" s="8">
        <v>242</v>
      </c>
      <c r="N170" s="8">
        <v>423</v>
      </c>
      <c r="O170" s="8">
        <v>421</v>
      </c>
      <c r="P170" s="8">
        <v>423</v>
      </c>
      <c r="Q170" s="9" t="s">
        <v>47</v>
      </c>
      <c r="R170" s="16"/>
      <c r="S170" s="10">
        <v>42</v>
      </c>
      <c r="T170" s="10">
        <v>36</v>
      </c>
      <c r="U170" s="10">
        <v>60</v>
      </c>
      <c r="V170" s="11">
        <v>21</v>
      </c>
      <c r="W170" s="12"/>
      <c r="X170" s="17"/>
      <c r="Y170" s="13">
        <v>0</v>
      </c>
      <c r="Z170" s="13">
        <v>18</v>
      </c>
      <c r="AA170" s="13">
        <v>29</v>
      </c>
      <c r="AB170" s="14">
        <v>29</v>
      </c>
      <c r="AC170" s="9" t="s">
        <v>46</v>
      </c>
      <c r="AD170" s="16"/>
      <c r="AE170" s="10">
        <v>41</v>
      </c>
      <c r="AF170" s="10">
        <v>17</v>
      </c>
      <c r="AG170" s="10">
        <v>25</v>
      </c>
      <c r="AH170" s="11">
        <v>21</v>
      </c>
      <c r="AI170" s="12"/>
      <c r="AJ170" s="17"/>
      <c r="AK170" s="13"/>
      <c r="AL170" s="13"/>
      <c r="AM170" s="13"/>
      <c r="AN170" s="14"/>
      <c r="AO170" s="9"/>
      <c r="AP170" s="16"/>
      <c r="AQ170" s="10"/>
      <c r="AR170" s="10"/>
      <c r="AS170" s="10"/>
      <c r="AT170" s="11"/>
      <c r="AU170" s="12"/>
      <c r="AV170" s="17"/>
      <c r="AW170" s="13"/>
      <c r="AX170" s="13"/>
      <c r="AY170" s="13"/>
      <c r="AZ170" s="14"/>
      <c r="BA170" s="9"/>
      <c r="BB170" s="16"/>
      <c r="BC170" s="10"/>
      <c r="BD170" s="10"/>
      <c r="BE170" s="10"/>
      <c r="BF170" s="11"/>
      <c r="BG170" s="12"/>
      <c r="BH170" s="17"/>
      <c r="BI170" s="13"/>
      <c r="BJ170" s="13"/>
      <c r="BK170" s="13"/>
      <c r="BL170" s="14"/>
      <c r="BM170" s="8">
        <f t="shared" si="45"/>
        <v>83</v>
      </c>
      <c r="BN170" s="8">
        <f t="shared" si="46"/>
        <v>71</v>
      </c>
      <c r="BO170" s="8">
        <f t="shared" si="47"/>
        <v>114</v>
      </c>
      <c r="BP170" s="8">
        <f t="shared" si="48"/>
        <v>71</v>
      </c>
      <c r="BQ170" s="8">
        <f t="shared" si="49"/>
        <v>114</v>
      </c>
      <c r="BR170" s="8">
        <f t="shared" si="50"/>
        <v>71</v>
      </c>
      <c r="BS170" s="15">
        <f t="shared" si="51"/>
        <v>26.515223505582984</v>
      </c>
      <c r="BT170" s="15" t="str">
        <f t="shared" si="52"/>
        <v>OK - No Upgrade</v>
      </c>
      <c r="BU170" s="15" t="str">
        <f t="shared" si="53"/>
        <v>Need to Balance</v>
      </c>
    </row>
    <row r="171" spans="1:73" ht="15.75" customHeight="1" x14ac:dyDescent="0.25">
      <c r="A171" s="8" t="s">
        <v>1021</v>
      </c>
      <c r="B171" s="8" t="s">
        <v>1021</v>
      </c>
      <c r="C171" s="8" t="s">
        <v>124</v>
      </c>
      <c r="D171" s="8"/>
      <c r="E171" s="8" t="s">
        <v>1363</v>
      </c>
      <c r="F171" s="8" t="s">
        <v>43</v>
      </c>
      <c r="G171" s="8"/>
      <c r="H171" s="8">
        <v>100</v>
      </c>
      <c r="I171" s="8" t="s">
        <v>1364</v>
      </c>
      <c r="J171" s="8">
        <v>1</v>
      </c>
      <c r="K171" s="8">
        <v>245</v>
      </c>
      <c r="L171" s="8">
        <v>246</v>
      </c>
      <c r="M171" s="8">
        <v>245</v>
      </c>
      <c r="N171" s="8">
        <v>426</v>
      </c>
      <c r="O171" s="8">
        <v>425</v>
      </c>
      <c r="P171" s="8">
        <v>426</v>
      </c>
      <c r="Q171" s="9"/>
      <c r="R171" s="16"/>
      <c r="S171" s="10">
        <v>0</v>
      </c>
      <c r="T171" s="10">
        <v>0</v>
      </c>
      <c r="U171" s="10">
        <v>0</v>
      </c>
      <c r="V171" s="11">
        <v>0</v>
      </c>
      <c r="W171" s="12"/>
      <c r="X171" s="17"/>
      <c r="Y171" s="13">
        <v>0</v>
      </c>
      <c r="Z171" s="13">
        <v>0</v>
      </c>
      <c r="AA171" s="13">
        <v>0</v>
      </c>
      <c r="AB171" s="14">
        <v>0</v>
      </c>
      <c r="AC171" s="9"/>
      <c r="AD171" s="16"/>
      <c r="AE171" s="10"/>
      <c r="AF171" s="10"/>
      <c r="AG171" s="10"/>
      <c r="AH171" s="11"/>
      <c r="AI171" s="12"/>
      <c r="AJ171" s="17"/>
      <c r="AK171" s="13"/>
      <c r="AL171" s="13"/>
      <c r="AM171" s="13"/>
      <c r="AN171" s="14"/>
      <c r="AO171" s="9"/>
      <c r="AP171" s="16"/>
      <c r="AQ171" s="10"/>
      <c r="AR171" s="10"/>
      <c r="AS171" s="10"/>
      <c r="AT171" s="11"/>
      <c r="AU171" s="12"/>
      <c r="AV171" s="17"/>
      <c r="AW171" s="13"/>
      <c r="AX171" s="13"/>
      <c r="AY171" s="13"/>
      <c r="AZ171" s="14"/>
      <c r="BA171" s="9"/>
      <c r="BB171" s="16"/>
      <c r="BC171" s="10"/>
      <c r="BD171" s="10"/>
      <c r="BE171" s="10"/>
      <c r="BF171" s="11"/>
      <c r="BG171" s="12"/>
      <c r="BH171" s="17"/>
      <c r="BI171" s="13"/>
      <c r="BJ171" s="13"/>
      <c r="BK171" s="13"/>
      <c r="BL171" s="14"/>
      <c r="BM171" s="8">
        <f t="shared" si="45"/>
        <v>0</v>
      </c>
      <c r="BN171" s="8">
        <f t="shared" si="46"/>
        <v>0</v>
      </c>
      <c r="BO171" s="8">
        <f t="shared" si="47"/>
        <v>0</v>
      </c>
      <c r="BP171" s="8">
        <f t="shared" si="48"/>
        <v>0</v>
      </c>
      <c r="BQ171" s="8">
        <f t="shared" si="49"/>
        <v>0</v>
      </c>
      <c r="BR171" s="8">
        <f t="shared" si="50"/>
        <v>0</v>
      </c>
      <c r="BS171" s="15">
        <f t="shared" si="51"/>
        <v>0</v>
      </c>
      <c r="BT171" s="15" t="str">
        <f t="shared" si="52"/>
        <v>OK - No Upgrade</v>
      </c>
      <c r="BU171" s="15" t="str">
        <f t="shared" si="53"/>
        <v>OK - Balanced</v>
      </c>
    </row>
    <row r="172" spans="1:73" ht="15.75" customHeight="1" x14ac:dyDescent="0.25">
      <c r="A172" s="8" t="s">
        <v>1021</v>
      </c>
      <c r="B172" s="8" t="s">
        <v>1021</v>
      </c>
      <c r="C172" s="8" t="s">
        <v>265</v>
      </c>
      <c r="D172" s="8"/>
      <c r="E172" s="8" t="s">
        <v>44</v>
      </c>
      <c r="F172" s="8" t="s">
        <v>43</v>
      </c>
      <c r="G172" s="8"/>
      <c r="H172" s="8">
        <v>200</v>
      </c>
      <c r="I172" s="8" t="s">
        <v>1365</v>
      </c>
      <c r="J172" s="8">
        <v>1</v>
      </c>
      <c r="K172" s="8">
        <v>246</v>
      </c>
      <c r="L172" s="8">
        <v>245</v>
      </c>
      <c r="M172" s="8">
        <v>246</v>
      </c>
      <c r="N172" s="8">
        <v>427</v>
      </c>
      <c r="O172" s="8">
        <v>429</v>
      </c>
      <c r="P172" s="8">
        <v>426</v>
      </c>
      <c r="Q172" s="9" t="s">
        <v>46</v>
      </c>
      <c r="R172" s="16"/>
      <c r="S172" s="10">
        <v>50</v>
      </c>
      <c r="T172" s="10">
        <v>42</v>
      </c>
      <c r="U172" s="10">
        <v>37</v>
      </c>
      <c r="V172" s="11">
        <v>15</v>
      </c>
      <c r="W172" s="12"/>
      <c r="X172" s="17"/>
      <c r="Y172" s="13">
        <v>0</v>
      </c>
      <c r="Z172" s="13">
        <v>0</v>
      </c>
      <c r="AA172" s="13">
        <v>0</v>
      </c>
      <c r="AB172" s="14">
        <v>0</v>
      </c>
      <c r="AC172" s="9"/>
      <c r="AD172" s="16"/>
      <c r="AE172" s="10"/>
      <c r="AF172" s="10"/>
      <c r="AG172" s="10"/>
      <c r="AH172" s="11"/>
      <c r="AI172" s="12"/>
      <c r="AJ172" s="17"/>
      <c r="AK172" s="13"/>
      <c r="AL172" s="13"/>
      <c r="AM172" s="13"/>
      <c r="AN172" s="14"/>
      <c r="AO172" s="9"/>
      <c r="AP172" s="16"/>
      <c r="AQ172" s="10"/>
      <c r="AR172" s="10"/>
      <c r="AS172" s="10"/>
      <c r="AT172" s="11"/>
      <c r="AU172" s="12"/>
      <c r="AV172" s="17"/>
      <c r="AW172" s="13"/>
      <c r="AX172" s="13"/>
      <c r="AY172" s="13"/>
      <c r="AZ172" s="14"/>
      <c r="BA172" s="9"/>
      <c r="BB172" s="16"/>
      <c r="BC172" s="10"/>
      <c r="BD172" s="10"/>
      <c r="BE172" s="10"/>
      <c r="BF172" s="11"/>
      <c r="BG172" s="12"/>
      <c r="BH172" s="17"/>
      <c r="BI172" s="13"/>
      <c r="BJ172" s="13"/>
      <c r="BK172" s="13"/>
      <c r="BL172" s="14"/>
      <c r="BM172" s="8">
        <f t="shared" si="45"/>
        <v>50</v>
      </c>
      <c r="BN172" s="8">
        <f t="shared" si="46"/>
        <v>42</v>
      </c>
      <c r="BO172" s="8">
        <f t="shared" si="47"/>
        <v>37</v>
      </c>
      <c r="BP172" s="8">
        <f t="shared" si="48"/>
        <v>15</v>
      </c>
      <c r="BQ172" s="8">
        <f t="shared" si="49"/>
        <v>50</v>
      </c>
      <c r="BR172" s="8">
        <f t="shared" si="50"/>
        <v>37</v>
      </c>
      <c r="BS172" s="15">
        <f t="shared" si="51"/>
        <v>18.489642370797764</v>
      </c>
      <c r="BT172" s="15" t="str">
        <f t="shared" si="52"/>
        <v>OK - No Upgrade</v>
      </c>
      <c r="BU172" s="15" t="str">
        <f t="shared" si="53"/>
        <v>Need to Balance</v>
      </c>
    </row>
    <row r="173" spans="1:73" ht="15.75" customHeight="1" x14ac:dyDescent="0.25">
      <c r="A173" s="8" t="s">
        <v>1021</v>
      </c>
      <c r="B173" s="8" t="s">
        <v>1021</v>
      </c>
      <c r="C173" s="8" t="s">
        <v>265</v>
      </c>
      <c r="D173" s="8"/>
      <c r="E173" s="8" t="s">
        <v>1344</v>
      </c>
      <c r="F173" s="8" t="s">
        <v>43</v>
      </c>
      <c r="G173" s="8"/>
      <c r="H173" s="8">
        <v>200</v>
      </c>
      <c r="I173" s="8" t="s">
        <v>1366</v>
      </c>
      <c r="J173" s="8">
        <v>1</v>
      </c>
      <c r="K173" s="8">
        <v>245</v>
      </c>
      <c r="L173" s="8">
        <v>246</v>
      </c>
      <c r="M173" s="8">
        <v>247</v>
      </c>
      <c r="N173" s="8">
        <v>428</v>
      </c>
      <c r="O173" s="8">
        <v>430</v>
      </c>
      <c r="P173" s="8">
        <v>429</v>
      </c>
      <c r="Q173" s="9"/>
      <c r="R173" s="16"/>
      <c r="S173" s="10">
        <v>15</v>
      </c>
      <c r="T173" s="10">
        <v>30</v>
      </c>
      <c r="U173" s="10">
        <v>17</v>
      </c>
      <c r="V173" s="11">
        <v>12</v>
      </c>
      <c r="W173" s="12"/>
      <c r="X173" s="17"/>
      <c r="Y173" s="13"/>
      <c r="Z173" s="13"/>
      <c r="AA173" s="13"/>
      <c r="AB173" s="14"/>
      <c r="AC173" s="9"/>
      <c r="AD173" s="16"/>
      <c r="AE173" s="10"/>
      <c r="AF173" s="10"/>
      <c r="AG173" s="10"/>
      <c r="AH173" s="11"/>
      <c r="AI173" s="12"/>
      <c r="AJ173" s="17"/>
      <c r="AK173" s="13"/>
      <c r="AL173" s="13"/>
      <c r="AM173" s="13"/>
      <c r="AN173" s="14"/>
      <c r="AO173" s="9"/>
      <c r="AP173" s="16"/>
      <c r="AQ173" s="10"/>
      <c r="AR173" s="10"/>
      <c r="AS173" s="10"/>
      <c r="AT173" s="11"/>
      <c r="AU173" s="12"/>
      <c r="AV173" s="17"/>
      <c r="AW173" s="13"/>
      <c r="AX173" s="13"/>
      <c r="AY173" s="13"/>
      <c r="AZ173" s="14"/>
      <c r="BA173" s="9"/>
      <c r="BB173" s="16"/>
      <c r="BC173" s="10"/>
      <c r="BD173" s="10"/>
      <c r="BE173" s="10"/>
      <c r="BF173" s="11"/>
      <c r="BG173" s="12"/>
      <c r="BH173" s="17"/>
      <c r="BI173" s="13"/>
      <c r="BJ173" s="13"/>
      <c r="BK173" s="13"/>
      <c r="BL173" s="14"/>
      <c r="BM173" s="8">
        <f t="shared" si="45"/>
        <v>15</v>
      </c>
      <c r="BN173" s="8">
        <f t="shared" si="46"/>
        <v>30</v>
      </c>
      <c r="BO173" s="8">
        <f t="shared" si="47"/>
        <v>17</v>
      </c>
      <c r="BP173" s="8">
        <f t="shared" si="48"/>
        <v>12</v>
      </c>
      <c r="BQ173" s="8">
        <f t="shared" si="49"/>
        <v>30</v>
      </c>
      <c r="BR173" s="8">
        <f t="shared" si="50"/>
        <v>15</v>
      </c>
      <c r="BS173" s="15">
        <f t="shared" si="51"/>
        <v>11.119766184592191</v>
      </c>
      <c r="BT173" s="15" t="str">
        <f t="shared" si="52"/>
        <v>OK - No Upgrade</v>
      </c>
      <c r="BU173" s="15" t="str">
        <f t="shared" si="53"/>
        <v>Need to Balance</v>
      </c>
    </row>
    <row r="174" spans="1:73" ht="15.75" customHeight="1" x14ac:dyDescent="0.25">
      <c r="A174" s="8" t="s">
        <v>1021</v>
      </c>
      <c r="B174" s="8" t="s">
        <v>1021</v>
      </c>
      <c r="C174" s="8" t="s">
        <v>265</v>
      </c>
      <c r="D174" s="8" t="s">
        <v>1367</v>
      </c>
      <c r="E174" s="8" t="s">
        <v>1346</v>
      </c>
      <c r="F174" s="8" t="s">
        <v>43</v>
      </c>
      <c r="G174" s="8"/>
      <c r="H174" s="8">
        <v>200</v>
      </c>
      <c r="I174" s="8" t="s">
        <v>1368</v>
      </c>
      <c r="J174" s="8">
        <v>1</v>
      </c>
      <c r="K174" s="8">
        <v>242</v>
      </c>
      <c r="L174" s="8">
        <v>245</v>
      </c>
      <c r="M174" s="8">
        <v>245</v>
      </c>
      <c r="N174" s="8">
        <v>424</v>
      </c>
      <c r="O174" s="8">
        <v>425</v>
      </c>
      <c r="P174" s="8">
        <v>426</v>
      </c>
      <c r="Q174" s="9" t="s">
        <v>46</v>
      </c>
      <c r="R174" s="16"/>
      <c r="S174" s="10">
        <v>5</v>
      </c>
      <c r="T174" s="10">
        <v>6</v>
      </c>
      <c r="U174" s="10">
        <v>5</v>
      </c>
      <c r="V174" s="11">
        <v>0</v>
      </c>
      <c r="W174" s="12"/>
      <c r="X174" s="17"/>
      <c r="Y174" s="13">
        <v>70</v>
      </c>
      <c r="Z174" s="13">
        <v>23</v>
      </c>
      <c r="AA174" s="13">
        <v>22</v>
      </c>
      <c r="AB174" s="14">
        <v>50</v>
      </c>
      <c r="AC174" s="9"/>
      <c r="AD174" s="16"/>
      <c r="AE174" s="10"/>
      <c r="AF174" s="10"/>
      <c r="AG174" s="10"/>
      <c r="AH174" s="11"/>
      <c r="AI174" s="12"/>
      <c r="AJ174" s="17"/>
      <c r="AK174" s="13"/>
      <c r="AL174" s="13"/>
      <c r="AM174" s="13"/>
      <c r="AN174" s="14"/>
      <c r="AO174" s="9"/>
      <c r="AP174" s="16"/>
      <c r="AQ174" s="10"/>
      <c r="AR174" s="10"/>
      <c r="AS174" s="10"/>
      <c r="AT174" s="11"/>
      <c r="AU174" s="12"/>
      <c r="AV174" s="17"/>
      <c r="AW174" s="13"/>
      <c r="AX174" s="13"/>
      <c r="AY174" s="13"/>
      <c r="AZ174" s="14"/>
      <c r="BA174" s="9"/>
      <c r="BB174" s="16"/>
      <c r="BC174" s="10"/>
      <c r="BD174" s="10"/>
      <c r="BE174" s="10"/>
      <c r="BF174" s="11"/>
      <c r="BG174" s="12"/>
      <c r="BH174" s="17"/>
      <c r="BI174" s="13"/>
      <c r="BJ174" s="13"/>
      <c r="BK174" s="13"/>
      <c r="BL174" s="14"/>
      <c r="BM174" s="8">
        <f t="shared" si="45"/>
        <v>75</v>
      </c>
      <c r="BN174" s="8">
        <f t="shared" si="46"/>
        <v>29</v>
      </c>
      <c r="BO174" s="8">
        <f t="shared" si="47"/>
        <v>27</v>
      </c>
      <c r="BP174" s="8">
        <f t="shared" si="48"/>
        <v>50</v>
      </c>
      <c r="BQ174" s="8">
        <f t="shared" si="49"/>
        <v>75</v>
      </c>
      <c r="BR174" s="8">
        <f t="shared" si="50"/>
        <v>27</v>
      </c>
      <c r="BS174" s="15">
        <f t="shared" si="51"/>
        <v>27.539607840345148</v>
      </c>
      <c r="BT174" s="15" t="str">
        <f t="shared" si="52"/>
        <v>OK - No Upgrade</v>
      </c>
      <c r="BU174" s="15" t="str">
        <f t="shared" si="53"/>
        <v>Need to Balance</v>
      </c>
    </row>
    <row r="175" spans="1:73" ht="15.75" customHeight="1" x14ac:dyDescent="0.25">
      <c r="A175" s="8" t="s">
        <v>1021</v>
      </c>
      <c r="B175" s="8" t="s">
        <v>1021</v>
      </c>
      <c r="C175" s="8" t="s">
        <v>265</v>
      </c>
      <c r="D175" s="8" t="s">
        <v>1369</v>
      </c>
      <c r="E175" s="8" t="s">
        <v>1341</v>
      </c>
      <c r="F175" s="8" t="s">
        <v>43</v>
      </c>
      <c r="G175" s="8"/>
      <c r="H175" s="8">
        <v>315</v>
      </c>
      <c r="I175" s="8" t="s">
        <v>1370</v>
      </c>
      <c r="J175" s="8">
        <v>1</v>
      </c>
      <c r="K175" s="8">
        <v>246</v>
      </c>
      <c r="L175" s="8">
        <v>247</v>
      </c>
      <c r="M175" s="8">
        <v>246</v>
      </c>
      <c r="N175" s="8">
        <v>430</v>
      </c>
      <c r="O175" s="8">
        <v>427</v>
      </c>
      <c r="P175" s="8">
        <v>428</v>
      </c>
      <c r="Q175" s="9" t="s">
        <v>46</v>
      </c>
      <c r="R175" s="16"/>
      <c r="S175" s="10">
        <v>48</v>
      </c>
      <c r="T175" s="10">
        <v>25</v>
      </c>
      <c r="U175" s="10">
        <v>24</v>
      </c>
      <c r="V175" s="11">
        <v>18</v>
      </c>
      <c r="W175" s="12"/>
      <c r="X175" s="17"/>
      <c r="Y175" s="13"/>
      <c r="Z175" s="13"/>
      <c r="AA175" s="13"/>
      <c r="AB175" s="14"/>
      <c r="AC175" s="9"/>
      <c r="AD175" s="16"/>
      <c r="AE175" s="10"/>
      <c r="AF175" s="10"/>
      <c r="AG175" s="10"/>
      <c r="AH175" s="11"/>
      <c r="AI175" s="12"/>
      <c r="AJ175" s="17"/>
      <c r="AK175" s="13"/>
      <c r="AL175" s="13"/>
      <c r="AM175" s="13"/>
      <c r="AN175" s="14"/>
      <c r="AO175" s="9"/>
      <c r="AP175" s="16"/>
      <c r="AQ175" s="10"/>
      <c r="AR175" s="10"/>
      <c r="AS175" s="10"/>
      <c r="AT175" s="11"/>
      <c r="AU175" s="12"/>
      <c r="AV175" s="17"/>
      <c r="AW175" s="13"/>
      <c r="AX175" s="13"/>
      <c r="AY175" s="13"/>
      <c r="AZ175" s="14"/>
      <c r="BA175" s="9"/>
      <c r="BB175" s="16"/>
      <c r="BC175" s="10"/>
      <c r="BD175" s="10"/>
      <c r="BE175" s="10"/>
      <c r="BF175" s="11"/>
      <c r="BG175" s="12"/>
      <c r="BH175" s="17"/>
      <c r="BI175" s="13"/>
      <c r="BJ175" s="13"/>
      <c r="BK175" s="13"/>
      <c r="BL175" s="14"/>
      <c r="BM175" s="8">
        <f t="shared" si="45"/>
        <v>48</v>
      </c>
      <c r="BN175" s="8">
        <f t="shared" si="46"/>
        <v>25</v>
      </c>
      <c r="BO175" s="8">
        <f t="shared" si="47"/>
        <v>24</v>
      </c>
      <c r="BP175" s="8">
        <f t="shared" si="48"/>
        <v>18</v>
      </c>
      <c r="BQ175" s="8">
        <f t="shared" si="49"/>
        <v>48</v>
      </c>
      <c r="BR175" s="8">
        <f t="shared" si="50"/>
        <v>24</v>
      </c>
      <c r="BS175" s="15">
        <f t="shared" si="51"/>
        <v>11.349056720070356</v>
      </c>
      <c r="BT175" s="15" t="str">
        <f t="shared" si="52"/>
        <v>OK - No Upgrade</v>
      </c>
      <c r="BU175" s="15" t="str">
        <f t="shared" si="53"/>
        <v>Need to Balance</v>
      </c>
    </row>
  </sheetData>
  <mergeCells count="79">
    <mergeCell ref="BU1:BU3"/>
    <mergeCell ref="BI2:BI3"/>
    <mergeCell ref="AE2:AE3"/>
    <mergeCell ref="AG2:AG3"/>
    <mergeCell ref="Y2:Y3"/>
    <mergeCell ref="AQ2:AQ3"/>
    <mergeCell ref="AS2:AS3"/>
    <mergeCell ref="AY2:AY3"/>
    <mergeCell ref="BK2:BK3"/>
    <mergeCell ref="AZ2:AZ3"/>
    <mergeCell ref="BB2:BB3"/>
    <mergeCell ref="BL2:BL3"/>
    <mergeCell ref="BN2:BN3"/>
    <mergeCell ref="AU1:AZ1"/>
    <mergeCell ref="AJ2:AJ3"/>
    <mergeCell ref="AL2:AL3"/>
    <mergeCell ref="BR1:BR3"/>
    <mergeCell ref="H1:H3"/>
    <mergeCell ref="AR2:AR3"/>
    <mergeCell ref="AT2:AT3"/>
    <mergeCell ref="E1:E3"/>
    <mergeCell ref="BF2:BF3"/>
    <mergeCell ref="K2:M2"/>
    <mergeCell ref="F1:F3"/>
    <mergeCell ref="J1:J3"/>
    <mergeCell ref="R2:R3"/>
    <mergeCell ref="AD2:AD3"/>
    <mergeCell ref="AN2:AN3"/>
    <mergeCell ref="AP2:AP3"/>
    <mergeCell ref="A1:A3"/>
    <mergeCell ref="BA1:BF1"/>
    <mergeCell ref="C1:C3"/>
    <mergeCell ref="D1:D2"/>
    <mergeCell ref="BQ1:BQ3"/>
    <mergeCell ref="BS1:BS3"/>
    <mergeCell ref="BA2:BA3"/>
    <mergeCell ref="S2:S3"/>
    <mergeCell ref="BC2:BC3"/>
    <mergeCell ref="K1:P1"/>
    <mergeCell ref="BM2:BM3"/>
    <mergeCell ref="BO2:BO3"/>
    <mergeCell ref="W1:AB1"/>
    <mergeCell ref="Q1:V1"/>
    <mergeCell ref="BP2:BP3"/>
    <mergeCell ref="AC1:AH1"/>
    <mergeCell ref="AO1:AT1"/>
    <mergeCell ref="Z2:Z3"/>
    <mergeCell ref="B1:B3"/>
    <mergeCell ref="AI1:AN1"/>
    <mergeCell ref="V2:V3"/>
    <mergeCell ref="X2:X3"/>
    <mergeCell ref="BG1:BL1"/>
    <mergeCell ref="BD2:BD3"/>
    <mergeCell ref="AV2:AV3"/>
    <mergeCell ref="AX2:AX3"/>
    <mergeCell ref="I1:I3"/>
    <mergeCell ref="BH2:BH3"/>
    <mergeCell ref="BJ2:BJ3"/>
    <mergeCell ref="AF2:AF3"/>
    <mergeCell ref="AH2:AH3"/>
    <mergeCell ref="Q2:Q3"/>
    <mergeCell ref="AI2:AI3"/>
    <mergeCell ref="AK2:AK3"/>
    <mergeCell ref="N2:P2"/>
    <mergeCell ref="G1:G3"/>
    <mergeCell ref="U2:U3"/>
    <mergeCell ref="BT1:BT3"/>
    <mergeCell ref="BE2:BE3"/>
    <mergeCell ref="W2:W3"/>
    <mergeCell ref="BG2:BG3"/>
    <mergeCell ref="AA2:AA3"/>
    <mergeCell ref="AC2:AC3"/>
    <mergeCell ref="AM2:AM3"/>
    <mergeCell ref="AO2:AO3"/>
    <mergeCell ref="BM1:BP1"/>
    <mergeCell ref="AU2:AU3"/>
    <mergeCell ref="AW2:AW3"/>
    <mergeCell ref="AB2:AB3"/>
    <mergeCell ref="T2:T3"/>
  </mergeCells>
  <dataValidations count="1">
    <dataValidation type="list" allowBlank="1" errorTitle="Invalid value" error="Please choose Cu or Al" promptTitle="Cable Type" prompt="Choose cable material" sqref="R4:R175 BH4:BH175 BB4:BB175 AV4:AV175 AP4:AP175 AJ4:AJ175 AD4:AD175 X4:X175" xr:uid="{00000000-0002-0000-0600-000000000000}">
      <formula1>"Cu,Al"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U32"/>
  <sheetViews>
    <sheetView workbookViewId="0"/>
  </sheetViews>
  <sheetFormatPr defaultRowHeight="15" x14ac:dyDescent="0.25"/>
  <cols>
    <col min="1" max="1" width="12.85546875" customWidth="1"/>
    <col min="2" max="2" width="14.85546875" customWidth="1"/>
    <col min="3" max="3" width="9.85546875" customWidth="1"/>
    <col min="4" max="4" width="20.85546875" customWidth="1"/>
    <col min="5" max="5" width="8.85546875" customWidth="1"/>
    <col min="6" max="6" width="10.85546875" customWidth="1"/>
    <col min="7" max="7" width="5.85546875" customWidth="1"/>
    <col min="8" max="8" width="9.85546875" customWidth="1"/>
    <col min="9" max="9" width="10.85546875" customWidth="1"/>
    <col min="10" max="10" width="5.85546875" customWidth="1"/>
    <col min="11" max="11" width="7.85546875" customWidth="1"/>
    <col min="12" max="16" width="6.85546875" customWidth="1"/>
    <col min="17" max="17" width="8.85546875" customWidth="1"/>
    <col min="18" max="21" width="6.85546875" customWidth="1"/>
    <col min="22" max="22" width="8.85546875" customWidth="1"/>
    <col min="23" max="26" width="6.85546875" customWidth="1"/>
    <col min="27" max="27" width="8.85546875" customWidth="1"/>
    <col min="28" max="31" width="6.85546875" customWidth="1"/>
    <col min="32" max="32" width="8.85546875" customWidth="1"/>
    <col min="33" max="36" width="6.85546875" customWidth="1"/>
    <col min="37" max="37" width="8.85546875" customWidth="1"/>
    <col min="38" max="41" width="6.85546875" customWidth="1"/>
    <col min="42" max="42" width="8.85546875" customWidth="1"/>
    <col min="43" max="46" width="6.85546875" customWidth="1"/>
    <col min="47" max="47" width="8.85546875" customWidth="1"/>
    <col min="48" max="51" width="6.85546875" customWidth="1"/>
    <col min="52" max="52" width="8.85546875" customWidth="1"/>
    <col min="53" max="60" width="6.85546875" customWidth="1"/>
    <col min="61" max="62" width="7.85546875" customWidth="1"/>
    <col min="63" max="63" width="9.85546875" customWidth="1"/>
    <col min="64" max="65" width="24.85546875" customWidth="1"/>
  </cols>
  <sheetData>
    <row r="1" spans="1:73" ht="19.5" customHeight="1" x14ac:dyDescent="0.25">
      <c r="A1" s="21" t="s">
        <v>0</v>
      </c>
      <c r="B1" s="21" t="s">
        <v>1</v>
      </c>
      <c r="C1" s="21" t="s">
        <v>2</v>
      </c>
      <c r="D1" s="38" t="s">
        <v>3</v>
      </c>
      <c r="E1" s="21" t="s">
        <v>4</v>
      </c>
      <c r="F1" s="40" t="s">
        <v>5</v>
      </c>
      <c r="G1" s="21" t="s">
        <v>6</v>
      </c>
      <c r="H1" s="21" t="s">
        <v>7</v>
      </c>
      <c r="I1" s="21" t="s">
        <v>8</v>
      </c>
      <c r="J1" s="41" t="s">
        <v>9</v>
      </c>
      <c r="K1" s="18" t="s">
        <v>10</v>
      </c>
      <c r="L1" s="19"/>
      <c r="M1" s="19"/>
      <c r="N1" s="19"/>
      <c r="O1" s="19"/>
      <c r="P1" s="20"/>
      <c r="Q1" s="29" t="s">
        <v>11</v>
      </c>
      <c r="R1" s="30"/>
      <c r="S1" s="30"/>
      <c r="T1" s="30"/>
      <c r="U1" s="30"/>
      <c r="V1" s="31"/>
      <c r="W1" s="29" t="s">
        <v>12</v>
      </c>
      <c r="X1" s="30"/>
      <c r="Y1" s="30"/>
      <c r="Z1" s="30"/>
      <c r="AA1" s="30"/>
      <c r="AB1" s="31"/>
      <c r="AC1" s="29" t="s">
        <v>13</v>
      </c>
      <c r="AD1" s="30"/>
      <c r="AE1" s="30"/>
      <c r="AF1" s="30"/>
      <c r="AG1" s="30"/>
      <c r="AH1" s="31"/>
      <c r="AI1" s="29" t="s">
        <v>14</v>
      </c>
      <c r="AJ1" s="30"/>
      <c r="AK1" s="30"/>
      <c r="AL1" s="30"/>
      <c r="AM1" s="30"/>
      <c r="AN1" s="31"/>
      <c r="AO1" s="29" t="s">
        <v>15</v>
      </c>
      <c r="AP1" s="30"/>
      <c r="AQ1" s="30"/>
      <c r="AR1" s="30"/>
      <c r="AS1" s="30"/>
      <c r="AT1" s="31"/>
      <c r="AU1" s="29" t="s">
        <v>16</v>
      </c>
      <c r="AV1" s="30"/>
      <c r="AW1" s="30"/>
      <c r="AX1" s="30"/>
      <c r="AY1" s="30"/>
      <c r="AZ1" s="31"/>
      <c r="BA1" s="29" t="s">
        <v>17</v>
      </c>
      <c r="BB1" s="30"/>
      <c r="BC1" s="30"/>
      <c r="BD1" s="30"/>
      <c r="BE1" s="30"/>
      <c r="BF1" s="31"/>
      <c r="BG1" s="29" t="s">
        <v>18</v>
      </c>
      <c r="BH1" s="30"/>
      <c r="BI1" s="30"/>
      <c r="BJ1" s="30"/>
      <c r="BK1" s="30"/>
      <c r="BL1" s="31"/>
      <c r="BM1" s="37" t="s">
        <v>19</v>
      </c>
      <c r="BN1" s="19"/>
      <c r="BO1" s="19"/>
      <c r="BP1" s="20"/>
      <c r="BQ1" s="18" t="s">
        <v>20</v>
      </c>
      <c r="BR1" s="18" t="s">
        <v>21</v>
      </c>
      <c r="BS1" s="39" t="s">
        <v>22</v>
      </c>
      <c r="BT1" s="26" t="s">
        <v>23</v>
      </c>
      <c r="BU1" s="26" t="s">
        <v>24</v>
      </c>
    </row>
    <row r="2" spans="1:73" ht="19.5" customHeight="1" x14ac:dyDescent="0.25">
      <c r="A2" s="22"/>
      <c r="B2" s="22"/>
      <c r="C2" s="22"/>
      <c r="D2" s="23"/>
      <c r="E2" s="22"/>
      <c r="F2" s="22"/>
      <c r="G2" s="22"/>
      <c r="H2" s="22"/>
      <c r="I2" s="22"/>
      <c r="J2" s="22"/>
      <c r="K2" s="18" t="s">
        <v>25</v>
      </c>
      <c r="L2" s="19"/>
      <c r="M2" s="20"/>
      <c r="N2" s="18" t="s">
        <v>26</v>
      </c>
      <c r="O2" s="19"/>
      <c r="P2" s="20"/>
      <c r="Q2" s="27" t="s">
        <v>27</v>
      </c>
      <c r="R2" s="34" t="s">
        <v>5</v>
      </c>
      <c r="S2" s="36" t="s">
        <v>28</v>
      </c>
      <c r="T2" s="35" t="s">
        <v>29</v>
      </c>
      <c r="U2" s="24" t="s">
        <v>30</v>
      </c>
      <c r="V2" s="32" t="s">
        <v>31</v>
      </c>
      <c r="W2" s="27" t="s">
        <v>27</v>
      </c>
      <c r="X2" s="34" t="s">
        <v>5</v>
      </c>
      <c r="Y2" s="36" t="s">
        <v>28</v>
      </c>
      <c r="Z2" s="35" t="s">
        <v>29</v>
      </c>
      <c r="AA2" s="24" t="s">
        <v>30</v>
      </c>
      <c r="AB2" s="32" t="s">
        <v>31</v>
      </c>
      <c r="AC2" s="27" t="s">
        <v>27</v>
      </c>
      <c r="AD2" s="34" t="s">
        <v>5</v>
      </c>
      <c r="AE2" s="36" t="s">
        <v>28</v>
      </c>
      <c r="AF2" s="35" t="s">
        <v>29</v>
      </c>
      <c r="AG2" s="24" t="s">
        <v>30</v>
      </c>
      <c r="AH2" s="32" t="s">
        <v>31</v>
      </c>
      <c r="AI2" s="27" t="s">
        <v>27</v>
      </c>
      <c r="AJ2" s="34" t="s">
        <v>5</v>
      </c>
      <c r="AK2" s="36" t="s">
        <v>28</v>
      </c>
      <c r="AL2" s="35" t="s">
        <v>29</v>
      </c>
      <c r="AM2" s="24" t="s">
        <v>30</v>
      </c>
      <c r="AN2" s="32" t="s">
        <v>31</v>
      </c>
      <c r="AO2" s="27" t="s">
        <v>27</v>
      </c>
      <c r="AP2" s="34" t="s">
        <v>5</v>
      </c>
      <c r="AQ2" s="36" t="s">
        <v>28</v>
      </c>
      <c r="AR2" s="35" t="s">
        <v>29</v>
      </c>
      <c r="AS2" s="24" t="s">
        <v>30</v>
      </c>
      <c r="AT2" s="32" t="s">
        <v>31</v>
      </c>
      <c r="AU2" s="27" t="s">
        <v>27</v>
      </c>
      <c r="AV2" s="34" t="s">
        <v>5</v>
      </c>
      <c r="AW2" s="36" t="s">
        <v>28</v>
      </c>
      <c r="AX2" s="35" t="s">
        <v>29</v>
      </c>
      <c r="AY2" s="24" t="s">
        <v>30</v>
      </c>
      <c r="AZ2" s="32" t="s">
        <v>31</v>
      </c>
      <c r="BA2" s="27" t="s">
        <v>27</v>
      </c>
      <c r="BB2" s="34" t="s">
        <v>5</v>
      </c>
      <c r="BC2" s="36" t="s">
        <v>28</v>
      </c>
      <c r="BD2" s="35" t="s">
        <v>29</v>
      </c>
      <c r="BE2" s="24" t="s">
        <v>30</v>
      </c>
      <c r="BF2" s="32" t="s">
        <v>31</v>
      </c>
      <c r="BG2" s="27" t="s">
        <v>27</v>
      </c>
      <c r="BH2" s="34" t="s">
        <v>5</v>
      </c>
      <c r="BI2" s="36" t="s">
        <v>28</v>
      </c>
      <c r="BJ2" s="35" t="s">
        <v>29</v>
      </c>
      <c r="BK2" s="24" t="s">
        <v>30</v>
      </c>
      <c r="BL2" s="32" t="s">
        <v>31</v>
      </c>
      <c r="BM2" s="37" t="s">
        <v>28</v>
      </c>
      <c r="BN2" s="37" t="s">
        <v>29</v>
      </c>
      <c r="BO2" s="37" t="s">
        <v>30</v>
      </c>
      <c r="BP2" s="37" t="s">
        <v>31</v>
      </c>
      <c r="BQ2" s="22"/>
      <c r="BR2" s="22"/>
      <c r="BS2" s="22"/>
      <c r="BT2" s="22"/>
      <c r="BU2" s="22"/>
    </row>
    <row r="3" spans="1:73" ht="19.5" customHeight="1" x14ac:dyDescent="0.25">
      <c r="A3" s="23"/>
      <c r="B3" s="23"/>
      <c r="C3" s="23"/>
      <c r="D3" s="1"/>
      <c r="E3" s="23"/>
      <c r="F3" s="23"/>
      <c r="G3" s="23"/>
      <c r="H3" s="23"/>
      <c r="I3" s="23"/>
      <c r="J3" s="23"/>
      <c r="K3" s="2" t="s">
        <v>32</v>
      </c>
      <c r="L3" s="3" t="s">
        <v>33</v>
      </c>
      <c r="M3" s="4" t="s">
        <v>34</v>
      </c>
      <c r="N3" s="5" t="s">
        <v>35</v>
      </c>
      <c r="O3" s="6" t="s">
        <v>36</v>
      </c>
      <c r="P3" s="7" t="s">
        <v>37</v>
      </c>
      <c r="Q3" s="28"/>
      <c r="R3" s="25"/>
      <c r="S3" s="25"/>
      <c r="T3" s="25"/>
      <c r="U3" s="25"/>
      <c r="V3" s="33"/>
      <c r="W3" s="28"/>
      <c r="X3" s="25"/>
      <c r="Y3" s="25"/>
      <c r="Z3" s="25"/>
      <c r="AA3" s="25"/>
      <c r="AB3" s="33"/>
      <c r="AC3" s="28"/>
      <c r="AD3" s="25"/>
      <c r="AE3" s="25"/>
      <c r="AF3" s="25"/>
      <c r="AG3" s="25"/>
      <c r="AH3" s="33"/>
      <c r="AI3" s="28"/>
      <c r="AJ3" s="25"/>
      <c r="AK3" s="25"/>
      <c r="AL3" s="25"/>
      <c r="AM3" s="25"/>
      <c r="AN3" s="33"/>
      <c r="AO3" s="28"/>
      <c r="AP3" s="25"/>
      <c r="AQ3" s="25"/>
      <c r="AR3" s="25"/>
      <c r="AS3" s="25"/>
      <c r="AT3" s="33"/>
      <c r="AU3" s="28"/>
      <c r="AV3" s="25"/>
      <c r="AW3" s="25"/>
      <c r="AX3" s="25"/>
      <c r="AY3" s="25"/>
      <c r="AZ3" s="33"/>
      <c r="BA3" s="28"/>
      <c r="BB3" s="25"/>
      <c r="BC3" s="25"/>
      <c r="BD3" s="25"/>
      <c r="BE3" s="25"/>
      <c r="BF3" s="33"/>
      <c r="BG3" s="28"/>
      <c r="BH3" s="25"/>
      <c r="BI3" s="25"/>
      <c r="BJ3" s="25"/>
      <c r="BK3" s="25"/>
      <c r="BL3" s="33"/>
      <c r="BM3" s="23"/>
      <c r="BN3" s="23"/>
      <c r="BO3" s="23"/>
      <c r="BP3" s="23"/>
      <c r="BQ3" s="23"/>
      <c r="BR3" s="23"/>
      <c r="BS3" s="23"/>
      <c r="BT3" s="23"/>
      <c r="BU3" s="23"/>
    </row>
    <row r="4" spans="1:73" ht="15.75" customHeight="1" x14ac:dyDescent="0.25">
      <c r="A4" s="8" t="s">
        <v>1371</v>
      </c>
      <c r="B4" s="8" t="s">
        <v>1371</v>
      </c>
      <c r="C4" s="8" t="s">
        <v>40</v>
      </c>
      <c r="D4" s="8" t="s">
        <v>1372</v>
      </c>
      <c r="E4" s="8" t="s">
        <v>1080</v>
      </c>
      <c r="F4" s="8" t="s">
        <v>43</v>
      </c>
      <c r="G4" s="8"/>
      <c r="H4" s="8">
        <v>315</v>
      </c>
      <c r="I4" s="8" t="s">
        <v>1373</v>
      </c>
      <c r="J4" s="8">
        <v>1</v>
      </c>
      <c r="K4" s="8">
        <v>245</v>
      </c>
      <c r="L4" s="8">
        <v>245</v>
      </c>
      <c r="M4" s="8">
        <v>245</v>
      </c>
      <c r="N4" s="8">
        <v>431</v>
      </c>
      <c r="O4" s="8">
        <v>420</v>
      </c>
      <c r="P4" s="8">
        <v>420</v>
      </c>
      <c r="Q4" s="9" t="s">
        <v>47</v>
      </c>
      <c r="R4" s="16"/>
      <c r="S4" s="10">
        <v>132</v>
      </c>
      <c r="T4" s="10">
        <v>141</v>
      </c>
      <c r="U4" s="10">
        <v>101</v>
      </c>
      <c r="V4" s="11">
        <v>14</v>
      </c>
      <c r="W4" s="12"/>
      <c r="X4" s="17"/>
      <c r="Y4" s="13"/>
      <c r="Z4" s="13"/>
      <c r="AA4" s="13"/>
      <c r="AB4" s="14"/>
      <c r="AC4" s="9"/>
      <c r="AD4" s="16"/>
      <c r="AE4" s="10"/>
      <c r="AF4" s="10"/>
      <c r="AG4" s="10"/>
      <c r="AH4" s="11"/>
      <c r="AI4" s="12"/>
      <c r="AJ4" s="17"/>
      <c r="AK4" s="13"/>
      <c r="AL4" s="13"/>
      <c r="AM4" s="13"/>
      <c r="AN4" s="14"/>
      <c r="AO4" s="9"/>
      <c r="AP4" s="16"/>
      <c r="AQ4" s="10"/>
      <c r="AR4" s="10"/>
      <c r="AS4" s="10"/>
      <c r="AT4" s="11"/>
      <c r="AU4" s="12"/>
      <c r="AV4" s="17"/>
      <c r="AW4" s="13"/>
      <c r="AX4" s="13"/>
      <c r="AY4" s="13"/>
      <c r="AZ4" s="14"/>
      <c r="BA4" s="9"/>
      <c r="BB4" s="16"/>
      <c r="BC4" s="10"/>
      <c r="BD4" s="10"/>
      <c r="BE4" s="10"/>
      <c r="BF4" s="11"/>
      <c r="BG4" s="12"/>
      <c r="BH4" s="17"/>
      <c r="BI4" s="13"/>
      <c r="BJ4" s="13"/>
      <c r="BK4" s="13"/>
      <c r="BL4" s="14"/>
      <c r="BM4" s="8">
        <f t="shared" ref="BM4:BM32" si="0">SUM(S4,Y4,AE4,AK4,AQ4,AW4,BC4,BI4)</f>
        <v>132</v>
      </c>
      <c r="BN4" s="8">
        <f t="shared" ref="BN4:BN32" si="1">SUM(T4,Z4,AF4,AL4,AR4,AX4,BD4,BJ4)</f>
        <v>141</v>
      </c>
      <c r="BO4" s="8">
        <f t="shared" ref="BO4:BO32" si="2">SUM(U4,AA4,AG4,AM4,AS4,AY4,BE4,BK4)</f>
        <v>101</v>
      </c>
      <c r="BP4" s="8">
        <f t="shared" ref="BP4:BP32" si="3">SUM(V4,AB4,AH4,AN4,AT4,AZ4,BF4,BL4)</f>
        <v>14</v>
      </c>
      <c r="BQ4" s="8">
        <f t="shared" ref="BQ4:BQ32" si="4">MAX(BM4:BO4)</f>
        <v>141</v>
      </c>
      <c r="BR4" s="8">
        <f t="shared" ref="BR4:BR32" si="5">MIN(BM4:BO4)</f>
        <v>101</v>
      </c>
      <c r="BS4" s="15">
        <f t="shared" ref="BS4:BS32" si="6">IF(H4&gt;0,(BQ4*SQRT(3)*IF(N4&gt;0,N4,IF(O4&gt;0,O4,IF(P4&gt;0,P4,415)))/(H4*1000))*100,0)</f>
        <v>33.415384008497853</v>
      </c>
      <c r="BT4" s="15" t="str">
        <f t="shared" ref="BT4:BT32" si="7">IF(BS4&gt;70,"Upgrade","OK - No Upgrade")</f>
        <v>OK - No Upgrade</v>
      </c>
      <c r="BU4" s="15" t="str">
        <f t="shared" ref="BU4:BU32" si="8">IF(IF(AVERAGE(BM4:BO4)&gt;0,((BQ4-AVERAGE(BM4:BO4))/AVERAGE(BM4:BO4))*100,0)&gt;10,"Need to Balance","OK - Balanced")</f>
        <v>Need to Balance</v>
      </c>
    </row>
    <row r="5" spans="1:73" ht="15.75" customHeight="1" x14ac:dyDescent="0.25">
      <c r="A5" s="8" t="s">
        <v>1371</v>
      </c>
      <c r="B5" s="8" t="s">
        <v>1371</v>
      </c>
      <c r="C5" s="8" t="s">
        <v>40</v>
      </c>
      <c r="D5" s="8" t="s">
        <v>1374</v>
      </c>
      <c r="E5" s="8" t="s">
        <v>1077</v>
      </c>
      <c r="F5" s="8" t="s">
        <v>43</v>
      </c>
      <c r="G5" s="8"/>
      <c r="H5" s="8">
        <v>315</v>
      </c>
      <c r="I5" s="8" t="s">
        <v>1375</v>
      </c>
      <c r="J5" s="8">
        <v>1</v>
      </c>
      <c r="K5" s="8">
        <v>243</v>
      </c>
      <c r="L5" s="8">
        <v>244</v>
      </c>
      <c r="M5" s="8">
        <v>244</v>
      </c>
      <c r="N5" s="8">
        <v>416</v>
      </c>
      <c r="O5" s="8">
        <v>417</v>
      </c>
      <c r="P5" s="8">
        <v>418</v>
      </c>
      <c r="Q5" s="9" t="s">
        <v>47</v>
      </c>
      <c r="R5" s="16"/>
      <c r="S5" s="10">
        <v>137</v>
      </c>
      <c r="T5" s="10">
        <v>122</v>
      </c>
      <c r="U5" s="10">
        <v>130</v>
      </c>
      <c r="V5" s="11">
        <v>23</v>
      </c>
      <c r="W5" s="12"/>
      <c r="X5" s="17"/>
      <c r="Y5" s="13"/>
      <c r="Z5" s="13"/>
      <c r="AA5" s="13"/>
      <c r="AB5" s="14"/>
      <c r="AC5" s="9"/>
      <c r="AD5" s="16"/>
      <c r="AE5" s="10"/>
      <c r="AF5" s="10"/>
      <c r="AG5" s="10"/>
      <c r="AH5" s="11"/>
      <c r="AI5" s="12"/>
      <c r="AJ5" s="17"/>
      <c r="AK5" s="13"/>
      <c r="AL5" s="13"/>
      <c r="AM5" s="13"/>
      <c r="AN5" s="14"/>
      <c r="AO5" s="9"/>
      <c r="AP5" s="16"/>
      <c r="AQ5" s="10"/>
      <c r="AR5" s="10"/>
      <c r="AS5" s="10"/>
      <c r="AT5" s="11"/>
      <c r="AU5" s="12"/>
      <c r="AV5" s="17"/>
      <c r="AW5" s="13"/>
      <c r="AX5" s="13"/>
      <c r="AY5" s="13"/>
      <c r="AZ5" s="14"/>
      <c r="BA5" s="9"/>
      <c r="BB5" s="16"/>
      <c r="BC5" s="10"/>
      <c r="BD5" s="10"/>
      <c r="BE5" s="10"/>
      <c r="BF5" s="11"/>
      <c r="BG5" s="12"/>
      <c r="BH5" s="17"/>
      <c r="BI5" s="13"/>
      <c r="BJ5" s="13"/>
      <c r="BK5" s="13"/>
      <c r="BL5" s="14"/>
      <c r="BM5" s="8">
        <f t="shared" si="0"/>
        <v>137</v>
      </c>
      <c r="BN5" s="8">
        <f t="shared" si="1"/>
        <v>122</v>
      </c>
      <c r="BO5" s="8">
        <f t="shared" si="2"/>
        <v>130</v>
      </c>
      <c r="BP5" s="8">
        <f t="shared" si="3"/>
        <v>23</v>
      </c>
      <c r="BQ5" s="8">
        <f t="shared" si="4"/>
        <v>137</v>
      </c>
      <c r="BR5" s="8">
        <f t="shared" si="5"/>
        <v>122</v>
      </c>
      <c r="BS5" s="15">
        <f t="shared" si="6"/>
        <v>31.337472896814429</v>
      </c>
      <c r="BT5" s="15" t="str">
        <f t="shared" si="7"/>
        <v>OK - No Upgrade</v>
      </c>
      <c r="BU5" s="15" t="str">
        <f t="shared" si="8"/>
        <v>OK - Balanced</v>
      </c>
    </row>
    <row r="6" spans="1:73" ht="15.75" customHeight="1" x14ac:dyDescent="0.25">
      <c r="A6" s="8" t="s">
        <v>1371</v>
      </c>
      <c r="B6" s="8" t="s">
        <v>1371</v>
      </c>
      <c r="C6" s="8" t="s">
        <v>40</v>
      </c>
      <c r="D6" s="8" t="s">
        <v>1376</v>
      </c>
      <c r="E6" s="8" t="s">
        <v>469</v>
      </c>
      <c r="F6" s="8" t="s">
        <v>43</v>
      </c>
      <c r="G6" s="8"/>
      <c r="H6" s="8">
        <v>100</v>
      </c>
      <c r="I6" s="8" t="s">
        <v>1377</v>
      </c>
      <c r="J6" s="8">
        <v>1</v>
      </c>
      <c r="K6" s="8">
        <v>245</v>
      </c>
      <c r="L6" s="8">
        <v>242</v>
      </c>
      <c r="M6" s="8">
        <v>244</v>
      </c>
      <c r="N6" s="8">
        <v>418</v>
      </c>
      <c r="O6" s="8">
        <v>417</v>
      </c>
      <c r="P6" s="8">
        <v>420</v>
      </c>
      <c r="Q6" s="9" t="s">
        <v>46</v>
      </c>
      <c r="R6" s="16"/>
      <c r="S6" s="10">
        <v>15</v>
      </c>
      <c r="T6" s="10">
        <v>41</v>
      </c>
      <c r="U6" s="10">
        <v>172</v>
      </c>
      <c r="V6" s="11">
        <v>7</v>
      </c>
      <c r="W6" s="12"/>
      <c r="X6" s="17"/>
      <c r="Y6" s="13"/>
      <c r="Z6" s="13"/>
      <c r="AA6" s="13"/>
      <c r="AB6" s="14"/>
      <c r="AC6" s="9"/>
      <c r="AD6" s="16"/>
      <c r="AE6" s="10"/>
      <c r="AF6" s="10"/>
      <c r="AG6" s="10"/>
      <c r="AH6" s="11"/>
      <c r="AI6" s="12"/>
      <c r="AJ6" s="17"/>
      <c r="AK6" s="13"/>
      <c r="AL6" s="13"/>
      <c r="AM6" s="13"/>
      <c r="AN6" s="14"/>
      <c r="AO6" s="9"/>
      <c r="AP6" s="16"/>
      <c r="AQ6" s="10"/>
      <c r="AR6" s="10"/>
      <c r="AS6" s="10"/>
      <c r="AT6" s="11"/>
      <c r="AU6" s="12"/>
      <c r="AV6" s="17"/>
      <c r="AW6" s="13"/>
      <c r="AX6" s="13"/>
      <c r="AY6" s="13"/>
      <c r="AZ6" s="14"/>
      <c r="BA6" s="9"/>
      <c r="BB6" s="16"/>
      <c r="BC6" s="10"/>
      <c r="BD6" s="10"/>
      <c r="BE6" s="10"/>
      <c r="BF6" s="11"/>
      <c r="BG6" s="12"/>
      <c r="BH6" s="17"/>
      <c r="BI6" s="13"/>
      <c r="BJ6" s="13"/>
      <c r="BK6" s="13"/>
      <c r="BL6" s="14"/>
      <c r="BM6" s="8">
        <f t="shared" si="0"/>
        <v>15</v>
      </c>
      <c r="BN6" s="8">
        <f t="shared" si="1"/>
        <v>41</v>
      </c>
      <c r="BO6" s="8">
        <f t="shared" si="2"/>
        <v>172</v>
      </c>
      <c r="BP6" s="8">
        <f t="shared" si="3"/>
        <v>7</v>
      </c>
      <c r="BQ6" s="8">
        <f t="shared" si="4"/>
        <v>172</v>
      </c>
      <c r="BR6" s="8">
        <f t="shared" si="5"/>
        <v>15</v>
      </c>
      <c r="BS6" s="15">
        <f t="shared" si="6"/>
        <v>124.52752486097198</v>
      </c>
      <c r="BT6" s="15" t="str">
        <f t="shared" si="7"/>
        <v>Upgrade</v>
      </c>
      <c r="BU6" s="15" t="str">
        <f t="shared" si="8"/>
        <v>Need to Balance</v>
      </c>
    </row>
    <row r="7" spans="1:73" ht="15.75" customHeight="1" x14ac:dyDescent="0.25">
      <c r="A7" s="8" t="s">
        <v>1371</v>
      </c>
      <c r="B7" s="8" t="s">
        <v>1371</v>
      </c>
      <c r="C7" s="8" t="s">
        <v>40</v>
      </c>
      <c r="D7" s="8" t="s">
        <v>1378</v>
      </c>
      <c r="E7" s="8" t="s">
        <v>44</v>
      </c>
      <c r="F7" s="8" t="s">
        <v>43</v>
      </c>
      <c r="G7" s="8"/>
      <c r="H7" s="8">
        <v>315</v>
      </c>
      <c r="I7" s="8" t="s">
        <v>1379</v>
      </c>
      <c r="J7" s="8">
        <v>1</v>
      </c>
      <c r="K7" s="8">
        <v>247</v>
      </c>
      <c r="L7" s="8">
        <v>246</v>
      </c>
      <c r="M7" s="8">
        <v>247</v>
      </c>
      <c r="N7" s="8">
        <v>424</v>
      </c>
      <c r="O7" s="8">
        <v>424</v>
      </c>
      <c r="P7" s="8">
        <v>424</v>
      </c>
      <c r="Q7" s="9" t="s">
        <v>46</v>
      </c>
      <c r="R7" s="16"/>
      <c r="S7" s="10">
        <v>154</v>
      </c>
      <c r="T7" s="10">
        <v>269</v>
      </c>
      <c r="U7" s="10">
        <v>250</v>
      </c>
      <c r="V7" s="11">
        <v>98</v>
      </c>
      <c r="W7" s="12" t="s">
        <v>46</v>
      </c>
      <c r="X7" s="17"/>
      <c r="Y7" s="13">
        <v>137</v>
      </c>
      <c r="Z7" s="13">
        <v>82</v>
      </c>
      <c r="AA7" s="13">
        <v>87</v>
      </c>
      <c r="AB7" s="14">
        <v>21</v>
      </c>
      <c r="AC7" s="9"/>
      <c r="AD7" s="16"/>
      <c r="AE7" s="10"/>
      <c r="AF7" s="10"/>
      <c r="AG7" s="10"/>
      <c r="AH7" s="11"/>
      <c r="AI7" s="12"/>
      <c r="AJ7" s="17"/>
      <c r="AK7" s="13"/>
      <c r="AL7" s="13"/>
      <c r="AM7" s="13"/>
      <c r="AN7" s="14"/>
      <c r="AO7" s="9"/>
      <c r="AP7" s="16"/>
      <c r="AQ7" s="10"/>
      <c r="AR7" s="10"/>
      <c r="AS7" s="10"/>
      <c r="AT7" s="11"/>
      <c r="AU7" s="12"/>
      <c r="AV7" s="17"/>
      <c r="AW7" s="13"/>
      <c r="AX7" s="13"/>
      <c r="AY7" s="13"/>
      <c r="AZ7" s="14"/>
      <c r="BA7" s="9"/>
      <c r="BB7" s="16"/>
      <c r="BC7" s="10"/>
      <c r="BD7" s="10"/>
      <c r="BE7" s="10"/>
      <c r="BF7" s="11"/>
      <c r="BG7" s="12"/>
      <c r="BH7" s="17"/>
      <c r="BI7" s="13"/>
      <c r="BJ7" s="13"/>
      <c r="BK7" s="13"/>
      <c r="BL7" s="14"/>
      <c r="BM7" s="8">
        <f t="shared" si="0"/>
        <v>291</v>
      </c>
      <c r="BN7" s="8">
        <f t="shared" si="1"/>
        <v>351</v>
      </c>
      <c r="BO7" s="8">
        <f t="shared" si="2"/>
        <v>337</v>
      </c>
      <c r="BP7" s="8">
        <f t="shared" si="3"/>
        <v>119</v>
      </c>
      <c r="BQ7" s="8">
        <f t="shared" si="4"/>
        <v>351</v>
      </c>
      <c r="BR7" s="8">
        <f t="shared" si="5"/>
        <v>291</v>
      </c>
      <c r="BS7" s="15">
        <f t="shared" si="6"/>
        <v>81.831977582739881</v>
      </c>
      <c r="BT7" s="15" t="str">
        <f t="shared" si="7"/>
        <v>Upgrade</v>
      </c>
      <c r="BU7" s="15" t="str">
        <f t="shared" si="8"/>
        <v>OK - Balanced</v>
      </c>
    </row>
    <row r="8" spans="1:73" ht="15.75" customHeight="1" x14ac:dyDescent="0.25">
      <c r="A8" s="8" t="s">
        <v>1371</v>
      </c>
      <c r="B8" s="8" t="s">
        <v>1371</v>
      </c>
      <c r="C8" s="8" t="s">
        <v>40</v>
      </c>
      <c r="D8" s="8" t="s">
        <v>1380</v>
      </c>
      <c r="E8" s="8" t="s">
        <v>1381</v>
      </c>
      <c r="F8" s="8" t="s">
        <v>43</v>
      </c>
      <c r="G8" s="8"/>
      <c r="H8" s="8">
        <v>315</v>
      </c>
      <c r="I8" s="8" t="s">
        <v>1382</v>
      </c>
      <c r="J8" s="8">
        <v>1</v>
      </c>
      <c r="K8" s="8">
        <v>252</v>
      </c>
      <c r="L8" s="8">
        <v>254</v>
      </c>
      <c r="M8" s="8">
        <v>253</v>
      </c>
      <c r="N8" s="8">
        <v>432</v>
      </c>
      <c r="O8" s="8">
        <v>433</v>
      </c>
      <c r="P8" s="8">
        <v>434</v>
      </c>
      <c r="Q8" s="9" t="s">
        <v>47</v>
      </c>
      <c r="R8" s="16"/>
      <c r="S8" s="10">
        <v>300</v>
      </c>
      <c r="T8" s="10">
        <v>200</v>
      </c>
      <c r="U8" s="10">
        <v>258</v>
      </c>
      <c r="V8" s="11">
        <v>66</v>
      </c>
      <c r="W8" s="12" t="s">
        <v>47</v>
      </c>
      <c r="X8" s="17"/>
      <c r="Y8" s="13">
        <v>63</v>
      </c>
      <c r="Z8" s="13">
        <v>65</v>
      </c>
      <c r="AA8" s="13">
        <v>55</v>
      </c>
      <c r="AB8" s="14">
        <v>14</v>
      </c>
      <c r="AC8" s="9"/>
      <c r="AD8" s="16"/>
      <c r="AE8" s="10"/>
      <c r="AF8" s="10"/>
      <c r="AG8" s="10"/>
      <c r="AH8" s="11"/>
      <c r="AI8" s="12"/>
      <c r="AJ8" s="17"/>
      <c r="AK8" s="13"/>
      <c r="AL8" s="13"/>
      <c r="AM8" s="13"/>
      <c r="AN8" s="14"/>
      <c r="AO8" s="9"/>
      <c r="AP8" s="16"/>
      <c r="AQ8" s="10"/>
      <c r="AR8" s="10"/>
      <c r="AS8" s="10"/>
      <c r="AT8" s="11"/>
      <c r="AU8" s="12"/>
      <c r="AV8" s="17"/>
      <c r="AW8" s="13"/>
      <c r="AX8" s="13"/>
      <c r="AY8" s="13"/>
      <c r="AZ8" s="14"/>
      <c r="BA8" s="9"/>
      <c r="BB8" s="16"/>
      <c r="BC8" s="10"/>
      <c r="BD8" s="10"/>
      <c r="BE8" s="10"/>
      <c r="BF8" s="11"/>
      <c r="BG8" s="12"/>
      <c r="BH8" s="17"/>
      <c r="BI8" s="13"/>
      <c r="BJ8" s="13"/>
      <c r="BK8" s="13"/>
      <c r="BL8" s="14"/>
      <c r="BM8" s="8">
        <f t="shared" si="0"/>
        <v>363</v>
      </c>
      <c r="BN8" s="8">
        <f t="shared" si="1"/>
        <v>265</v>
      </c>
      <c r="BO8" s="8">
        <f t="shared" si="2"/>
        <v>313</v>
      </c>
      <c r="BP8" s="8">
        <f t="shared" si="3"/>
        <v>80</v>
      </c>
      <c r="BQ8" s="8">
        <f t="shared" si="4"/>
        <v>363</v>
      </c>
      <c r="BR8" s="8">
        <f t="shared" si="5"/>
        <v>265</v>
      </c>
      <c r="BS8" s="15">
        <f t="shared" si="6"/>
        <v>86.226437917371769</v>
      </c>
      <c r="BT8" s="15" t="str">
        <f t="shared" si="7"/>
        <v>Upgrade</v>
      </c>
      <c r="BU8" s="15" t="str">
        <f t="shared" si="8"/>
        <v>Need to Balance</v>
      </c>
    </row>
    <row r="9" spans="1:73" ht="15.75" customHeight="1" x14ac:dyDescent="0.25">
      <c r="A9" s="8" t="s">
        <v>1371</v>
      </c>
      <c r="B9" s="8" t="s">
        <v>1371</v>
      </c>
      <c r="C9" s="8" t="s">
        <v>40</v>
      </c>
      <c r="D9" s="8" t="s">
        <v>1383</v>
      </c>
      <c r="E9" s="8" t="s">
        <v>1384</v>
      </c>
      <c r="F9" s="8" t="s">
        <v>56</v>
      </c>
      <c r="G9" s="8"/>
      <c r="H9" s="8">
        <v>500</v>
      </c>
      <c r="I9" s="8" t="s">
        <v>1385</v>
      </c>
      <c r="J9" s="8">
        <v>1</v>
      </c>
      <c r="K9" s="8">
        <v>244</v>
      </c>
      <c r="L9" s="8">
        <v>245</v>
      </c>
      <c r="M9" s="8">
        <v>245</v>
      </c>
      <c r="N9" s="8">
        <v>416</v>
      </c>
      <c r="O9" s="8">
        <v>417</v>
      </c>
      <c r="P9" s="8">
        <v>419</v>
      </c>
      <c r="Q9" s="9" t="s">
        <v>47</v>
      </c>
      <c r="R9" s="16"/>
      <c r="S9" s="10">
        <v>127</v>
      </c>
      <c r="T9" s="10">
        <v>83</v>
      </c>
      <c r="U9" s="10">
        <v>57</v>
      </c>
      <c r="V9" s="11">
        <v>58</v>
      </c>
      <c r="W9" s="12" t="s">
        <v>47</v>
      </c>
      <c r="X9" s="17"/>
      <c r="Y9" s="13">
        <v>96</v>
      </c>
      <c r="Z9" s="13">
        <v>116</v>
      </c>
      <c r="AA9" s="13">
        <v>98</v>
      </c>
      <c r="AB9" s="14">
        <v>40</v>
      </c>
      <c r="AC9" s="9" t="s">
        <v>47</v>
      </c>
      <c r="AD9" s="16"/>
      <c r="AE9" s="10">
        <v>108</v>
      </c>
      <c r="AF9" s="10">
        <v>60</v>
      </c>
      <c r="AG9" s="10">
        <v>65</v>
      </c>
      <c r="AH9" s="11">
        <v>23</v>
      </c>
      <c r="AI9" s="12"/>
      <c r="AJ9" s="17"/>
      <c r="AK9" s="13"/>
      <c r="AL9" s="13"/>
      <c r="AM9" s="13"/>
      <c r="AN9" s="14"/>
      <c r="AO9" s="9"/>
      <c r="AP9" s="16"/>
      <c r="AQ9" s="10"/>
      <c r="AR9" s="10"/>
      <c r="AS9" s="10"/>
      <c r="AT9" s="11"/>
      <c r="AU9" s="12"/>
      <c r="AV9" s="17"/>
      <c r="AW9" s="13"/>
      <c r="AX9" s="13"/>
      <c r="AY9" s="13"/>
      <c r="AZ9" s="14"/>
      <c r="BA9" s="9"/>
      <c r="BB9" s="16"/>
      <c r="BC9" s="10"/>
      <c r="BD9" s="10"/>
      <c r="BE9" s="10"/>
      <c r="BF9" s="11"/>
      <c r="BG9" s="12"/>
      <c r="BH9" s="17"/>
      <c r="BI9" s="13"/>
      <c r="BJ9" s="13"/>
      <c r="BK9" s="13"/>
      <c r="BL9" s="14"/>
      <c r="BM9" s="8">
        <f t="shared" si="0"/>
        <v>331</v>
      </c>
      <c r="BN9" s="8">
        <f t="shared" si="1"/>
        <v>259</v>
      </c>
      <c r="BO9" s="8">
        <f t="shared" si="2"/>
        <v>220</v>
      </c>
      <c r="BP9" s="8">
        <f t="shared" si="3"/>
        <v>121</v>
      </c>
      <c r="BQ9" s="8">
        <f t="shared" si="4"/>
        <v>331</v>
      </c>
      <c r="BR9" s="8">
        <f t="shared" si="5"/>
        <v>220</v>
      </c>
      <c r="BS9" s="15">
        <f t="shared" si="6"/>
        <v>47.699293599800825</v>
      </c>
      <c r="BT9" s="15" t="str">
        <f t="shared" si="7"/>
        <v>OK - No Upgrade</v>
      </c>
      <c r="BU9" s="15" t="str">
        <f t="shared" si="8"/>
        <v>Need to Balance</v>
      </c>
    </row>
    <row r="10" spans="1:73" ht="15.75" customHeight="1" x14ac:dyDescent="0.25">
      <c r="A10" s="8" t="s">
        <v>1371</v>
      </c>
      <c r="B10" s="8" t="s">
        <v>1371</v>
      </c>
      <c r="C10" s="8" t="s">
        <v>265</v>
      </c>
      <c r="D10" s="8" t="s">
        <v>1386</v>
      </c>
      <c r="E10" s="8" t="s">
        <v>611</v>
      </c>
      <c r="F10" s="8" t="s">
        <v>56</v>
      </c>
      <c r="G10" s="8"/>
      <c r="H10" s="8">
        <v>500</v>
      </c>
      <c r="I10" s="8" t="s">
        <v>1387</v>
      </c>
      <c r="J10" s="8">
        <v>1</v>
      </c>
      <c r="K10" s="8">
        <v>241</v>
      </c>
      <c r="L10" s="8">
        <v>240</v>
      </c>
      <c r="M10" s="8">
        <v>241</v>
      </c>
      <c r="N10" s="8">
        <v>412</v>
      </c>
      <c r="O10" s="8">
        <v>413</v>
      </c>
      <c r="P10" s="8">
        <v>414</v>
      </c>
      <c r="Q10" s="9"/>
      <c r="R10" s="16"/>
      <c r="S10" s="10"/>
      <c r="T10" s="10"/>
      <c r="U10" s="10"/>
      <c r="V10" s="11"/>
      <c r="W10" s="12"/>
      <c r="X10" s="17"/>
      <c r="Y10" s="13"/>
      <c r="Z10" s="13"/>
      <c r="AA10" s="13"/>
      <c r="AB10" s="14"/>
      <c r="AC10" s="9"/>
      <c r="AD10" s="16"/>
      <c r="AE10" s="10"/>
      <c r="AF10" s="10"/>
      <c r="AG10" s="10"/>
      <c r="AH10" s="11"/>
      <c r="AI10" s="12"/>
      <c r="AJ10" s="17"/>
      <c r="AK10" s="13"/>
      <c r="AL10" s="13"/>
      <c r="AM10" s="13"/>
      <c r="AN10" s="14"/>
      <c r="AO10" s="9"/>
      <c r="AP10" s="16"/>
      <c r="AQ10" s="10"/>
      <c r="AR10" s="10"/>
      <c r="AS10" s="10"/>
      <c r="AT10" s="11"/>
      <c r="AU10" s="12"/>
      <c r="AV10" s="17"/>
      <c r="AW10" s="13"/>
      <c r="AX10" s="13"/>
      <c r="AY10" s="13"/>
      <c r="AZ10" s="14"/>
      <c r="BA10" s="9"/>
      <c r="BB10" s="16"/>
      <c r="BC10" s="10"/>
      <c r="BD10" s="10"/>
      <c r="BE10" s="10"/>
      <c r="BF10" s="11"/>
      <c r="BG10" s="12"/>
      <c r="BH10" s="17"/>
      <c r="BI10" s="13"/>
      <c r="BJ10" s="13"/>
      <c r="BK10" s="13"/>
      <c r="BL10" s="14"/>
      <c r="BM10" s="8">
        <f t="shared" si="0"/>
        <v>0</v>
      </c>
      <c r="BN10" s="8">
        <f t="shared" si="1"/>
        <v>0</v>
      </c>
      <c r="BO10" s="8">
        <f t="shared" si="2"/>
        <v>0</v>
      </c>
      <c r="BP10" s="8">
        <f t="shared" si="3"/>
        <v>0</v>
      </c>
      <c r="BQ10" s="8">
        <f t="shared" si="4"/>
        <v>0</v>
      </c>
      <c r="BR10" s="8">
        <f t="shared" si="5"/>
        <v>0</v>
      </c>
      <c r="BS10" s="15">
        <f t="shared" si="6"/>
        <v>0</v>
      </c>
      <c r="BT10" s="15" t="str">
        <f t="shared" si="7"/>
        <v>OK - No Upgrade</v>
      </c>
      <c r="BU10" s="15" t="str">
        <f t="shared" si="8"/>
        <v>OK - Balanced</v>
      </c>
    </row>
    <row r="11" spans="1:73" ht="15.75" customHeight="1" x14ac:dyDescent="0.25">
      <c r="A11" s="8" t="s">
        <v>1371</v>
      </c>
      <c r="B11" s="8" t="s">
        <v>1371</v>
      </c>
      <c r="C11" s="8" t="s">
        <v>265</v>
      </c>
      <c r="D11" s="8" t="s">
        <v>1388</v>
      </c>
      <c r="E11" s="8" t="s">
        <v>622</v>
      </c>
      <c r="F11" s="8" t="s">
        <v>56</v>
      </c>
      <c r="G11" s="8"/>
      <c r="H11" s="8">
        <v>500</v>
      </c>
      <c r="I11" s="8" t="s">
        <v>1389</v>
      </c>
      <c r="J11" s="8">
        <v>1</v>
      </c>
      <c r="K11" s="8">
        <v>246</v>
      </c>
      <c r="L11" s="8">
        <v>246</v>
      </c>
      <c r="M11" s="8">
        <v>245</v>
      </c>
      <c r="N11" s="8">
        <v>420</v>
      </c>
      <c r="O11" s="8">
        <v>420</v>
      </c>
      <c r="P11" s="8">
        <v>421</v>
      </c>
      <c r="Q11" s="9" t="s">
        <v>70</v>
      </c>
      <c r="R11" s="16"/>
      <c r="S11" s="10">
        <v>45</v>
      </c>
      <c r="T11" s="10">
        <v>40</v>
      </c>
      <c r="U11" s="10">
        <v>30</v>
      </c>
      <c r="V11" s="11">
        <v>22</v>
      </c>
      <c r="W11" s="12"/>
      <c r="X11" s="17"/>
      <c r="Y11" s="13"/>
      <c r="Z11" s="13"/>
      <c r="AA11" s="13"/>
      <c r="AB11" s="14"/>
      <c r="AC11" s="9"/>
      <c r="AD11" s="16"/>
      <c r="AE11" s="10"/>
      <c r="AF11" s="10"/>
      <c r="AG11" s="10"/>
      <c r="AH11" s="11"/>
      <c r="AI11" s="12"/>
      <c r="AJ11" s="17"/>
      <c r="AK11" s="13"/>
      <c r="AL11" s="13"/>
      <c r="AM11" s="13"/>
      <c r="AN11" s="14"/>
      <c r="AO11" s="9"/>
      <c r="AP11" s="16"/>
      <c r="AQ11" s="10"/>
      <c r="AR11" s="10"/>
      <c r="AS11" s="10"/>
      <c r="AT11" s="11"/>
      <c r="AU11" s="12"/>
      <c r="AV11" s="17"/>
      <c r="AW11" s="13"/>
      <c r="AX11" s="13"/>
      <c r="AY11" s="13"/>
      <c r="AZ11" s="14"/>
      <c r="BA11" s="9"/>
      <c r="BB11" s="16"/>
      <c r="BC11" s="10"/>
      <c r="BD11" s="10"/>
      <c r="BE11" s="10"/>
      <c r="BF11" s="11"/>
      <c r="BG11" s="12"/>
      <c r="BH11" s="17"/>
      <c r="BI11" s="13"/>
      <c r="BJ11" s="13"/>
      <c r="BK11" s="13"/>
      <c r="BL11" s="14"/>
      <c r="BM11" s="8">
        <f t="shared" si="0"/>
        <v>45</v>
      </c>
      <c r="BN11" s="8">
        <f t="shared" si="1"/>
        <v>40</v>
      </c>
      <c r="BO11" s="8">
        <f t="shared" si="2"/>
        <v>30</v>
      </c>
      <c r="BP11" s="8">
        <f t="shared" si="3"/>
        <v>22</v>
      </c>
      <c r="BQ11" s="8">
        <f t="shared" si="4"/>
        <v>45</v>
      </c>
      <c r="BR11" s="8">
        <f t="shared" si="5"/>
        <v>30</v>
      </c>
      <c r="BS11" s="15">
        <f t="shared" si="6"/>
        <v>6.5471520526103566</v>
      </c>
      <c r="BT11" s="15" t="str">
        <f t="shared" si="7"/>
        <v>OK - No Upgrade</v>
      </c>
      <c r="BU11" s="15" t="str">
        <f t="shared" si="8"/>
        <v>Need to Balance</v>
      </c>
    </row>
    <row r="12" spans="1:73" ht="15.75" customHeight="1" x14ac:dyDescent="0.25">
      <c r="A12" s="8" t="s">
        <v>1371</v>
      </c>
      <c r="B12" s="8" t="s">
        <v>1371</v>
      </c>
      <c r="C12" s="8" t="s">
        <v>265</v>
      </c>
      <c r="D12" s="8" t="s">
        <v>1390</v>
      </c>
      <c r="E12" s="8" t="s">
        <v>1139</v>
      </c>
      <c r="F12" s="8" t="s">
        <v>56</v>
      </c>
      <c r="G12" s="8"/>
      <c r="H12" s="8">
        <v>1000</v>
      </c>
      <c r="I12" s="8" t="s">
        <v>1391</v>
      </c>
      <c r="J12" s="8">
        <v>1</v>
      </c>
      <c r="K12" s="8">
        <v>238</v>
      </c>
      <c r="L12" s="8">
        <v>237</v>
      </c>
      <c r="M12" s="8">
        <v>238</v>
      </c>
      <c r="N12" s="8">
        <v>402</v>
      </c>
      <c r="O12" s="8">
        <v>402</v>
      </c>
      <c r="P12" s="8">
        <v>403</v>
      </c>
      <c r="Q12" s="9"/>
      <c r="R12" s="16"/>
      <c r="S12" s="10">
        <v>720</v>
      </c>
      <c r="T12" s="10">
        <v>931</v>
      </c>
      <c r="U12" s="10">
        <v>752</v>
      </c>
      <c r="V12" s="11">
        <v>100</v>
      </c>
      <c r="W12" s="12"/>
      <c r="X12" s="17"/>
      <c r="Y12" s="13"/>
      <c r="Z12" s="13"/>
      <c r="AA12" s="13"/>
      <c r="AB12" s="14"/>
      <c r="AC12" s="9"/>
      <c r="AD12" s="16"/>
      <c r="AE12" s="10"/>
      <c r="AF12" s="10"/>
      <c r="AG12" s="10"/>
      <c r="AH12" s="11"/>
      <c r="AI12" s="12"/>
      <c r="AJ12" s="17"/>
      <c r="AK12" s="13"/>
      <c r="AL12" s="13"/>
      <c r="AM12" s="13"/>
      <c r="AN12" s="14"/>
      <c r="AO12" s="9"/>
      <c r="AP12" s="16"/>
      <c r="AQ12" s="10"/>
      <c r="AR12" s="10"/>
      <c r="AS12" s="10"/>
      <c r="AT12" s="11"/>
      <c r="AU12" s="12"/>
      <c r="AV12" s="17"/>
      <c r="AW12" s="13"/>
      <c r="AX12" s="13"/>
      <c r="AY12" s="13"/>
      <c r="AZ12" s="14"/>
      <c r="BA12" s="9"/>
      <c r="BB12" s="16"/>
      <c r="BC12" s="10"/>
      <c r="BD12" s="10"/>
      <c r="BE12" s="10"/>
      <c r="BF12" s="11"/>
      <c r="BG12" s="12"/>
      <c r="BH12" s="17"/>
      <c r="BI12" s="13"/>
      <c r="BJ12" s="13"/>
      <c r="BK12" s="13"/>
      <c r="BL12" s="14"/>
      <c r="BM12" s="8">
        <f t="shared" si="0"/>
        <v>720</v>
      </c>
      <c r="BN12" s="8">
        <f t="shared" si="1"/>
        <v>931</v>
      </c>
      <c r="BO12" s="8">
        <f t="shared" si="2"/>
        <v>752</v>
      </c>
      <c r="BP12" s="8">
        <f t="shared" si="3"/>
        <v>100</v>
      </c>
      <c r="BQ12" s="8">
        <f t="shared" si="4"/>
        <v>931</v>
      </c>
      <c r="BR12" s="8">
        <f t="shared" si="5"/>
        <v>720</v>
      </c>
      <c r="BS12" s="15">
        <f t="shared" si="6"/>
        <v>64.824079934234319</v>
      </c>
      <c r="BT12" s="15" t="str">
        <f t="shared" si="7"/>
        <v>OK - No Upgrade</v>
      </c>
      <c r="BU12" s="15" t="str">
        <f t="shared" si="8"/>
        <v>Need to Balance</v>
      </c>
    </row>
    <row r="13" spans="1:73" ht="15.75" customHeight="1" x14ac:dyDescent="0.25">
      <c r="A13" s="8" t="s">
        <v>1371</v>
      </c>
      <c r="B13" s="8" t="s">
        <v>1371</v>
      </c>
      <c r="C13" s="8" t="s">
        <v>265</v>
      </c>
      <c r="D13" s="8" t="s">
        <v>1392</v>
      </c>
      <c r="E13" s="8" t="s">
        <v>440</v>
      </c>
      <c r="F13" s="8" t="s">
        <v>43</v>
      </c>
      <c r="G13" s="8"/>
      <c r="H13" s="8">
        <v>315</v>
      </c>
      <c r="I13" s="8" t="s">
        <v>1393</v>
      </c>
      <c r="J13" s="8">
        <v>1</v>
      </c>
      <c r="K13" s="8">
        <v>239</v>
      </c>
      <c r="L13" s="8">
        <v>240</v>
      </c>
      <c r="M13" s="8">
        <v>242</v>
      </c>
      <c r="N13" s="8">
        <v>412</v>
      </c>
      <c r="O13" s="8">
        <v>414</v>
      </c>
      <c r="P13" s="8">
        <v>414</v>
      </c>
      <c r="Q13" s="9" t="s">
        <v>47</v>
      </c>
      <c r="R13" s="16"/>
      <c r="S13" s="10">
        <v>88</v>
      </c>
      <c r="T13" s="10">
        <v>66</v>
      </c>
      <c r="U13" s="10">
        <v>54</v>
      </c>
      <c r="V13" s="11">
        <v>23</v>
      </c>
      <c r="W13" s="12"/>
      <c r="X13" s="17"/>
      <c r="Y13" s="13">
        <v>0</v>
      </c>
      <c r="Z13" s="13">
        <v>0</v>
      </c>
      <c r="AA13" s="13">
        <v>0</v>
      </c>
      <c r="AB13" s="14">
        <v>0</v>
      </c>
      <c r="AC13" s="9"/>
      <c r="AD13" s="16"/>
      <c r="AE13" s="10"/>
      <c r="AF13" s="10"/>
      <c r="AG13" s="10"/>
      <c r="AH13" s="11"/>
      <c r="AI13" s="12"/>
      <c r="AJ13" s="17"/>
      <c r="AK13" s="13"/>
      <c r="AL13" s="13"/>
      <c r="AM13" s="13"/>
      <c r="AN13" s="14"/>
      <c r="AO13" s="9"/>
      <c r="AP13" s="16"/>
      <c r="AQ13" s="10"/>
      <c r="AR13" s="10"/>
      <c r="AS13" s="10"/>
      <c r="AT13" s="11"/>
      <c r="AU13" s="12"/>
      <c r="AV13" s="17"/>
      <c r="AW13" s="13"/>
      <c r="AX13" s="13"/>
      <c r="AY13" s="13"/>
      <c r="AZ13" s="14"/>
      <c r="BA13" s="9"/>
      <c r="BB13" s="16"/>
      <c r="BC13" s="10"/>
      <c r="BD13" s="10"/>
      <c r="BE13" s="10"/>
      <c r="BF13" s="11"/>
      <c r="BG13" s="12"/>
      <c r="BH13" s="17"/>
      <c r="BI13" s="13"/>
      <c r="BJ13" s="13"/>
      <c r="BK13" s="13"/>
      <c r="BL13" s="14"/>
      <c r="BM13" s="8">
        <f t="shared" si="0"/>
        <v>88</v>
      </c>
      <c r="BN13" s="8">
        <f t="shared" si="1"/>
        <v>66</v>
      </c>
      <c r="BO13" s="8">
        <f t="shared" si="2"/>
        <v>54</v>
      </c>
      <c r="BP13" s="8">
        <f t="shared" si="3"/>
        <v>23</v>
      </c>
      <c r="BQ13" s="8">
        <f t="shared" si="4"/>
        <v>88</v>
      </c>
      <c r="BR13" s="8">
        <f t="shared" si="5"/>
        <v>54</v>
      </c>
      <c r="BS13" s="15">
        <f t="shared" si="6"/>
        <v>19.935629866418161</v>
      </c>
      <c r="BT13" s="15" t="str">
        <f t="shared" si="7"/>
        <v>OK - No Upgrade</v>
      </c>
      <c r="BU13" s="15" t="str">
        <f t="shared" si="8"/>
        <v>Need to Balance</v>
      </c>
    </row>
    <row r="14" spans="1:73" ht="15.75" customHeight="1" x14ac:dyDescent="0.25">
      <c r="A14" s="8" t="s">
        <v>1371</v>
      </c>
      <c r="B14" s="8" t="s">
        <v>1371</v>
      </c>
      <c r="C14" s="8" t="s">
        <v>265</v>
      </c>
      <c r="D14" s="8" t="s">
        <v>1394</v>
      </c>
      <c r="E14" s="8" t="s">
        <v>436</v>
      </c>
      <c r="F14" s="8" t="s">
        <v>43</v>
      </c>
      <c r="G14" s="8"/>
      <c r="H14" s="8">
        <v>315</v>
      </c>
      <c r="I14" s="8" t="s">
        <v>1395</v>
      </c>
      <c r="J14" s="8">
        <v>1</v>
      </c>
      <c r="K14" s="8">
        <v>237</v>
      </c>
      <c r="L14" s="8">
        <v>238</v>
      </c>
      <c r="M14" s="8">
        <v>238</v>
      </c>
      <c r="N14" s="8">
        <v>406</v>
      </c>
      <c r="O14" s="8">
        <v>403</v>
      </c>
      <c r="P14" s="8">
        <v>407</v>
      </c>
      <c r="Q14" s="9" t="s">
        <v>46</v>
      </c>
      <c r="R14" s="16"/>
      <c r="S14" s="10">
        <v>151</v>
      </c>
      <c r="T14" s="10">
        <v>236</v>
      </c>
      <c r="U14" s="10">
        <v>142</v>
      </c>
      <c r="V14" s="11">
        <v>35</v>
      </c>
      <c r="W14" s="12" t="s">
        <v>46</v>
      </c>
      <c r="X14" s="17"/>
      <c r="Y14" s="13">
        <v>15</v>
      </c>
      <c r="Z14" s="13">
        <v>10</v>
      </c>
      <c r="AA14" s="13">
        <v>11</v>
      </c>
      <c r="AB14" s="14">
        <v>4</v>
      </c>
      <c r="AC14" s="9"/>
      <c r="AD14" s="16"/>
      <c r="AE14" s="10"/>
      <c r="AF14" s="10"/>
      <c r="AG14" s="10"/>
      <c r="AH14" s="11"/>
      <c r="AI14" s="12"/>
      <c r="AJ14" s="17"/>
      <c r="AK14" s="13"/>
      <c r="AL14" s="13"/>
      <c r="AM14" s="13"/>
      <c r="AN14" s="14"/>
      <c r="AO14" s="9"/>
      <c r="AP14" s="16"/>
      <c r="AQ14" s="10"/>
      <c r="AR14" s="10"/>
      <c r="AS14" s="10"/>
      <c r="AT14" s="11"/>
      <c r="AU14" s="12"/>
      <c r="AV14" s="17"/>
      <c r="AW14" s="13"/>
      <c r="AX14" s="13"/>
      <c r="AY14" s="13"/>
      <c r="AZ14" s="14"/>
      <c r="BA14" s="9"/>
      <c r="BB14" s="16"/>
      <c r="BC14" s="10"/>
      <c r="BD14" s="10"/>
      <c r="BE14" s="10"/>
      <c r="BF14" s="11"/>
      <c r="BG14" s="12"/>
      <c r="BH14" s="17"/>
      <c r="BI14" s="13"/>
      <c r="BJ14" s="13"/>
      <c r="BK14" s="13"/>
      <c r="BL14" s="14"/>
      <c r="BM14" s="8">
        <f t="shared" si="0"/>
        <v>166</v>
      </c>
      <c r="BN14" s="8">
        <f t="shared" si="1"/>
        <v>246</v>
      </c>
      <c r="BO14" s="8">
        <f t="shared" si="2"/>
        <v>153</v>
      </c>
      <c r="BP14" s="8">
        <f t="shared" si="3"/>
        <v>39</v>
      </c>
      <c r="BQ14" s="8">
        <f t="shared" si="4"/>
        <v>246</v>
      </c>
      <c r="BR14" s="8">
        <f t="shared" si="5"/>
        <v>153</v>
      </c>
      <c r="BS14" s="15">
        <f t="shared" si="6"/>
        <v>54.917557605317199</v>
      </c>
      <c r="BT14" s="15" t="str">
        <f t="shared" si="7"/>
        <v>OK - No Upgrade</v>
      </c>
      <c r="BU14" s="15" t="str">
        <f t="shared" si="8"/>
        <v>Need to Balance</v>
      </c>
    </row>
    <row r="15" spans="1:73" ht="15.75" customHeight="1" x14ac:dyDescent="0.25">
      <c r="A15" s="8" t="s">
        <v>1371</v>
      </c>
      <c r="B15" s="8" t="s">
        <v>1371</v>
      </c>
      <c r="C15" s="8" t="s">
        <v>265</v>
      </c>
      <c r="D15" s="8" t="s">
        <v>1396</v>
      </c>
      <c r="E15" s="8" t="s">
        <v>291</v>
      </c>
      <c r="F15" s="8" t="s">
        <v>56</v>
      </c>
      <c r="G15" s="8"/>
      <c r="H15" s="8">
        <v>1000</v>
      </c>
      <c r="I15" s="8" t="s">
        <v>1397</v>
      </c>
      <c r="J15" s="8">
        <v>1</v>
      </c>
      <c r="K15" s="8">
        <v>239</v>
      </c>
      <c r="L15" s="8">
        <v>240</v>
      </c>
      <c r="M15" s="8">
        <v>240</v>
      </c>
      <c r="N15" s="8">
        <v>410</v>
      </c>
      <c r="O15" s="8">
        <v>411</v>
      </c>
      <c r="P15" s="8">
        <v>410</v>
      </c>
      <c r="Q15" s="9" t="s">
        <v>70</v>
      </c>
      <c r="R15" s="16"/>
      <c r="S15" s="10">
        <v>232</v>
      </c>
      <c r="T15" s="10">
        <v>183</v>
      </c>
      <c r="U15" s="10">
        <v>198</v>
      </c>
      <c r="V15" s="11">
        <v>49</v>
      </c>
      <c r="W15" s="12" t="s">
        <v>70</v>
      </c>
      <c r="X15" s="17"/>
      <c r="Y15" s="13">
        <v>52</v>
      </c>
      <c r="Z15" s="13">
        <v>93</v>
      </c>
      <c r="AA15" s="13">
        <v>93</v>
      </c>
      <c r="AB15" s="14">
        <v>30</v>
      </c>
      <c r="AC15" s="9"/>
      <c r="AD15" s="16"/>
      <c r="AE15" s="10"/>
      <c r="AF15" s="10"/>
      <c r="AG15" s="10"/>
      <c r="AH15" s="11"/>
      <c r="AI15" s="12"/>
      <c r="AJ15" s="17"/>
      <c r="AK15" s="13"/>
      <c r="AL15" s="13"/>
      <c r="AM15" s="13"/>
      <c r="AN15" s="14"/>
      <c r="AO15" s="9"/>
      <c r="AP15" s="16"/>
      <c r="AQ15" s="10"/>
      <c r="AR15" s="10"/>
      <c r="AS15" s="10"/>
      <c r="AT15" s="11"/>
      <c r="AU15" s="12"/>
      <c r="AV15" s="17"/>
      <c r="AW15" s="13"/>
      <c r="AX15" s="13"/>
      <c r="AY15" s="13"/>
      <c r="AZ15" s="14"/>
      <c r="BA15" s="9"/>
      <c r="BB15" s="16"/>
      <c r="BC15" s="10"/>
      <c r="BD15" s="10"/>
      <c r="BE15" s="10"/>
      <c r="BF15" s="11"/>
      <c r="BG15" s="12"/>
      <c r="BH15" s="17"/>
      <c r="BI15" s="13"/>
      <c r="BJ15" s="13"/>
      <c r="BK15" s="13"/>
      <c r="BL15" s="14"/>
      <c r="BM15" s="8">
        <f t="shared" si="0"/>
        <v>284</v>
      </c>
      <c r="BN15" s="8">
        <f t="shared" si="1"/>
        <v>276</v>
      </c>
      <c r="BO15" s="8">
        <f t="shared" si="2"/>
        <v>291</v>
      </c>
      <c r="BP15" s="8">
        <f t="shared" si="3"/>
        <v>79</v>
      </c>
      <c r="BQ15" s="8">
        <f t="shared" si="4"/>
        <v>291</v>
      </c>
      <c r="BR15" s="8">
        <f t="shared" si="5"/>
        <v>276</v>
      </c>
      <c r="BS15" s="15">
        <f t="shared" si="6"/>
        <v>20.665098185104274</v>
      </c>
      <c r="BT15" s="15" t="str">
        <f t="shared" si="7"/>
        <v>OK - No Upgrade</v>
      </c>
      <c r="BU15" s="15" t="str">
        <f t="shared" si="8"/>
        <v>OK - Balanced</v>
      </c>
    </row>
    <row r="16" spans="1:73" ht="15.75" customHeight="1" x14ac:dyDescent="0.25">
      <c r="A16" s="8" t="s">
        <v>1371</v>
      </c>
      <c r="B16" s="8" t="s">
        <v>1371</v>
      </c>
      <c r="C16" s="8" t="s">
        <v>265</v>
      </c>
      <c r="D16" s="8" t="s">
        <v>1398</v>
      </c>
      <c r="E16" s="8" t="s">
        <v>1399</v>
      </c>
      <c r="F16" s="8" t="s">
        <v>56</v>
      </c>
      <c r="G16" s="8"/>
      <c r="H16" s="8">
        <v>1000</v>
      </c>
      <c r="I16" s="8" t="s">
        <v>1400</v>
      </c>
      <c r="J16" s="8">
        <v>1</v>
      </c>
      <c r="K16" s="8">
        <v>238</v>
      </c>
      <c r="L16" s="8">
        <v>239</v>
      </c>
      <c r="M16" s="8">
        <v>239</v>
      </c>
      <c r="N16" s="8">
        <v>407</v>
      </c>
      <c r="O16" s="8">
        <v>409</v>
      </c>
      <c r="P16" s="8">
        <v>406</v>
      </c>
      <c r="Q16" s="9" t="s">
        <v>70</v>
      </c>
      <c r="R16" s="16"/>
      <c r="S16" s="10">
        <v>276</v>
      </c>
      <c r="T16" s="10">
        <v>271</v>
      </c>
      <c r="U16" s="10">
        <v>242</v>
      </c>
      <c r="V16" s="11">
        <v>42</v>
      </c>
      <c r="W16" s="12" t="s">
        <v>70</v>
      </c>
      <c r="X16" s="17"/>
      <c r="Y16" s="13">
        <v>304</v>
      </c>
      <c r="Z16" s="13">
        <v>308</v>
      </c>
      <c r="AA16" s="13">
        <v>325</v>
      </c>
      <c r="AB16" s="14">
        <v>33</v>
      </c>
      <c r="AC16" s="9"/>
      <c r="AD16" s="16"/>
      <c r="AE16" s="10"/>
      <c r="AF16" s="10"/>
      <c r="AG16" s="10"/>
      <c r="AH16" s="11"/>
      <c r="AI16" s="12"/>
      <c r="AJ16" s="17"/>
      <c r="AK16" s="13"/>
      <c r="AL16" s="13"/>
      <c r="AM16" s="13"/>
      <c r="AN16" s="14"/>
      <c r="AO16" s="9"/>
      <c r="AP16" s="16"/>
      <c r="AQ16" s="10"/>
      <c r="AR16" s="10"/>
      <c r="AS16" s="10"/>
      <c r="AT16" s="11"/>
      <c r="AU16" s="12"/>
      <c r="AV16" s="17"/>
      <c r="AW16" s="13"/>
      <c r="AX16" s="13"/>
      <c r="AY16" s="13"/>
      <c r="AZ16" s="14"/>
      <c r="BA16" s="9"/>
      <c r="BB16" s="16"/>
      <c r="BC16" s="10"/>
      <c r="BD16" s="10"/>
      <c r="BE16" s="10"/>
      <c r="BF16" s="11"/>
      <c r="BG16" s="12"/>
      <c r="BH16" s="17"/>
      <c r="BI16" s="13"/>
      <c r="BJ16" s="13"/>
      <c r="BK16" s="13"/>
      <c r="BL16" s="14"/>
      <c r="BM16" s="8">
        <f t="shared" si="0"/>
        <v>580</v>
      </c>
      <c r="BN16" s="8">
        <f t="shared" si="1"/>
        <v>579</v>
      </c>
      <c r="BO16" s="8">
        <f t="shared" si="2"/>
        <v>567</v>
      </c>
      <c r="BP16" s="8">
        <f t="shared" si="3"/>
        <v>75</v>
      </c>
      <c r="BQ16" s="8">
        <f t="shared" si="4"/>
        <v>580</v>
      </c>
      <c r="BR16" s="8">
        <f t="shared" si="5"/>
        <v>567</v>
      </c>
      <c r="BS16" s="15">
        <f t="shared" si="6"/>
        <v>40.886791363470913</v>
      </c>
      <c r="BT16" s="15" t="str">
        <f t="shared" si="7"/>
        <v>OK - No Upgrade</v>
      </c>
      <c r="BU16" s="15" t="str">
        <f t="shared" si="8"/>
        <v>OK - Balanced</v>
      </c>
    </row>
    <row r="17" spans="1:73" ht="15.75" customHeight="1" x14ac:dyDescent="0.25">
      <c r="A17" s="8" t="s">
        <v>1371</v>
      </c>
      <c r="B17" s="8" t="s">
        <v>1371</v>
      </c>
      <c r="C17" s="8" t="s">
        <v>265</v>
      </c>
      <c r="D17" s="8" t="s">
        <v>1401</v>
      </c>
      <c r="E17" s="8" t="s">
        <v>1381</v>
      </c>
      <c r="F17" s="8" t="s">
        <v>56</v>
      </c>
      <c r="G17" s="8"/>
      <c r="H17" s="8">
        <v>500</v>
      </c>
      <c r="I17" s="8" t="s">
        <v>1402</v>
      </c>
      <c r="J17" s="8">
        <v>1</v>
      </c>
      <c r="K17" s="8">
        <v>239</v>
      </c>
      <c r="L17" s="8">
        <v>240</v>
      </c>
      <c r="M17" s="8">
        <v>240</v>
      </c>
      <c r="N17" s="8">
        <v>409</v>
      </c>
      <c r="O17" s="8">
        <v>411</v>
      </c>
      <c r="P17" s="8">
        <v>410</v>
      </c>
      <c r="Q17" s="9" t="s">
        <v>92</v>
      </c>
      <c r="R17" s="16"/>
      <c r="S17" s="10">
        <v>127</v>
      </c>
      <c r="T17" s="10">
        <v>110</v>
      </c>
      <c r="U17" s="10">
        <v>116</v>
      </c>
      <c r="V17" s="11">
        <v>13</v>
      </c>
      <c r="W17" s="12"/>
      <c r="X17" s="17"/>
      <c r="Y17" s="13"/>
      <c r="Z17" s="13"/>
      <c r="AA17" s="13"/>
      <c r="AB17" s="14"/>
      <c r="AC17" s="9"/>
      <c r="AD17" s="16"/>
      <c r="AE17" s="10"/>
      <c r="AF17" s="10"/>
      <c r="AG17" s="10"/>
      <c r="AH17" s="11"/>
      <c r="AI17" s="12"/>
      <c r="AJ17" s="17"/>
      <c r="AK17" s="13"/>
      <c r="AL17" s="13"/>
      <c r="AM17" s="13"/>
      <c r="AN17" s="14"/>
      <c r="AO17" s="9"/>
      <c r="AP17" s="16"/>
      <c r="AQ17" s="10"/>
      <c r="AR17" s="10"/>
      <c r="AS17" s="10"/>
      <c r="AT17" s="11"/>
      <c r="AU17" s="12"/>
      <c r="AV17" s="17"/>
      <c r="AW17" s="13"/>
      <c r="AX17" s="13"/>
      <c r="AY17" s="13"/>
      <c r="AZ17" s="14"/>
      <c r="BA17" s="9"/>
      <c r="BB17" s="16"/>
      <c r="BC17" s="10"/>
      <c r="BD17" s="10"/>
      <c r="BE17" s="10"/>
      <c r="BF17" s="11"/>
      <c r="BG17" s="12"/>
      <c r="BH17" s="17"/>
      <c r="BI17" s="13"/>
      <c r="BJ17" s="13"/>
      <c r="BK17" s="13"/>
      <c r="BL17" s="14"/>
      <c r="BM17" s="8">
        <f t="shared" si="0"/>
        <v>127</v>
      </c>
      <c r="BN17" s="8">
        <f t="shared" si="1"/>
        <v>110</v>
      </c>
      <c r="BO17" s="8">
        <f t="shared" si="2"/>
        <v>116</v>
      </c>
      <c r="BP17" s="8">
        <f t="shared" si="3"/>
        <v>13</v>
      </c>
      <c r="BQ17" s="8">
        <f t="shared" si="4"/>
        <v>127</v>
      </c>
      <c r="BR17" s="8">
        <f t="shared" si="5"/>
        <v>110</v>
      </c>
      <c r="BS17" s="15">
        <f t="shared" si="6"/>
        <v>17.993583019510041</v>
      </c>
      <c r="BT17" s="15" t="str">
        <f t="shared" si="7"/>
        <v>OK - No Upgrade</v>
      </c>
      <c r="BU17" s="15" t="str">
        <f t="shared" si="8"/>
        <v>OK - Balanced</v>
      </c>
    </row>
    <row r="18" spans="1:73" ht="15.75" customHeight="1" x14ac:dyDescent="0.25">
      <c r="A18" s="8" t="s">
        <v>1371</v>
      </c>
      <c r="B18" s="8" t="s">
        <v>1371</v>
      </c>
      <c r="C18" s="8" t="s">
        <v>265</v>
      </c>
      <c r="D18" s="8" t="s">
        <v>1403</v>
      </c>
      <c r="E18" s="8" t="s">
        <v>412</v>
      </c>
      <c r="F18" s="8" t="s">
        <v>43</v>
      </c>
      <c r="G18" s="8"/>
      <c r="H18" s="8">
        <v>100</v>
      </c>
      <c r="I18" s="8" t="s">
        <v>1404</v>
      </c>
      <c r="J18" s="8">
        <v>1</v>
      </c>
      <c r="K18" s="8">
        <v>238</v>
      </c>
      <c r="L18" s="8">
        <v>239</v>
      </c>
      <c r="M18" s="8">
        <v>239</v>
      </c>
      <c r="N18" s="8">
        <v>408</v>
      </c>
      <c r="O18" s="8">
        <v>408</v>
      </c>
      <c r="P18" s="8">
        <v>408</v>
      </c>
      <c r="Q18" s="9" t="s">
        <v>46</v>
      </c>
      <c r="R18" s="16"/>
      <c r="S18" s="10">
        <v>52</v>
      </c>
      <c r="T18" s="10">
        <v>57</v>
      </c>
      <c r="U18" s="10">
        <v>56</v>
      </c>
      <c r="V18" s="11">
        <v>2</v>
      </c>
      <c r="W18" s="12"/>
      <c r="X18" s="17"/>
      <c r="Y18" s="13"/>
      <c r="Z18" s="13"/>
      <c r="AA18" s="13"/>
      <c r="AB18" s="14"/>
      <c r="AC18" s="9"/>
      <c r="AD18" s="16"/>
      <c r="AE18" s="10"/>
      <c r="AF18" s="10"/>
      <c r="AG18" s="10"/>
      <c r="AH18" s="11"/>
      <c r="AI18" s="12"/>
      <c r="AJ18" s="17"/>
      <c r="AK18" s="13"/>
      <c r="AL18" s="13"/>
      <c r="AM18" s="13"/>
      <c r="AN18" s="14"/>
      <c r="AO18" s="9"/>
      <c r="AP18" s="16"/>
      <c r="AQ18" s="10"/>
      <c r="AR18" s="10"/>
      <c r="AS18" s="10"/>
      <c r="AT18" s="11"/>
      <c r="AU18" s="12"/>
      <c r="AV18" s="17"/>
      <c r="AW18" s="13"/>
      <c r="AX18" s="13"/>
      <c r="AY18" s="13"/>
      <c r="AZ18" s="14"/>
      <c r="BA18" s="9"/>
      <c r="BB18" s="16"/>
      <c r="BC18" s="10"/>
      <c r="BD18" s="10"/>
      <c r="BE18" s="10"/>
      <c r="BF18" s="11"/>
      <c r="BG18" s="12"/>
      <c r="BH18" s="17"/>
      <c r="BI18" s="13"/>
      <c r="BJ18" s="13"/>
      <c r="BK18" s="13"/>
      <c r="BL18" s="14"/>
      <c r="BM18" s="8">
        <f t="shared" si="0"/>
        <v>52</v>
      </c>
      <c r="BN18" s="8">
        <f t="shared" si="1"/>
        <v>57</v>
      </c>
      <c r="BO18" s="8">
        <f t="shared" si="2"/>
        <v>56</v>
      </c>
      <c r="BP18" s="8">
        <f t="shared" si="3"/>
        <v>2</v>
      </c>
      <c r="BQ18" s="8">
        <f t="shared" si="4"/>
        <v>57</v>
      </c>
      <c r="BR18" s="8">
        <f t="shared" si="5"/>
        <v>52</v>
      </c>
      <c r="BS18" s="15">
        <f t="shared" si="6"/>
        <v>40.280573580821809</v>
      </c>
      <c r="BT18" s="15" t="str">
        <f t="shared" si="7"/>
        <v>OK - No Upgrade</v>
      </c>
      <c r="BU18" s="15" t="str">
        <f t="shared" si="8"/>
        <v>OK - Balanced</v>
      </c>
    </row>
    <row r="19" spans="1:73" ht="15.75" customHeight="1" x14ac:dyDescent="0.25">
      <c r="A19" s="8" t="s">
        <v>1371</v>
      </c>
      <c r="B19" s="8" t="s">
        <v>1371</v>
      </c>
      <c r="C19" s="8" t="s">
        <v>265</v>
      </c>
      <c r="D19" s="8" t="s">
        <v>1403</v>
      </c>
      <c r="E19" s="8" t="s">
        <v>412</v>
      </c>
      <c r="F19" s="8" t="s">
        <v>43</v>
      </c>
      <c r="G19" s="8"/>
      <c r="H19" s="8">
        <v>100</v>
      </c>
      <c r="I19" s="8" t="s">
        <v>1405</v>
      </c>
      <c r="J19" s="8">
        <v>2</v>
      </c>
      <c r="K19" s="8">
        <v>237</v>
      </c>
      <c r="L19" s="8">
        <v>236</v>
      </c>
      <c r="M19" s="8">
        <v>236</v>
      </c>
      <c r="N19" s="8">
        <v>216</v>
      </c>
      <c r="O19" s="8">
        <v>215</v>
      </c>
      <c r="P19" s="8">
        <v>214</v>
      </c>
      <c r="Q19" s="9" t="s">
        <v>46</v>
      </c>
      <c r="R19" s="16"/>
      <c r="S19" s="10">
        <v>52</v>
      </c>
      <c r="T19" s="10">
        <v>51</v>
      </c>
      <c r="U19" s="10">
        <v>52</v>
      </c>
      <c r="V19" s="11">
        <v>4</v>
      </c>
      <c r="W19" s="12"/>
      <c r="X19" s="17"/>
      <c r="Y19" s="13"/>
      <c r="Z19" s="13"/>
      <c r="AA19" s="13"/>
      <c r="AB19" s="14"/>
      <c r="AC19" s="9"/>
      <c r="AD19" s="16"/>
      <c r="AE19" s="10"/>
      <c r="AF19" s="10"/>
      <c r="AG19" s="10"/>
      <c r="AH19" s="11"/>
      <c r="AI19" s="12"/>
      <c r="AJ19" s="17"/>
      <c r="AK19" s="13"/>
      <c r="AL19" s="13"/>
      <c r="AM19" s="13"/>
      <c r="AN19" s="14"/>
      <c r="AO19" s="9"/>
      <c r="AP19" s="16"/>
      <c r="AQ19" s="10"/>
      <c r="AR19" s="10"/>
      <c r="AS19" s="10"/>
      <c r="AT19" s="11"/>
      <c r="AU19" s="12"/>
      <c r="AV19" s="17"/>
      <c r="AW19" s="13"/>
      <c r="AX19" s="13"/>
      <c r="AY19" s="13"/>
      <c r="AZ19" s="14"/>
      <c r="BA19" s="9"/>
      <c r="BB19" s="16"/>
      <c r="BC19" s="10"/>
      <c r="BD19" s="10"/>
      <c r="BE19" s="10"/>
      <c r="BF19" s="11"/>
      <c r="BG19" s="12"/>
      <c r="BH19" s="17"/>
      <c r="BI19" s="13"/>
      <c r="BJ19" s="13"/>
      <c r="BK19" s="13"/>
      <c r="BL19" s="14"/>
      <c r="BM19" s="8">
        <f t="shared" si="0"/>
        <v>52</v>
      </c>
      <c r="BN19" s="8">
        <f t="shared" si="1"/>
        <v>51</v>
      </c>
      <c r="BO19" s="8">
        <f t="shared" si="2"/>
        <v>52</v>
      </c>
      <c r="BP19" s="8">
        <f t="shared" si="3"/>
        <v>4</v>
      </c>
      <c r="BQ19" s="8">
        <f t="shared" si="4"/>
        <v>52</v>
      </c>
      <c r="BR19" s="8">
        <f t="shared" si="5"/>
        <v>51</v>
      </c>
      <c r="BS19" s="15">
        <f t="shared" si="6"/>
        <v>19.454394670613624</v>
      </c>
      <c r="BT19" s="15" t="str">
        <f t="shared" si="7"/>
        <v>OK - No Upgrade</v>
      </c>
      <c r="BU19" s="15" t="str">
        <f t="shared" si="8"/>
        <v>OK - Balanced</v>
      </c>
    </row>
    <row r="20" spans="1:73" ht="15.75" customHeight="1" x14ac:dyDescent="0.25">
      <c r="A20" s="8" t="s">
        <v>1371</v>
      </c>
      <c r="B20" s="8" t="s">
        <v>1371</v>
      </c>
      <c r="C20" s="8" t="s">
        <v>265</v>
      </c>
      <c r="D20" s="8" t="s">
        <v>1406</v>
      </c>
      <c r="E20" s="8" t="s">
        <v>408</v>
      </c>
      <c r="F20" s="8" t="s">
        <v>43</v>
      </c>
      <c r="G20" s="8"/>
      <c r="H20" s="8">
        <v>100</v>
      </c>
      <c r="I20" s="8" t="s">
        <v>1407</v>
      </c>
      <c r="J20" s="8">
        <v>1</v>
      </c>
      <c r="K20" s="8">
        <v>232</v>
      </c>
      <c r="L20" s="8">
        <v>233</v>
      </c>
      <c r="M20" s="8">
        <v>233</v>
      </c>
      <c r="N20" s="8">
        <v>398</v>
      </c>
      <c r="O20" s="8">
        <v>399</v>
      </c>
      <c r="P20" s="8">
        <v>398</v>
      </c>
      <c r="Q20" s="9" t="s">
        <v>46</v>
      </c>
      <c r="R20" s="16"/>
      <c r="S20" s="10">
        <v>87</v>
      </c>
      <c r="T20" s="10">
        <v>89</v>
      </c>
      <c r="U20" s="10">
        <v>81</v>
      </c>
      <c r="V20" s="11">
        <v>4</v>
      </c>
      <c r="W20" s="12"/>
      <c r="X20" s="17"/>
      <c r="Y20" s="13"/>
      <c r="Z20" s="13"/>
      <c r="AA20" s="13"/>
      <c r="AB20" s="14"/>
      <c r="AC20" s="9"/>
      <c r="AD20" s="16"/>
      <c r="AE20" s="10"/>
      <c r="AF20" s="10"/>
      <c r="AG20" s="10"/>
      <c r="AH20" s="11"/>
      <c r="AI20" s="12"/>
      <c r="AJ20" s="17"/>
      <c r="AK20" s="13"/>
      <c r="AL20" s="13"/>
      <c r="AM20" s="13"/>
      <c r="AN20" s="14"/>
      <c r="AO20" s="9"/>
      <c r="AP20" s="16"/>
      <c r="AQ20" s="10"/>
      <c r="AR20" s="10"/>
      <c r="AS20" s="10"/>
      <c r="AT20" s="11"/>
      <c r="AU20" s="12"/>
      <c r="AV20" s="17"/>
      <c r="AW20" s="13"/>
      <c r="AX20" s="13"/>
      <c r="AY20" s="13"/>
      <c r="AZ20" s="14"/>
      <c r="BA20" s="9"/>
      <c r="BB20" s="16"/>
      <c r="BC20" s="10"/>
      <c r="BD20" s="10"/>
      <c r="BE20" s="10"/>
      <c r="BF20" s="11"/>
      <c r="BG20" s="12"/>
      <c r="BH20" s="17"/>
      <c r="BI20" s="13"/>
      <c r="BJ20" s="13"/>
      <c r="BK20" s="13"/>
      <c r="BL20" s="14"/>
      <c r="BM20" s="8">
        <f t="shared" si="0"/>
        <v>87</v>
      </c>
      <c r="BN20" s="8">
        <f t="shared" si="1"/>
        <v>89</v>
      </c>
      <c r="BO20" s="8">
        <f t="shared" si="2"/>
        <v>81</v>
      </c>
      <c r="BP20" s="8">
        <f t="shared" si="3"/>
        <v>4</v>
      </c>
      <c r="BQ20" s="8">
        <f t="shared" si="4"/>
        <v>89</v>
      </c>
      <c r="BR20" s="8">
        <f t="shared" si="5"/>
        <v>81</v>
      </c>
      <c r="BS20" s="15">
        <f t="shared" si="6"/>
        <v>61.352703705704755</v>
      </c>
      <c r="BT20" s="15" t="str">
        <f t="shared" si="7"/>
        <v>OK - No Upgrade</v>
      </c>
      <c r="BU20" s="15" t="str">
        <f t="shared" si="8"/>
        <v>OK - Balanced</v>
      </c>
    </row>
    <row r="21" spans="1:73" ht="15.75" customHeight="1" x14ac:dyDescent="0.25">
      <c r="A21" s="8" t="s">
        <v>1371</v>
      </c>
      <c r="B21" s="8" t="s">
        <v>1371</v>
      </c>
      <c r="C21" s="8" t="s">
        <v>265</v>
      </c>
      <c r="D21" s="8" t="s">
        <v>1406</v>
      </c>
      <c r="E21" s="8" t="s">
        <v>408</v>
      </c>
      <c r="F21" s="8" t="s">
        <v>43</v>
      </c>
      <c r="G21" s="8"/>
      <c r="H21" s="8">
        <v>100</v>
      </c>
      <c r="I21" s="8" t="s">
        <v>1408</v>
      </c>
      <c r="J21" s="8">
        <v>2</v>
      </c>
      <c r="K21" s="8">
        <v>234</v>
      </c>
      <c r="L21" s="8">
        <v>232</v>
      </c>
      <c r="M21" s="8">
        <v>233</v>
      </c>
      <c r="N21" s="8">
        <v>401</v>
      </c>
      <c r="O21" s="8">
        <v>413</v>
      </c>
      <c r="P21" s="8">
        <v>400</v>
      </c>
      <c r="Q21" s="9" t="s">
        <v>46</v>
      </c>
      <c r="R21" s="16"/>
      <c r="S21" s="10">
        <v>89</v>
      </c>
      <c r="T21" s="10">
        <v>90</v>
      </c>
      <c r="U21" s="10">
        <v>90</v>
      </c>
      <c r="V21" s="11">
        <v>3</v>
      </c>
      <c r="W21" s="12"/>
      <c r="X21" s="17"/>
      <c r="Y21" s="13"/>
      <c r="Z21" s="13"/>
      <c r="AA21" s="13"/>
      <c r="AB21" s="14"/>
      <c r="AC21" s="9"/>
      <c r="AD21" s="16"/>
      <c r="AE21" s="10"/>
      <c r="AF21" s="10"/>
      <c r="AG21" s="10"/>
      <c r="AH21" s="11"/>
      <c r="AI21" s="12"/>
      <c r="AJ21" s="17"/>
      <c r="AK21" s="13"/>
      <c r="AL21" s="13"/>
      <c r="AM21" s="13"/>
      <c r="AN21" s="14"/>
      <c r="AO21" s="9"/>
      <c r="AP21" s="16"/>
      <c r="AQ21" s="10"/>
      <c r="AR21" s="10"/>
      <c r="AS21" s="10"/>
      <c r="AT21" s="11"/>
      <c r="AU21" s="12"/>
      <c r="AV21" s="17"/>
      <c r="AW21" s="13"/>
      <c r="AX21" s="13"/>
      <c r="AY21" s="13"/>
      <c r="AZ21" s="14"/>
      <c r="BA21" s="9"/>
      <c r="BB21" s="16"/>
      <c r="BC21" s="10"/>
      <c r="BD21" s="10"/>
      <c r="BE21" s="10"/>
      <c r="BF21" s="11"/>
      <c r="BG21" s="12"/>
      <c r="BH21" s="17"/>
      <c r="BI21" s="13"/>
      <c r="BJ21" s="13"/>
      <c r="BK21" s="13"/>
      <c r="BL21" s="14"/>
      <c r="BM21" s="8">
        <f t="shared" si="0"/>
        <v>89</v>
      </c>
      <c r="BN21" s="8">
        <f t="shared" si="1"/>
        <v>90</v>
      </c>
      <c r="BO21" s="8">
        <f t="shared" si="2"/>
        <v>90</v>
      </c>
      <c r="BP21" s="8">
        <f t="shared" si="3"/>
        <v>3</v>
      </c>
      <c r="BQ21" s="8">
        <f t="shared" si="4"/>
        <v>90</v>
      </c>
      <c r="BR21" s="8">
        <f t="shared" si="5"/>
        <v>89</v>
      </c>
      <c r="BS21" s="15">
        <f t="shared" si="6"/>
        <v>62.50971364516078</v>
      </c>
      <c r="BT21" s="15" t="str">
        <f t="shared" si="7"/>
        <v>OK - No Upgrade</v>
      </c>
      <c r="BU21" s="15" t="str">
        <f t="shared" si="8"/>
        <v>OK - Balanced</v>
      </c>
    </row>
    <row r="22" spans="1:73" ht="15.75" customHeight="1" x14ac:dyDescent="0.25">
      <c r="A22" s="8" t="s">
        <v>1371</v>
      </c>
      <c r="B22" s="8" t="s">
        <v>1371</v>
      </c>
      <c r="C22" s="8" t="s">
        <v>265</v>
      </c>
      <c r="D22" s="8" t="s">
        <v>1409</v>
      </c>
      <c r="E22" s="8" t="s">
        <v>1088</v>
      </c>
      <c r="F22" s="8" t="s">
        <v>43</v>
      </c>
      <c r="G22" s="8"/>
      <c r="H22" s="8">
        <v>200</v>
      </c>
      <c r="I22" s="8" t="s">
        <v>1410</v>
      </c>
      <c r="J22" s="8">
        <v>1</v>
      </c>
      <c r="K22" s="8">
        <v>238</v>
      </c>
      <c r="L22" s="8">
        <v>238</v>
      </c>
      <c r="M22" s="8">
        <v>239</v>
      </c>
      <c r="N22" s="8">
        <v>408</v>
      </c>
      <c r="O22" s="8">
        <v>409</v>
      </c>
      <c r="P22" s="8">
        <v>408</v>
      </c>
      <c r="Q22" s="9" t="s">
        <v>46</v>
      </c>
      <c r="R22" s="16"/>
      <c r="S22" s="10">
        <v>32</v>
      </c>
      <c r="T22" s="10">
        <v>30</v>
      </c>
      <c r="U22" s="10">
        <v>31</v>
      </c>
      <c r="V22" s="11">
        <v>3</v>
      </c>
      <c r="W22" s="12"/>
      <c r="X22" s="17"/>
      <c r="Y22" s="13"/>
      <c r="Z22" s="13"/>
      <c r="AA22" s="13"/>
      <c r="AB22" s="14"/>
      <c r="AC22" s="9"/>
      <c r="AD22" s="16"/>
      <c r="AE22" s="10"/>
      <c r="AF22" s="10"/>
      <c r="AG22" s="10"/>
      <c r="AH22" s="11"/>
      <c r="AI22" s="12"/>
      <c r="AJ22" s="17"/>
      <c r="AK22" s="13"/>
      <c r="AL22" s="13"/>
      <c r="AM22" s="13"/>
      <c r="AN22" s="14"/>
      <c r="AO22" s="9"/>
      <c r="AP22" s="16"/>
      <c r="AQ22" s="10"/>
      <c r="AR22" s="10"/>
      <c r="AS22" s="10"/>
      <c r="AT22" s="11"/>
      <c r="AU22" s="12"/>
      <c r="AV22" s="17"/>
      <c r="AW22" s="13"/>
      <c r="AX22" s="13"/>
      <c r="AY22" s="13"/>
      <c r="AZ22" s="14"/>
      <c r="BA22" s="9"/>
      <c r="BB22" s="16"/>
      <c r="BC22" s="10"/>
      <c r="BD22" s="10"/>
      <c r="BE22" s="10"/>
      <c r="BF22" s="11"/>
      <c r="BG22" s="12"/>
      <c r="BH22" s="17"/>
      <c r="BI22" s="13"/>
      <c r="BJ22" s="13"/>
      <c r="BK22" s="13"/>
      <c r="BL22" s="14"/>
      <c r="BM22" s="8">
        <f t="shared" si="0"/>
        <v>32</v>
      </c>
      <c r="BN22" s="8">
        <f t="shared" si="1"/>
        <v>30</v>
      </c>
      <c r="BO22" s="8">
        <f t="shared" si="2"/>
        <v>31</v>
      </c>
      <c r="BP22" s="8">
        <f t="shared" si="3"/>
        <v>3</v>
      </c>
      <c r="BQ22" s="8">
        <f t="shared" si="4"/>
        <v>32</v>
      </c>
      <c r="BR22" s="8">
        <f t="shared" si="5"/>
        <v>30</v>
      </c>
      <c r="BS22" s="15">
        <f t="shared" si="6"/>
        <v>11.30682767180963</v>
      </c>
      <c r="BT22" s="15" t="str">
        <f t="shared" si="7"/>
        <v>OK - No Upgrade</v>
      </c>
      <c r="BU22" s="15" t="str">
        <f t="shared" si="8"/>
        <v>OK - Balanced</v>
      </c>
    </row>
    <row r="23" spans="1:73" ht="15.75" customHeight="1" x14ac:dyDescent="0.25">
      <c r="A23" s="8" t="s">
        <v>1371</v>
      </c>
      <c r="B23" s="8" t="s">
        <v>1371</v>
      </c>
      <c r="C23" s="8" t="s">
        <v>265</v>
      </c>
      <c r="D23" s="8" t="s">
        <v>1409</v>
      </c>
      <c r="E23" s="8" t="s">
        <v>1088</v>
      </c>
      <c r="F23" s="8" t="s">
        <v>43</v>
      </c>
      <c r="G23" s="8"/>
      <c r="H23" s="8">
        <v>200</v>
      </c>
      <c r="I23" s="8" t="s">
        <v>1411</v>
      </c>
      <c r="J23" s="8">
        <v>2</v>
      </c>
      <c r="K23" s="8">
        <v>238</v>
      </c>
      <c r="L23" s="8">
        <v>237</v>
      </c>
      <c r="M23" s="8">
        <v>240</v>
      </c>
      <c r="N23" s="8">
        <v>405</v>
      </c>
      <c r="O23" s="8">
        <v>415</v>
      </c>
      <c r="P23" s="8">
        <v>403</v>
      </c>
      <c r="Q23" s="9" t="s">
        <v>46</v>
      </c>
      <c r="R23" s="16"/>
      <c r="S23" s="10">
        <v>33</v>
      </c>
      <c r="T23" s="10">
        <v>34</v>
      </c>
      <c r="U23" s="10">
        <v>34</v>
      </c>
      <c r="V23" s="11">
        <v>2</v>
      </c>
      <c r="W23" s="12"/>
      <c r="X23" s="17"/>
      <c r="Y23" s="13"/>
      <c r="Z23" s="13"/>
      <c r="AA23" s="13"/>
      <c r="AB23" s="14"/>
      <c r="AC23" s="9"/>
      <c r="AD23" s="16"/>
      <c r="AE23" s="10"/>
      <c r="AF23" s="10"/>
      <c r="AG23" s="10"/>
      <c r="AH23" s="11"/>
      <c r="AI23" s="12"/>
      <c r="AJ23" s="17"/>
      <c r="AK23" s="13"/>
      <c r="AL23" s="13"/>
      <c r="AM23" s="13"/>
      <c r="AN23" s="14"/>
      <c r="AO23" s="9"/>
      <c r="AP23" s="16"/>
      <c r="AQ23" s="10"/>
      <c r="AR23" s="10"/>
      <c r="AS23" s="10"/>
      <c r="AT23" s="11"/>
      <c r="AU23" s="12"/>
      <c r="AV23" s="17"/>
      <c r="AW23" s="13"/>
      <c r="AX23" s="13"/>
      <c r="AY23" s="13"/>
      <c r="AZ23" s="14"/>
      <c r="BA23" s="9"/>
      <c r="BB23" s="16"/>
      <c r="BC23" s="10"/>
      <c r="BD23" s="10"/>
      <c r="BE23" s="10"/>
      <c r="BF23" s="11"/>
      <c r="BG23" s="12"/>
      <c r="BH23" s="17"/>
      <c r="BI23" s="13"/>
      <c r="BJ23" s="13"/>
      <c r="BK23" s="13"/>
      <c r="BL23" s="14"/>
      <c r="BM23" s="8">
        <f t="shared" si="0"/>
        <v>33</v>
      </c>
      <c r="BN23" s="8">
        <f t="shared" si="1"/>
        <v>34</v>
      </c>
      <c r="BO23" s="8">
        <f t="shared" si="2"/>
        <v>34</v>
      </c>
      <c r="BP23" s="8">
        <f t="shared" si="3"/>
        <v>2</v>
      </c>
      <c r="BQ23" s="8">
        <f t="shared" si="4"/>
        <v>34</v>
      </c>
      <c r="BR23" s="8">
        <f t="shared" si="5"/>
        <v>33</v>
      </c>
      <c r="BS23" s="15">
        <f t="shared" si="6"/>
        <v>11.92516981011172</v>
      </c>
      <c r="BT23" s="15" t="str">
        <f t="shared" si="7"/>
        <v>OK - No Upgrade</v>
      </c>
      <c r="BU23" s="15" t="str">
        <f t="shared" si="8"/>
        <v>OK - Balanced</v>
      </c>
    </row>
    <row r="24" spans="1:73" ht="15.75" customHeight="1" x14ac:dyDescent="0.25">
      <c r="A24" s="8" t="s">
        <v>1371</v>
      </c>
      <c r="B24" s="8" t="s">
        <v>1371</v>
      </c>
      <c r="C24" s="8" t="s">
        <v>265</v>
      </c>
      <c r="D24" s="8" t="s">
        <v>1412</v>
      </c>
      <c r="E24" s="8" t="s">
        <v>1080</v>
      </c>
      <c r="F24" s="8" t="s">
        <v>43</v>
      </c>
      <c r="G24" s="8"/>
      <c r="H24" s="8">
        <v>100</v>
      </c>
      <c r="I24" s="8" t="s">
        <v>1413</v>
      </c>
      <c r="J24" s="8">
        <v>1</v>
      </c>
      <c r="K24" s="8">
        <v>235</v>
      </c>
      <c r="L24" s="8">
        <v>235</v>
      </c>
      <c r="M24" s="8">
        <v>236</v>
      </c>
      <c r="N24" s="8">
        <v>403</v>
      </c>
      <c r="O24" s="8">
        <v>404</v>
      </c>
      <c r="P24" s="8">
        <v>403</v>
      </c>
      <c r="Q24" s="9" t="s">
        <v>46</v>
      </c>
      <c r="R24" s="16"/>
      <c r="S24" s="10">
        <v>0</v>
      </c>
      <c r="T24" s="10">
        <v>0</v>
      </c>
      <c r="U24" s="10">
        <v>0</v>
      </c>
      <c r="V24" s="11">
        <v>0</v>
      </c>
      <c r="W24" s="12"/>
      <c r="X24" s="17"/>
      <c r="Y24" s="13"/>
      <c r="Z24" s="13"/>
      <c r="AA24" s="13"/>
      <c r="AB24" s="14"/>
      <c r="AC24" s="9"/>
      <c r="AD24" s="16"/>
      <c r="AE24" s="10"/>
      <c r="AF24" s="10"/>
      <c r="AG24" s="10"/>
      <c r="AH24" s="11"/>
      <c r="AI24" s="12"/>
      <c r="AJ24" s="17"/>
      <c r="AK24" s="13"/>
      <c r="AL24" s="13"/>
      <c r="AM24" s="13"/>
      <c r="AN24" s="14"/>
      <c r="AO24" s="9"/>
      <c r="AP24" s="16"/>
      <c r="AQ24" s="10"/>
      <c r="AR24" s="10"/>
      <c r="AS24" s="10"/>
      <c r="AT24" s="11"/>
      <c r="AU24" s="12"/>
      <c r="AV24" s="17"/>
      <c r="AW24" s="13"/>
      <c r="AX24" s="13"/>
      <c r="AY24" s="13"/>
      <c r="AZ24" s="14"/>
      <c r="BA24" s="9"/>
      <c r="BB24" s="16"/>
      <c r="BC24" s="10"/>
      <c r="BD24" s="10"/>
      <c r="BE24" s="10"/>
      <c r="BF24" s="11"/>
      <c r="BG24" s="12"/>
      <c r="BH24" s="17"/>
      <c r="BI24" s="13"/>
      <c r="BJ24" s="13"/>
      <c r="BK24" s="13"/>
      <c r="BL24" s="14"/>
      <c r="BM24" s="8">
        <f t="shared" si="0"/>
        <v>0</v>
      </c>
      <c r="BN24" s="8">
        <f t="shared" si="1"/>
        <v>0</v>
      </c>
      <c r="BO24" s="8">
        <f t="shared" si="2"/>
        <v>0</v>
      </c>
      <c r="BP24" s="8">
        <f t="shared" si="3"/>
        <v>0</v>
      </c>
      <c r="BQ24" s="8">
        <f t="shared" si="4"/>
        <v>0</v>
      </c>
      <c r="BR24" s="8">
        <f t="shared" si="5"/>
        <v>0</v>
      </c>
      <c r="BS24" s="15">
        <f t="shared" si="6"/>
        <v>0</v>
      </c>
      <c r="BT24" s="15" t="str">
        <f t="shared" si="7"/>
        <v>OK - No Upgrade</v>
      </c>
      <c r="BU24" s="15" t="str">
        <f t="shared" si="8"/>
        <v>OK - Balanced</v>
      </c>
    </row>
    <row r="25" spans="1:73" ht="15.75" customHeight="1" x14ac:dyDescent="0.25">
      <c r="A25" s="8" t="s">
        <v>1371</v>
      </c>
      <c r="B25" s="8" t="s">
        <v>1371</v>
      </c>
      <c r="C25" s="8" t="s">
        <v>265</v>
      </c>
      <c r="D25" s="8" t="s">
        <v>1412</v>
      </c>
      <c r="E25" s="8" t="s">
        <v>1080</v>
      </c>
      <c r="F25" s="8" t="s">
        <v>43</v>
      </c>
      <c r="G25" s="8"/>
      <c r="H25" s="8">
        <v>100</v>
      </c>
      <c r="I25" s="8" t="s">
        <v>1414</v>
      </c>
      <c r="J25" s="8">
        <v>2</v>
      </c>
      <c r="K25" s="8">
        <v>235</v>
      </c>
      <c r="L25" s="8">
        <v>236</v>
      </c>
      <c r="M25" s="8">
        <v>235</v>
      </c>
      <c r="N25" s="8">
        <v>403</v>
      </c>
      <c r="O25" s="8">
        <v>404</v>
      </c>
      <c r="P25" s="8">
        <v>403</v>
      </c>
      <c r="Q25" s="9" t="s">
        <v>46</v>
      </c>
      <c r="R25" s="16"/>
      <c r="S25" s="10">
        <v>56</v>
      </c>
      <c r="T25" s="10">
        <v>57</v>
      </c>
      <c r="U25" s="10">
        <v>57</v>
      </c>
      <c r="V25" s="11">
        <v>2</v>
      </c>
      <c r="W25" s="12"/>
      <c r="X25" s="17"/>
      <c r="Y25" s="13"/>
      <c r="Z25" s="13"/>
      <c r="AA25" s="13"/>
      <c r="AB25" s="14"/>
      <c r="AC25" s="9"/>
      <c r="AD25" s="16"/>
      <c r="AE25" s="10"/>
      <c r="AF25" s="10"/>
      <c r="AG25" s="10"/>
      <c r="AH25" s="11"/>
      <c r="AI25" s="12"/>
      <c r="AJ25" s="17"/>
      <c r="AK25" s="13"/>
      <c r="AL25" s="13"/>
      <c r="AM25" s="13"/>
      <c r="AN25" s="14"/>
      <c r="AO25" s="9"/>
      <c r="AP25" s="16"/>
      <c r="AQ25" s="10"/>
      <c r="AR25" s="10"/>
      <c r="AS25" s="10"/>
      <c r="AT25" s="11"/>
      <c r="AU25" s="12"/>
      <c r="AV25" s="17"/>
      <c r="AW25" s="13"/>
      <c r="AX25" s="13"/>
      <c r="AY25" s="13"/>
      <c r="AZ25" s="14"/>
      <c r="BA25" s="9"/>
      <c r="BB25" s="16"/>
      <c r="BC25" s="10"/>
      <c r="BD25" s="10"/>
      <c r="BE25" s="10"/>
      <c r="BF25" s="11"/>
      <c r="BG25" s="12"/>
      <c r="BH25" s="17"/>
      <c r="BI25" s="13"/>
      <c r="BJ25" s="13"/>
      <c r="BK25" s="13"/>
      <c r="BL25" s="14"/>
      <c r="BM25" s="8">
        <f t="shared" si="0"/>
        <v>56</v>
      </c>
      <c r="BN25" s="8">
        <f t="shared" si="1"/>
        <v>57</v>
      </c>
      <c r="BO25" s="8">
        <f t="shared" si="2"/>
        <v>57</v>
      </c>
      <c r="BP25" s="8">
        <f t="shared" si="3"/>
        <v>2</v>
      </c>
      <c r="BQ25" s="8">
        <f t="shared" si="4"/>
        <v>57</v>
      </c>
      <c r="BR25" s="8">
        <f t="shared" si="5"/>
        <v>56</v>
      </c>
      <c r="BS25" s="15">
        <f t="shared" si="6"/>
        <v>39.786939100664675</v>
      </c>
      <c r="BT25" s="15" t="str">
        <f t="shared" si="7"/>
        <v>OK - No Upgrade</v>
      </c>
      <c r="BU25" s="15" t="str">
        <f t="shared" si="8"/>
        <v>OK - Balanced</v>
      </c>
    </row>
    <row r="26" spans="1:73" ht="15.75" customHeight="1" x14ac:dyDescent="0.25">
      <c r="A26" s="8" t="s">
        <v>1371</v>
      </c>
      <c r="B26" s="8" t="s">
        <v>1371</v>
      </c>
      <c r="C26" s="8" t="s">
        <v>265</v>
      </c>
      <c r="D26" s="8" t="s">
        <v>1415</v>
      </c>
      <c r="E26" s="8" t="s">
        <v>1077</v>
      </c>
      <c r="F26" s="8" t="s">
        <v>43</v>
      </c>
      <c r="G26" s="8"/>
      <c r="H26" s="8">
        <v>100</v>
      </c>
      <c r="I26" s="8" t="s">
        <v>1416</v>
      </c>
      <c r="J26" s="8">
        <v>1</v>
      </c>
      <c r="K26" s="8">
        <v>240</v>
      </c>
      <c r="L26" s="8">
        <v>239</v>
      </c>
      <c r="M26" s="8">
        <v>239</v>
      </c>
      <c r="N26" s="8">
        <v>414</v>
      </c>
      <c r="O26" s="8">
        <v>413</v>
      </c>
      <c r="P26" s="8">
        <v>414</v>
      </c>
      <c r="Q26" s="9" t="s">
        <v>46</v>
      </c>
      <c r="R26" s="16"/>
      <c r="S26" s="10">
        <v>0</v>
      </c>
      <c r="T26" s="10">
        <v>0</v>
      </c>
      <c r="U26" s="10">
        <v>0</v>
      </c>
      <c r="V26" s="11">
        <v>0</v>
      </c>
      <c r="W26" s="12"/>
      <c r="X26" s="17"/>
      <c r="Y26" s="13"/>
      <c r="Z26" s="13"/>
      <c r="AA26" s="13"/>
      <c r="AB26" s="14"/>
      <c r="AC26" s="9"/>
      <c r="AD26" s="16"/>
      <c r="AE26" s="10"/>
      <c r="AF26" s="10"/>
      <c r="AG26" s="10"/>
      <c r="AH26" s="11"/>
      <c r="AI26" s="12"/>
      <c r="AJ26" s="17"/>
      <c r="AK26" s="13"/>
      <c r="AL26" s="13"/>
      <c r="AM26" s="13"/>
      <c r="AN26" s="14"/>
      <c r="AO26" s="9"/>
      <c r="AP26" s="16"/>
      <c r="AQ26" s="10"/>
      <c r="AR26" s="10"/>
      <c r="AS26" s="10"/>
      <c r="AT26" s="11"/>
      <c r="AU26" s="12"/>
      <c r="AV26" s="17"/>
      <c r="AW26" s="13"/>
      <c r="AX26" s="13"/>
      <c r="AY26" s="13"/>
      <c r="AZ26" s="14"/>
      <c r="BA26" s="9"/>
      <c r="BB26" s="16"/>
      <c r="BC26" s="10"/>
      <c r="BD26" s="10"/>
      <c r="BE26" s="10"/>
      <c r="BF26" s="11"/>
      <c r="BG26" s="12"/>
      <c r="BH26" s="17"/>
      <c r="BI26" s="13"/>
      <c r="BJ26" s="13"/>
      <c r="BK26" s="13"/>
      <c r="BL26" s="14"/>
      <c r="BM26" s="8">
        <f t="shared" si="0"/>
        <v>0</v>
      </c>
      <c r="BN26" s="8">
        <f t="shared" si="1"/>
        <v>0</v>
      </c>
      <c r="BO26" s="8">
        <f t="shared" si="2"/>
        <v>0</v>
      </c>
      <c r="BP26" s="8">
        <f t="shared" si="3"/>
        <v>0</v>
      </c>
      <c r="BQ26" s="8">
        <f t="shared" si="4"/>
        <v>0</v>
      </c>
      <c r="BR26" s="8">
        <f t="shared" si="5"/>
        <v>0</v>
      </c>
      <c r="BS26" s="15">
        <f t="shared" si="6"/>
        <v>0</v>
      </c>
      <c r="BT26" s="15" t="str">
        <f t="shared" si="7"/>
        <v>OK - No Upgrade</v>
      </c>
      <c r="BU26" s="15" t="str">
        <f t="shared" si="8"/>
        <v>OK - Balanced</v>
      </c>
    </row>
    <row r="27" spans="1:73" ht="15.75" customHeight="1" x14ac:dyDescent="0.25">
      <c r="A27" s="8" t="s">
        <v>1371</v>
      </c>
      <c r="B27" s="8" t="s">
        <v>1371</v>
      </c>
      <c r="C27" s="8" t="s">
        <v>265</v>
      </c>
      <c r="D27" s="8" t="s">
        <v>1417</v>
      </c>
      <c r="E27" s="8" t="s">
        <v>469</v>
      </c>
      <c r="F27" s="8" t="s">
        <v>43</v>
      </c>
      <c r="G27" s="8"/>
      <c r="H27" s="8">
        <v>100</v>
      </c>
      <c r="I27" s="8" t="s">
        <v>1416</v>
      </c>
      <c r="J27" s="8">
        <v>1</v>
      </c>
      <c r="K27" s="8">
        <v>234</v>
      </c>
      <c r="L27" s="8">
        <v>236</v>
      </c>
      <c r="M27" s="8">
        <v>234</v>
      </c>
      <c r="N27" s="8">
        <v>403</v>
      </c>
      <c r="O27" s="8">
        <v>404</v>
      </c>
      <c r="P27" s="8">
        <v>403</v>
      </c>
      <c r="Q27" s="9" t="s">
        <v>46</v>
      </c>
      <c r="R27" s="16"/>
      <c r="S27" s="10">
        <v>77</v>
      </c>
      <c r="T27" s="10">
        <v>83</v>
      </c>
      <c r="U27" s="10">
        <v>83</v>
      </c>
      <c r="V27" s="11">
        <v>2</v>
      </c>
      <c r="W27" s="12"/>
      <c r="X27" s="17"/>
      <c r="Y27" s="13"/>
      <c r="Z27" s="13"/>
      <c r="AA27" s="13"/>
      <c r="AB27" s="14"/>
      <c r="AC27" s="9"/>
      <c r="AD27" s="16"/>
      <c r="AE27" s="10"/>
      <c r="AF27" s="10"/>
      <c r="AG27" s="10"/>
      <c r="AH27" s="11"/>
      <c r="AI27" s="12"/>
      <c r="AJ27" s="17"/>
      <c r="AK27" s="13"/>
      <c r="AL27" s="13"/>
      <c r="AM27" s="13"/>
      <c r="AN27" s="14"/>
      <c r="AO27" s="9"/>
      <c r="AP27" s="16"/>
      <c r="AQ27" s="10"/>
      <c r="AR27" s="10"/>
      <c r="AS27" s="10"/>
      <c r="AT27" s="11"/>
      <c r="AU27" s="12"/>
      <c r="AV27" s="17"/>
      <c r="AW27" s="13"/>
      <c r="AX27" s="13"/>
      <c r="AY27" s="13"/>
      <c r="AZ27" s="14"/>
      <c r="BA27" s="9"/>
      <c r="BB27" s="16"/>
      <c r="BC27" s="10"/>
      <c r="BD27" s="10"/>
      <c r="BE27" s="10"/>
      <c r="BF27" s="11"/>
      <c r="BG27" s="12"/>
      <c r="BH27" s="17"/>
      <c r="BI27" s="13"/>
      <c r="BJ27" s="13"/>
      <c r="BK27" s="13"/>
      <c r="BL27" s="14"/>
      <c r="BM27" s="8">
        <f t="shared" si="0"/>
        <v>77</v>
      </c>
      <c r="BN27" s="8">
        <f t="shared" si="1"/>
        <v>83</v>
      </c>
      <c r="BO27" s="8">
        <f t="shared" si="2"/>
        <v>83</v>
      </c>
      <c r="BP27" s="8">
        <f t="shared" si="3"/>
        <v>2</v>
      </c>
      <c r="BQ27" s="8">
        <f t="shared" si="4"/>
        <v>83</v>
      </c>
      <c r="BR27" s="8">
        <f t="shared" si="5"/>
        <v>77</v>
      </c>
      <c r="BS27" s="15">
        <f t="shared" si="6"/>
        <v>57.935367462371381</v>
      </c>
      <c r="BT27" s="15" t="str">
        <f t="shared" si="7"/>
        <v>OK - No Upgrade</v>
      </c>
      <c r="BU27" s="15" t="str">
        <f t="shared" si="8"/>
        <v>OK - Balanced</v>
      </c>
    </row>
    <row r="28" spans="1:73" ht="15.75" customHeight="1" x14ac:dyDescent="0.25">
      <c r="A28" s="8" t="s">
        <v>1371</v>
      </c>
      <c r="B28" s="8" t="s">
        <v>1371</v>
      </c>
      <c r="C28" s="8" t="s">
        <v>265</v>
      </c>
      <c r="D28" s="8" t="s">
        <v>1417</v>
      </c>
      <c r="E28" s="8" t="s">
        <v>469</v>
      </c>
      <c r="F28" s="8" t="s">
        <v>43</v>
      </c>
      <c r="G28" s="8"/>
      <c r="H28" s="8">
        <v>100</v>
      </c>
      <c r="I28" s="8" t="s">
        <v>1418</v>
      </c>
      <c r="J28" s="8">
        <v>2</v>
      </c>
      <c r="K28" s="8">
        <v>233</v>
      </c>
      <c r="L28" s="8">
        <v>234</v>
      </c>
      <c r="M28" s="8">
        <v>234</v>
      </c>
      <c r="N28" s="8">
        <v>402</v>
      </c>
      <c r="O28" s="8">
        <v>401</v>
      </c>
      <c r="P28" s="8">
        <v>401</v>
      </c>
      <c r="Q28" s="9" t="s">
        <v>46</v>
      </c>
      <c r="R28" s="16"/>
      <c r="S28" s="10">
        <v>82</v>
      </c>
      <c r="T28" s="10">
        <v>82</v>
      </c>
      <c r="U28" s="10">
        <v>83</v>
      </c>
      <c r="V28" s="11">
        <v>2</v>
      </c>
      <c r="W28" s="12"/>
      <c r="X28" s="17"/>
      <c r="Y28" s="13"/>
      <c r="Z28" s="13"/>
      <c r="AA28" s="13"/>
      <c r="AB28" s="14"/>
      <c r="AC28" s="9"/>
      <c r="AD28" s="16"/>
      <c r="AE28" s="10"/>
      <c r="AF28" s="10"/>
      <c r="AG28" s="10"/>
      <c r="AH28" s="11"/>
      <c r="AI28" s="12"/>
      <c r="AJ28" s="17"/>
      <c r="AK28" s="13"/>
      <c r="AL28" s="13"/>
      <c r="AM28" s="13"/>
      <c r="AN28" s="14"/>
      <c r="AO28" s="9"/>
      <c r="AP28" s="16"/>
      <c r="AQ28" s="10"/>
      <c r="AR28" s="10"/>
      <c r="AS28" s="10"/>
      <c r="AT28" s="11"/>
      <c r="AU28" s="12"/>
      <c r="AV28" s="17"/>
      <c r="AW28" s="13"/>
      <c r="AX28" s="13"/>
      <c r="AY28" s="13"/>
      <c r="AZ28" s="14"/>
      <c r="BA28" s="9"/>
      <c r="BB28" s="16"/>
      <c r="BC28" s="10"/>
      <c r="BD28" s="10"/>
      <c r="BE28" s="10"/>
      <c r="BF28" s="11"/>
      <c r="BG28" s="12"/>
      <c r="BH28" s="17"/>
      <c r="BI28" s="13"/>
      <c r="BJ28" s="13"/>
      <c r="BK28" s="13"/>
      <c r="BL28" s="14"/>
      <c r="BM28" s="8">
        <f t="shared" si="0"/>
        <v>82</v>
      </c>
      <c r="BN28" s="8">
        <f t="shared" si="1"/>
        <v>82</v>
      </c>
      <c r="BO28" s="8">
        <f t="shared" si="2"/>
        <v>83</v>
      </c>
      <c r="BP28" s="8">
        <f t="shared" si="3"/>
        <v>2</v>
      </c>
      <c r="BQ28" s="8">
        <f t="shared" si="4"/>
        <v>83</v>
      </c>
      <c r="BR28" s="8">
        <f t="shared" si="5"/>
        <v>82</v>
      </c>
      <c r="BS28" s="15">
        <f t="shared" si="6"/>
        <v>57.791607245343158</v>
      </c>
      <c r="BT28" s="15" t="str">
        <f t="shared" si="7"/>
        <v>OK - No Upgrade</v>
      </c>
      <c r="BU28" s="15" t="str">
        <f t="shared" si="8"/>
        <v>OK - Balanced</v>
      </c>
    </row>
    <row r="29" spans="1:73" ht="15.75" customHeight="1" x14ac:dyDescent="0.25">
      <c r="A29" s="8" t="s">
        <v>1371</v>
      </c>
      <c r="B29" s="8" t="s">
        <v>1371</v>
      </c>
      <c r="C29" s="8" t="s">
        <v>265</v>
      </c>
      <c r="D29" s="8" t="s">
        <v>1419</v>
      </c>
      <c r="E29" s="8" t="s">
        <v>44</v>
      </c>
      <c r="F29" s="8" t="s">
        <v>43</v>
      </c>
      <c r="G29" s="8"/>
      <c r="H29" s="8">
        <v>315</v>
      </c>
      <c r="I29" s="8" t="s">
        <v>1416</v>
      </c>
      <c r="J29" s="8">
        <v>1</v>
      </c>
      <c r="K29" s="8">
        <v>240</v>
      </c>
      <c r="L29" s="8">
        <v>240</v>
      </c>
      <c r="M29" s="8">
        <v>239</v>
      </c>
      <c r="N29" s="8">
        <v>414</v>
      </c>
      <c r="O29" s="8">
        <v>412</v>
      </c>
      <c r="P29" s="8">
        <v>412</v>
      </c>
      <c r="Q29" s="9" t="s">
        <v>47</v>
      </c>
      <c r="R29" s="16"/>
      <c r="S29" s="10">
        <v>0</v>
      </c>
      <c r="T29" s="10">
        <v>0</v>
      </c>
      <c r="U29" s="10">
        <v>0</v>
      </c>
      <c r="V29" s="11">
        <v>0</v>
      </c>
      <c r="W29" s="12"/>
      <c r="X29" s="17"/>
      <c r="Y29" s="13"/>
      <c r="Z29" s="13"/>
      <c r="AA29" s="13"/>
      <c r="AB29" s="14"/>
      <c r="AC29" s="9"/>
      <c r="AD29" s="16"/>
      <c r="AE29" s="10"/>
      <c r="AF29" s="10"/>
      <c r="AG29" s="10"/>
      <c r="AH29" s="11"/>
      <c r="AI29" s="12"/>
      <c r="AJ29" s="17"/>
      <c r="AK29" s="13"/>
      <c r="AL29" s="13"/>
      <c r="AM29" s="13"/>
      <c r="AN29" s="14"/>
      <c r="AO29" s="9"/>
      <c r="AP29" s="16"/>
      <c r="AQ29" s="10"/>
      <c r="AR29" s="10"/>
      <c r="AS29" s="10"/>
      <c r="AT29" s="11"/>
      <c r="AU29" s="12"/>
      <c r="AV29" s="17"/>
      <c r="AW29" s="13"/>
      <c r="AX29" s="13"/>
      <c r="AY29" s="13"/>
      <c r="AZ29" s="14"/>
      <c r="BA29" s="9"/>
      <c r="BB29" s="16"/>
      <c r="BC29" s="10"/>
      <c r="BD29" s="10"/>
      <c r="BE29" s="10"/>
      <c r="BF29" s="11"/>
      <c r="BG29" s="12"/>
      <c r="BH29" s="17"/>
      <c r="BI29" s="13"/>
      <c r="BJ29" s="13"/>
      <c r="BK29" s="13"/>
      <c r="BL29" s="14"/>
      <c r="BM29" s="8">
        <f t="shared" si="0"/>
        <v>0</v>
      </c>
      <c r="BN29" s="8">
        <f t="shared" si="1"/>
        <v>0</v>
      </c>
      <c r="BO29" s="8">
        <f t="shared" si="2"/>
        <v>0</v>
      </c>
      <c r="BP29" s="8">
        <f t="shared" si="3"/>
        <v>0</v>
      </c>
      <c r="BQ29" s="8">
        <f t="shared" si="4"/>
        <v>0</v>
      </c>
      <c r="BR29" s="8">
        <f t="shared" si="5"/>
        <v>0</v>
      </c>
      <c r="BS29" s="15">
        <f t="shared" si="6"/>
        <v>0</v>
      </c>
      <c r="BT29" s="15" t="str">
        <f t="shared" si="7"/>
        <v>OK - No Upgrade</v>
      </c>
      <c r="BU29" s="15" t="str">
        <f t="shared" si="8"/>
        <v>OK - Balanced</v>
      </c>
    </row>
    <row r="30" spans="1:73" ht="15.75" customHeight="1" x14ac:dyDescent="0.25">
      <c r="A30" s="8" t="s">
        <v>1371</v>
      </c>
      <c r="B30" s="8" t="s">
        <v>1371</v>
      </c>
      <c r="C30" s="8" t="s">
        <v>265</v>
      </c>
      <c r="D30" s="8" t="s">
        <v>1419</v>
      </c>
      <c r="E30" s="8" t="s">
        <v>44</v>
      </c>
      <c r="F30" s="8" t="s">
        <v>43</v>
      </c>
      <c r="G30" s="8"/>
      <c r="H30" s="8">
        <v>315</v>
      </c>
      <c r="I30" s="8"/>
      <c r="J30" s="8">
        <v>2</v>
      </c>
      <c r="K30" s="8">
        <v>240</v>
      </c>
      <c r="L30" s="8">
        <v>240</v>
      </c>
      <c r="M30" s="8">
        <v>239</v>
      </c>
      <c r="N30" s="8">
        <v>411</v>
      </c>
      <c r="O30" s="8">
        <v>412</v>
      </c>
      <c r="P30" s="8">
        <v>411</v>
      </c>
      <c r="Q30" s="9"/>
      <c r="R30" s="16"/>
      <c r="S30" s="10"/>
      <c r="T30" s="10"/>
      <c r="U30" s="10"/>
      <c r="V30" s="11"/>
      <c r="W30" s="12"/>
      <c r="X30" s="17"/>
      <c r="Y30" s="13"/>
      <c r="Z30" s="13"/>
      <c r="AA30" s="13"/>
      <c r="AB30" s="14"/>
      <c r="AC30" s="9"/>
      <c r="AD30" s="16"/>
      <c r="AE30" s="10"/>
      <c r="AF30" s="10"/>
      <c r="AG30" s="10"/>
      <c r="AH30" s="11"/>
      <c r="AI30" s="12"/>
      <c r="AJ30" s="17"/>
      <c r="AK30" s="13"/>
      <c r="AL30" s="13"/>
      <c r="AM30" s="13"/>
      <c r="AN30" s="14"/>
      <c r="AO30" s="9"/>
      <c r="AP30" s="16"/>
      <c r="AQ30" s="10"/>
      <c r="AR30" s="10"/>
      <c r="AS30" s="10"/>
      <c r="AT30" s="11"/>
      <c r="AU30" s="12"/>
      <c r="AV30" s="17"/>
      <c r="AW30" s="13"/>
      <c r="AX30" s="13"/>
      <c r="AY30" s="13"/>
      <c r="AZ30" s="14"/>
      <c r="BA30" s="9"/>
      <c r="BB30" s="16"/>
      <c r="BC30" s="10"/>
      <c r="BD30" s="10"/>
      <c r="BE30" s="10"/>
      <c r="BF30" s="11"/>
      <c r="BG30" s="12"/>
      <c r="BH30" s="17"/>
      <c r="BI30" s="13"/>
      <c r="BJ30" s="13"/>
      <c r="BK30" s="13"/>
      <c r="BL30" s="14"/>
      <c r="BM30" s="8">
        <f t="shared" si="0"/>
        <v>0</v>
      </c>
      <c r="BN30" s="8">
        <f t="shared" si="1"/>
        <v>0</v>
      </c>
      <c r="BO30" s="8">
        <f t="shared" si="2"/>
        <v>0</v>
      </c>
      <c r="BP30" s="8">
        <f t="shared" si="3"/>
        <v>0</v>
      </c>
      <c r="BQ30" s="8">
        <f t="shared" si="4"/>
        <v>0</v>
      </c>
      <c r="BR30" s="8">
        <f t="shared" si="5"/>
        <v>0</v>
      </c>
      <c r="BS30" s="15">
        <f t="shared" si="6"/>
        <v>0</v>
      </c>
      <c r="BT30" s="15" t="str">
        <f t="shared" si="7"/>
        <v>OK - No Upgrade</v>
      </c>
      <c r="BU30" s="15" t="str">
        <f t="shared" si="8"/>
        <v>OK - Balanced</v>
      </c>
    </row>
    <row r="31" spans="1:73" ht="15.75" customHeight="1" x14ac:dyDescent="0.25">
      <c r="A31" s="8" t="s">
        <v>1371</v>
      </c>
      <c r="B31" s="8" t="s">
        <v>1371</v>
      </c>
      <c r="C31" s="8" t="s">
        <v>265</v>
      </c>
      <c r="D31" s="8" t="s">
        <v>1420</v>
      </c>
      <c r="E31" s="8" t="s">
        <v>428</v>
      </c>
      <c r="F31" s="8" t="s">
        <v>43</v>
      </c>
      <c r="G31" s="8"/>
      <c r="H31" s="8">
        <v>315</v>
      </c>
      <c r="I31" s="8" t="s">
        <v>1421</v>
      </c>
      <c r="J31" s="8">
        <v>1</v>
      </c>
      <c r="K31" s="8">
        <v>239</v>
      </c>
      <c r="L31" s="8">
        <v>240</v>
      </c>
      <c r="M31" s="8">
        <v>240</v>
      </c>
      <c r="N31" s="8">
        <v>407</v>
      </c>
      <c r="O31" s="8">
        <v>408</v>
      </c>
      <c r="P31" s="8">
        <v>408</v>
      </c>
      <c r="Q31" s="9" t="s">
        <v>46</v>
      </c>
      <c r="R31" s="16"/>
      <c r="S31" s="10">
        <v>163</v>
      </c>
      <c r="T31" s="10">
        <v>67</v>
      </c>
      <c r="U31" s="10">
        <v>81</v>
      </c>
      <c r="V31" s="11">
        <v>74</v>
      </c>
      <c r="W31" s="12"/>
      <c r="X31" s="17"/>
      <c r="Y31" s="13"/>
      <c r="Z31" s="13"/>
      <c r="AA31" s="13"/>
      <c r="AB31" s="14"/>
      <c r="AC31" s="9"/>
      <c r="AD31" s="16"/>
      <c r="AE31" s="10"/>
      <c r="AF31" s="10"/>
      <c r="AG31" s="10"/>
      <c r="AH31" s="11"/>
      <c r="AI31" s="12"/>
      <c r="AJ31" s="17"/>
      <c r="AK31" s="13"/>
      <c r="AL31" s="13"/>
      <c r="AM31" s="13"/>
      <c r="AN31" s="14"/>
      <c r="AO31" s="9"/>
      <c r="AP31" s="16"/>
      <c r="AQ31" s="10"/>
      <c r="AR31" s="10"/>
      <c r="AS31" s="10"/>
      <c r="AT31" s="11"/>
      <c r="AU31" s="12"/>
      <c r="AV31" s="17"/>
      <c r="AW31" s="13"/>
      <c r="AX31" s="13"/>
      <c r="AY31" s="13"/>
      <c r="AZ31" s="14"/>
      <c r="BA31" s="9"/>
      <c r="BB31" s="16"/>
      <c r="BC31" s="10"/>
      <c r="BD31" s="10"/>
      <c r="BE31" s="10"/>
      <c r="BF31" s="11"/>
      <c r="BG31" s="12"/>
      <c r="BH31" s="17"/>
      <c r="BI31" s="13"/>
      <c r="BJ31" s="13"/>
      <c r="BK31" s="13"/>
      <c r="BL31" s="14"/>
      <c r="BM31" s="8">
        <f t="shared" si="0"/>
        <v>163</v>
      </c>
      <c r="BN31" s="8">
        <f t="shared" si="1"/>
        <v>67</v>
      </c>
      <c r="BO31" s="8">
        <f t="shared" si="2"/>
        <v>81</v>
      </c>
      <c r="BP31" s="8">
        <f t="shared" si="3"/>
        <v>74</v>
      </c>
      <c r="BQ31" s="8">
        <f t="shared" si="4"/>
        <v>163</v>
      </c>
      <c r="BR31" s="8">
        <f t="shared" si="5"/>
        <v>67</v>
      </c>
      <c r="BS31" s="15">
        <f t="shared" si="6"/>
        <v>36.478089722199009</v>
      </c>
      <c r="BT31" s="15" t="str">
        <f t="shared" si="7"/>
        <v>OK - No Upgrade</v>
      </c>
      <c r="BU31" s="15" t="str">
        <f t="shared" si="8"/>
        <v>Need to Balance</v>
      </c>
    </row>
    <row r="32" spans="1:73" ht="15.75" customHeight="1" x14ac:dyDescent="0.25">
      <c r="A32" s="8" t="s">
        <v>1371</v>
      </c>
      <c r="B32" s="8" t="s">
        <v>1371</v>
      </c>
      <c r="C32" s="8" t="s">
        <v>265</v>
      </c>
      <c r="D32" s="8" t="s">
        <v>1422</v>
      </c>
      <c r="E32" s="8" t="s">
        <v>1384</v>
      </c>
      <c r="F32" s="8" t="s">
        <v>56</v>
      </c>
      <c r="G32" s="8"/>
      <c r="H32" s="8">
        <v>500</v>
      </c>
      <c r="I32" s="8" t="s">
        <v>1423</v>
      </c>
      <c r="J32" s="8">
        <v>1</v>
      </c>
      <c r="K32" s="8">
        <v>239</v>
      </c>
      <c r="L32" s="8">
        <v>240</v>
      </c>
      <c r="M32" s="8">
        <v>241</v>
      </c>
      <c r="N32" s="8">
        <v>410</v>
      </c>
      <c r="O32" s="8">
        <v>413</v>
      </c>
      <c r="P32" s="8">
        <v>412</v>
      </c>
      <c r="Q32" s="9" t="s">
        <v>92</v>
      </c>
      <c r="R32" s="16"/>
      <c r="S32" s="10">
        <v>82</v>
      </c>
      <c r="T32" s="10">
        <v>29</v>
      </c>
      <c r="U32" s="10">
        <v>54</v>
      </c>
      <c r="V32" s="11">
        <v>44</v>
      </c>
      <c r="W32" s="12"/>
      <c r="X32" s="17"/>
      <c r="Y32" s="13"/>
      <c r="Z32" s="13"/>
      <c r="AA32" s="13"/>
      <c r="AB32" s="14"/>
      <c r="AC32" s="9"/>
      <c r="AD32" s="16"/>
      <c r="AE32" s="10"/>
      <c r="AF32" s="10"/>
      <c r="AG32" s="10"/>
      <c r="AH32" s="11"/>
      <c r="AI32" s="12"/>
      <c r="AJ32" s="17"/>
      <c r="AK32" s="13"/>
      <c r="AL32" s="13"/>
      <c r="AM32" s="13"/>
      <c r="AN32" s="14"/>
      <c r="AO32" s="9"/>
      <c r="AP32" s="16"/>
      <c r="AQ32" s="10"/>
      <c r="AR32" s="10"/>
      <c r="AS32" s="10"/>
      <c r="AT32" s="11"/>
      <c r="AU32" s="12"/>
      <c r="AV32" s="17"/>
      <c r="AW32" s="13"/>
      <c r="AX32" s="13"/>
      <c r="AY32" s="13"/>
      <c r="AZ32" s="14"/>
      <c r="BA32" s="9"/>
      <c r="BB32" s="16"/>
      <c r="BC32" s="10"/>
      <c r="BD32" s="10"/>
      <c r="BE32" s="10"/>
      <c r="BF32" s="11"/>
      <c r="BG32" s="12"/>
      <c r="BH32" s="17"/>
      <c r="BI32" s="13"/>
      <c r="BJ32" s="13"/>
      <c r="BK32" s="13"/>
      <c r="BL32" s="14"/>
      <c r="BM32" s="8">
        <f t="shared" si="0"/>
        <v>82</v>
      </c>
      <c r="BN32" s="8">
        <f t="shared" si="1"/>
        <v>29</v>
      </c>
      <c r="BO32" s="8">
        <f t="shared" si="2"/>
        <v>54</v>
      </c>
      <c r="BP32" s="8">
        <f t="shared" si="3"/>
        <v>44</v>
      </c>
      <c r="BQ32" s="8">
        <f t="shared" si="4"/>
        <v>82</v>
      </c>
      <c r="BR32" s="8">
        <f t="shared" si="5"/>
        <v>29</v>
      </c>
      <c r="BS32" s="15">
        <f t="shared" si="6"/>
        <v>11.64630963009313</v>
      </c>
      <c r="BT32" s="15" t="str">
        <f t="shared" si="7"/>
        <v>OK - No Upgrade</v>
      </c>
      <c r="BU32" s="15" t="str">
        <f t="shared" si="8"/>
        <v>Need to Balance</v>
      </c>
    </row>
  </sheetData>
  <mergeCells count="79">
    <mergeCell ref="BU1:BU3"/>
    <mergeCell ref="BI2:BI3"/>
    <mergeCell ref="AE2:AE3"/>
    <mergeCell ref="AG2:AG3"/>
    <mergeCell ref="Y2:Y3"/>
    <mergeCell ref="AQ2:AQ3"/>
    <mergeCell ref="AS2:AS3"/>
    <mergeCell ref="AY2:AY3"/>
    <mergeCell ref="BK2:BK3"/>
    <mergeCell ref="AZ2:AZ3"/>
    <mergeCell ref="BB2:BB3"/>
    <mergeCell ref="BL2:BL3"/>
    <mergeCell ref="BN2:BN3"/>
    <mergeCell ref="AU1:AZ1"/>
    <mergeCell ref="AJ2:AJ3"/>
    <mergeCell ref="AL2:AL3"/>
    <mergeCell ref="BR1:BR3"/>
    <mergeCell ref="H1:H3"/>
    <mergeCell ref="AR2:AR3"/>
    <mergeCell ref="AT2:AT3"/>
    <mergeCell ref="E1:E3"/>
    <mergeCell ref="BF2:BF3"/>
    <mergeCell ref="K2:M2"/>
    <mergeCell ref="F1:F3"/>
    <mergeCell ref="J1:J3"/>
    <mergeCell ref="R2:R3"/>
    <mergeCell ref="AD2:AD3"/>
    <mergeCell ref="AN2:AN3"/>
    <mergeCell ref="AP2:AP3"/>
    <mergeCell ref="A1:A3"/>
    <mergeCell ref="BA1:BF1"/>
    <mergeCell ref="C1:C3"/>
    <mergeCell ref="D1:D2"/>
    <mergeCell ref="BQ1:BQ3"/>
    <mergeCell ref="BS1:BS3"/>
    <mergeCell ref="BA2:BA3"/>
    <mergeCell ref="S2:S3"/>
    <mergeCell ref="BC2:BC3"/>
    <mergeCell ref="K1:P1"/>
    <mergeCell ref="BM2:BM3"/>
    <mergeCell ref="BO2:BO3"/>
    <mergeCell ref="W1:AB1"/>
    <mergeCell ref="Q1:V1"/>
    <mergeCell ref="BP2:BP3"/>
    <mergeCell ref="AC1:AH1"/>
    <mergeCell ref="AO1:AT1"/>
    <mergeCell ref="Z2:Z3"/>
    <mergeCell ref="B1:B3"/>
    <mergeCell ref="AI1:AN1"/>
    <mergeCell ref="V2:V3"/>
    <mergeCell ref="X2:X3"/>
    <mergeCell ref="BG1:BL1"/>
    <mergeCell ref="BD2:BD3"/>
    <mergeCell ref="AV2:AV3"/>
    <mergeCell ref="AX2:AX3"/>
    <mergeCell ref="I1:I3"/>
    <mergeCell ref="BH2:BH3"/>
    <mergeCell ref="BJ2:BJ3"/>
    <mergeCell ref="AF2:AF3"/>
    <mergeCell ref="AH2:AH3"/>
    <mergeCell ref="Q2:Q3"/>
    <mergeCell ref="AI2:AI3"/>
    <mergeCell ref="AK2:AK3"/>
    <mergeCell ref="N2:P2"/>
    <mergeCell ref="G1:G3"/>
    <mergeCell ref="U2:U3"/>
    <mergeCell ref="BT1:BT3"/>
    <mergeCell ref="BE2:BE3"/>
    <mergeCell ref="W2:W3"/>
    <mergeCell ref="BG2:BG3"/>
    <mergeCell ref="AA2:AA3"/>
    <mergeCell ref="AC2:AC3"/>
    <mergeCell ref="AM2:AM3"/>
    <mergeCell ref="AO2:AO3"/>
    <mergeCell ref="BM1:BP1"/>
    <mergeCell ref="AU2:AU3"/>
    <mergeCell ref="AW2:AW3"/>
    <mergeCell ref="AB2:AB3"/>
    <mergeCell ref="T2:T3"/>
  </mergeCells>
  <dataValidations count="1">
    <dataValidation type="list" allowBlank="1" errorTitle="Invalid value" error="Please choose Cu or Al" promptTitle="Cable Type" prompt="Choose cable material" sqref="R4:R32 BH4:BH32 BB4:BB32 AV4:AV32 AP4:AP32 AJ4:AJ32 AD4:AD32 X4:X32" xr:uid="{00000000-0002-0000-0700-000000000000}">
      <formula1>"Cu,Al"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U23"/>
  <sheetViews>
    <sheetView workbookViewId="0"/>
  </sheetViews>
  <sheetFormatPr defaultRowHeight="15" x14ac:dyDescent="0.25"/>
  <cols>
    <col min="1" max="1" width="12.85546875" customWidth="1"/>
    <col min="2" max="2" width="14.85546875" customWidth="1"/>
    <col min="3" max="3" width="9.85546875" customWidth="1"/>
    <col min="4" max="4" width="20.85546875" customWidth="1"/>
    <col min="5" max="5" width="8.85546875" customWidth="1"/>
    <col min="6" max="6" width="10.85546875" customWidth="1"/>
    <col min="7" max="7" width="5.85546875" customWidth="1"/>
    <col min="8" max="8" width="9.85546875" customWidth="1"/>
    <col min="9" max="9" width="10.85546875" customWidth="1"/>
    <col min="10" max="10" width="5.85546875" customWidth="1"/>
    <col min="11" max="11" width="7.85546875" customWidth="1"/>
    <col min="12" max="16" width="6.85546875" customWidth="1"/>
    <col min="17" max="17" width="8.85546875" customWidth="1"/>
    <col min="18" max="21" width="6.85546875" customWidth="1"/>
    <col min="22" max="22" width="8.85546875" customWidth="1"/>
    <col min="23" max="26" width="6.85546875" customWidth="1"/>
    <col min="27" max="27" width="8.85546875" customWidth="1"/>
    <col min="28" max="31" width="6.85546875" customWidth="1"/>
    <col min="32" max="32" width="8.85546875" customWidth="1"/>
    <col min="33" max="36" width="6.85546875" customWidth="1"/>
    <col min="37" max="37" width="8.85546875" customWidth="1"/>
    <col min="38" max="41" width="6.85546875" customWidth="1"/>
    <col min="42" max="42" width="8.85546875" customWidth="1"/>
    <col min="43" max="46" width="6.85546875" customWidth="1"/>
    <col min="47" max="47" width="8.85546875" customWidth="1"/>
    <col min="48" max="51" width="6.85546875" customWidth="1"/>
    <col min="52" max="52" width="8.85546875" customWidth="1"/>
    <col min="53" max="60" width="6.85546875" customWidth="1"/>
    <col min="61" max="62" width="7.85546875" customWidth="1"/>
    <col min="63" max="63" width="9.85546875" customWidth="1"/>
    <col min="64" max="65" width="24.85546875" customWidth="1"/>
  </cols>
  <sheetData>
    <row r="1" spans="1:73" ht="19.5" customHeight="1" x14ac:dyDescent="0.25">
      <c r="A1" s="21" t="s">
        <v>0</v>
      </c>
      <c r="B1" s="21" t="s">
        <v>1</v>
      </c>
      <c r="C1" s="21" t="s">
        <v>2</v>
      </c>
      <c r="D1" s="38" t="s">
        <v>3</v>
      </c>
      <c r="E1" s="21" t="s">
        <v>4</v>
      </c>
      <c r="F1" s="40" t="s">
        <v>5</v>
      </c>
      <c r="G1" s="21" t="s">
        <v>6</v>
      </c>
      <c r="H1" s="21" t="s">
        <v>7</v>
      </c>
      <c r="I1" s="21" t="s">
        <v>8</v>
      </c>
      <c r="J1" s="41" t="s">
        <v>9</v>
      </c>
      <c r="K1" s="18" t="s">
        <v>10</v>
      </c>
      <c r="L1" s="19"/>
      <c r="M1" s="19"/>
      <c r="N1" s="19"/>
      <c r="O1" s="19"/>
      <c r="P1" s="20"/>
      <c r="Q1" s="29" t="s">
        <v>11</v>
      </c>
      <c r="R1" s="30"/>
      <c r="S1" s="30"/>
      <c r="T1" s="30"/>
      <c r="U1" s="30"/>
      <c r="V1" s="31"/>
      <c r="W1" s="29" t="s">
        <v>12</v>
      </c>
      <c r="X1" s="30"/>
      <c r="Y1" s="30"/>
      <c r="Z1" s="30"/>
      <c r="AA1" s="30"/>
      <c r="AB1" s="31"/>
      <c r="AC1" s="29" t="s">
        <v>13</v>
      </c>
      <c r="AD1" s="30"/>
      <c r="AE1" s="30"/>
      <c r="AF1" s="30"/>
      <c r="AG1" s="30"/>
      <c r="AH1" s="31"/>
      <c r="AI1" s="29" t="s">
        <v>14</v>
      </c>
      <c r="AJ1" s="30"/>
      <c r="AK1" s="30"/>
      <c r="AL1" s="30"/>
      <c r="AM1" s="30"/>
      <c r="AN1" s="31"/>
      <c r="AO1" s="29" t="s">
        <v>15</v>
      </c>
      <c r="AP1" s="30"/>
      <c r="AQ1" s="30"/>
      <c r="AR1" s="30"/>
      <c r="AS1" s="30"/>
      <c r="AT1" s="31"/>
      <c r="AU1" s="29" t="s">
        <v>16</v>
      </c>
      <c r="AV1" s="30"/>
      <c r="AW1" s="30"/>
      <c r="AX1" s="30"/>
      <c r="AY1" s="30"/>
      <c r="AZ1" s="31"/>
      <c r="BA1" s="29" t="s">
        <v>17</v>
      </c>
      <c r="BB1" s="30"/>
      <c r="BC1" s="30"/>
      <c r="BD1" s="30"/>
      <c r="BE1" s="30"/>
      <c r="BF1" s="31"/>
      <c r="BG1" s="29" t="s">
        <v>18</v>
      </c>
      <c r="BH1" s="30"/>
      <c r="BI1" s="30"/>
      <c r="BJ1" s="30"/>
      <c r="BK1" s="30"/>
      <c r="BL1" s="31"/>
      <c r="BM1" s="37" t="s">
        <v>19</v>
      </c>
      <c r="BN1" s="19"/>
      <c r="BO1" s="19"/>
      <c r="BP1" s="20"/>
      <c r="BQ1" s="18" t="s">
        <v>20</v>
      </c>
      <c r="BR1" s="18" t="s">
        <v>21</v>
      </c>
      <c r="BS1" s="39" t="s">
        <v>22</v>
      </c>
      <c r="BT1" s="26" t="s">
        <v>23</v>
      </c>
      <c r="BU1" s="26" t="s">
        <v>24</v>
      </c>
    </row>
    <row r="2" spans="1:73" ht="19.5" customHeight="1" x14ac:dyDescent="0.25">
      <c r="A2" s="22"/>
      <c r="B2" s="22"/>
      <c r="C2" s="22"/>
      <c r="D2" s="23"/>
      <c r="E2" s="22"/>
      <c r="F2" s="22"/>
      <c r="G2" s="22"/>
      <c r="H2" s="22"/>
      <c r="I2" s="22"/>
      <c r="J2" s="22"/>
      <c r="K2" s="18" t="s">
        <v>25</v>
      </c>
      <c r="L2" s="19"/>
      <c r="M2" s="20"/>
      <c r="N2" s="18" t="s">
        <v>26</v>
      </c>
      <c r="O2" s="19"/>
      <c r="P2" s="20"/>
      <c r="Q2" s="27" t="s">
        <v>27</v>
      </c>
      <c r="R2" s="34" t="s">
        <v>5</v>
      </c>
      <c r="S2" s="36" t="s">
        <v>28</v>
      </c>
      <c r="T2" s="35" t="s">
        <v>29</v>
      </c>
      <c r="U2" s="24" t="s">
        <v>30</v>
      </c>
      <c r="V2" s="32" t="s">
        <v>31</v>
      </c>
      <c r="W2" s="27" t="s">
        <v>27</v>
      </c>
      <c r="X2" s="34" t="s">
        <v>5</v>
      </c>
      <c r="Y2" s="36" t="s">
        <v>28</v>
      </c>
      <c r="Z2" s="35" t="s">
        <v>29</v>
      </c>
      <c r="AA2" s="24" t="s">
        <v>30</v>
      </c>
      <c r="AB2" s="32" t="s">
        <v>31</v>
      </c>
      <c r="AC2" s="27" t="s">
        <v>27</v>
      </c>
      <c r="AD2" s="34" t="s">
        <v>5</v>
      </c>
      <c r="AE2" s="36" t="s">
        <v>28</v>
      </c>
      <c r="AF2" s="35" t="s">
        <v>29</v>
      </c>
      <c r="AG2" s="24" t="s">
        <v>30</v>
      </c>
      <c r="AH2" s="32" t="s">
        <v>31</v>
      </c>
      <c r="AI2" s="27" t="s">
        <v>27</v>
      </c>
      <c r="AJ2" s="34" t="s">
        <v>5</v>
      </c>
      <c r="AK2" s="36" t="s">
        <v>28</v>
      </c>
      <c r="AL2" s="35" t="s">
        <v>29</v>
      </c>
      <c r="AM2" s="24" t="s">
        <v>30</v>
      </c>
      <c r="AN2" s="32" t="s">
        <v>31</v>
      </c>
      <c r="AO2" s="27" t="s">
        <v>27</v>
      </c>
      <c r="AP2" s="34" t="s">
        <v>5</v>
      </c>
      <c r="AQ2" s="36" t="s">
        <v>28</v>
      </c>
      <c r="AR2" s="35" t="s">
        <v>29</v>
      </c>
      <c r="AS2" s="24" t="s">
        <v>30</v>
      </c>
      <c r="AT2" s="32" t="s">
        <v>31</v>
      </c>
      <c r="AU2" s="27" t="s">
        <v>27</v>
      </c>
      <c r="AV2" s="34" t="s">
        <v>5</v>
      </c>
      <c r="AW2" s="36" t="s">
        <v>28</v>
      </c>
      <c r="AX2" s="35" t="s">
        <v>29</v>
      </c>
      <c r="AY2" s="24" t="s">
        <v>30</v>
      </c>
      <c r="AZ2" s="32" t="s">
        <v>31</v>
      </c>
      <c r="BA2" s="27" t="s">
        <v>27</v>
      </c>
      <c r="BB2" s="34" t="s">
        <v>5</v>
      </c>
      <c r="BC2" s="36" t="s">
        <v>28</v>
      </c>
      <c r="BD2" s="35" t="s">
        <v>29</v>
      </c>
      <c r="BE2" s="24" t="s">
        <v>30</v>
      </c>
      <c r="BF2" s="32" t="s">
        <v>31</v>
      </c>
      <c r="BG2" s="27" t="s">
        <v>27</v>
      </c>
      <c r="BH2" s="34" t="s">
        <v>5</v>
      </c>
      <c r="BI2" s="36" t="s">
        <v>28</v>
      </c>
      <c r="BJ2" s="35" t="s">
        <v>29</v>
      </c>
      <c r="BK2" s="24" t="s">
        <v>30</v>
      </c>
      <c r="BL2" s="32" t="s">
        <v>31</v>
      </c>
      <c r="BM2" s="37" t="s">
        <v>28</v>
      </c>
      <c r="BN2" s="37" t="s">
        <v>29</v>
      </c>
      <c r="BO2" s="37" t="s">
        <v>30</v>
      </c>
      <c r="BP2" s="37" t="s">
        <v>31</v>
      </c>
      <c r="BQ2" s="22"/>
      <c r="BR2" s="22"/>
      <c r="BS2" s="22"/>
      <c r="BT2" s="22"/>
      <c r="BU2" s="22"/>
    </row>
    <row r="3" spans="1:73" ht="19.5" customHeight="1" x14ac:dyDescent="0.25">
      <c r="A3" s="23"/>
      <c r="B3" s="23"/>
      <c r="C3" s="23"/>
      <c r="D3" s="1"/>
      <c r="E3" s="23"/>
      <c r="F3" s="23"/>
      <c r="G3" s="23"/>
      <c r="H3" s="23"/>
      <c r="I3" s="23"/>
      <c r="J3" s="23"/>
      <c r="K3" s="2" t="s">
        <v>32</v>
      </c>
      <c r="L3" s="3" t="s">
        <v>33</v>
      </c>
      <c r="M3" s="4" t="s">
        <v>34</v>
      </c>
      <c r="N3" s="5" t="s">
        <v>35</v>
      </c>
      <c r="O3" s="6" t="s">
        <v>36</v>
      </c>
      <c r="P3" s="7" t="s">
        <v>37</v>
      </c>
      <c r="Q3" s="28"/>
      <c r="R3" s="25"/>
      <c r="S3" s="25"/>
      <c r="T3" s="25"/>
      <c r="U3" s="25"/>
      <c r="V3" s="33"/>
      <c r="W3" s="28"/>
      <c r="X3" s="25"/>
      <c r="Y3" s="25"/>
      <c r="Z3" s="25"/>
      <c r="AA3" s="25"/>
      <c r="AB3" s="33"/>
      <c r="AC3" s="28"/>
      <c r="AD3" s="25"/>
      <c r="AE3" s="25"/>
      <c r="AF3" s="25"/>
      <c r="AG3" s="25"/>
      <c r="AH3" s="33"/>
      <c r="AI3" s="28"/>
      <c r="AJ3" s="25"/>
      <c r="AK3" s="25"/>
      <c r="AL3" s="25"/>
      <c r="AM3" s="25"/>
      <c r="AN3" s="33"/>
      <c r="AO3" s="28"/>
      <c r="AP3" s="25"/>
      <c r="AQ3" s="25"/>
      <c r="AR3" s="25"/>
      <c r="AS3" s="25"/>
      <c r="AT3" s="33"/>
      <c r="AU3" s="28"/>
      <c r="AV3" s="25"/>
      <c r="AW3" s="25"/>
      <c r="AX3" s="25"/>
      <c r="AY3" s="25"/>
      <c r="AZ3" s="33"/>
      <c r="BA3" s="28"/>
      <c r="BB3" s="25"/>
      <c r="BC3" s="25"/>
      <c r="BD3" s="25"/>
      <c r="BE3" s="25"/>
      <c r="BF3" s="33"/>
      <c r="BG3" s="28"/>
      <c r="BH3" s="25"/>
      <c r="BI3" s="25"/>
      <c r="BJ3" s="25"/>
      <c r="BK3" s="25"/>
      <c r="BL3" s="33"/>
      <c r="BM3" s="23"/>
      <c r="BN3" s="23"/>
      <c r="BO3" s="23"/>
      <c r="BP3" s="23"/>
      <c r="BQ3" s="23"/>
      <c r="BR3" s="23"/>
      <c r="BS3" s="23"/>
      <c r="BT3" s="23"/>
      <c r="BU3" s="23"/>
    </row>
    <row r="4" spans="1:73" ht="15.75" customHeight="1" x14ac:dyDescent="0.25">
      <c r="A4" s="8" t="s">
        <v>1371</v>
      </c>
      <c r="B4" s="8" t="s">
        <v>1424</v>
      </c>
      <c r="C4" s="8" t="s">
        <v>265</v>
      </c>
      <c r="D4" s="8" t="s">
        <v>1425</v>
      </c>
      <c r="E4" s="8" t="s">
        <v>469</v>
      </c>
      <c r="F4" s="8" t="s">
        <v>43</v>
      </c>
      <c r="G4" s="8"/>
      <c r="H4" s="8">
        <v>100</v>
      </c>
      <c r="I4" s="8" t="s">
        <v>1426</v>
      </c>
      <c r="J4" s="8">
        <v>1</v>
      </c>
      <c r="K4" s="8">
        <v>249</v>
      </c>
      <c r="L4" s="8">
        <v>248</v>
      </c>
      <c r="M4" s="8">
        <v>249</v>
      </c>
      <c r="N4" s="8">
        <v>429</v>
      </c>
      <c r="O4" s="8">
        <v>428</v>
      </c>
      <c r="P4" s="8">
        <v>429</v>
      </c>
      <c r="Q4" s="9"/>
      <c r="R4" s="16"/>
      <c r="S4" s="10">
        <v>0</v>
      </c>
      <c r="T4" s="10">
        <v>0</v>
      </c>
      <c r="U4" s="10">
        <v>0</v>
      </c>
      <c r="V4" s="11">
        <v>0</v>
      </c>
      <c r="W4" s="12"/>
      <c r="X4" s="17"/>
      <c r="Y4" s="13"/>
      <c r="Z4" s="13"/>
      <c r="AA4" s="13"/>
      <c r="AB4" s="14"/>
      <c r="AC4" s="9"/>
      <c r="AD4" s="16"/>
      <c r="AE4" s="10"/>
      <c r="AF4" s="10"/>
      <c r="AG4" s="10"/>
      <c r="AH4" s="11"/>
      <c r="AI4" s="12"/>
      <c r="AJ4" s="17"/>
      <c r="AK4" s="13"/>
      <c r="AL4" s="13"/>
      <c r="AM4" s="13"/>
      <c r="AN4" s="14"/>
      <c r="AO4" s="9"/>
      <c r="AP4" s="16"/>
      <c r="AQ4" s="10"/>
      <c r="AR4" s="10"/>
      <c r="AS4" s="10"/>
      <c r="AT4" s="11"/>
      <c r="AU4" s="12"/>
      <c r="AV4" s="17"/>
      <c r="AW4" s="13"/>
      <c r="AX4" s="13"/>
      <c r="AY4" s="13"/>
      <c r="AZ4" s="14"/>
      <c r="BA4" s="9"/>
      <c r="BB4" s="16"/>
      <c r="BC4" s="10"/>
      <c r="BD4" s="10"/>
      <c r="BE4" s="10"/>
      <c r="BF4" s="11"/>
      <c r="BG4" s="12"/>
      <c r="BH4" s="17"/>
      <c r="BI4" s="13"/>
      <c r="BJ4" s="13"/>
      <c r="BK4" s="13"/>
      <c r="BL4" s="14"/>
      <c r="BM4" s="8">
        <f t="shared" ref="BM4:BM23" si="0">SUM(S4,Y4,AE4,AK4,AQ4,AW4,BC4,BI4)</f>
        <v>0</v>
      </c>
      <c r="BN4" s="8">
        <f t="shared" ref="BN4:BN23" si="1">SUM(T4,Z4,AF4,AL4,AR4,AX4,BD4,BJ4)</f>
        <v>0</v>
      </c>
      <c r="BO4" s="8">
        <f t="shared" ref="BO4:BO23" si="2">SUM(U4,AA4,AG4,AM4,AS4,AY4,BE4,BK4)</f>
        <v>0</v>
      </c>
      <c r="BP4" s="8">
        <f t="shared" ref="BP4:BP23" si="3">SUM(V4,AB4,AH4,AN4,AT4,AZ4,BF4,BL4)</f>
        <v>0</v>
      </c>
      <c r="BQ4" s="8">
        <f t="shared" ref="BQ4:BQ23" si="4">MAX(BM4:BO4)</f>
        <v>0</v>
      </c>
      <c r="BR4" s="8">
        <f t="shared" ref="BR4:BR23" si="5">MIN(BM4:BO4)</f>
        <v>0</v>
      </c>
      <c r="BS4" s="15">
        <f t="shared" ref="BS4:BS23" si="6">IF(H4&gt;0,(BQ4*SQRT(3)*IF(N4&gt;0,N4,IF(O4&gt;0,O4,IF(P4&gt;0,P4,415)))/(H4*1000))*100,0)</f>
        <v>0</v>
      </c>
      <c r="BT4" s="15" t="str">
        <f t="shared" ref="BT4:BT23" si="7">IF(BS4&gt;70,"Upgrade","OK - No Upgrade")</f>
        <v>OK - No Upgrade</v>
      </c>
      <c r="BU4" s="15" t="str">
        <f t="shared" ref="BU4:BU23" si="8">IF(IF(AVERAGE(BM4:BO4)&gt;0,((BQ4-AVERAGE(BM4:BO4))/AVERAGE(BM4:BO4))*100,0)&gt;10,"Need to Balance","OK - Balanced")</f>
        <v>OK - Balanced</v>
      </c>
    </row>
    <row r="5" spans="1:73" ht="15.75" customHeight="1" x14ac:dyDescent="0.25">
      <c r="A5" s="8" t="s">
        <v>1371</v>
      </c>
      <c r="B5" s="8" t="s">
        <v>1424</v>
      </c>
      <c r="C5" s="8" t="s">
        <v>265</v>
      </c>
      <c r="D5" s="8" t="s">
        <v>1425</v>
      </c>
      <c r="E5" s="8" t="s">
        <v>469</v>
      </c>
      <c r="F5" s="8" t="s">
        <v>43</v>
      </c>
      <c r="G5" s="8"/>
      <c r="H5" s="8">
        <v>100</v>
      </c>
      <c r="I5" s="8" t="s">
        <v>1427</v>
      </c>
      <c r="J5" s="8">
        <v>2</v>
      </c>
      <c r="K5" s="8">
        <v>245</v>
      </c>
      <c r="L5" s="8">
        <v>245</v>
      </c>
      <c r="M5" s="8">
        <v>244</v>
      </c>
      <c r="N5" s="8">
        <v>422</v>
      </c>
      <c r="O5" s="8">
        <v>433</v>
      </c>
      <c r="P5" s="8">
        <v>423</v>
      </c>
      <c r="Q5" s="9" t="s">
        <v>47</v>
      </c>
      <c r="R5" s="16"/>
      <c r="S5" s="10">
        <v>95</v>
      </c>
      <c r="T5" s="10">
        <v>83</v>
      </c>
      <c r="U5" s="10">
        <v>70</v>
      </c>
      <c r="V5" s="11">
        <v>20</v>
      </c>
      <c r="W5" s="12"/>
      <c r="X5" s="17"/>
      <c r="Y5" s="13"/>
      <c r="Z5" s="13"/>
      <c r="AA5" s="13"/>
      <c r="AB5" s="14"/>
      <c r="AC5" s="9"/>
      <c r="AD5" s="16"/>
      <c r="AE5" s="10"/>
      <c r="AF5" s="10"/>
      <c r="AG5" s="10"/>
      <c r="AH5" s="11"/>
      <c r="AI5" s="12"/>
      <c r="AJ5" s="17"/>
      <c r="AK5" s="13"/>
      <c r="AL5" s="13"/>
      <c r="AM5" s="13"/>
      <c r="AN5" s="14"/>
      <c r="AO5" s="9"/>
      <c r="AP5" s="16"/>
      <c r="AQ5" s="10"/>
      <c r="AR5" s="10"/>
      <c r="AS5" s="10"/>
      <c r="AT5" s="11"/>
      <c r="AU5" s="12"/>
      <c r="AV5" s="17"/>
      <c r="AW5" s="13"/>
      <c r="AX5" s="13"/>
      <c r="AY5" s="13"/>
      <c r="AZ5" s="14"/>
      <c r="BA5" s="9"/>
      <c r="BB5" s="16"/>
      <c r="BC5" s="10"/>
      <c r="BD5" s="10"/>
      <c r="BE5" s="10"/>
      <c r="BF5" s="11"/>
      <c r="BG5" s="12"/>
      <c r="BH5" s="17"/>
      <c r="BI5" s="13"/>
      <c r="BJ5" s="13"/>
      <c r="BK5" s="13"/>
      <c r="BL5" s="14"/>
      <c r="BM5" s="8">
        <f t="shared" si="0"/>
        <v>95</v>
      </c>
      <c r="BN5" s="8">
        <f t="shared" si="1"/>
        <v>83</v>
      </c>
      <c r="BO5" s="8">
        <f t="shared" si="2"/>
        <v>70</v>
      </c>
      <c r="BP5" s="8">
        <f t="shared" si="3"/>
        <v>20</v>
      </c>
      <c r="BQ5" s="8">
        <f t="shared" si="4"/>
        <v>95</v>
      </c>
      <c r="BR5" s="8">
        <f t="shared" si="5"/>
        <v>70</v>
      </c>
      <c r="BS5" s="15">
        <f t="shared" si="6"/>
        <v>69.437916875436287</v>
      </c>
      <c r="BT5" s="15" t="str">
        <f t="shared" si="7"/>
        <v>OK - No Upgrade</v>
      </c>
      <c r="BU5" s="15" t="str">
        <f t="shared" si="8"/>
        <v>Need to Balance</v>
      </c>
    </row>
    <row r="6" spans="1:73" ht="15.75" customHeight="1" x14ac:dyDescent="0.25">
      <c r="A6" s="8" t="s">
        <v>1371</v>
      </c>
      <c r="B6" s="8" t="s">
        <v>1424</v>
      </c>
      <c r="C6" s="8" t="s">
        <v>265</v>
      </c>
      <c r="D6" s="8" t="s">
        <v>1428</v>
      </c>
      <c r="E6" s="8" t="s">
        <v>44</v>
      </c>
      <c r="F6" s="8" t="s">
        <v>43</v>
      </c>
      <c r="G6" s="8"/>
      <c r="H6" s="8">
        <v>200</v>
      </c>
      <c r="I6" s="8" t="s">
        <v>1429</v>
      </c>
      <c r="J6" s="8">
        <v>1</v>
      </c>
      <c r="K6" s="8">
        <v>247</v>
      </c>
      <c r="L6" s="8">
        <v>248</v>
      </c>
      <c r="M6" s="8">
        <v>246</v>
      </c>
      <c r="N6" s="8">
        <v>428</v>
      </c>
      <c r="O6" s="8">
        <v>426</v>
      </c>
      <c r="P6" s="8">
        <v>428</v>
      </c>
      <c r="Q6" s="9" t="s">
        <v>46</v>
      </c>
      <c r="R6" s="16"/>
      <c r="S6" s="10">
        <v>65</v>
      </c>
      <c r="T6" s="10">
        <v>57</v>
      </c>
      <c r="U6" s="10">
        <v>64</v>
      </c>
      <c r="V6" s="11">
        <v>15</v>
      </c>
      <c r="W6" s="12"/>
      <c r="X6" s="17"/>
      <c r="Y6" s="13"/>
      <c r="Z6" s="13"/>
      <c r="AA6" s="13"/>
      <c r="AB6" s="14"/>
      <c r="AC6" s="9"/>
      <c r="AD6" s="16"/>
      <c r="AE6" s="10"/>
      <c r="AF6" s="10"/>
      <c r="AG6" s="10"/>
      <c r="AH6" s="11"/>
      <c r="AI6" s="12"/>
      <c r="AJ6" s="17"/>
      <c r="AK6" s="13"/>
      <c r="AL6" s="13"/>
      <c r="AM6" s="13"/>
      <c r="AN6" s="14"/>
      <c r="AO6" s="9"/>
      <c r="AP6" s="16"/>
      <c r="AQ6" s="10"/>
      <c r="AR6" s="10"/>
      <c r="AS6" s="10"/>
      <c r="AT6" s="11"/>
      <c r="AU6" s="12"/>
      <c r="AV6" s="17"/>
      <c r="AW6" s="13"/>
      <c r="AX6" s="13"/>
      <c r="AY6" s="13"/>
      <c r="AZ6" s="14"/>
      <c r="BA6" s="9"/>
      <c r="BB6" s="16"/>
      <c r="BC6" s="10"/>
      <c r="BD6" s="10"/>
      <c r="BE6" s="10"/>
      <c r="BF6" s="11"/>
      <c r="BG6" s="12"/>
      <c r="BH6" s="17"/>
      <c r="BI6" s="13"/>
      <c r="BJ6" s="13"/>
      <c r="BK6" s="13"/>
      <c r="BL6" s="14"/>
      <c r="BM6" s="8">
        <f t="shared" si="0"/>
        <v>65</v>
      </c>
      <c r="BN6" s="8">
        <f t="shared" si="1"/>
        <v>57</v>
      </c>
      <c r="BO6" s="8">
        <f t="shared" si="2"/>
        <v>64</v>
      </c>
      <c r="BP6" s="8">
        <f t="shared" si="3"/>
        <v>15</v>
      </c>
      <c r="BQ6" s="8">
        <f t="shared" si="4"/>
        <v>65</v>
      </c>
      <c r="BR6" s="8">
        <f t="shared" si="5"/>
        <v>57</v>
      </c>
      <c r="BS6" s="15">
        <f t="shared" si="6"/>
        <v>24.092826733283086</v>
      </c>
      <c r="BT6" s="15" t="str">
        <f t="shared" si="7"/>
        <v>OK - No Upgrade</v>
      </c>
      <c r="BU6" s="15" t="str">
        <f t="shared" si="8"/>
        <v>OK - Balanced</v>
      </c>
    </row>
    <row r="7" spans="1:73" ht="15.75" customHeight="1" x14ac:dyDescent="0.25">
      <c r="A7" s="8" t="s">
        <v>1371</v>
      </c>
      <c r="B7" s="8" t="s">
        <v>1424</v>
      </c>
      <c r="C7" s="8" t="s">
        <v>265</v>
      </c>
      <c r="D7" s="8" t="s">
        <v>1425</v>
      </c>
      <c r="E7" s="8" t="s">
        <v>1381</v>
      </c>
      <c r="F7" s="8" t="s">
        <v>43</v>
      </c>
      <c r="G7" s="8"/>
      <c r="H7" s="8">
        <v>315</v>
      </c>
      <c r="I7" s="8" t="s">
        <v>1430</v>
      </c>
      <c r="J7" s="8">
        <v>1</v>
      </c>
      <c r="K7" s="8">
        <v>255</v>
      </c>
      <c r="L7" s="8">
        <v>255</v>
      </c>
      <c r="M7" s="8">
        <v>254</v>
      </c>
      <c r="N7" s="8">
        <v>441</v>
      </c>
      <c r="O7" s="8">
        <v>441</v>
      </c>
      <c r="P7" s="8">
        <v>441</v>
      </c>
      <c r="Q7" s="9" t="s">
        <v>46</v>
      </c>
      <c r="R7" s="16"/>
      <c r="S7" s="10">
        <v>14</v>
      </c>
      <c r="T7" s="10">
        <v>11</v>
      </c>
      <c r="U7" s="10">
        <v>12</v>
      </c>
      <c r="V7" s="11">
        <v>4</v>
      </c>
      <c r="W7" s="12"/>
      <c r="X7" s="17"/>
      <c r="Y7" s="13"/>
      <c r="Z7" s="13"/>
      <c r="AA7" s="13"/>
      <c r="AB7" s="14"/>
      <c r="AC7" s="9"/>
      <c r="AD7" s="16"/>
      <c r="AE7" s="10"/>
      <c r="AF7" s="10"/>
      <c r="AG7" s="10"/>
      <c r="AH7" s="11"/>
      <c r="AI7" s="12"/>
      <c r="AJ7" s="17"/>
      <c r="AK7" s="13"/>
      <c r="AL7" s="13"/>
      <c r="AM7" s="13"/>
      <c r="AN7" s="14"/>
      <c r="AO7" s="9"/>
      <c r="AP7" s="16"/>
      <c r="AQ7" s="10"/>
      <c r="AR7" s="10"/>
      <c r="AS7" s="10"/>
      <c r="AT7" s="11"/>
      <c r="AU7" s="12"/>
      <c r="AV7" s="17"/>
      <c r="AW7" s="13"/>
      <c r="AX7" s="13"/>
      <c r="AY7" s="13"/>
      <c r="AZ7" s="14"/>
      <c r="BA7" s="9"/>
      <c r="BB7" s="16"/>
      <c r="BC7" s="10"/>
      <c r="BD7" s="10"/>
      <c r="BE7" s="10"/>
      <c r="BF7" s="11"/>
      <c r="BG7" s="12"/>
      <c r="BH7" s="17"/>
      <c r="BI7" s="13"/>
      <c r="BJ7" s="13"/>
      <c r="BK7" s="13"/>
      <c r="BL7" s="14"/>
      <c r="BM7" s="8">
        <f t="shared" si="0"/>
        <v>14</v>
      </c>
      <c r="BN7" s="8">
        <f t="shared" si="1"/>
        <v>11</v>
      </c>
      <c r="BO7" s="8">
        <f t="shared" si="2"/>
        <v>12</v>
      </c>
      <c r="BP7" s="8">
        <f t="shared" si="3"/>
        <v>4</v>
      </c>
      <c r="BQ7" s="8">
        <f t="shared" si="4"/>
        <v>14</v>
      </c>
      <c r="BR7" s="8">
        <f t="shared" si="5"/>
        <v>11</v>
      </c>
      <c r="BS7" s="15">
        <f t="shared" si="6"/>
        <v>3.3948195828349994</v>
      </c>
      <c r="BT7" s="15" t="str">
        <f t="shared" si="7"/>
        <v>OK - No Upgrade</v>
      </c>
      <c r="BU7" s="15" t="str">
        <f t="shared" si="8"/>
        <v>Need to Balance</v>
      </c>
    </row>
    <row r="8" spans="1:73" ht="15.75" customHeight="1" x14ac:dyDescent="0.25">
      <c r="A8" s="8" t="s">
        <v>1371</v>
      </c>
      <c r="B8" s="8" t="s">
        <v>1424</v>
      </c>
      <c r="C8" s="8" t="s">
        <v>265</v>
      </c>
      <c r="D8" s="8" t="s">
        <v>1425</v>
      </c>
      <c r="E8" s="8" t="s">
        <v>1381</v>
      </c>
      <c r="F8" s="8" t="s">
        <v>43</v>
      </c>
      <c r="G8" s="8"/>
      <c r="H8" s="8">
        <v>315</v>
      </c>
      <c r="I8" s="8" t="s">
        <v>1431</v>
      </c>
      <c r="J8" s="8">
        <v>2</v>
      </c>
      <c r="K8" s="8">
        <v>251</v>
      </c>
      <c r="L8" s="8">
        <v>250</v>
      </c>
      <c r="M8" s="8">
        <v>249</v>
      </c>
      <c r="N8" s="8">
        <v>434</v>
      </c>
      <c r="O8" s="8">
        <v>431</v>
      </c>
      <c r="P8" s="8">
        <v>429</v>
      </c>
      <c r="Q8" s="9" t="s">
        <v>46</v>
      </c>
      <c r="R8" s="16"/>
      <c r="S8" s="10">
        <v>16</v>
      </c>
      <c r="T8" s="10">
        <v>11</v>
      </c>
      <c r="U8" s="10">
        <v>16</v>
      </c>
      <c r="V8" s="11">
        <v>5</v>
      </c>
      <c r="W8" s="12"/>
      <c r="X8" s="17"/>
      <c r="Y8" s="13"/>
      <c r="Z8" s="13"/>
      <c r="AA8" s="13"/>
      <c r="AB8" s="14"/>
      <c r="AC8" s="9"/>
      <c r="AD8" s="16"/>
      <c r="AE8" s="10"/>
      <c r="AF8" s="10"/>
      <c r="AG8" s="10"/>
      <c r="AH8" s="11"/>
      <c r="AI8" s="12"/>
      <c r="AJ8" s="17"/>
      <c r="AK8" s="13"/>
      <c r="AL8" s="13"/>
      <c r="AM8" s="13"/>
      <c r="AN8" s="14"/>
      <c r="AO8" s="9"/>
      <c r="AP8" s="16"/>
      <c r="AQ8" s="10"/>
      <c r="AR8" s="10"/>
      <c r="AS8" s="10"/>
      <c r="AT8" s="11"/>
      <c r="AU8" s="12"/>
      <c r="AV8" s="17"/>
      <c r="AW8" s="13"/>
      <c r="AX8" s="13"/>
      <c r="AY8" s="13"/>
      <c r="AZ8" s="14"/>
      <c r="BA8" s="9"/>
      <c r="BB8" s="16"/>
      <c r="BC8" s="10"/>
      <c r="BD8" s="10"/>
      <c r="BE8" s="10"/>
      <c r="BF8" s="11"/>
      <c r="BG8" s="12"/>
      <c r="BH8" s="17"/>
      <c r="BI8" s="13"/>
      <c r="BJ8" s="13"/>
      <c r="BK8" s="13"/>
      <c r="BL8" s="14"/>
      <c r="BM8" s="8">
        <f t="shared" si="0"/>
        <v>16</v>
      </c>
      <c r="BN8" s="8">
        <f t="shared" si="1"/>
        <v>11</v>
      </c>
      <c r="BO8" s="8">
        <f t="shared" si="2"/>
        <v>16</v>
      </c>
      <c r="BP8" s="8">
        <f t="shared" si="3"/>
        <v>5</v>
      </c>
      <c r="BQ8" s="8">
        <f t="shared" si="4"/>
        <v>16</v>
      </c>
      <c r="BR8" s="8">
        <f t="shared" si="5"/>
        <v>11</v>
      </c>
      <c r="BS8" s="15">
        <f t="shared" si="6"/>
        <v>3.8182097802407249</v>
      </c>
      <c r="BT8" s="15" t="str">
        <f t="shared" si="7"/>
        <v>OK - No Upgrade</v>
      </c>
      <c r="BU8" s="15" t="str">
        <f t="shared" si="8"/>
        <v>Need to Balance</v>
      </c>
    </row>
    <row r="9" spans="1:73" ht="15.75" customHeight="1" x14ac:dyDescent="0.25">
      <c r="A9" s="8" t="s">
        <v>1371</v>
      </c>
      <c r="B9" s="8" t="s">
        <v>1424</v>
      </c>
      <c r="C9" s="8" t="s">
        <v>389</v>
      </c>
      <c r="D9" s="8" t="s">
        <v>1432</v>
      </c>
      <c r="E9" s="8" t="s">
        <v>1433</v>
      </c>
      <c r="F9" s="8" t="s">
        <v>56</v>
      </c>
      <c r="G9" s="8"/>
      <c r="H9" s="8">
        <v>1000</v>
      </c>
      <c r="I9" s="8" t="s">
        <v>1434</v>
      </c>
      <c r="J9" s="8">
        <v>1</v>
      </c>
      <c r="K9" s="8">
        <v>251</v>
      </c>
      <c r="L9" s="8">
        <v>251</v>
      </c>
      <c r="M9" s="8">
        <v>252</v>
      </c>
      <c r="N9" s="8">
        <v>434</v>
      </c>
      <c r="O9" s="8">
        <v>433</v>
      </c>
      <c r="P9" s="8">
        <v>432</v>
      </c>
      <c r="Q9" s="9" t="s">
        <v>92</v>
      </c>
      <c r="R9" s="16"/>
      <c r="S9" s="10">
        <v>263</v>
      </c>
      <c r="T9" s="10">
        <v>177</v>
      </c>
      <c r="U9" s="10">
        <v>142</v>
      </c>
      <c r="V9" s="11">
        <v>103</v>
      </c>
      <c r="W9" s="12"/>
      <c r="X9" s="17"/>
      <c r="Y9" s="13"/>
      <c r="Z9" s="13"/>
      <c r="AA9" s="13"/>
      <c r="AB9" s="14"/>
      <c r="AC9" s="9"/>
      <c r="AD9" s="16"/>
      <c r="AE9" s="10"/>
      <c r="AF9" s="10"/>
      <c r="AG9" s="10"/>
      <c r="AH9" s="11"/>
      <c r="AI9" s="12"/>
      <c r="AJ9" s="17"/>
      <c r="AK9" s="13"/>
      <c r="AL9" s="13"/>
      <c r="AM9" s="13"/>
      <c r="AN9" s="14"/>
      <c r="AO9" s="9"/>
      <c r="AP9" s="16"/>
      <c r="AQ9" s="10"/>
      <c r="AR9" s="10"/>
      <c r="AS9" s="10"/>
      <c r="AT9" s="11"/>
      <c r="AU9" s="12"/>
      <c r="AV9" s="17"/>
      <c r="AW9" s="13"/>
      <c r="AX9" s="13"/>
      <c r="AY9" s="13"/>
      <c r="AZ9" s="14"/>
      <c r="BA9" s="9"/>
      <c r="BB9" s="16"/>
      <c r="BC9" s="10"/>
      <c r="BD9" s="10"/>
      <c r="BE9" s="10"/>
      <c r="BF9" s="11"/>
      <c r="BG9" s="12"/>
      <c r="BH9" s="17"/>
      <c r="BI9" s="13"/>
      <c r="BJ9" s="13"/>
      <c r="BK9" s="13"/>
      <c r="BL9" s="14"/>
      <c r="BM9" s="8">
        <f t="shared" si="0"/>
        <v>263</v>
      </c>
      <c r="BN9" s="8">
        <f t="shared" si="1"/>
        <v>177</v>
      </c>
      <c r="BO9" s="8">
        <f t="shared" si="2"/>
        <v>142</v>
      </c>
      <c r="BP9" s="8">
        <f t="shared" si="3"/>
        <v>103</v>
      </c>
      <c r="BQ9" s="8">
        <f t="shared" si="4"/>
        <v>263</v>
      </c>
      <c r="BR9" s="8">
        <f t="shared" si="5"/>
        <v>142</v>
      </c>
      <c r="BS9" s="15">
        <f t="shared" si="6"/>
        <v>19.769974327752678</v>
      </c>
      <c r="BT9" s="15" t="str">
        <f t="shared" si="7"/>
        <v>OK - No Upgrade</v>
      </c>
      <c r="BU9" s="15" t="str">
        <f t="shared" si="8"/>
        <v>Need to Balance</v>
      </c>
    </row>
    <row r="10" spans="1:73" ht="15.75" customHeight="1" x14ac:dyDescent="0.25">
      <c r="A10" s="8" t="s">
        <v>1371</v>
      </c>
      <c r="B10" s="8" t="s">
        <v>1424</v>
      </c>
      <c r="C10" s="8" t="s">
        <v>389</v>
      </c>
      <c r="D10" s="8" t="s">
        <v>1435</v>
      </c>
      <c r="E10" s="8" t="s">
        <v>1436</v>
      </c>
      <c r="F10" s="8" t="s">
        <v>56</v>
      </c>
      <c r="G10" s="8"/>
      <c r="H10" s="8">
        <v>500</v>
      </c>
      <c r="I10" s="8" t="s">
        <v>1437</v>
      </c>
      <c r="J10" s="8">
        <v>1</v>
      </c>
      <c r="K10" s="8">
        <v>249</v>
      </c>
      <c r="L10" s="8">
        <v>248</v>
      </c>
      <c r="M10" s="8">
        <v>247</v>
      </c>
      <c r="N10" s="8">
        <v>436</v>
      </c>
      <c r="O10" s="8">
        <v>435</v>
      </c>
      <c r="P10" s="8">
        <v>434</v>
      </c>
      <c r="Q10" s="9" t="s">
        <v>92</v>
      </c>
      <c r="R10" s="16"/>
      <c r="S10" s="10">
        <v>74</v>
      </c>
      <c r="T10" s="10">
        <v>68</v>
      </c>
      <c r="U10" s="10">
        <v>80</v>
      </c>
      <c r="V10" s="11">
        <v>14</v>
      </c>
      <c r="W10" s="12"/>
      <c r="X10" s="17"/>
      <c r="Y10" s="13"/>
      <c r="Z10" s="13"/>
      <c r="AA10" s="13"/>
      <c r="AB10" s="14"/>
      <c r="AC10" s="9"/>
      <c r="AD10" s="16"/>
      <c r="AE10" s="10"/>
      <c r="AF10" s="10"/>
      <c r="AG10" s="10"/>
      <c r="AH10" s="11"/>
      <c r="AI10" s="12"/>
      <c r="AJ10" s="17"/>
      <c r="AK10" s="13"/>
      <c r="AL10" s="13"/>
      <c r="AM10" s="13"/>
      <c r="AN10" s="14"/>
      <c r="AO10" s="9"/>
      <c r="AP10" s="16"/>
      <c r="AQ10" s="10"/>
      <c r="AR10" s="10"/>
      <c r="AS10" s="10"/>
      <c r="AT10" s="11"/>
      <c r="AU10" s="12"/>
      <c r="AV10" s="17"/>
      <c r="AW10" s="13"/>
      <c r="AX10" s="13"/>
      <c r="AY10" s="13"/>
      <c r="AZ10" s="14"/>
      <c r="BA10" s="9"/>
      <c r="BB10" s="16"/>
      <c r="BC10" s="10"/>
      <c r="BD10" s="10"/>
      <c r="BE10" s="10"/>
      <c r="BF10" s="11"/>
      <c r="BG10" s="12"/>
      <c r="BH10" s="17"/>
      <c r="BI10" s="13"/>
      <c r="BJ10" s="13"/>
      <c r="BK10" s="13"/>
      <c r="BL10" s="14"/>
      <c r="BM10" s="8">
        <f t="shared" si="0"/>
        <v>74</v>
      </c>
      <c r="BN10" s="8">
        <f t="shared" si="1"/>
        <v>68</v>
      </c>
      <c r="BO10" s="8">
        <f t="shared" si="2"/>
        <v>80</v>
      </c>
      <c r="BP10" s="8">
        <f t="shared" si="3"/>
        <v>14</v>
      </c>
      <c r="BQ10" s="8">
        <f t="shared" si="4"/>
        <v>80</v>
      </c>
      <c r="BR10" s="8">
        <f t="shared" si="5"/>
        <v>68</v>
      </c>
      <c r="BS10" s="15">
        <f t="shared" si="6"/>
        <v>12.082786433600488</v>
      </c>
      <c r="BT10" s="15" t="str">
        <f t="shared" si="7"/>
        <v>OK - No Upgrade</v>
      </c>
      <c r="BU10" s="15" t="str">
        <f t="shared" si="8"/>
        <v>OK - Balanced</v>
      </c>
    </row>
    <row r="11" spans="1:73" ht="15.75" customHeight="1" x14ac:dyDescent="0.25">
      <c r="A11" s="8" t="s">
        <v>1371</v>
      </c>
      <c r="B11" s="8" t="s">
        <v>1424</v>
      </c>
      <c r="C11" s="8" t="s">
        <v>389</v>
      </c>
      <c r="D11" s="8" t="s">
        <v>1438</v>
      </c>
      <c r="E11" s="8" t="s">
        <v>915</v>
      </c>
      <c r="F11" s="8" t="s">
        <v>56</v>
      </c>
      <c r="G11" s="8"/>
      <c r="H11" s="8">
        <v>1000</v>
      </c>
      <c r="I11" s="8" t="s">
        <v>1439</v>
      </c>
      <c r="J11" s="8">
        <v>1</v>
      </c>
      <c r="K11" s="8">
        <v>249</v>
      </c>
      <c r="L11" s="8">
        <v>250</v>
      </c>
      <c r="M11" s="8">
        <v>248</v>
      </c>
      <c r="N11" s="8">
        <v>434</v>
      </c>
      <c r="O11" s="8">
        <v>435</v>
      </c>
      <c r="P11" s="8">
        <v>434</v>
      </c>
      <c r="Q11" s="9" t="s">
        <v>92</v>
      </c>
      <c r="R11" s="16"/>
      <c r="S11" s="10">
        <v>153</v>
      </c>
      <c r="T11" s="10">
        <v>110</v>
      </c>
      <c r="U11" s="10">
        <v>111</v>
      </c>
      <c r="V11" s="11">
        <v>34</v>
      </c>
      <c r="W11" s="12"/>
      <c r="X11" s="17"/>
      <c r="Y11" s="13"/>
      <c r="Z11" s="13"/>
      <c r="AA11" s="13"/>
      <c r="AB11" s="14"/>
      <c r="AC11" s="9"/>
      <c r="AD11" s="16"/>
      <c r="AE11" s="10"/>
      <c r="AF11" s="10"/>
      <c r="AG11" s="10"/>
      <c r="AH11" s="11"/>
      <c r="AI11" s="12"/>
      <c r="AJ11" s="17"/>
      <c r="AK11" s="13"/>
      <c r="AL11" s="13"/>
      <c r="AM11" s="13"/>
      <c r="AN11" s="14"/>
      <c r="AO11" s="9"/>
      <c r="AP11" s="16"/>
      <c r="AQ11" s="10"/>
      <c r="AR11" s="10"/>
      <c r="AS11" s="10"/>
      <c r="AT11" s="11"/>
      <c r="AU11" s="12"/>
      <c r="AV11" s="17"/>
      <c r="AW11" s="13"/>
      <c r="AX11" s="13"/>
      <c r="AY11" s="13"/>
      <c r="AZ11" s="14"/>
      <c r="BA11" s="9"/>
      <c r="BB11" s="16"/>
      <c r="BC11" s="10"/>
      <c r="BD11" s="10"/>
      <c r="BE11" s="10"/>
      <c r="BF11" s="11"/>
      <c r="BG11" s="12"/>
      <c r="BH11" s="17"/>
      <c r="BI11" s="13"/>
      <c r="BJ11" s="13"/>
      <c r="BK11" s="13"/>
      <c r="BL11" s="14"/>
      <c r="BM11" s="8">
        <f t="shared" si="0"/>
        <v>153</v>
      </c>
      <c r="BN11" s="8">
        <f t="shared" si="1"/>
        <v>110</v>
      </c>
      <c r="BO11" s="8">
        <f t="shared" si="2"/>
        <v>111</v>
      </c>
      <c r="BP11" s="8">
        <f t="shared" si="3"/>
        <v>34</v>
      </c>
      <c r="BQ11" s="8">
        <f t="shared" si="4"/>
        <v>153</v>
      </c>
      <c r="BR11" s="8">
        <f t="shared" si="5"/>
        <v>110</v>
      </c>
      <c r="BS11" s="15">
        <f t="shared" si="6"/>
        <v>11.50116377241886</v>
      </c>
      <c r="BT11" s="15" t="str">
        <f t="shared" si="7"/>
        <v>OK - No Upgrade</v>
      </c>
      <c r="BU11" s="15" t="str">
        <f t="shared" si="8"/>
        <v>Need to Balance</v>
      </c>
    </row>
    <row r="12" spans="1:73" ht="15.75" customHeight="1" x14ac:dyDescent="0.25">
      <c r="A12" s="8" t="s">
        <v>1371</v>
      </c>
      <c r="B12" s="8" t="s">
        <v>1424</v>
      </c>
      <c r="C12" s="8" t="s">
        <v>512</v>
      </c>
      <c r="D12" s="8" t="s">
        <v>1440</v>
      </c>
      <c r="E12" s="8" t="s">
        <v>818</v>
      </c>
      <c r="F12" s="8" t="s">
        <v>56</v>
      </c>
      <c r="G12" s="8"/>
      <c r="H12" s="8">
        <v>1000</v>
      </c>
      <c r="I12" s="8" t="s">
        <v>1441</v>
      </c>
      <c r="J12" s="8">
        <v>1</v>
      </c>
      <c r="K12" s="8">
        <v>248</v>
      </c>
      <c r="L12" s="8">
        <v>247</v>
      </c>
      <c r="M12" s="8">
        <v>248</v>
      </c>
      <c r="N12" s="8">
        <v>437</v>
      </c>
      <c r="O12" s="8">
        <v>438</v>
      </c>
      <c r="P12" s="8">
        <v>436</v>
      </c>
      <c r="Q12" s="9" t="s">
        <v>92</v>
      </c>
      <c r="R12" s="16"/>
      <c r="S12" s="10">
        <v>179</v>
      </c>
      <c r="T12" s="10">
        <v>168</v>
      </c>
      <c r="U12" s="10">
        <v>170</v>
      </c>
      <c r="V12" s="11">
        <v>30</v>
      </c>
      <c r="W12" s="12"/>
      <c r="X12" s="17"/>
      <c r="Y12" s="13"/>
      <c r="Z12" s="13"/>
      <c r="AA12" s="13"/>
      <c r="AB12" s="14"/>
      <c r="AC12" s="9"/>
      <c r="AD12" s="16"/>
      <c r="AE12" s="10"/>
      <c r="AF12" s="10"/>
      <c r="AG12" s="10"/>
      <c r="AH12" s="11"/>
      <c r="AI12" s="12"/>
      <c r="AJ12" s="17"/>
      <c r="AK12" s="13"/>
      <c r="AL12" s="13"/>
      <c r="AM12" s="13"/>
      <c r="AN12" s="14"/>
      <c r="AO12" s="9"/>
      <c r="AP12" s="16"/>
      <c r="AQ12" s="10"/>
      <c r="AR12" s="10"/>
      <c r="AS12" s="10"/>
      <c r="AT12" s="11"/>
      <c r="AU12" s="12"/>
      <c r="AV12" s="17"/>
      <c r="AW12" s="13"/>
      <c r="AX12" s="13"/>
      <c r="AY12" s="13"/>
      <c r="AZ12" s="14"/>
      <c r="BA12" s="9"/>
      <c r="BB12" s="16"/>
      <c r="BC12" s="10"/>
      <c r="BD12" s="10"/>
      <c r="BE12" s="10"/>
      <c r="BF12" s="11"/>
      <c r="BG12" s="12"/>
      <c r="BH12" s="17"/>
      <c r="BI12" s="13"/>
      <c r="BJ12" s="13"/>
      <c r="BK12" s="13"/>
      <c r="BL12" s="14"/>
      <c r="BM12" s="8">
        <f t="shared" si="0"/>
        <v>179</v>
      </c>
      <c r="BN12" s="8">
        <f t="shared" si="1"/>
        <v>168</v>
      </c>
      <c r="BO12" s="8">
        <f t="shared" si="2"/>
        <v>170</v>
      </c>
      <c r="BP12" s="8">
        <f t="shared" si="3"/>
        <v>30</v>
      </c>
      <c r="BQ12" s="8">
        <f t="shared" si="4"/>
        <v>179</v>
      </c>
      <c r="BR12" s="8">
        <f t="shared" si="5"/>
        <v>168</v>
      </c>
      <c r="BS12" s="15">
        <f t="shared" si="6"/>
        <v>13.548621032046029</v>
      </c>
      <c r="BT12" s="15" t="str">
        <f t="shared" si="7"/>
        <v>OK - No Upgrade</v>
      </c>
      <c r="BU12" s="15" t="str">
        <f t="shared" si="8"/>
        <v>OK - Balanced</v>
      </c>
    </row>
    <row r="13" spans="1:73" ht="15.75" customHeight="1" x14ac:dyDescent="0.25">
      <c r="A13" s="8" t="s">
        <v>1371</v>
      </c>
      <c r="B13" s="8" t="s">
        <v>1424</v>
      </c>
      <c r="C13" s="8" t="s">
        <v>512</v>
      </c>
      <c r="D13" s="8" t="s">
        <v>1442</v>
      </c>
      <c r="E13" s="8" t="s">
        <v>821</v>
      </c>
      <c r="F13" s="8" t="s">
        <v>56</v>
      </c>
      <c r="G13" s="8"/>
      <c r="H13" s="8">
        <v>1000</v>
      </c>
      <c r="I13" s="8" t="s">
        <v>1443</v>
      </c>
      <c r="J13" s="8">
        <v>1</v>
      </c>
      <c r="K13" s="8">
        <v>247</v>
      </c>
      <c r="L13" s="8">
        <v>248</v>
      </c>
      <c r="M13" s="8">
        <v>247</v>
      </c>
      <c r="N13" s="8">
        <v>438</v>
      </c>
      <c r="O13" s="8">
        <v>437</v>
      </c>
      <c r="P13" s="8">
        <v>438</v>
      </c>
      <c r="Q13" s="9" t="s">
        <v>92</v>
      </c>
      <c r="R13" s="16"/>
      <c r="S13" s="10">
        <v>367</v>
      </c>
      <c r="T13" s="10">
        <v>350</v>
      </c>
      <c r="U13" s="10">
        <v>323</v>
      </c>
      <c r="V13" s="11">
        <v>28</v>
      </c>
      <c r="W13" s="12"/>
      <c r="X13" s="17"/>
      <c r="Y13" s="13"/>
      <c r="Z13" s="13"/>
      <c r="AA13" s="13"/>
      <c r="AB13" s="14"/>
      <c r="AC13" s="9"/>
      <c r="AD13" s="16"/>
      <c r="AE13" s="10"/>
      <c r="AF13" s="10"/>
      <c r="AG13" s="10"/>
      <c r="AH13" s="11"/>
      <c r="AI13" s="12"/>
      <c r="AJ13" s="17"/>
      <c r="AK13" s="13"/>
      <c r="AL13" s="13"/>
      <c r="AM13" s="13"/>
      <c r="AN13" s="14"/>
      <c r="AO13" s="9"/>
      <c r="AP13" s="16"/>
      <c r="AQ13" s="10"/>
      <c r="AR13" s="10"/>
      <c r="AS13" s="10"/>
      <c r="AT13" s="11"/>
      <c r="AU13" s="12"/>
      <c r="AV13" s="17"/>
      <c r="AW13" s="13"/>
      <c r="AX13" s="13"/>
      <c r="AY13" s="13"/>
      <c r="AZ13" s="14"/>
      <c r="BA13" s="9"/>
      <c r="BB13" s="16"/>
      <c r="BC13" s="10"/>
      <c r="BD13" s="10"/>
      <c r="BE13" s="10"/>
      <c r="BF13" s="11"/>
      <c r="BG13" s="12"/>
      <c r="BH13" s="17"/>
      <c r="BI13" s="13"/>
      <c r="BJ13" s="13"/>
      <c r="BK13" s="13"/>
      <c r="BL13" s="14"/>
      <c r="BM13" s="8">
        <f t="shared" si="0"/>
        <v>367</v>
      </c>
      <c r="BN13" s="8">
        <f t="shared" si="1"/>
        <v>350</v>
      </c>
      <c r="BO13" s="8">
        <f t="shared" si="2"/>
        <v>323</v>
      </c>
      <c r="BP13" s="8">
        <f t="shared" si="3"/>
        <v>28</v>
      </c>
      <c r="BQ13" s="8">
        <f t="shared" si="4"/>
        <v>367</v>
      </c>
      <c r="BR13" s="8">
        <f t="shared" si="5"/>
        <v>323</v>
      </c>
      <c r="BS13" s="15">
        <f t="shared" si="6"/>
        <v>27.842023911346676</v>
      </c>
      <c r="BT13" s="15" t="str">
        <f t="shared" si="7"/>
        <v>OK - No Upgrade</v>
      </c>
      <c r="BU13" s="15" t="str">
        <f t="shared" si="8"/>
        <v>OK - Balanced</v>
      </c>
    </row>
    <row r="14" spans="1:73" ht="15.75" customHeight="1" x14ac:dyDescent="0.25">
      <c r="A14" s="8" t="s">
        <v>1371</v>
      </c>
      <c r="B14" s="8" t="s">
        <v>1424</v>
      </c>
      <c r="C14" s="8" t="s">
        <v>512</v>
      </c>
      <c r="D14" s="8" t="s">
        <v>1444</v>
      </c>
      <c r="E14" s="8" t="s">
        <v>1088</v>
      </c>
      <c r="F14" s="8" t="s">
        <v>56</v>
      </c>
      <c r="G14" s="8"/>
      <c r="H14" s="8">
        <v>1000</v>
      </c>
      <c r="I14" s="8" t="s">
        <v>1445</v>
      </c>
      <c r="J14" s="8">
        <v>1</v>
      </c>
      <c r="K14" s="8">
        <v>249</v>
      </c>
      <c r="L14" s="8">
        <v>248</v>
      </c>
      <c r="M14" s="8">
        <v>249</v>
      </c>
      <c r="N14" s="8">
        <v>434</v>
      </c>
      <c r="O14" s="8">
        <v>435</v>
      </c>
      <c r="P14" s="8">
        <v>434</v>
      </c>
      <c r="Q14" s="9" t="s">
        <v>92</v>
      </c>
      <c r="R14" s="16"/>
      <c r="S14" s="10">
        <v>228</v>
      </c>
      <c r="T14" s="10">
        <v>226</v>
      </c>
      <c r="U14" s="10">
        <v>211</v>
      </c>
      <c r="V14" s="11">
        <v>16</v>
      </c>
      <c r="W14" s="12"/>
      <c r="X14" s="17"/>
      <c r="Y14" s="13"/>
      <c r="Z14" s="13"/>
      <c r="AA14" s="13"/>
      <c r="AB14" s="14"/>
      <c r="AC14" s="9"/>
      <c r="AD14" s="16"/>
      <c r="AE14" s="10"/>
      <c r="AF14" s="10"/>
      <c r="AG14" s="10"/>
      <c r="AH14" s="11"/>
      <c r="AI14" s="12"/>
      <c r="AJ14" s="17"/>
      <c r="AK14" s="13"/>
      <c r="AL14" s="13"/>
      <c r="AM14" s="13"/>
      <c r="AN14" s="14"/>
      <c r="AO14" s="9"/>
      <c r="AP14" s="16"/>
      <c r="AQ14" s="10"/>
      <c r="AR14" s="10"/>
      <c r="AS14" s="10"/>
      <c r="AT14" s="11"/>
      <c r="AU14" s="12"/>
      <c r="AV14" s="17"/>
      <c r="AW14" s="13"/>
      <c r="AX14" s="13"/>
      <c r="AY14" s="13"/>
      <c r="AZ14" s="14"/>
      <c r="BA14" s="9"/>
      <c r="BB14" s="16"/>
      <c r="BC14" s="10"/>
      <c r="BD14" s="10"/>
      <c r="BE14" s="10"/>
      <c r="BF14" s="11"/>
      <c r="BG14" s="12"/>
      <c r="BH14" s="17"/>
      <c r="BI14" s="13"/>
      <c r="BJ14" s="13"/>
      <c r="BK14" s="13"/>
      <c r="BL14" s="14"/>
      <c r="BM14" s="8">
        <f t="shared" si="0"/>
        <v>228</v>
      </c>
      <c r="BN14" s="8">
        <f t="shared" si="1"/>
        <v>226</v>
      </c>
      <c r="BO14" s="8">
        <f t="shared" si="2"/>
        <v>211</v>
      </c>
      <c r="BP14" s="8">
        <f t="shared" si="3"/>
        <v>16</v>
      </c>
      <c r="BQ14" s="8">
        <f t="shared" si="4"/>
        <v>228</v>
      </c>
      <c r="BR14" s="8">
        <f t="shared" si="5"/>
        <v>211</v>
      </c>
      <c r="BS14" s="15">
        <f t="shared" si="6"/>
        <v>17.138989151055554</v>
      </c>
      <c r="BT14" s="15" t="str">
        <f t="shared" si="7"/>
        <v>OK - No Upgrade</v>
      </c>
      <c r="BU14" s="15" t="str">
        <f t="shared" si="8"/>
        <v>OK - Balanced</v>
      </c>
    </row>
    <row r="15" spans="1:73" ht="15.75" customHeight="1" x14ac:dyDescent="0.25">
      <c r="A15" s="8" t="s">
        <v>1371</v>
      </c>
      <c r="B15" s="8" t="s">
        <v>1424</v>
      </c>
      <c r="C15" s="8" t="s">
        <v>512</v>
      </c>
      <c r="D15" s="8" t="s">
        <v>1446</v>
      </c>
      <c r="E15" s="8" t="s">
        <v>1080</v>
      </c>
      <c r="F15" s="8" t="s">
        <v>56</v>
      </c>
      <c r="G15" s="8"/>
      <c r="H15" s="8">
        <v>500</v>
      </c>
      <c r="I15" s="8" t="s">
        <v>1445</v>
      </c>
      <c r="J15" s="8">
        <v>1</v>
      </c>
      <c r="K15" s="8">
        <v>250</v>
      </c>
      <c r="L15" s="8">
        <v>249</v>
      </c>
      <c r="M15" s="8">
        <v>249</v>
      </c>
      <c r="N15" s="8">
        <v>435</v>
      </c>
      <c r="O15" s="8">
        <v>434</v>
      </c>
      <c r="P15" s="8">
        <v>434</v>
      </c>
      <c r="Q15" s="9" t="s">
        <v>92</v>
      </c>
      <c r="R15" s="16"/>
      <c r="S15" s="10">
        <v>6</v>
      </c>
      <c r="T15" s="10">
        <v>34</v>
      </c>
      <c r="U15" s="10">
        <v>15</v>
      </c>
      <c r="V15" s="11">
        <v>25</v>
      </c>
      <c r="W15" s="12"/>
      <c r="X15" s="17"/>
      <c r="Y15" s="13"/>
      <c r="Z15" s="13"/>
      <c r="AA15" s="13"/>
      <c r="AB15" s="14"/>
      <c r="AC15" s="9"/>
      <c r="AD15" s="16"/>
      <c r="AE15" s="10"/>
      <c r="AF15" s="10"/>
      <c r="AG15" s="10"/>
      <c r="AH15" s="11"/>
      <c r="AI15" s="12"/>
      <c r="AJ15" s="17"/>
      <c r="AK15" s="13"/>
      <c r="AL15" s="13"/>
      <c r="AM15" s="13"/>
      <c r="AN15" s="14"/>
      <c r="AO15" s="9"/>
      <c r="AP15" s="16"/>
      <c r="AQ15" s="10"/>
      <c r="AR15" s="10"/>
      <c r="AS15" s="10"/>
      <c r="AT15" s="11"/>
      <c r="AU15" s="12"/>
      <c r="AV15" s="17"/>
      <c r="AW15" s="13"/>
      <c r="AX15" s="13"/>
      <c r="AY15" s="13"/>
      <c r="AZ15" s="14"/>
      <c r="BA15" s="9"/>
      <c r="BB15" s="16"/>
      <c r="BC15" s="10"/>
      <c r="BD15" s="10"/>
      <c r="BE15" s="10"/>
      <c r="BF15" s="11"/>
      <c r="BG15" s="12"/>
      <c r="BH15" s="17"/>
      <c r="BI15" s="13"/>
      <c r="BJ15" s="13"/>
      <c r="BK15" s="13"/>
      <c r="BL15" s="14"/>
      <c r="BM15" s="8">
        <f t="shared" si="0"/>
        <v>6</v>
      </c>
      <c r="BN15" s="8">
        <f t="shared" si="1"/>
        <v>34</v>
      </c>
      <c r="BO15" s="8">
        <f t="shared" si="2"/>
        <v>15</v>
      </c>
      <c r="BP15" s="8">
        <f t="shared" si="3"/>
        <v>25</v>
      </c>
      <c r="BQ15" s="8">
        <f t="shared" si="4"/>
        <v>34</v>
      </c>
      <c r="BR15" s="8">
        <f t="shared" si="5"/>
        <v>6</v>
      </c>
      <c r="BS15" s="15">
        <f t="shared" si="6"/>
        <v>5.1234062887887388</v>
      </c>
      <c r="BT15" s="15" t="str">
        <f t="shared" si="7"/>
        <v>OK - No Upgrade</v>
      </c>
      <c r="BU15" s="15" t="str">
        <f t="shared" si="8"/>
        <v>Need to Balance</v>
      </c>
    </row>
    <row r="16" spans="1:73" ht="15.75" customHeight="1" x14ac:dyDescent="0.25">
      <c r="A16" s="8" t="s">
        <v>1371</v>
      </c>
      <c r="B16" s="8" t="s">
        <v>1424</v>
      </c>
      <c r="C16" s="8" t="s">
        <v>389</v>
      </c>
      <c r="D16" s="8" t="s">
        <v>1447</v>
      </c>
      <c r="E16" s="8" t="s">
        <v>134</v>
      </c>
      <c r="F16" s="8" t="s">
        <v>56</v>
      </c>
      <c r="G16" s="8"/>
      <c r="H16" s="8">
        <v>1000</v>
      </c>
      <c r="I16" s="8" t="s">
        <v>1448</v>
      </c>
      <c r="J16" s="8">
        <v>1</v>
      </c>
      <c r="K16" s="8">
        <v>249</v>
      </c>
      <c r="L16" s="8">
        <v>248</v>
      </c>
      <c r="M16" s="8">
        <v>247</v>
      </c>
      <c r="N16" s="8">
        <v>435</v>
      </c>
      <c r="O16" s="8">
        <v>434</v>
      </c>
      <c r="P16" s="8">
        <v>436</v>
      </c>
      <c r="Q16" s="9" t="s">
        <v>92</v>
      </c>
      <c r="R16" s="16"/>
      <c r="S16" s="10">
        <v>115</v>
      </c>
      <c r="T16" s="10">
        <v>133</v>
      </c>
      <c r="U16" s="10">
        <v>134</v>
      </c>
      <c r="V16" s="11">
        <v>17</v>
      </c>
      <c r="W16" s="12"/>
      <c r="X16" s="17"/>
      <c r="Y16" s="13"/>
      <c r="Z16" s="13"/>
      <c r="AA16" s="13"/>
      <c r="AB16" s="14"/>
      <c r="AC16" s="9"/>
      <c r="AD16" s="16"/>
      <c r="AE16" s="10"/>
      <c r="AF16" s="10"/>
      <c r="AG16" s="10"/>
      <c r="AH16" s="11"/>
      <c r="AI16" s="12"/>
      <c r="AJ16" s="17"/>
      <c r="AK16" s="13"/>
      <c r="AL16" s="13"/>
      <c r="AM16" s="13"/>
      <c r="AN16" s="14"/>
      <c r="AO16" s="9"/>
      <c r="AP16" s="16"/>
      <c r="AQ16" s="10"/>
      <c r="AR16" s="10"/>
      <c r="AS16" s="10"/>
      <c r="AT16" s="11"/>
      <c r="AU16" s="12"/>
      <c r="AV16" s="17"/>
      <c r="AW16" s="13"/>
      <c r="AX16" s="13"/>
      <c r="AY16" s="13"/>
      <c r="AZ16" s="14"/>
      <c r="BA16" s="9"/>
      <c r="BB16" s="16"/>
      <c r="BC16" s="10"/>
      <c r="BD16" s="10"/>
      <c r="BE16" s="10"/>
      <c r="BF16" s="11"/>
      <c r="BG16" s="12"/>
      <c r="BH16" s="17"/>
      <c r="BI16" s="13"/>
      <c r="BJ16" s="13"/>
      <c r="BK16" s="13"/>
      <c r="BL16" s="14"/>
      <c r="BM16" s="8">
        <f t="shared" si="0"/>
        <v>115</v>
      </c>
      <c r="BN16" s="8">
        <f t="shared" si="1"/>
        <v>133</v>
      </c>
      <c r="BO16" s="8">
        <f t="shared" si="2"/>
        <v>134</v>
      </c>
      <c r="BP16" s="8">
        <f t="shared" si="3"/>
        <v>17</v>
      </c>
      <c r="BQ16" s="8">
        <f t="shared" si="4"/>
        <v>134</v>
      </c>
      <c r="BR16" s="8">
        <f t="shared" si="5"/>
        <v>115</v>
      </c>
      <c r="BS16" s="15">
        <f t="shared" si="6"/>
        <v>10.096124157318984</v>
      </c>
      <c r="BT16" s="15" t="str">
        <f t="shared" si="7"/>
        <v>OK - No Upgrade</v>
      </c>
      <c r="BU16" s="15" t="str">
        <f t="shared" si="8"/>
        <v>OK - Balanced</v>
      </c>
    </row>
    <row r="17" spans="1:73" ht="15.75" customHeight="1" x14ac:dyDescent="0.25">
      <c r="A17" s="8" t="s">
        <v>1371</v>
      </c>
      <c r="B17" s="8" t="s">
        <v>1424</v>
      </c>
      <c r="C17" s="8" t="s">
        <v>389</v>
      </c>
      <c r="D17" s="8" t="s">
        <v>1435</v>
      </c>
      <c r="E17" s="8" t="s">
        <v>144</v>
      </c>
      <c r="F17" s="8" t="s">
        <v>56</v>
      </c>
      <c r="G17" s="8"/>
      <c r="H17" s="8">
        <v>1000</v>
      </c>
      <c r="I17" s="8" t="s">
        <v>1448</v>
      </c>
      <c r="J17" s="8">
        <v>1</v>
      </c>
      <c r="K17" s="8">
        <v>250</v>
      </c>
      <c r="L17" s="8">
        <v>249</v>
      </c>
      <c r="M17" s="8">
        <v>248</v>
      </c>
      <c r="N17" s="8">
        <v>436</v>
      </c>
      <c r="O17" s="8">
        <v>435</v>
      </c>
      <c r="P17" s="8">
        <v>436</v>
      </c>
      <c r="Q17" s="9" t="s">
        <v>92</v>
      </c>
      <c r="R17" s="16"/>
      <c r="S17" s="10">
        <v>205</v>
      </c>
      <c r="T17" s="10">
        <v>212</v>
      </c>
      <c r="U17" s="10">
        <v>183</v>
      </c>
      <c r="V17" s="11">
        <v>43</v>
      </c>
      <c r="W17" s="12"/>
      <c r="X17" s="17"/>
      <c r="Y17" s="13"/>
      <c r="Z17" s="13"/>
      <c r="AA17" s="13"/>
      <c r="AB17" s="14"/>
      <c r="AC17" s="9"/>
      <c r="AD17" s="16"/>
      <c r="AE17" s="10"/>
      <c r="AF17" s="10"/>
      <c r="AG17" s="10"/>
      <c r="AH17" s="11"/>
      <c r="AI17" s="12"/>
      <c r="AJ17" s="17"/>
      <c r="AK17" s="13"/>
      <c r="AL17" s="13"/>
      <c r="AM17" s="13"/>
      <c r="AN17" s="14"/>
      <c r="AO17" s="9"/>
      <c r="AP17" s="16"/>
      <c r="AQ17" s="10"/>
      <c r="AR17" s="10"/>
      <c r="AS17" s="10"/>
      <c r="AT17" s="11"/>
      <c r="AU17" s="12"/>
      <c r="AV17" s="17"/>
      <c r="AW17" s="13"/>
      <c r="AX17" s="13"/>
      <c r="AY17" s="13"/>
      <c r="AZ17" s="14"/>
      <c r="BA17" s="9"/>
      <c r="BB17" s="16"/>
      <c r="BC17" s="10"/>
      <c r="BD17" s="10"/>
      <c r="BE17" s="10"/>
      <c r="BF17" s="11"/>
      <c r="BG17" s="12"/>
      <c r="BH17" s="17"/>
      <c r="BI17" s="13"/>
      <c r="BJ17" s="13"/>
      <c r="BK17" s="13"/>
      <c r="BL17" s="14"/>
      <c r="BM17" s="8">
        <f t="shared" si="0"/>
        <v>205</v>
      </c>
      <c r="BN17" s="8">
        <f t="shared" si="1"/>
        <v>212</v>
      </c>
      <c r="BO17" s="8">
        <f t="shared" si="2"/>
        <v>183</v>
      </c>
      <c r="BP17" s="8">
        <f t="shared" si="3"/>
        <v>43</v>
      </c>
      <c r="BQ17" s="8">
        <f t="shared" si="4"/>
        <v>212</v>
      </c>
      <c r="BR17" s="8">
        <f t="shared" si="5"/>
        <v>183</v>
      </c>
      <c r="BS17" s="15">
        <f t="shared" si="6"/>
        <v>16.009692024520643</v>
      </c>
      <c r="BT17" s="15" t="str">
        <f t="shared" si="7"/>
        <v>OK - No Upgrade</v>
      </c>
      <c r="BU17" s="15" t="str">
        <f t="shared" si="8"/>
        <v>OK - Balanced</v>
      </c>
    </row>
    <row r="18" spans="1:73" ht="15.75" customHeight="1" x14ac:dyDescent="0.25">
      <c r="A18" s="8" t="s">
        <v>1371</v>
      </c>
      <c r="B18" s="8" t="s">
        <v>1424</v>
      </c>
      <c r="C18" s="8" t="s">
        <v>389</v>
      </c>
      <c r="D18" s="8" t="s">
        <v>1435</v>
      </c>
      <c r="E18" s="8" t="s">
        <v>918</v>
      </c>
      <c r="F18" s="8" t="s">
        <v>56</v>
      </c>
      <c r="G18" s="8"/>
      <c r="H18" s="8">
        <v>1000</v>
      </c>
      <c r="I18" s="8" t="s">
        <v>1449</v>
      </c>
      <c r="J18" s="8">
        <v>1</v>
      </c>
      <c r="K18" s="8">
        <v>251</v>
      </c>
      <c r="L18" s="8">
        <v>250</v>
      </c>
      <c r="M18" s="8">
        <v>251</v>
      </c>
      <c r="N18" s="8">
        <v>435</v>
      </c>
      <c r="O18" s="8">
        <v>436</v>
      </c>
      <c r="P18" s="8">
        <v>435</v>
      </c>
      <c r="Q18" s="9" t="s">
        <v>92</v>
      </c>
      <c r="R18" s="16"/>
      <c r="S18" s="10">
        <v>281</v>
      </c>
      <c r="T18" s="10">
        <v>232</v>
      </c>
      <c r="U18" s="10">
        <v>160</v>
      </c>
      <c r="V18" s="11">
        <v>97</v>
      </c>
      <c r="W18" s="12"/>
      <c r="X18" s="17"/>
      <c r="Y18" s="13"/>
      <c r="Z18" s="13"/>
      <c r="AA18" s="13"/>
      <c r="AB18" s="14"/>
      <c r="AC18" s="9"/>
      <c r="AD18" s="16"/>
      <c r="AE18" s="10"/>
      <c r="AF18" s="10"/>
      <c r="AG18" s="10"/>
      <c r="AH18" s="11"/>
      <c r="AI18" s="12"/>
      <c r="AJ18" s="17"/>
      <c r="AK18" s="13"/>
      <c r="AL18" s="13"/>
      <c r="AM18" s="13"/>
      <c r="AN18" s="14"/>
      <c r="AO18" s="9"/>
      <c r="AP18" s="16"/>
      <c r="AQ18" s="10"/>
      <c r="AR18" s="10"/>
      <c r="AS18" s="10"/>
      <c r="AT18" s="11"/>
      <c r="AU18" s="12"/>
      <c r="AV18" s="17"/>
      <c r="AW18" s="13"/>
      <c r="AX18" s="13"/>
      <c r="AY18" s="13"/>
      <c r="AZ18" s="14"/>
      <c r="BA18" s="9"/>
      <c r="BB18" s="16"/>
      <c r="BC18" s="10"/>
      <c r="BD18" s="10"/>
      <c r="BE18" s="10"/>
      <c r="BF18" s="11"/>
      <c r="BG18" s="12"/>
      <c r="BH18" s="17"/>
      <c r="BI18" s="13"/>
      <c r="BJ18" s="13"/>
      <c r="BK18" s="13"/>
      <c r="BL18" s="14"/>
      <c r="BM18" s="8">
        <f t="shared" si="0"/>
        <v>281</v>
      </c>
      <c r="BN18" s="8">
        <f t="shared" si="1"/>
        <v>232</v>
      </c>
      <c r="BO18" s="8">
        <f t="shared" si="2"/>
        <v>160</v>
      </c>
      <c r="BP18" s="8">
        <f t="shared" si="3"/>
        <v>97</v>
      </c>
      <c r="BQ18" s="8">
        <f t="shared" si="4"/>
        <v>281</v>
      </c>
      <c r="BR18" s="8">
        <f t="shared" si="5"/>
        <v>160</v>
      </c>
      <c r="BS18" s="15">
        <f t="shared" si="6"/>
        <v>21.171723046318171</v>
      </c>
      <c r="BT18" s="15" t="str">
        <f t="shared" si="7"/>
        <v>OK - No Upgrade</v>
      </c>
      <c r="BU18" s="15" t="str">
        <f t="shared" si="8"/>
        <v>Need to Balance</v>
      </c>
    </row>
    <row r="19" spans="1:73" ht="15.75" customHeight="1" x14ac:dyDescent="0.25">
      <c r="A19" s="8" t="s">
        <v>1371</v>
      </c>
      <c r="B19" s="8" t="s">
        <v>1424</v>
      </c>
      <c r="C19" s="8" t="s">
        <v>389</v>
      </c>
      <c r="D19" s="8" t="s">
        <v>1450</v>
      </c>
      <c r="E19" s="8" t="s">
        <v>1381</v>
      </c>
      <c r="F19" s="8" t="s">
        <v>56</v>
      </c>
      <c r="G19" s="8"/>
      <c r="H19" s="8">
        <v>1000</v>
      </c>
      <c r="I19" s="8" t="s">
        <v>1451</v>
      </c>
      <c r="J19" s="8">
        <v>1</v>
      </c>
      <c r="K19" s="8">
        <v>251</v>
      </c>
      <c r="L19" s="8">
        <v>251</v>
      </c>
      <c r="M19" s="8">
        <v>252</v>
      </c>
      <c r="N19" s="8">
        <v>434</v>
      </c>
      <c r="O19" s="8">
        <v>433</v>
      </c>
      <c r="P19" s="8">
        <v>431</v>
      </c>
      <c r="Q19" s="9"/>
      <c r="R19" s="16"/>
      <c r="S19" s="10">
        <v>263</v>
      </c>
      <c r="T19" s="10">
        <v>177</v>
      </c>
      <c r="U19" s="10">
        <v>142</v>
      </c>
      <c r="V19" s="11">
        <v>103</v>
      </c>
      <c r="W19" s="12"/>
      <c r="X19" s="17"/>
      <c r="Y19" s="13"/>
      <c r="Z19" s="13"/>
      <c r="AA19" s="13"/>
      <c r="AB19" s="14"/>
      <c r="AC19" s="9"/>
      <c r="AD19" s="16"/>
      <c r="AE19" s="10"/>
      <c r="AF19" s="10"/>
      <c r="AG19" s="10"/>
      <c r="AH19" s="11"/>
      <c r="AI19" s="12"/>
      <c r="AJ19" s="17"/>
      <c r="AK19" s="13"/>
      <c r="AL19" s="13"/>
      <c r="AM19" s="13"/>
      <c r="AN19" s="14"/>
      <c r="AO19" s="9"/>
      <c r="AP19" s="16"/>
      <c r="AQ19" s="10"/>
      <c r="AR19" s="10"/>
      <c r="AS19" s="10"/>
      <c r="AT19" s="11"/>
      <c r="AU19" s="12"/>
      <c r="AV19" s="17"/>
      <c r="AW19" s="13"/>
      <c r="AX19" s="13"/>
      <c r="AY19" s="13"/>
      <c r="AZ19" s="14"/>
      <c r="BA19" s="9"/>
      <c r="BB19" s="16"/>
      <c r="BC19" s="10"/>
      <c r="BD19" s="10"/>
      <c r="BE19" s="10"/>
      <c r="BF19" s="11"/>
      <c r="BG19" s="12"/>
      <c r="BH19" s="17"/>
      <c r="BI19" s="13"/>
      <c r="BJ19" s="13"/>
      <c r="BK19" s="13"/>
      <c r="BL19" s="14"/>
      <c r="BM19" s="8">
        <f t="shared" si="0"/>
        <v>263</v>
      </c>
      <c r="BN19" s="8">
        <f t="shared" si="1"/>
        <v>177</v>
      </c>
      <c r="BO19" s="8">
        <f t="shared" si="2"/>
        <v>142</v>
      </c>
      <c r="BP19" s="8">
        <f t="shared" si="3"/>
        <v>103</v>
      </c>
      <c r="BQ19" s="8">
        <f t="shared" si="4"/>
        <v>263</v>
      </c>
      <c r="BR19" s="8">
        <f t="shared" si="5"/>
        <v>142</v>
      </c>
      <c r="BS19" s="15">
        <f t="shared" si="6"/>
        <v>19.769974327752678</v>
      </c>
      <c r="BT19" s="15" t="str">
        <f t="shared" si="7"/>
        <v>OK - No Upgrade</v>
      </c>
      <c r="BU19" s="15" t="str">
        <f t="shared" si="8"/>
        <v>Need to Balance</v>
      </c>
    </row>
    <row r="20" spans="1:73" ht="15.75" customHeight="1" x14ac:dyDescent="0.25">
      <c r="A20" s="8" t="s">
        <v>1371</v>
      </c>
      <c r="B20" s="8" t="s">
        <v>1424</v>
      </c>
      <c r="C20" s="8" t="s">
        <v>389</v>
      </c>
      <c r="D20" s="8" t="s">
        <v>1452</v>
      </c>
      <c r="E20" s="8" t="s">
        <v>1453</v>
      </c>
      <c r="F20" s="8" t="s">
        <v>56</v>
      </c>
      <c r="G20" s="8"/>
      <c r="H20" s="8">
        <v>1000</v>
      </c>
      <c r="I20" s="8" t="s">
        <v>1454</v>
      </c>
      <c r="J20" s="8">
        <v>1</v>
      </c>
      <c r="K20" s="8">
        <v>253</v>
      </c>
      <c r="L20" s="8">
        <v>252</v>
      </c>
      <c r="M20" s="8">
        <v>251</v>
      </c>
      <c r="N20" s="8">
        <v>438</v>
      </c>
      <c r="O20" s="8">
        <v>436</v>
      </c>
      <c r="P20" s="8">
        <v>438</v>
      </c>
      <c r="Q20" s="9" t="s">
        <v>92</v>
      </c>
      <c r="R20" s="16"/>
      <c r="S20" s="10">
        <v>169</v>
      </c>
      <c r="T20" s="10">
        <v>203</v>
      </c>
      <c r="U20" s="10">
        <v>147</v>
      </c>
      <c r="V20" s="11">
        <v>55</v>
      </c>
      <c r="W20" s="12"/>
      <c r="X20" s="17"/>
      <c r="Y20" s="13"/>
      <c r="Z20" s="13"/>
      <c r="AA20" s="13"/>
      <c r="AB20" s="14"/>
      <c r="AC20" s="9"/>
      <c r="AD20" s="16"/>
      <c r="AE20" s="10"/>
      <c r="AF20" s="10"/>
      <c r="AG20" s="10"/>
      <c r="AH20" s="11"/>
      <c r="AI20" s="12"/>
      <c r="AJ20" s="17"/>
      <c r="AK20" s="13"/>
      <c r="AL20" s="13"/>
      <c r="AM20" s="13"/>
      <c r="AN20" s="14"/>
      <c r="AO20" s="9"/>
      <c r="AP20" s="16"/>
      <c r="AQ20" s="10"/>
      <c r="AR20" s="10"/>
      <c r="AS20" s="10"/>
      <c r="AT20" s="11"/>
      <c r="AU20" s="12"/>
      <c r="AV20" s="17"/>
      <c r="AW20" s="13"/>
      <c r="AX20" s="13"/>
      <c r="AY20" s="13"/>
      <c r="AZ20" s="14"/>
      <c r="BA20" s="9"/>
      <c r="BB20" s="16"/>
      <c r="BC20" s="10"/>
      <c r="BD20" s="10"/>
      <c r="BE20" s="10"/>
      <c r="BF20" s="11"/>
      <c r="BG20" s="12"/>
      <c r="BH20" s="17"/>
      <c r="BI20" s="13"/>
      <c r="BJ20" s="13"/>
      <c r="BK20" s="13"/>
      <c r="BL20" s="14"/>
      <c r="BM20" s="8">
        <f t="shared" si="0"/>
        <v>169</v>
      </c>
      <c r="BN20" s="8">
        <f t="shared" si="1"/>
        <v>203</v>
      </c>
      <c r="BO20" s="8">
        <f t="shared" si="2"/>
        <v>147</v>
      </c>
      <c r="BP20" s="8">
        <f t="shared" si="3"/>
        <v>55</v>
      </c>
      <c r="BQ20" s="8">
        <f t="shared" si="4"/>
        <v>203</v>
      </c>
      <c r="BR20" s="8">
        <f t="shared" si="5"/>
        <v>147</v>
      </c>
      <c r="BS20" s="15">
        <f t="shared" si="6"/>
        <v>15.400356550417914</v>
      </c>
      <c r="BT20" s="15" t="str">
        <f t="shared" si="7"/>
        <v>OK - No Upgrade</v>
      </c>
      <c r="BU20" s="15" t="str">
        <f t="shared" si="8"/>
        <v>Need to Balance</v>
      </c>
    </row>
    <row r="21" spans="1:73" ht="15.75" customHeight="1" x14ac:dyDescent="0.25">
      <c r="A21" s="8" t="s">
        <v>1371</v>
      </c>
      <c r="B21" s="8" t="s">
        <v>1424</v>
      </c>
      <c r="C21" s="8" t="s">
        <v>512</v>
      </c>
      <c r="D21" s="8" t="s">
        <v>1455</v>
      </c>
      <c r="E21" s="8" t="s">
        <v>1384</v>
      </c>
      <c r="F21" s="8" t="s">
        <v>56</v>
      </c>
      <c r="G21" s="8"/>
      <c r="H21" s="8">
        <v>500</v>
      </c>
      <c r="I21" s="8" t="s">
        <v>1456</v>
      </c>
      <c r="J21" s="8">
        <v>1</v>
      </c>
      <c r="K21" s="8">
        <v>250</v>
      </c>
      <c r="L21" s="8">
        <v>250</v>
      </c>
      <c r="M21" s="8">
        <v>251</v>
      </c>
      <c r="N21" s="8">
        <v>434</v>
      </c>
      <c r="O21" s="8">
        <v>433</v>
      </c>
      <c r="P21" s="8">
        <v>434</v>
      </c>
      <c r="Q21" s="9" t="s">
        <v>92</v>
      </c>
      <c r="R21" s="16"/>
      <c r="S21" s="10">
        <v>122</v>
      </c>
      <c r="T21" s="10">
        <v>114</v>
      </c>
      <c r="U21" s="10">
        <v>93</v>
      </c>
      <c r="V21" s="11">
        <v>25</v>
      </c>
      <c r="W21" s="12"/>
      <c r="X21" s="17"/>
      <c r="Y21" s="13"/>
      <c r="Z21" s="13"/>
      <c r="AA21" s="13"/>
      <c r="AB21" s="14"/>
      <c r="AC21" s="9"/>
      <c r="AD21" s="16"/>
      <c r="AE21" s="10"/>
      <c r="AF21" s="10"/>
      <c r="AG21" s="10"/>
      <c r="AH21" s="11"/>
      <c r="AI21" s="12"/>
      <c r="AJ21" s="17"/>
      <c r="AK21" s="13"/>
      <c r="AL21" s="13"/>
      <c r="AM21" s="13"/>
      <c r="AN21" s="14"/>
      <c r="AO21" s="9"/>
      <c r="AP21" s="16"/>
      <c r="AQ21" s="10"/>
      <c r="AR21" s="10"/>
      <c r="AS21" s="10"/>
      <c r="AT21" s="11"/>
      <c r="AU21" s="12"/>
      <c r="AV21" s="17"/>
      <c r="AW21" s="13"/>
      <c r="AX21" s="13"/>
      <c r="AY21" s="13"/>
      <c r="AZ21" s="14"/>
      <c r="BA21" s="9"/>
      <c r="BB21" s="16"/>
      <c r="BC21" s="10"/>
      <c r="BD21" s="10"/>
      <c r="BE21" s="10"/>
      <c r="BF21" s="11"/>
      <c r="BG21" s="12"/>
      <c r="BH21" s="17"/>
      <c r="BI21" s="13"/>
      <c r="BJ21" s="13"/>
      <c r="BK21" s="13"/>
      <c r="BL21" s="14"/>
      <c r="BM21" s="8">
        <f t="shared" si="0"/>
        <v>122</v>
      </c>
      <c r="BN21" s="8">
        <f t="shared" si="1"/>
        <v>114</v>
      </c>
      <c r="BO21" s="8">
        <f t="shared" si="2"/>
        <v>93</v>
      </c>
      <c r="BP21" s="8">
        <f t="shared" si="3"/>
        <v>25</v>
      </c>
      <c r="BQ21" s="8">
        <f t="shared" si="4"/>
        <v>122</v>
      </c>
      <c r="BR21" s="8">
        <f t="shared" si="5"/>
        <v>93</v>
      </c>
      <c r="BS21" s="15">
        <f t="shared" si="6"/>
        <v>18.341725231831383</v>
      </c>
      <c r="BT21" s="15" t="str">
        <f t="shared" si="7"/>
        <v>OK - No Upgrade</v>
      </c>
      <c r="BU21" s="15" t="str">
        <f t="shared" si="8"/>
        <v>Need to Balance</v>
      </c>
    </row>
    <row r="22" spans="1:73" ht="15.75" customHeight="1" x14ac:dyDescent="0.25">
      <c r="A22" s="8" t="s">
        <v>1371</v>
      </c>
      <c r="B22" s="8" t="s">
        <v>1424</v>
      </c>
      <c r="C22" s="8" t="s">
        <v>265</v>
      </c>
      <c r="D22" s="8" t="s">
        <v>1455</v>
      </c>
      <c r="E22" s="8" t="s">
        <v>1384</v>
      </c>
      <c r="F22" s="8" t="s">
        <v>56</v>
      </c>
      <c r="G22" s="8"/>
      <c r="H22" s="8">
        <v>500</v>
      </c>
      <c r="I22" s="8" t="s">
        <v>1457</v>
      </c>
      <c r="J22" s="8">
        <v>1</v>
      </c>
      <c r="K22" s="8">
        <v>249</v>
      </c>
      <c r="L22" s="8">
        <v>250</v>
      </c>
      <c r="M22" s="8">
        <v>248</v>
      </c>
      <c r="N22" s="8">
        <v>432</v>
      </c>
      <c r="O22" s="8">
        <v>430</v>
      </c>
      <c r="P22" s="8">
        <v>429</v>
      </c>
      <c r="Q22" s="9" t="s">
        <v>47</v>
      </c>
      <c r="R22" s="16"/>
      <c r="S22" s="10">
        <v>57</v>
      </c>
      <c r="T22" s="10">
        <v>104</v>
      </c>
      <c r="U22" s="10">
        <v>76</v>
      </c>
      <c r="V22" s="11">
        <v>50</v>
      </c>
      <c r="W22" s="12"/>
      <c r="X22" s="17"/>
      <c r="Y22" s="13"/>
      <c r="Z22" s="13"/>
      <c r="AA22" s="13"/>
      <c r="AB22" s="14"/>
      <c r="AC22" s="9"/>
      <c r="AD22" s="16"/>
      <c r="AE22" s="10"/>
      <c r="AF22" s="10"/>
      <c r="AG22" s="10"/>
      <c r="AH22" s="11"/>
      <c r="AI22" s="12"/>
      <c r="AJ22" s="17"/>
      <c r="AK22" s="13"/>
      <c r="AL22" s="13"/>
      <c r="AM22" s="13"/>
      <c r="AN22" s="14"/>
      <c r="AO22" s="9"/>
      <c r="AP22" s="16"/>
      <c r="AQ22" s="10"/>
      <c r="AR22" s="10"/>
      <c r="AS22" s="10"/>
      <c r="AT22" s="11"/>
      <c r="AU22" s="12"/>
      <c r="AV22" s="17"/>
      <c r="AW22" s="13"/>
      <c r="AX22" s="13"/>
      <c r="AY22" s="13"/>
      <c r="AZ22" s="14"/>
      <c r="BA22" s="9"/>
      <c r="BB22" s="16"/>
      <c r="BC22" s="10"/>
      <c r="BD22" s="10"/>
      <c r="BE22" s="10"/>
      <c r="BF22" s="11"/>
      <c r="BG22" s="12"/>
      <c r="BH22" s="17"/>
      <c r="BI22" s="13"/>
      <c r="BJ22" s="13"/>
      <c r="BK22" s="13"/>
      <c r="BL22" s="14"/>
      <c r="BM22" s="8">
        <f t="shared" si="0"/>
        <v>57</v>
      </c>
      <c r="BN22" s="8">
        <f t="shared" si="1"/>
        <v>104</v>
      </c>
      <c r="BO22" s="8">
        <f t="shared" si="2"/>
        <v>76</v>
      </c>
      <c r="BP22" s="8">
        <f t="shared" si="3"/>
        <v>50</v>
      </c>
      <c r="BQ22" s="8">
        <f t="shared" si="4"/>
        <v>104</v>
      </c>
      <c r="BR22" s="8">
        <f t="shared" si="5"/>
        <v>57</v>
      </c>
      <c r="BS22" s="15">
        <f t="shared" si="6"/>
        <v>15.563515736490901</v>
      </c>
      <c r="BT22" s="15" t="str">
        <f t="shared" si="7"/>
        <v>OK - No Upgrade</v>
      </c>
      <c r="BU22" s="15" t="str">
        <f t="shared" si="8"/>
        <v>Need to Balance</v>
      </c>
    </row>
    <row r="23" spans="1:73" ht="15.75" customHeight="1" x14ac:dyDescent="0.25">
      <c r="A23" s="8" t="s">
        <v>1371</v>
      </c>
      <c r="B23" s="8" t="s">
        <v>1424</v>
      </c>
      <c r="C23" s="8" t="s">
        <v>265</v>
      </c>
      <c r="D23" s="8" t="s">
        <v>1455</v>
      </c>
      <c r="E23" s="8" t="s">
        <v>1384</v>
      </c>
      <c r="F23" s="8" t="s">
        <v>56</v>
      </c>
      <c r="G23" s="8"/>
      <c r="H23" s="8">
        <v>500</v>
      </c>
      <c r="I23" s="8" t="s">
        <v>1458</v>
      </c>
      <c r="J23" s="8">
        <v>2</v>
      </c>
      <c r="K23" s="8">
        <v>245</v>
      </c>
      <c r="L23" s="8">
        <v>244</v>
      </c>
      <c r="M23" s="8">
        <v>243</v>
      </c>
      <c r="N23" s="8">
        <v>424</v>
      </c>
      <c r="O23" s="8">
        <v>423</v>
      </c>
      <c r="P23" s="8">
        <v>424</v>
      </c>
      <c r="Q23" s="9" t="s">
        <v>70</v>
      </c>
      <c r="R23" s="16"/>
      <c r="S23" s="10">
        <v>103</v>
      </c>
      <c r="T23" s="10">
        <v>61</v>
      </c>
      <c r="U23" s="10">
        <v>80</v>
      </c>
      <c r="V23" s="11">
        <v>46</v>
      </c>
      <c r="W23" s="12"/>
      <c r="X23" s="17"/>
      <c r="Y23" s="13"/>
      <c r="Z23" s="13"/>
      <c r="AA23" s="13"/>
      <c r="AB23" s="14"/>
      <c r="AC23" s="9"/>
      <c r="AD23" s="16"/>
      <c r="AE23" s="10"/>
      <c r="AF23" s="10"/>
      <c r="AG23" s="10"/>
      <c r="AH23" s="11"/>
      <c r="AI23" s="12"/>
      <c r="AJ23" s="17"/>
      <c r="AK23" s="13"/>
      <c r="AL23" s="13"/>
      <c r="AM23" s="13"/>
      <c r="AN23" s="14"/>
      <c r="AO23" s="9"/>
      <c r="AP23" s="16"/>
      <c r="AQ23" s="10"/>
      <c r="AR23" s="10"/>
      <c r="AS23" s="10"/>
      <c r="AT23" s="11"/>
      <c r="AU23" s="12"/>
      <c r="AV23" s="17"/>
      <c r="AW23" s="13"/>
      <c r="AX23" s="13"/>
      <c r="AY23" s="13"/>
      <c r="AZ23" s="14"/>
      <c r="BA23" s="9"/>
      <c r="BB23" s="16"/>
      <c r="BC23" s="10"/>
      <c r="BD23" s="10"/>
      <c r="BE23" s="10"/>
      <c r="BF23" s="11"/>
      <c r="BG23" s="12"/>
      <c r="BH23" s="17"/>
      <c r="BI23" s="13"/>
      <c r="BJ23" s="13"/>
      <c r="BK23" s="13"/>
      <c r="BL23" s="14"/>
      <c r="BM23" s="8">
        <f t="shared" si="0"/>
        <v>103</v>
      </c>
      <c r="BN23" s="8">
        <f t="shared" si="1"/>
        <v>61</v>
      </c>
      <c r="BO23" s="8">
        <f t="shared" si="2"/>
        <v>80</v>
      </c>
      <c r="BP23" s="8">
        <f t="shared" si="3"/>
        <v>46</v>
      </c>
      <c r="BQ23" s="8">
        <f t="shared" si="4"/>
        <v>103</v>
      </c>
      <c r="BR23" s="8">
        <f t="shared" si="5"/>
        <v>61</v>
      </c>
      <c r="BS23" s="15">
        <f t="shared" si="6"/>
        <v>15.128424573629603</v>
      </c>
      <c r="BT23" s="15" t="str">
        <f t="shared" si="7"/>
        <v>OK - No Upgrade</v>
      </c>
      <c r="BU23" s="15" t="str">
        <f t="shared" si="8"/>
        <v>Need to Balance</v>
      </c>
    </row>
  </sheetData>
  <mergeCells count="79">
    <mergeCell ref="BU1:BU3"/>
    <mergeCell ref="BI2:BI3"/>
    <mergeCell ref="AE2:AE3"/>
    <mergeCell ref="AG2:AG3"/>
    <mergeCell ref="Y2:Y3"/>
    <mergeCell ref="AQ2:AQ3"/>
    <mergeCell ref="AS2:AS3"/>
    <mergeCell ref="AY2:AY3"/>
    <mergeCell ref="BK2:BK3"/>
    <mergeCell ref="AZ2:AZ3"/>
    <mergeCell ref="BB2:BB3"/>
    <mergeCell ref="BL2:BL3"/>
    <mergeCell ref="BN2:BN3"/>
    <mergeCell ref="AU1:AZ1"/>
    <mergeCell ref="AJ2:AJ3"/>
    <mergeCell ref="AL2:AL3"/>
    <mergeCell ref="BR1:BR3"/>
    <mergeCell ref="H1:H3"/>
    <mergeCell ref="AR2:AR3"/>
    <mergeCell ref="AT2:AT3"/>
    <mergeCell ref="E1:E3"/>
    <mergeCell ref="BF2:BF3"/>
    <mergeCell ref="K2:M2"/>
    <mergeCell ref="F1:F3"/>
    <mergeCell ref="J1:J3"/>
    <mergeCell ref="R2:R3"/>
    <mergeCell ref="AD2:AD3"/>
    <mergeCell ref="AN2:AN3"/>
    <mergeCell ref="AP2:AP3"/>
    <mergeCell ref="A1:A3"/>
    <mergeCell ref="BA1:BF1"/>
    <mergeCell ref="C1:C3"/>
    <mergeCell ref="D1:D2"/>
    <mergeCell ref="BQ1:BQ3"/>
    <mergeCell ref="BS1:BS3"/>
    <mergeCell ref="BA2:BA3"/>
    <mergeCell ref="S2:S3"/>
    <mergeCell ref="BC2:BC3"/>
    <mergeCell ref="K1:P1"/>
    <mergeCell ref="BM2:BM3"/>
    <mergeCell ref="BO2:BO3"/>
    <mergeCell ref="W1:AB1"/>
    <mergeCell ref="Q1:V1"/>
    <mergeCell ref="BP2:BP3"/>
    <mergeCell ref="AC1:AH1"/>
    <mergeCell ref="AO1:AT1"/>
    <mergeCell ref="Z2:Z3"/>
    <mergeCell ref="B1:B3"/>
    <mergeCell ref="AI1:AN1"/>
    <mergeCell ref="V2:V3"/>
    <mergeCell ref="X2:X3"/>
    <mergeCell ref="BG1:BL1"/>
    <mergeCell ref="BD2:BD3"/>
    <mergeCell ref="AV2:AV3"/>
    <mergeCell ref="AX2:AX3"/>
    <mergeCell ref="I1:I3"/>
    <mergeCell ref="BH2:BH3"/>
    <mergeCell ref="BJ2:BJ3"/>
    <mergeCell ref="AF2:AF3"/>
    <mergeCell ref="AH2:AH3"/>
    <mergeCell ref="Q2:Q3"/>
    <mergeCell ref="AI2:AI3"/>
    <mergeCell ref="AK2:AK3"/>
    <mergeCell ref="N2:P2"/>
    <mergeCell ref="G1:G3"/>
    <mergeCell ref="U2:U3"/>
    <mergeCell ref="BT1:BT3"/>
    <mergeCell ref="BE2:BE3"/>
    <mergeCell ref="W2:W3"/>
    <mergeCell ref="BG2:BG3"/>
    <mergeCell ref="AA2:AA3"/>
    <mergeCell ref="AC2:AC3"/>
    <mergeCell ref="AM2:AM3"/>
    <mergeCell ref="AO2:AO3"/>
    <mergeCell ref="BM1:BP1"/>
    <mergeCell ref="AU2:AU3"/>
    <mergeCell ref="AW2:AW3"/>
    <mergeCell ref="AB2:AB3"/>
    <mergeCell ref="T2:T3"/>
  </mergeCells>
  <dataValidations count="1">
    <dataValidation type="list" allowBlank="1" errorTitle="Invalid value" error="Please choose Cu or Al" promptTitle="Cable Type" prompt="Choose cable material" sqref="R4:R23 BH4:BH23 BB4:BB23 AV4:AV23 AP4:AP23 AJ4:AJ23 AD4:AD23 X4:X23" xr:uid="{00000000-0002-0000-0800-000000000000}">
      <formula1>"Cu,Al"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G103"/>
  <sheetViews>
    <sheetView workbookViewId="0"/>
  </sheetViews>
  <sheetFormatPr defaultRowHeight="15" x14ac:dyDescent="0.25"/>
  <cols>
    <col min="1" max="1" width="12.85546875" customWidth="1"/>
    <col min="2" max="2" width="14.85546875" customWidth="1"/>
    <col min="3" max="3" width="9.85546875" customWidth="1"/>
    <col min="4" max="4" width="20.85546875" customWidth="1"/>
    <col min="5" max="5" width="8.85546875" customWidth="1"/>
    <col min="6" max="6" width="10.85546875" customWidth="1"/>
    <col min="7" max="7" width="5.85546875" customWidth="1"/>
    <col min="8" max="8" width="9.85546875" customWidth="1"/>
    <col min="9" max="9" width="10.85546875" customWidth="1"/>
    <col min="10" max="10" width="5.85546875" customWidth="1"/>
    <col min="11" max="11" width="7.85546875" customWidth="1"/>
    <col min="12" max="16" width="6.85546875" customWidth="1"/>
    <col min="17" max="17" width="8.85546875" customWidth="1"/>
    <col min="18" max="21" width="6.85546875" customWidth="1"/>
    <col min="22" max="22" width="8.85546875" customWidth="1"/>
    <col min="23" max="26" width="6.85546875" customWidth="1"/>
    <col min="27" max="27" width="8.85546875" customWidth="1"/>
    <col min="28" max="31" width="6.85546875" customWidth="1"/>
    <col min="32" max="32" width="8.85546875" customWidth="1"/>
    <col min="33" max="36" width="6.85546875" customWidth="1"/>
    <col min="37" max="37" width="8.85546875" customWidth="1"/>
    <col min="38" max="41" width="6.85546875" customWidth="1"/>
    <col min="42" max="42" width="8.85546875" customWidth="1"/>
    <col min="43" max="46" width="6.85546875" customWidth="1"/>
    <col min="47" max="47" width="8.85546875" customWidth="1"/>
    <col min="48" max="51" width="6.85546875" customWidth="1"/>
    <col min="52" max="52" width="8.85546875" customWidth="1"/>
    <col min="53" max="56" width="6.85546875" customWidth="1"/>
    <col min="57" max="57" width="8.85546875" customWidth="1"/>
    <col min="58" max="61" width="6.85546875" customWidth="1"/>
    <col min="62" max="62" width="8.85546875" customWidth="1"/>
    <col min="63" max="70" width="6.85546875" customWidth="1"/>
    <col min="71" max="72" width="7.85546875" customWidth="1"/>
    <col min="73" max="73" width="9.85546875" customWidth="1"/>
    <col min="74" max="75" width="24.85546875" customWidth="1"/>
  </cols>
  <sheetData>
    <row r="1" spans="1:85" ht="19.5" customHeight="1" x14ac:dyDescent="0.25">
      <c r="A1" s="21" t="s">
        <v>0</v>
      </c>
      <c r="B1" s="21" t="s">
        <v>1</v>
      </c>
      <c r="C1" s="21" t="s">
        <v>2</v>
      </c>
      <c r="D1" s="38" t="s">
        <v>3</v>
      </c>
      <c r="E1" s="21" t="s">
        <v>4</v>
      </c>
      <c r="F1" s="40" t="s">
        <v>5</v>
      </c>
      <c r="G1" s="21" t="s">
        <v>6</v>
      </c>
      <c r="H1" s="21" t="s">
        <v>7</v>
      </c>
      <c r="I1" s="21" t="s">
        <v>8</v>
      </c>
      <c r="J1" s="41" t="s">
        <v>9</v>
      </c>
      <c r="K1" s="18" t="s">
        <v>10</v>
      </c>
      <c r="L1" s="19"/>
      <c r="M1" s="19"/>
      <c r="N1" s="19"/>
      <c r="O1" s="19"/>
      <c r="P1" s="20"/>
      <c r="Q1" s="29" t="s">
        <v>11</v>
      </c>
      <c r="R1" s="30"/>
      <c r="S1" s="30"/>
      <c r="T1" s="30"/>
      <c r="U1" s="30"/>
      <c r="V1" s="31"/>
      <c r="W1" s="29" t="s">
        <v>12</v>
      </c>
      <c r="X1" s="30"/>
      <c r="Y1" s="30"/>
      <c r="Z1" s="30"/>
      <c r="AA1" s="30"/>
      <c r="AB1" s="31"/>
      <c r="AC1" s="29" t="s">
        <v>13</v>
      </c>
      <c r="AD1" s="30"/>
      <c r="AE1" s="30"/>
      <c r="AF1" s="30"/>
      <c r="AG1" s="30"/>
      <c r="AH1" s="31"/>
      <c r="AI1" s="29" t="s">
        <v>14</v>
      </c>
      <c r="AJ1" s="30"/>
      <c r="AK1" s="30"/>
      <c r="AL1" s="30"/>
      <c r="AM1" s="30"/>
      <c r="AN1" s="31"/>
      <c r="AO1" s="29" t="s">
        <v>15</v>
      </c>
      <c r="AP1" s="30"/>
      <c r="AQ1" s="30"/>
      <c r="AR1" s="30"/>
      <c r="AS1" s="30"/>
      <c r="AT1" s="31"/>
      <c r="AU1" s="29" t="s">
        <v>16</v>
      </c>
      <c r="AV1" s="30"/>
      <c r="AW1" s="30"/>
      <c r="AX1" s="30"/>
      <c r="AY1" s="30"/>
      <c r="AZ1" s="31"/>
      <c r="BA1" s="29" t="s">
        <v>17</v>
      </c>
      <c r="BB1" s="30"/>
      <c r="BC1" s="30"/>
      <c r="BD1" s="30"/>
      <c r="BE1" s="30"/>
      <c r="BF1" s="31"/>
      <c r="BG1" s="29" t="s">
        <v>18</v>
      </c>
      <c r="BH1" s="30"/>
      <c r="BI1" s="30"/>
      <c r="BJ1" s="30"/>
      <c r="BK1" s="30"/>
      <c r="BL1" s="31"/>
      <c r="BM1" s="29" t="s">
        <v>377</v>
      </c>
      <c r="BN1" s="30"/>
      <c r="BO1" s="30"/>
      <c r="BP1" s="30"/>
      <c r="BQ1" s="30"/>
      <c r="BR1" s="31"/>
      <c r="BS1" s="29" t="s">
        <v>378</v>
      </c>
      <c r="BT1" s="30"/>
      <c r="BU1" s="30"/>
      <c r="BV1" s="30"/>
      <c r="BW1" s="30"/>
      <c r="BX1" s="31"/>
      <c r="BY1" s="37" t="s">
        <v>19</v>
      </c>
      <c r="BZ1" s="19"/>
      <c r="CA1" s="19"/>
      <c r="CB1" s="20"/>
      <c r="CC1" s="18" t="s">
        <v>20</v>
      </c>
      <c r="CD1" s="18" t="s">
        <v>21</v>
      </c>
      <c r="CE1" s="39" t="s">
        <v>22</v>
      </c>
      <c r="CF1" s="26" t="s">
        <v>23</v>
      </c>
      <c r="CG1" s="26" t="s">
        <v>24</v>
      </c>
    </row>
    <row r="2" spans="1:85" ht="19.5" customHeight="1" x14ac:dyDescent="0.25">
      <c r="A2" s="22"/>
      <c r="B2" s="22"/>
      <c r="C2" s="22"/>
      <c r="D2" s="23"/>
      <c r="E2" s="22"/>
      <c r="F2" s="22"/>
      <c r="G2" s="22"/>
      <c r="H2" s="22"/>
      <c r="I2" s="22"/>
      <c r="J2" s="22"/>
      <c r="K2" s="18" t="s">
        <v>25</v>
      </c>
      <c r="L2" s="19"/>
      <c r="M2" s="20"/>
      <c r="N2" s="18" t="s">
        <v>26</v>
      </c>
      <c r="O2" s="19"/>
      <c r="P2" s="20"/>
      <c r="Q2" s="27" t="s">
        <v>27</v>
      </c>
      <c r="R2" s="34" t="s">
        <v>5</v>
      </c>
      <c r="S2" s="36" t="s">
        <v>28</v>
      </c>
      <c r="T2" s="35" t="s">
        <v>29</v>
      </c>
      <c r="U2" s="24" t="s">
        <v>30</v>
      </c>
      <c r="V2" s="32" t="s">
        <v>31</v>
      </c>
      <c r="W2" s="27" t="s">
        <v>27</v>
      </c>
      <c r="X2" s="34" t="s">
        <v>5</v>
      </c>
      <c r="Y2" s="36" t="s">
        <v>28</v>
      </c>
      <c r="Z2" s="35" t="s">
        <v>29</v>
      </c>
      <c r="AA2" s="24" t="s">
        <v>30</v>
      </c>
      <c r="AB2" s="32" t="s">
        <v>31</v>
      </c>
      <c r="AC2" s="27" t="s">
        <v>27</v>
      </c>
      <c r="AD2" s="34" t="s">
        <v>5</v>
      </c>
      <c r="AE2" s="36" t="s">
        <v>28</v>
      </c>
      <c r="AF2" s="35" t="s">
        <v>29</v>
      </c>
      <c r="AG2" s="24" t="s">
        <v>30</v>
      </c>
      <c r="AH2" s="32" t="s">
        <v>31</v>
      </c>
      <c r="AI2" s="27" t="s">
        <v>27</v>
      </c>
      <c r="AJ2" s="34" t="s">
        <v>5</v>
      </c>
      <c r="AK2" s="36" t="s">
        <v>28</v>
      </c>
      <c r="AL2" s="35" t="s">
        <v>29</v>
      </c>
      <c r="AM2" s="24" t="s">
        <v>30</v>
      </c>
      <c r="AN2" s="32" t="s">
        <v>31</v>
      </c>
      <c r="AO2" s="27" t="s">
        <v>27</v>
      </c>
      <c r="AP2" s="34" t="s">
        <v>5</v>
      </c>
      <c r="AQ2" s="36" t="s">
        <v>28</v>
      </c>
      <c r="AR2" s="35" t="s">
        <v>29</v>
      </c>
      <c r="AS2" s="24" t="s">
        <v>30</v>
      </c>
      <c r="AT2" s="32" t="s">
        <v>31</v>
      </c>
      <c r="AU2" s="27" t="s">
        <v>27</v>
      </c>
      <c r="AV2" s="34" t="s">
        <v>5</v>
      </c>
      <c r="AW2" s="36" t="s">
        <v>28</v>
      </c>
      <c r="AX2" s="35" t="s">
        <v>29</v>
      </c>
      <c r="AY2" s="24" t="s">
        <v>30</v>
      </c>
      <c r="AZ2" s="32" t="s">
        <v>31</v>
      </c>
      <c r="BA2" s="27" t="s">
        <v>27</v>
      </c>
      <c r="BB2" s="34" t="s">
        <v>5</v>
      </c>
      <c r="BC2" s="36" t="s">
        <v>28</v>
      </c>
      <c r="BD2" s="35" t="s">
        <v>29</v>
      </c>
      <c r="BE2" s="24" t="s">
        <v>30</v>
      </c>
      <c r="BF2" s="32" t="s">
        <v>31</v>
      </c>
      <c r="BG2" s="27" t="s">
        <v>27</v>
      </c>
      <c r="BH2" s="34" t="s">
        <v>5</v>
      </c>
      <c r="BI2" s="36" t="s">
        <v>28</v>
      </c>
      <c r="BJ2" s="35" t="s">
        <v>29</v>
      </c>
      <c r="BK2" s="24" t="s">
        <v>30</v>
      </c>
      <c r="BL2" s="32" t="s">
        <v>31</v>
      </c>
      <c r="BM2" s="27" t="s">
        <v>27</v>
      </c>
      <c r="BN2" s="34" t="s">
        <v>5</v>
      </c>
      <c r="BO2" s="36" t="s">
        <v>28</v>
      </c>
      <c r="BP2" s="35" t="s">
        <v>29</v>
      </c>
      <c r="BQ2" s="24" t="s">
        <v>30</v>
      </c>
      <c r="BR2" s="32" t="s">
        <v>31</v>
      </c>
      <c r="BS2" s="27" t="s">
        <v>27</v>
      </c>
      <c r="BT2" s="34" t="s">
        <v>5</v>
      </c>
      <c r="BU2" s="36" t="s">
        <v>28</v>
      </c>
      <c r="BV2" s="35" t="s">
        <v>29</v>
      </c>
      <c r="BW2" s="24" t="s">
        <v>30</v>
      </c>
      <c r="BX2" s="32" t="s">
        <v>31</v>
      </c>
      <c r="BY2" s="37" t="s">
        <v>28</v>
      </c>
      <c r="BZ2" s="37" t="s">
        <v>29</v>
      </c>
      <c r="CA2" s="37" t="s">
        <v>30</v>
      </c>
      <c r="CB2" s="37" t="s">
        <v>31</v>
      </c>
      <c r="CC2" s="22"/>
      <c r="CD2" s="22"/>
      <c r="CE2" s="22"/>
      <c r="CF2" s="22"/>
      <c r="CG2" s="22"/>
    </row>
    <row r="3" spans="1:85" ht="19.5" customHeight="1" x14ac:dyDescent="0.25">
      <c r="A3" s="23"/>
      <c r="B3" s="23"/>
      <c r="C3" s="23"/>
      <c r="D3" s="1"/>
      <c r="E3" s="23"/>
      <c r="F3" s="23"/>
      <c r="G3" s="23"/>
      <c r="H3" s="23"/>
      <c r="I3" s="23"/>
      <c r="J3" s="23"/>
      <c r="K3" s="2" t="s">
        <v>32</v>
      </c>
      <c r="L3" s="3" t="s">
        <v>33</v>
      </c>
      <c r="M3" s="4" t="s">
        <v>34</v>
      </c>
      <c r="N3" s="5" t="s">
        <v>35</v>
      </c>
      <c r="O3" s="6" t="s">
        <v>36</v>
      </c>
      <c r="P3" s="7" t="s">
        <v>37</v>
      </c>
      <c r="Q3" s="28"/>
      <c r="R3" s="25"/>
      <c r="S3" s="25"/>
      <c r="T3" s="25"/>
      <c r="U3" s="25"/>
      <c r="V3" s="33"/>
      <c r="W3" s="28"/>
      <c r="X3" s="25"/>
      <c r="Y3" s="25"/>
      <c r="Z3" s="25"/>
      <c r="AA3" s="25"/>
      <c r="AB3" s="33"/>
      <c r="AC3" s="28"/>
      <c r="AD3" s="25"/>
      <c r="AE3" s="25"/>
      <c r="AF3" s="25"/>
      <c r="AG3" s="25"/>
      <c r="AH3" s="33"/>
      <c r="AI3" s="28"/>
      <c r="AJ3" s="25"/>
      <c r="AK3" s="25"/>
      <c r="AL3" s="25"/>
      <c r="AM3" s="25"/>
      <c r="AN3" s="33"/>
      <c r="AO3" s="28"/>
      <c r="AP3" s="25"/>
      <c r="AQ3" s="25"/>
      <c r="AR3" s="25"/>
      <c r="AS3" s="25"/>
      <c r="AT3" s="33"/>
      <c r="AU3" s="28"/>
      <c r="AV3" s="25"/>
      <c r="AW3" s="25"/>
      <c r="AX3" s="25"/>
      <c r="AY3" s="25"/>
      <c r="AZ3" s="33"/>
      <c r="BA3" s="28"/>
      <c r="BB3" s="25"/>
      <c r="BC3" s="25"/>
      <c r="BD3" s="25"/>
      <c r="BE3" s="25"/>
      <c r="BF3" s="33"/>
      <c r="BG3" s="28"/>
      <c r="BH3" s="25"/>
      <c r="BI3" s="25"/>
      <c r="BJ3" s="25"/>
      <c r="BK3" s="25"/>
      <c r="BL3" s="33"/>
      <c r="BM3" s="28"/>
      <c r="BN3" s="25"/>
      <c r="BO3" s="25"/>
      <c r="BP3" s="25"/>
      <c r="BQ3" s="25"/>
      <c r="BR3" s="33"/>
      <c r="BS3" s="28"/>
      <c r="BT3" s="25"/>
      <c r="BU3" s="25"/>
      <c r="BV3" s="25"/>
      <c r="BW3" s="25"/>
      <c r="BX3" s="33"/>
      <c r="BY3" s="23"/>
      <c r="BZ3" s="23"/>
      <c r="CA3" s="23"/>
      <c r="CB3" s="23"/>
      <c r="CC3" s="23"/>
      <c r="CD3" s="23"/>
      <c r="CE3" s="23"/>
      <c r="CF3" s="23"/>
      <c r="CG3" s="23"/>
    </row>
    <row r="4" spans="1:85" ht="15.75" customHeight="1" x14ac:dyDescent="0.25">
      <c r="A4" s="8" t="s">
        <v>1459</v>
      </c>
      <c r="B4" s="8" t="s">
        <v>1460</v>
      </c>
      <c r="C4" s="8" t="s">
        <v>512</v>
      </c>
      <c r="D4" s="8" t="s">
        <v>1461</v>
      </c>
      <c r="E4" s="8" t="s">
        <v>1462</v>
      </c>
      <c r="F4" s="8" t="s">
        <v>43</v>
      </c>
      <c r="G4" s="8" t="s">
        <v>44</v>
      </c>
      <c r="H4" s="8">
        <v>50</v>
      </c>
      <c r="I4" s="8" t="s">
        <v>1463</v>
      </c>
      <c r="J4" s="8">
        <v>1</v>
      </c>
      <c r="K4" s="8">
        <v>235</v>
      </c>
      <c r="L4" s="8">
        <v>234</v>
      </c>
      <c r="M4" s="8">
        <v>236</v>
      </c>
      <c r="N4" s="8">
        <v>405</v>
      </c>
      <c r="O4" s="8">
        <v>401</v>
      </c>
      <c r="P4" s="8">
        <v>404</v>
      </c>
      <c r="Q4" s="9" t="s">
        <v>47</v>
      </c>
      <c r="R4" s="16"/>
      <c r="S4" s="10">
        <v>8</v>
      </c>
      <c r="T4" s="10">
        <v>5</v>
      </c>
      <c r="U4" s="10">
        <v>9</v>
      </c>
      <c r="V4" s="11">
        <v>3</v>
      </c>
      <c r="W4" s="12"/>
      <c r="X4" s="17"/>
      <c r="Y4" s="13"/>
      <c r="Z4" s="13"/>
      <c r="AA4" s="13"/>
      <c r="AB4" s="14"/>
      <c r="AC4" s="9"/>
      <c r="AD4" s="16"/>
      <c r="AE4" s="10"/>
      <c r="AF4" s="10"/>
      <c r="AG4" s="10"/>
      <c r="AH4" s="11"/>
      <c r="AI4" s="12"/>
      <c r="AJ4" s="17"/>
      <c r="AK4" s="13"/>
      <c r="AL4" s="13"/>
      <c r="AM4" s="13"/>
      <c r="AN4" s="14"/>
      <c r="AO4" s="9"/>
      <c r="AP4" s="16"/>
      <c r="AQ4" s="10"/>
      <c r="AR4" s="10"/>
      <c r="AS4" s="10"/>
      <c r="AT4" s="11"/>
      <c r="AU4" s="12"/>
      <c r="AV4" s="17"/>
      <c r="AW4" s="13"/>
      <c r="AX4" s="13"/>
      <c r="AY4" s="13"/>
      <c r="AZ4" s="14"/>
      <c r="BA4" s="9"/>
      <c r="BB4" s="16"/>
      <c r="BC4" s="10"/>
      <c r="BD4" s="10"/>
      <c r="BE4" s="10"/>
      <c r="BF4" s="11"/>
      <c r="BG4" s="12"/>
      <c r="BH4" s="17"/>
      <c r="BI4" s="13"/>
      <c r="BJ4" s="13"/>
      <c r="BK4" s="13"/>
      <c r="BL4" s="14"/>
      <c r="BM4" s="9"/>
      <c r="BN4" s="16"/>
      <c r="BO4" s="10"/>
      <c r="BP4" s="10"/>
      <c r="BQ4" s="10"/>
      <c r="BR4" s="11"/>
      <c r="BS4" s="12"/>
      <c r="BT4" s="17"/>
      <c r="BU4" s="13"/>
      <c r="BV4" s="13"/>
      <c r="BW4" s="13"/>
      <c r="BX4" s="14"/>
      <c r="BY4" s="8">
        <f t="shared" ref="BY4:BY35" si="0">SUM(S4,Y4,AE4,AK4,AQ4,AW4,BC4,BI4,BO4,BU4)</f>
        <v>8</v>
      </c>
      <c r="BZ4" s="8">
        <f t="shared" ref="BZ4:BZ35" si="1">SUM(T4,Z4,AF4,AL4,AR4,AX4,BD4,BJ4,BP4,BV4)</f>
        <v>5</v>
      </c>
      <c r="CA4" s="8">
        <f t="shared" ref="CA4:CA35" si="2">SUM(U4,AA4,AG4,AM4,AS4,AY4,BE4,BK4,BQ4,BW4)</f>
        <v>9</v>
      </c>
      <c r="CB4" s="8">
        <f t="shared" ref="CB4:CB35" si="3">SUM(V4,AB4,AH4,AN4,AT4,AZ4,BF4,BL4,BR4,BX4)</f>
        <v>3</v>
      </c>
      <c r="CC4" s="8">
        <f t="shared" ref="CC4:CC35" si="4">MAX(BY4:CA4)</f>
        <v>9</v>
      </c>
      <c r="CD4" s="8">
        <f t="shared" ref="CD4:CD35" si="5">MIN(BY4:CA4)</f>
        <v>5</v>
      </c>
      <c r="CE4" s="15">
        <f t="shared" ref="CE4:CE35" si="6">IF(H4&gt;0,(CC4*SQRT(3)*IF(N4&gt;0,N4,IF(O4&gt;0,O4,IF(P4&gt;0,P4,415)))/(H4*1000))*100,0)</f>
        <v>12.626650387177115</v>
      </c>
      <c r="CF4" s="15" t="str">
        <f t="shared" ref="CF4:CF35" si="7">IF(CE4&gt;70,"Upgrade","OK - No Upgrade")</f>
        <v>OK - No Upgrade</v>
      </c>
      <c r="CG4" s="15" t="str">
        <f t="shared" ref="CG4:CG35" si="8">IF(IF(AVERAGE(BY4:CA4)&gt;0,((CC4-AVERAGE(BY4:CA4))/AVERAGE(BY4:CA4))*100,0)&gt;10,"Need to Balance","OK - Balanced")</f>
        <v>Need to Balance</v>
      </c>
    </row>
    <row r="5" spans="1:85" ht="15.75" customHeight="1" x14ac:dyDescent="0.25">
      <c r="A5" s="8" t="s">
        <v>1459</v>
      </c>
      <c r="B5" s="8" t="s">
        <v>1460</v>
      </c>
      <c r="C5" s="8" t="s">
        <v>512</v>
      </c>
      <c r="D5" s="8" t="s">
        <v>1461</v>
      </c>
      <c r="E5" s="8" t="s">
        <v>1464</v>
      </c>
      <c r="F5" s="8" t="s">
        <v>43</v>
      </c>
      <c r="G5" s="8" t="s">
        <v>44</v>
      </c>
      <c r="H5" s="8">
        <v>100</v>
      </c>
      <c r="I5" s="8" t="s">
        <v>1465</v>
      </c>
      <c r="J5" s="8">
        <v>1</v>
      </c>
      <c r="K5" s="8">
        <v>234</v>
      </c>
      <c r="L5" s="8">
        <v>232</v>
      </c>
      <c r="M5" s="8">
        <v>232</v>
      </c>
      <c r="N5" s="8">
        <v>405</v>
      </c>
      <c r="O5" s="8">
        <v>407</v>
      </c>
      <c r="P5" s="8">
        <v>406</v>
      </c>
      <c r="Q5" s="9"/>
      <c r="R5" s="16"/>
      <c r="S5" s="10"/>
      <c r="T5" s="10"/>
      <c r="U5" s="10"/>
      <c r="V5" s="11"/>
      <c r="W5" s="12" t="s">
        <v>46</v>
      </c>
      <c r="X5" s="17"/>
      <c r="Y5" s="13">
        <v>20</v>
      </c>
      <c r="Z5" s="13">
        <v>44</v>
      </c>
      <c r="AA5" s="13">
        <v>15</v>
      </c>
      <c r="AB5" s="14">
        <v>25</v>
      </c>
      <c r="AC5" s="9"/>
      <c r="AD5" s="16"/>
      <c r="AE5" s="10"/>
      <c r="AF5" s="10"/>
      <c r="AG5" s="10"/>
      <c r="AH5" s="11"/>
      <c r="AI5" s="12"/>
      <c r="AJ5" s="17"/>
      <c r="AK5" s="13"/>
      <c r="AL5" s="13"/>
      <c r="AM5" s="13"/>
      <c r="AN5" s="14"/>
      <c r="AO5" s="9"/>
      <c r="AP5" s="16"/>
      <c r="AQ5" s="10"/>
      <c r="AR5" s="10"/>
      <c r="AS5" s="10"/>
      <c r="AT5" s="11"/>
      <c r="AU5" s="12"/>
      <c r="AV5" s="17"/>
      <c r="AW5" s="13"/>
      <c r="AX5" s="13"/>
      <c r="AY5" s="13"/>
      <c r="AZ5" s="14"/>
      <c r="BA5" s="9"/>
      <c r="BB5" s="16"/>
      <c r="BC5" s="10"/>
      <c r="BD5" s="10"/>
      <c r="BE5" s="10"/>
      <c r="BF5" s="11"/>
      <c r="BG5" s="12"/>
      <c r="BH5" s="17"/>
      <c r="BI5" s="13"/>
      <c r="BJ5" s="13"/>
      <c r="BK5" s="13"/>
      <c r="BL5" s="14"/>
      <c r="BM5" s="9"/>
      <c r="BN5" s="16"/>
      <c r="BO5" s="10"/>
      <c r="BP5" s="10"/>
      <c r="BQ5" s="10"/>
      <c r="BR5" s="11"/>
      <c r="BS5" s="12"/>
      <c r="BT5" s="17"/>
      <c r="BU5" s="13"/>
      <c r="BV5" s="13"/>
      <c r="BW5" s="13"/>
      <c r="BX5" s="14"/>
      <c r="BY5" s="8">
        <f t="shared" si="0"/>
        <v>20</v>
      </c>
      <c r="BZ5" s="8">
        <f t="shared" si="1"/>
        <v>44</v>
      </c>
      <c r="CA5" s="8">
        <f t="shared" si="2"/>
        <v>15</v>
      </c>
      <c r="CB5" s="8">
        <f t="shared" si="3"/>
        <v>25</v>
      </c>
      <c r="CC5" s="8">
        <f t="shared" si="4"/>
        <v>44</v>
      </c>
      <c r="CD5" s="8">
        <f t="shared" si="5"/>
        <v>15</v>
      </c>
      <c r="CE5" s="15">
        <f t="shared" si="6"/>
        <v>30.865145390877391</v>
      </c>
      <c r="CF5" s="15" t="str">
        <f t="shared" si="7"/>
        <v>OK - No Upgrade</v>
      </c>
      <c r="CG5" s="15" t="str">
        <f t="shared" si="8"/>
        <v>Need to Balance</v>
      </c>
    </row>
    <row r="6" spans="1:85" ht="15.75" customHeight="1" x14ac:dyDescent="0.25">
      <c r="A6" s="8" t="s">
        <v>1459</v>
      </c>
      <c r="B6" s="8" t="s">
        <v>1460</v>
      </c>
      <c r="C6" s="8" t="s">
        <v>512</v>
      </c>
      <c r="D6" s="8" t="s">
        <v>1461</v>
      </c>
      <c r="E6" s="8" t="s">
        <v>1466</v>
      </c>
      <c r="F6" s="8" t="s">
        <v>43</v>
      </c>
      <c r="G6" s="8" t="s">
        <v>44</v>
      </c>
      <c r="H6" s="8">
        <v>100</v>
      </c>
      <c r="I6" s="8" t="s">
        <v>1467</v>
      </c>
      <c r="J6" s="8">
        <v>1</v>
      </c>
      <c r="K6" s="8">
        <v>234</v>
      </c>
      <c r="L6" s="8">
        <v>235</v>
      </c>
      <c r="M6" s="8">
        <v>233</v>
      </c>
      <c r="N6" s="8">
        <v>406</v>
      </c>
      <c r="O6" s="8">
        <v>405</v>
      </c>
      <c r="P6" s="8">
        <v>401</v>
      </c>
      <c r="Q6" s="9"/>
      <c r="R6" s="16"/>
      <c r="S6" s="10"/>
      <c r="T6" s="10"/>
      <c r="U6" s="10"/>
      <c r="V6" s="11"/>
      <c r="W6" s="12" t="s">
        <v>46</v>
      </c>
      <c r="X6" s="17"/>
      <c r="Y6" s="13">
        <v>20</v>
      </c>
      <c r="Z6" s="13">
        <v>14</v>
      </c>
      <c r="AA6" s="13">
        <v>10</v>
      </c>
      <c r="AB6" s="14">
        <v>15</v>
      </c>
      <c r="AC6" s="9"/>
      <c r="AD6" s="16"/>
      <c r="AE6" s="10"/>
      <c r="AF6" s="10"/>
      <c r="AG6" s="10"/>
      <c r="AH6" s="11"/>
      <c r="AI6" s="12"/>
      <c r="AJ6" s="17"/>
      <c r="AK6" s="13"/>
      <c r="AL6" s="13"/>
      <c r="AM6" s="13"/>
      <c r="AN6" s="14"/>
      <c r="AO6" s="9"/>
      <c r="AP6" s="16"/>
      <c r="AQ6" s="10"/>
      <c r="AR6" s="10"/>
      <c r="AS6" s="10"/>
      <c r="AT6" s="11"/>
      <c r="AU6" s="12"/>
      <c r="AV6" s="17"/>
      <c r="AW6" s="13"/>
      <c r="AX6" s="13"/>
      <c r="AY6" s="13"/>
      <c r="AZ6" s="14"/>
      <c r="BA6" s="9"/>
      <c r="BB6" s="16"/>
      <c r="BC6" s="10"/>
      <c r="BD6" s="10"/>
      <c r="BE6" s="10"/>
      <c r="BF6" s="11"/>
      <c r="BG6" s="12"/>
      <c r="BH6" s="17"/>
      <c r="BI6" s="13"/>
      <c r="BJ6" s="13"/>
      <c r="BK6" s="13"/>
      <c r="BL6" s="14"/>
      <c r="BM6" s="9"/>
      <c r="BN6" s="16"/>
      <c r="BO6" s="10"/>
      <c r="BP6" s="10"/>
      <c r="BQ6" s="10"/>
      <c r="BR6" s="11"/>
      <c r="BS6" s="12"/>
      <c r="BT6" s="17"/>
      <c r="BU6" s="13"/>
      <c r="BV6" s="13"/>
      <c r="BW6" s="13"/>
      <c r="BX6" s="14"/>
      <c r="BY6" s="8">
        <f t="shared" si="0"/>
        <v>20</v>
      </c>
      <c r="BZ6" s="8">
        <f t="shared" si="1"/>
        <v>14</v>
      </c>
      <c r="CA6" s="8">
        <f t="shared" si="2"/>
        <v>10</v>
      </c>
      <c r="CB6" s="8">
        <f t="shared" si="3"/>
        <v>15</v>
      </c>
      <c r="CC6" s="8">
        <f t="shared" si="4"/>
        <v>20</v>
      </c>
      <c r="CD6" s="8">
        <f t="shared" si="5"/>
        <v>10</v>
      </c>
      <c r="CE6" s="15">
        <f t="shared" si="6"/>
        <v>14.06425255745928</v>
      </c>
      <c r="CF6" s="15" t="str">
        <f t="shared" si="7"/>
        <v>OK - No Upgrade</v>
      </c>
      <c r="CG6" s="15" t="str">
        <f t="shared" si="8"/>
        <v>Need to Balance</v>
      </c>
    </row>
    <row r="7" spans="1:85" ht="15.75" customHeight="1" x14ac:dyDescent="0.25">
      <c r="A7" s="8" t="s">
        <v>1459</v>
      </c>
      <c r="B7" s="8" t="s">
        <v>1460</v>
      </c>
      <c r="C7" s="8" t="s">
        <v>512</v>
      </c>
      <c r="D7" s="8" t="s">
        <v>1461</v>
      </c>
      <c r="E7" s="8" t="s">
        <v>1468</v>
      </c>
      <c r="F7" s="8" t="s">
        <v>43</v>
      </c>
      <c r="G7" s="8"/>
      <c r="H7" s="8">
        <v>100</v>
      </c>
      <c r="I7" s="8" t="s">
        <v>1469</v>
      </c>
      <c r="J7" s="8">
        <v>1</v>
      </c>
      <c r="K7" s="8">
        <v>233</v>
      </c>
      <c r="L7" s="8">
        <v>234</v>
      </c>
      <c r="M7" s="8">
        <v>233</v>
      </c>
      <c r="N7" s="8">
        <v>408</v>
      </c>
      <c r="O7" s="8">
        <v>408</v>
      </c>
      <c r="P7" s="8">
        <v>409</v>
      </c>
      <c r="Q7" s="9" t="s">
        <v>46</v>
      </c>
      <c r="R7" s="16"/>
      <c r="S7" s="10">
        <v>27</v>
      </c>
      <c r="T7" s="10">
        <v>21</v>
      </c>
      <c r="U7" s="10">
        <v>28</v>
      </c>
      <c r="V7" s="11">
        <v>4</v>
      </c>
      <c r="W7" s="12"/>
      <c r="X7" s="17"/>
      <c r="Y7" s="13"/>
      <c r="Z7" s="13"/>
      <c r="AA7" s="13"/>
      <c r="AB7" s="14"/>
      <c r="AC7" s="9"/>
      <c r="AD7" s="16"/>
      <c r="AE7" s="10"/>
      <c r="AF7" s="10"/>
      <c r="AG7" s="10"/>
      <c r="AH7" s="11"/>
      <c r="AI7" s="12"/>
      <c r="AJ7" s="17"/>
      <c r="AK7" s="13"/>
      <c r="AL7" s="13"/>
      <c r="AM7" s="13"/>
      <c r="AN7" s="14"/>
      <c r="AO7" s="9"/>
      <c r="AP7" s="16"/>
      <c r="AQ7" s="10"/>
      <c r="AR7" s="10"/>
      <c r="AS7" s="10"/>
      <c r="AT7" s="11"/>
      <c r="AU7" s="12"/>
      <c r="AV7" s="17"/>
      <c r="AW7" s="13"/>
      <c r="AX7" s="13"/>
      <c r="AY7" s="13"/>
      <c r="AZ7" s="14"/>
      <c r="BA7" s="9"/>
      <c r="BB7" s="16"/>
      <c r="BC7" s="10"/>
      <c r="BD7" s="10"/>
      <c r="BE7" s="10"/>
      <c r="BF7" s="11"/>
      <c r="BG7" s="12"/>
      <c r="BH7" s="17"/>
      <c r="BI7" s="13"/>
      <c r="BJ7" s="13"/>
      <c r="BK7" s="13"/>
      <c r="BL7" s="14"/>
      <c r="BM7" s="9"/>
      <c r="BN7" s="16"/>
      <c r="BO7" s="10"/>
      <c r="BP7" s="10"/>
      <c r="BQ7" s="10"/>
      <c r="BR7" s="11"/>
      <c r="BS7" s="12"/>
      <c r="BT7" s="17"/>
      <c r="BU7" s="13"/>
      <c r="BV7" s="13"/>
      <c r="BW7" s="13"/>
      <c r="BX7" s="14"/>
      <c r="BY7" s="8">
        <f t="shared" si="0"/>
        <v>27</v>
      </c>
      <c r="BZ7" s="8">
        <f t="shared" si="1"/>
        <v>21</v>
      </c>
      <c r="CA7" s="8">
        <f t="shared" si="2"/>
        <v>28</v>
      </c>
      <c r="CB7" s="8">
        <f t="shared" si="3"/>
        <v>4</v>
      </c>
      <c r="CC7" s="8">
        <f t="shared" si="4"/>
        <v>28</v>
      </c>
      <c r="CD7" s="8">
        <f t="shared" si="5"/>
        <v>21</v>
      </c>
      <c r="CE7" s="15">
        <f t="shared" si="6"/>
        <v>19.786948425666857</v>
      </c>
      <c r="CF7" s="15" t="str">
        <f t="shared" si="7"/>
        <v>OK - No Upgrade</v>
      </c>
      <c r="CG7" s="15" t="str">
        <f t="shared" si="8"/>
        <v>Need to Balance</v>
      </c>
    </row>
    <row r="8" spans="1:85" ht="15.75" customHeight="1" x14ac:dyDescent="0.25">
      <c r="A8" s="8" t="s">
        <v>1459</v>
      </c>
      <c r="B8" s="8" t="s">
        <v>1460</v>
      </c>
      <c r="C8" s="8" t="s">
        <v>512</v>
      </c>
      <c r="D8" s="8" t="s">
        <v>1461</v>
      </c>
      <c r="E8" s="8" t="s">
        <v>1470</v>
      </c>
      <c r="F8" s="8" t="s">
        <v>43</v>
      </c>
      <c r="G8" s="8" t="s">
        <v>44</v>
      </c>
      <c r="H8" s="8">
        <v>100</v>
      </c>
      <c r="I8" s="8" t="s">
        <v>1471</v>
      </c>
      <c r="J8" s="8">
        <v>1</v>
      </c>
      <c r="K8" s="8">
        <v>235</v>
      </c>
      <c r="L8" s="8">
        <v>235</v>
      </c>
      <c r="M8" s="8">
        <v>234</v>
      </c>
      <c r="N8" s="8">
        <v>411</v>
      </c>
      <c r="O8" s="8">
        <v>411</v>
      </c>
      <c r="P8" s="8">
        <v>408</v>
      </c>
      <c r="Q8" s="9" t="s">
        <v>46</v>
      </c>
      <c r="R8" s="16"/>
      <c r="S8" s="10">
        <v>0</v>
      </c>
      <c r="T8" s="10">
        <v>0</v>
      </c>
      <c r="U8" s="10">
        <v>0</v>
      </c>
      <c r="V8" s="11">
        <v>0</v>
      </c>
      <c r="W8" s="12"/>
      <c r="X8" s="17"/>
      <c r="Y8" s="13"/>
      <c r="Z8" s="13"/>
      <c r="AA8" s="13"/>
      <c r="AB8" s="14"/>
      <c r="AC8" s="9"/>
      <c r="AD8" s="16"/>
      <c r="AE8" s="10"/>
      <c r="AF8" s="10"/>
      <c r="AG8" s="10"/>
      <c r="AH8" s="11"/>
      <c r="AI8" s="12"/>
      <c r="AJ8" s="17"/>
      <c r="AK8" s="13"/>
      <c r="AL8" s="13"/>
      <c r="AM8" s="13"/>
      <c r="AN8" s="14"/>
      <c r="AO8" s="9"/>
      <c r="AP8" s="16"/>
      <c r="AQ8" s="10"/>
      <c r="AR8" s="10"/>
      <c r="AS8" s="10"/>
      <c r="AT8" s="11"/>
      <c r="AU8" s="12"/>
      <c r="AV8" s="17"/>
      <c r="AW8" s="13"/>
      <c r="AX8" s="13"/>
      <c r="AY8" s="13"/>
      <c r="AZ8" s="14"/>
      <c r="BA8" s="9"/>
      <c r="BB8" s="16"/>
      <c r="BC8" s="10"/>
      <c r="BD8" s="10"/>
      <c r="BE8" s="10"/>
      <c r="BF8" s="11"/>
      <c r="BG8" s="12"/>
      <c r="BH8" s="17"/>
      <c r="BI8" s="13"/>
      <c r="BJ8" s="13"/>
      <c r="BK8" s="13"/>
      <c r="BL8" s="14"/>
      <c r="BM8" s="9"/>
      <c r="BN8" s="16"/>
      <c r="BO8" s="10"/>
      <c r="BP8" s="10"/>
      <c r="BQ8" s="10"/>
      <c r="BR8" s="11"/>
      <c r="BS8" s="12"/>
      <c r="BT8" s="17"/>
      <c r="BU8" s="13"/>
      <c r="BV8" s="13"/>
      <c r="BW8" s="13"/>
      <c r="BX8" s="14"/>
      <c r="BY8" s="8">
        <f t="shared" si="0"/>
        <v>0</v>
      </c>
      <c r="BZ8" s="8">
        <f t="shared" si="1"/>
        <v>0</v>
      </c>
      <c r="CA8" s="8">
        <f t="shared" si="2"/>
        <v>0</v>
      </c>
      <c r="CB8" s="8">
        <f t="shared" si="3"/>
        <v>0</v>
      </c>
      <c r="CC8" s="8">
        <f t="shared" si="4"/>
        <v>0</v>
      </c>
      <c r="CD8" s="8">
        <f t="shared" si="5"/>
        <v>0</v>
      </c>
      <c r="CE8" s="15">
        <f t="shared" si="6"/>
        <v>0</v>
      </c>
      <c r="CF8" s="15" t="str">
        <f t="shared" si="7"/>
        <v>OK - No Upgrade</v>
      </c>
      <c r="CG8" s="15" t="str">
        <f t="shared" si="8"/>
        <v>OK - Balanced</v>
      </c>
    </row>
    <row r="9" spans="1:85" ht="15.75" customHeight="1" x14ac:dyDescent="0.25">
      <c r="A9" s="8" t="s">
        <v>1459</v>
      </c>
      <c r="B9" s="8" t="s">
        <v>1460</v>
      </c>
      <c r="C9" s="8" t="s">
        <v>512</v>
      </c>
      <c r="D9" s="8" t="s">
        <v>1461</v>
      </c>
      <c r="E9" s="8" t="s">
        <v>1472</v>
      </c>
      <c r="F9" s="8" t="s">
        <v>43</v>
      </c>
      <c r="G9" s="8" t="s">
        <v>44</v>
      </c>
      <c r="H9" s="8">
        <v>100</v>
      </c>
      <c r="I9" s="8" t="s">
        <v>1473</v>
      </c>
      <c r="J9" s="8">
        <v>1</v>
      </c>
      <c r="K9" s="8">
        <v>234</v>
      </c>
      <c r="L9" s="8">
        <v>234</v>
      </c>
      <c r="M9" s="8">
        <v>235</v>
      </c>
      <c r="N9" s="8">
        <v>410</v>
      </c>
      <c r="O9" s="8">
        <v>410</v>
      </c>
      <c r="P9" s="8">
        <v>408</v>
      </c>
      <c r="Q9" s="9"/>
      <c r="R9" s="16"/>
      <c r="S9" s="10"/>
      <c r="T9" s="10"/>
      <c r="U9" s="10"/>
      <c r="V9" s="11"/>
      <c r="W9" s="12" t="s">
        <v>46</v>
      </c>
      <c r="X9" s="17"/>
      <c r="Y9" s="13">
        <v>30</v>
      </c>
      <c r="Z9" s="13">
        <v>35</v>
      </c>
      <c r="AA9" s="13">
        <v>22</v>
      </c>
      <c r="AB9" s="14">
        <v>25</v>
      </c>
      <c r="AC9" s="9"/>
      <c r="AD9" s="16"/>
      <c r="AE9" s="10"/>
      <c r="AF9" s="10"/>
      <c r="AG9" s="10"/>
      <c r="AH9" s="11"/>
      <c r="AI9" s="12"/>
      <c r="AJ9" s="17"/>
      <c r="AK9" s="13"/>
      <c r="AL9" s="13"/>
      <c r="AM9" s="13"/>
      <c r="AN9" s="14"/>
      <c r="AO9" s="9"/>
      <c r="AP9" s="16"/>
      <c r="AQ9" s="10"/>
      <c r="AR9" s="10"/>
      <c r="AS9" s="10"/>
      <c r="AT9" s="11"/>
      <c r="AU9" s="12"/>
      <c r="AV9" s="17"/>
      <c r="AW9" s="13"/>
      <c r="AX9" s="13"/>
      <c r="AY9" s="13"/>
      <c r="AZ9" s="14"/>
      <c r="BA9" s="9"/>
      <c r="BB9" s="16"/>
      <c r="BC9" s="10"/>
      <c r="BD9" s="10"/>
      <c r="BE9" s="10"/>
      <c r="BF9" s="11"/>
      <c r="BG9" s="12"/>
      <c r="BH9" s="17"/>
      <c r="BI9" s="13"/>
      <c r="BJ9" s="13"/>
      <c r="BK9" s="13"/>
      <c r="BL9" s="14"/>
      <c r="BM9" s="9"/>
      <c r="BN9" s="16"/>
      <c r="BO9" s="10"/>
      <c r="BP9" s="10"/>
      <c r="BQ9" s="10"/>
      <c r="BR9" s="11"/>
      <c r="BS9" s="12"/>
      <c r="BT9" s="17"/>
      <c r="BU9" s="13"/>
      <c r="BV9" s="13"/>
      <c r="BW9" s="13"/>
      <c r="BX9" s="14"/>
      <c r="BY9" s="8">
        <f t="shared" si="0"/>
        <v>30</v>
      </c>
      <c r="BZ9" s="8">
        <f t="shared" si="1"/>
        <v>35</v>
      </c>
      <c r="CA9" s="8">
        <f t="shared" si="2"/>
        <v>22</v>
      </c>
      <c r="CB9" s="8">
        <f t="shared" si="3"/>
        <v>25</v>
      </c>
      <c r="CC9" s="8">
        <f t="shared" si="4"/>
        <v>35</v>
      </c>
      <c r="CD9" s="8">
        <f t="shared" si="5"/>
        <v>22</v>
      </c>
      <c r="CE9" s="15">
        <f t="shared" si="6"/>
        <v>24.854929088613389</v>
      </c>
      <c r="CF9" s="15" t="str">
        <f t="shared" si="7"/>
        <v>OK - No Upgrade</v>
      </c>
      <c r="CG9" s="15" t="str">
        <f t="shared" si="8"/>
        <v>Need to Balance</v>
      </c>
    </row>
    <row r="10" spans="1:85" ht="15.75" customHeight="1" x14ac:dyDescent="0.25">
      <c r="A10" s="8" t="s">
        <v>1459</v>
      </c>
      <c r="B10" s="8" t="s">
        <v>1460</v>
      </c>
      <c r="C10" s="8" t="s">
        <v>512</v>
      </c>
      <c r="D10" s="8" t="s">
        <v>1474</v>
      </c>
      <c r="E10" s="8" t="s">
        <v>1475</v>
      </c>
      <c r="F10" s="8" t="s">
        <v>43</v>
      </c>
      <c r="G10" s="8"/>
      <c r="H10" s="8">
        <v>100</v>
      </c>
      <c r="I10" s="8" t="s">
        <v>1476</v>
      </c>
      <c r="J10" s="8">
        <v>1</v>
      </c>
      <c r="K10" s="8">
        <v>233</v>
      </c>
      <c r="L10" s="8">
        <v>233</v>
      </c>
      <c r="M10" s="8">
        <v>233</v>
      </c>
      <c r="N10" s="8">
        <v>404</v>
      </c>
      <c r="O10" s="8">
        <v>485</v>
      </c>
      <c r="P10" s="8">
        <v>402</v>
      </c>
      <c r="Q10" s="9" t="s">
        <v>46</v>
      </c>
      <c r="R10" s="16"/>
      <c r="S10" s="10">
        <v>7</v>
      </c>
      <c r="T10" s="10">
        <v>18</v>
      </c>
      <c r="U10" s="10">
        <v>32</v>
      </c>
      <c r="V10" s="11">
        <v>17</v>
      </c>
      <c r="W10" s="12" t="s">
        <v>46</v>
      </c>
      <c r="X10" s="17"/>
      <c r="Y10" s="13">
        <v>14</v>
      </c>
      <c r="Z10" s="13">
        <v>15</v>
      </c>
      <c r="AA10" s="13">
        <v>28</v>
      </c>
      <c r="AB10" s="14">
        <v>16</v>
      </c>
      <c r="AC10" s="9"/>
      <c r="AD10" s="16"/>
      <c r="AE10" s="10"/>
      <c r="AF10" s="10"/>
      <c r="AG10" s="10"/>
      <c r="AH10" s="11"/>
      <c r="AI10" s="12"/>
      <c r="AJ10" s="17"/>
      <c r="AK10" s="13"/>
      <c r="AL10" s="13"/>
      <c r="AM10" s="13"/>
      <c r="AN10" s="14"/>
      <c r="AO10" s="9"/>
      <c r="AP10" s="16"/>
      <c r="AQ10" s="10"/>
      <c r="AR10" s="10"/>
      <c r="AS10" s="10"/>
      <c r="AT10" s="11"/>
      <c r="AU10" s="12"/>
      <c r="AV10" s="17"/>
      <c r="AW10" s="13"/>
      <c r="AX10" s="13"/>
      <c r="AY10" s="13"/>
      <c r="AZ10" s="14"/>
      <c r="BA10" s="9"/>
      <c r="BB10" s="16"/>
      <c r="BC10" s="10"/>
      <c r="BD10" s="10"/>
      <c r="BE10" s="10"/>
      <c r="BF10" s="11"/>
      <c r="BG10" s="12"/>
      <c r="BH10" s="17"/>
      <c r="BI10" s="13"/>
      <c r="BJ10" s="13"/>
      <c r="BK10" s="13"/>
      <c r="BL10" s="14"/>
      <c r="BM10" s="9"/>
      <c r="BN10" s="16"/>
      <c r="BO10" s="10"/>
      <c r="BP10" s="10"/>
      <c r="BQ10" s="10"/>
      <c r="BR10" s="11"/>
      <c r="BS10" s="12"/>
      <c r="BT10" s="17"/>
      <c r="BU10" s="13"/>
      <c r="BV10" s="13"/>
      <c r="BW10" s="13"/>
      <c r="BX10" s="14"/>
      <c r="BY10" s="8">
        <f t="shared" si="0"/>
        <v>21</v>
      </c>
      <c r="BZ10" s="8">
        <f t="shared" si="1"/>
        <v>33</v>
      </c>
      <c r="CA10" s="8">
        <f t="shared" si="2"/>
        <v>60</v>
      </c>
      <c r="CB10" s="8">
        <f t="shared" si="3"/>
        <v>33</v>
      </c>
      <c r="CC10" s="8">
        <f t="shared" si="4"/>
        <v>60</v>
      </c>
      <c r="CD10" s="8">
        <f t="shared" si="5"/>
        <v>21</v>
      </c>
      <c r="CE10" s="15">
        <f t="shared" si="6"/>
        <v>41.984911575469582</v>
      </c>
      <c r="CF10" s="15" t="str">
        <f t="shared" si="7"/>
        <v>OK - No Upgrade</v>
      </c>
      <c r="CG10" s="15" t="str">
        <f t="shared" si="8"/>
        <v>Need to Balance</v>
      </c>
    </row>
    <row r="11" spans="1:85" ht="15.75" customHeight="1" x14ac:dyDescent="0.25">
      <c r="A11" s="8" t="s">
        <v>1459</v>
      </c>
      <c r="B11" s="8" t="s">
        <v>1460</v>
      </c>
      <c r="C11" s="8" t="s">
        <v>512</v>
      </c>
      <c r="D11" s="8" t="s">
        <v>1474</v>
      </c>
      <c r="E11" s="8" t="s">
        <v>1477</v>
      </c>
      <c r="F11" s="8" t="s">
        <v>43</v>
      </c>
      <c r="G11" s="8" t="s">
        <v>44</v>
      </c>
      <c r="H11" s="8">
        <v>100</v>
      </c>
      <c r="I11" s="8" t="s">
        <v>1478</v>
      </c>
      <c r="J11" s="8">
        <v>1</v>
      </c>
      <c r="K11" s="8">
        <v>234</v>
      </c>
      <c r="L11" s="8">
        <v>235</v>
      </c>
      <c r="M11" s="8">
        <v>234</v>
      </c>
      <c r="N11" s="8">
        <v>412</v>
      </c>
      <c r="O11" s="8">
        <v>411</v>
      </c>
      <c r="P11" s="8">
        <v>412</v>
      </c>
      <c r="Q11" s="9" t="s">
        <v>46</v>
      </c>
      <c r="R11" s="16"/>
      <c r="S11" s="10">
        <v>10</v>
      </c>
      <c r="T11" s="10">
        <v>6</v>
      </c>
      <c r="U11" s="10">
        <v>8</v>
      </c>
      <c r="V11" s="11">
        <v>8</v>
      </c>
      <c r="W11" s="12" t="s">
        <v>46</v>
      </c>
      <c r="X11" s="17"/>
      <c r="Y11" s="13">
        <v>0</v>
      </c>
      <c r="Z11" s="13">
        <v>0</v>
      </c>
      <c r="AA11" s="13">
        <v>0</v>
      </c>
      <c r="AB11" s="14">
        <v>0</v>
      </c>
      <c r="AC11" s="9"/>
      <c r="AD11" s="16"/>
      <c r="AE11" s="10"/>
      <c r="AF11" s="10"/>
      <c r="AG11" s="10"/>
      <c r="AH11" s="11"/>
      <c r="AI11" s="12"/>
      <c r="AJ11" s="17"/>
      <c r="AK11" s="13"/>
      <c r="AL11" s="13"/>
      <c r="AM11" s="13"/>
      <c r="AN11" s="14"/>
      <c r="AO11" s="9"/>
      <c r="AP11" s="16"/>
      <c r="AQ11" s="10"/>
      <c r="AR11" s="10"/>
      <c r="AS11" s="10"/>
      <c r="AT11" s="11"/>
      <c r="AU11" s="12"/>
      <c r="AV11" s="17"/>
      <c r="AW11" s="13"/>
      <c r="AX11" s="13"/>
      <c r="AY11" s="13"/>
      <c r="AZ11" s="14"/>
      <c r="BA11" s="9"/>
      <c r="BB11" s="16"/>
      <c r="BC11" s="10"/>
      <c r="BD11" s="10"/>
      <c r="BE11" s="10"/>
      <c r="BF11" s="11"/>
      <c r="BG11" s="12"/>
      <c r="BH11" s="17"/>
      <c r="BI11" s="13"/>
      <c r="BJ11" s="13"/>
      <c r="BK11" s="13"/>
      <c r="BL11" s="14"/>
      <c r="BM11" s="9"/>
      <c r="BN11" s="16"/>
      <c r="BO11" s="10"/>
      <c r="BP11" s="10"/>
      <c r="BQ11" s="10"/>
      <c r="BR11" s="11"/>
      <c r="BS11" s="12"/>
      <c r="BT11" s="17"/>
      <c r="BU11" s="13"/>
      <c r="BV11" s="13"/>
      <c r="BW11" s="13"/>
      <c r="BX11" s="14"/>
      <c r="BY11" s="8">
        <f t="shared" si="0"/>
        <v>10</v>
      </c>
      <c r="BZ11" s="8">
        <f t="shared" si="1"/>
        <v>6</v>
      </c>
      <c r="CA11" s="8">
        <f t="shared" si="2"/>
        <v>8</v>
      </c>
      <c r="CB11" s="8">
        <f t="shared" si="3"/>
        <v>8</v>
      </c>
      <c r="CC11" s="8">
        <f t="shared" si="4"/>
        <v>10</v>
      </c>
      <c r="CD11" s="8">
        <f t="shared" si="5"/>
        <v>6</v>
      </c>
      <c r="CE11" s="15">
        <f t="shared" si="6"/>
        <v>7.1360493271837742</v>
      </c>
      <c r="CF11" s="15" t="str">
        <f t="shared" si="7"/>
        <v>OK - No Upgrade</v>
      </c>
      <c r="CG11" s="15" t="str">
        <f t="shared" si="8"/>
        <v>Need to Balance</v>
      </c>
    </row>
    <row r="12" spans="1:85" ht="15.75" customHeight="1" x14ac:dyDescent="0.25">
      <c r="A12" s="8" t="s">
        <v>1459</v>
      </c>
      <c r="B12" s="8" t="s">
        <v>1460</v>
      </c>
      <c r="C12" s="8" t="s">
        <v>512</v>
      </c>
      <c r="D12" s="8" t="s">
        <v>1474</v>
      </c>
      <c r="E12" s="8" t="s">
        <v>1479</v>
      </c>
      <c r="F12" s="8" t="s">
        <v>43</v>
      </c>
      <c r="G12" s="8" t="s">
        <v>44</v>
      </c>
      <c r="H12" s="8">
        <v>100</v>
      </c>
      <c r="I12" s="8" t="s">
        <v>1480</v>
      </c>
      <c r="J12" s="8">
        <v>1</v>
      </c>
      <c r="K12" s="8">
        <v>234</v>
      </c>
      <c r="L12" s="8">
        <v>235</v>
      </c>
      <c r="M12" s="8">
        <v>234</v>
      </c>
      <c r="N12" s="8">
        <v>412</v>
      </c>
      <c r="O12" s="8">
        <v>412</v>
      </c>
      <c r="P12" s="8">
        <v>410</v>
      </c>
      <c r="Q12" s="9" t="s">
        <v>47</v>
      </c>
      <c r="R12" s="16"/>
      <c r="S12" s="10">
        <v>20</v>
      </c>
      <c r="T12" s="10">
        <v>12</v>
      </c>
      <c r="U12" s="10">
        <v>8</v>
      </c>
      <c r="V12" s="11">
        <v>14</v>
      </c>
      <c r="W12" s="12"/>
      <c r="X12" s="17"/>
      <c r="Y12" s="13"/>
      <c r="Z12" s="13"/>
      <c r="AA12" s="13"/>
      <c r="AB12" s="14"/>
      <c r="AC12" s="9"/>
      <c r="AD12" s="16"/>
      <c r="AE12" s="10"/>
      <c r="AF12" s="10"/>
      <c r="AG12" s="10"/>
      <c r="AH12" s="11"/>
      <c r="AI12" s="12"/>
      <c r="AJ12" s="17"/>
      <c r="AK12" s="13"/>
      <c r="AL12" s="13"/>
      <c r="AM12" s="13"/>
      <c r="AN12" s="14"/>
      <c r="AO12" s="9"/>
      <c r="AP12" s="16"/>
      <c r="AQ12" s="10"/>
      <c r="AR12" s="10"/>
      <c r="AS12" s="10"/>
      <c r="AT12" s="11"/>
      <c r="AU12" s="12"/>
      <c r="AV12" s="17"/>
      <c r="AW12" s="13"/>
      <c r="AX12" s="13"/>
      <c r="AY12" s="13"/>
      <c r="AZ12" s="14"/>
      <c r="BA12" s="9"/>
      <c r="BB12" s="16"/>
      <c r="BC12" s="10"/>
      <c r="BD12" s="10"/>
      <c r="BE12" s="10"/>
      <c r="BF12" s="11"/>
      <c r="BG12" s="12"/>
      <c r="BH12" s="17"/>
      <c r="BI12" s="13"/>
      <c r="BJ12" s="13"/>
      <c r="BK12" s="13"/>
      <c r="BL12" s="14"/>
      <c r="BM12" s="9"/>
      <c r="BN12" s="16"/>
      <c r="BO12" s="10"/>
      <c r="BP12" s="10"/>
      <c r="BQ12" s="10"/>
      <c r="BR12" s="11"/>
      <c r="BS12" s="12"/>
      <c r="BT12" s="17"/>
      <c r="BU12" s="13"/>
      <c r="BV12" s="13"/>
      <c r="BW12" s="13"/>
      <c r="BX12" s="14"/>
      <c r="BY12" s="8">
        <f t="shared" si="0"/>
        <v>20</v>
      </c>
      <c r="BZ12" s="8">
        <f t="shared" si="1"/>
        <v>12</v>
      </c>
      <c r="CA12" s="8">
        <f t="shared" si="2"/>
        <v>8</v>
      </c>
      <c r="CB12" s="8">
        <f t="shared" si="3"/>
        <v>14</v>
      </c>
      <c r="CC12" s="8">
        <f t="shared" si="4"/>
        <v>20</v>
      </c>
      <c r="CD12" s="8">
        <f t="shared" si="5"/>
        <v>8</v>
      </c>
      <c r="CE12" s="15">
        <f t="shared" si="6"/>
        <v>14.272098654367548</v>
      </c>
      <c r="CF12" s="15" t="str">
        <f t="shared" si="7"/>
        <v>OK - No Upgrade</v>
      </c>
      <c r="CG12" s="15" t="str">
        <f t="shared" si="8"/>
        <v>Need to Balance</v>
      </c>
    </row>
    <row r="13" spans="1:85" ht="15.75" customHeight="1" x14ac:dyDescent="0.25">
      <c r="A13" s="8" t="s">
        <v>1459</v>
      </c>
      <c r="B13" s="8" t="s">
        <v>1460</v>
      </c>
      <c r="C13" s="8" t="s">
        <v>512</v>
      </c>
      <c r="D13" s="8" t="s">
        <v>1474</v>
      </c>
      <c r="E13" s="8" t="s">
        <v>1481</v>
      </c>
      <c r="F13" s="8" t="s">
        <v>43</v>
      </c>
      <c r="G13" s="8" t="s">
        <v>1077</v>
      </c>
      <c r="H13" s="8">
        <v>100</v>
      </c>
      <c r="I13" s="8" t="s">
        <v>1482</v>
      </c>
      <c r="J13" s="8">
        <v>1</v>
      </c>
      <c r="K13" s="8">
        <v>243</v>
      </c>
      <c r="L13" s="8">
        <v>242</v>
      </c>
      <c r="M13" s="8">
        <v>242</v>
      </c>
      <c r="N13" s="8">
        <v>418</v>
      </c>
      <c r="O13" s="8">
        <v>418</v>
      </c>
      <c r="P13" s="8">
        <v>418</v>
      </c>
      <c r="Q13" s="9" t="s">
        <v>46</v>
      </c>
      <c r="R13" s="16"/>
      <c r="S13" s="10">
        <v>45</v>
      </c>
      <c r="T13" s="10">
        <v>17</v>
      </c>
      <c r="U13" s="10">
        <v>10</v>
      </c>
      <c r="V13" s="11">
        <v>4</v>
      </c>
      <c r="W13" s="12" t="s">
        <v>47</v>
      </c>
      <c r="X13" s="17"/>
      <c r="Y13" s="13">
        <v>20</v>
      </c>
      <c r="Z13" s="13">
        <v>53</v>
      </c>
      <c r="AA13" s="13">
        <v>54</v>
      </c>
      <c r="AB13" s="14">
        <v>17</v>
      </c>
      <c r="AC13" s="9"/>
      <c r="AD13" s="16"/>
      <c r="AE13" s="10"/>
      <c r="AF13" s="10"/>
      <c r="AG13" s="10"/>
      <c r="AH13" s="11"/>
      <c r="AI13" s="12"/>
      <c r="AJ13" s="17"/>
      <c r="AK13" s="13"/>
      <c r="AL13" s="13"/>
      <c r="AM13" s="13"/>
      <c r="AN13" s="14"/>
      <c r="AO13" s="9"/>
      <c r="AP13" s="16"/>
      <c r="AQ13" s="10"/>
      <c r="AR13" s="10"/>
      <c r="AS13" s="10"/>
      <c r="AT13" s="11"/>
      <c r="AU13" s="12"/>
      <c r="AV13" s="17"/>
      <c r="AW13" s="13"/>
      <c r="AX13" s="13"/>
      <c r="AY13" s="13"/>
      <c r="AZ13" s="14"/>
      <c r="BA13" s="9"/>
      <c r="BB13" s="16"/>
      <c r="BC13" s="10"/>
      <c r="BD13" s="10"/>
      <c r="BE13" s="10"/>
      <c r="BF13" s="11"/>
      <c r="BG13" s="12"/>
      <c r="BH13" s="17"/>
      <c r="BI13" s="13"/>
      <c r="BJ13" s="13"/>
      <c r="BK13" s="13"/>
      <c r="BL13" s="14"/>
      <c r="BM13" s="9"/>
      <c r="BN13" s="16"/>
      <c r="BO13" s="10"/>
      <c r="BP13" s="10"/>
      <c r="BQ13" s="10"/>
      <c r="BR13" s="11"/>
      <c r="BS13" s="12"/>
      <c r="BT13" s="17"/>
      <c r="BU13" s="13"/>
      <c r="BV13" s="13"/>
      <c r="BW13" s="13"/>
      <c r="BX13" s="14"/>
      <c r="BY13" s="8">
        <f t="shared" si="0"/>
        <v>65</v>
      </c>
      <c r="BZ13" s="8">
        <f t="shared" si="1"/>
        <v>70</v>
      </c>
      <c r="CA13" s="8">
        <f t="shared" si="2"/>
        <v>64</v>
      </c>
      <c r="CB13" s="8">
        <f t="shared" si="3"/>
        <v>21</v>
      </c>
      <c r="CC13" s="8">
        <f t="shared" si="4"/>
        <v>70</v>
      </c>
      <c r="CD13" s="8">
        <f t="shared" si="5"/>
        <v>64</v>
      </c>
      <c r="CE13" s="15">
        <f t="shared" si="6"/>
        <v>50.679806629465354</v>
      </c>
      <c r="CF13" s="15" t="str">
        <f t="shared" si="7"/>
        <v>OK - No Upgrade</v>
      </c>
      <c r="CG13" s="15" t="str">
        <f t="shared" si="8"/>
        <v>OK - Balanced</v>
      </c>
    </row>
    <row r="14" spans="1:85" ht="15.75" customHeight="1" x14ac:dyDescent="0.25">
      <c r="A14" s="8" t="s">
        <v>1459</v>
      </c>
      <c r="B14" s="8" t="s">
        <v>1460</v>
      </c>
      <c r="C14" s="8" t="s">
        <v>512</v>
      </c>
      <c r="D14" s="8" t="s">
        <v>1474</v>
      </c>
      <c r="E14" s="8" t="s">
        <v>1483</v>
      </c>
      <c r="F14" s="8" t="s">
        <v>43</v>
      </c>
      <c r="G14" s="8" t="s">
        <v>44</v>
      </c>
      <c r="H14" s="8">
        <v>315</v>
      </c>
      <c r="I14" s="8" t="s">
        <v>1484</v>
      </c>
      <c r="J14" s="8">
        <v>1</v>
      </c>
      <c r="K14" s="8">
        <v>234</v>
      </c>
      <c r="L14" s="8">
        <v>234</v>
      </c>
      <c r="M14" s="8">
        <v>235</v>
      </c>
      <c r="N14" s="8">
        <v>408</v>
      </c>
      <c r="O14" s="8">
        <v>408</v>
      </c>
      <c r="P14" s="8">
        <v>408</v>
      </c>
      <c r="Q14" s="9" t="s">
        <v>47</v>
      </c>
      <c r="R14" s="16"/>
      <c r="S14" s="10">
        <v>81</v>
      </c>
      <c r="T14" s="10">
        <v>80</v>
      </c>
      <c r="U14" s="10">
        <v>32</v>
      </c>
      <c r="V14" s="11">
        <v>47</v>
      </c>
      <c r="W14" s="12" t="s">
        <v>47</v>
      </c>
      <c r="X14" s="17"/>
      <c r="Y14" s="13">
        <v>10</v>
      </c>
      <c r="Z14" s="13">
        <v>8</v>
      </c>
      <c r="AA14" s="13">
        <v>35</v>
      </c>
      <c r="AB14" s="14">
        <v>30</v>
      </c>
      <c r="AC14" s="9"/>
      <c r="AD14" s="16"/>
      <c r="AE14" s="10"/>
      <c r="AF14" s="10"/>
      <c r="AG14" s="10"/>
      <c r="AH14" s="11"/>
      <c r="AI14" s="12"/>
      <c r="AJ14" s="17"/>
      <c r="AK14" s="13"/>
      <c r="AL14" s="13"/>
      <c r="AM14" s="13"/>
      <c r="AN14" s="14"/>
      <c r="AO14" s="9"/>
      <c r="AP14" s="16"/>
      <c r="AQ14" s="10"/>
      <c r="AR14" s="10"/>
      <c r="AS14" s="10"/>
      <c r="AT14" s="11"/>
      <c r="AU14" s="12"/>
      <c r="AV14" s="17"/>
      <c r="AW14" s="13"/>
      <c r="AX14" s="13"/>
      <c r="AY14" s="13"/>
      <c r="AZ14" s="14"/>
      <c r="BA14" s="9"/>
      <c r="BB14" s="16"/>
      <c r="BC14" s="10"/>
      <c r="BD14" s="10"/>
      <c r="BE14" s="10"/>
      <c r="BF14" s="11"/>
      <c r="BG14" s="12"/>
      <c r="BH14" s="17"/>
      <c r="BI14" s="13"/>
      <c r="BJ14" s="13"/>
      <c r="BK14" s="13"/>
      <c r="BL14" s="14"/>
      <c r="BM14" s="9"/>
      <c r="BN14" s="16"/>
      <c r="BO14" s="10"/>
      <c r="BP14" s="10"/>
      <c r="BQ14" s="10"/>
      <c r="BR14" s="11"/>
      <c r="BS14" s="12"/>
      <c r="BT14" s="17"/>
      <c r="BU14" s="13"/>
      <c r="BV14" s="13"/>
      <c r="BW14" s="13"/>
      <c r="BX14" s="14"/>
      <c r="BY14" s="8">
        <f t="shared" si="0"/>
        <v>91</v>
      </c>
      <c r="BZ14" s="8">
        <f t="shared" si="1"/>
        <v>88</v>
      </c>
      <c r="CA14" s="8">
        <f t="shared" si="2"/>
        <v>67</v>
      </c>
      <c r="CB14" s="8">
        <f t="shared" si="3"/>
        <v>77</v>
      </c>
      <c r="CC14" s="8">
        <f t="shared" si="4"/>
        <v>91</v>
      </c>
      <c r="CD14" s="8">
        <f t="shared" si="5"/>
        <v>67</v>
      </c>
      <c r="CE14" s="15">
        <f t="shared" si="6"/>
        <v>20.415105518545168</v>
      </c>
      <c r="CF14" s="15" t="str">
        <f t="shared" si="7"/>
        <v>OK - No Upgrade</v>
      </c>
      <c r="CG14" s="15" t="str">
        <f t="shared" si="8"/>
        <v>Need to Balance</v>
      </c>
    </row>
    <row r="15" spans="1:85" ht="15.75" customHeight="1" x14ac:dyDescent="0.25">
      <c r="A15" s="8" t="s">
        <v>1459</v>
      </c>
      <c r="B15" s="8" t="s">
        <v>1460</v>
      </c>
      <c r="C15" s="8" t="s">
        <v>512</v>
      </c>
      <c r="D15" s="8" t="s">
        <v>1474</v>
      </c>
      <c r="E15" s="8" t="s">
        <v>1485</v>
      </c>
      <c r="F15" s="8" t="s">
        <v>43</v>
      </c>
      <c r="G15" s="8" t="s">
        <v>44</v>
      </c>
      <c r="H15" s="8">
        <v>100</v>
      </c>
      <c r="I15" s="8" t="s">
        <v>1486</v>
      </c>
      <c r="J15" s="8">
        <v>1</v>
      </c>
      <c r="K15" s="8">
        <v>236</v>
      </c>
      <c r="L15" s="8">
        <v>236</v>
      </c>
      <c r="M15" s="8">
        <v>235</v>
      </c>
      <c r="N15" s="8">
        <v>412</v>
      </c>
      <c r="O15" s="8">
        <v>411</v>
      </c>
      <c r="P15" s="8">
        <v>411</v>
      </c>
      <c r="Q15" s="9"/>
      <c r="R15" s="16"/>
      <c r="S15" s="10"/>
      <c r="T15" s="10"/>
      <c r="U15" s="10"/>
      <c r="V15" s="11"/>
      <c r="W15" s="12" t="s">
        <v>47</v>
      </c>
      <c r="X15" s="17"/>
      <c r="Y15" s="13">
        <v>0</v>
      </c>
      <c r="Z15" s="13">
        <v>0</v>
      </c>
      <c r="AA15" s="13">
        <v>0</v>
      </c>
      <c r="AB15" s="14">
        <v>0</v>
      </c>
      <c r="AC15" s="9"/>
      <c r="AD15" s="16"/>
      <c r="AE15" s="10"/>
      <c r="AF15" s="10"/>
      <c r="AG15" s="10"/>
      <c r="AH15" s="11"/>
      <c r="AI15" s="12"/>
      <c r="AJ15" s="17"/>
      <c r="AK15" s="13"/>
      <c r="AL15" s="13"/>
      <c r="AM15" s="13"/>
      <c r="AN15" s="14"/>
      <c r="AO15" s="9"/>
      <c r="AP15" s="16"/>
      <c r="AQ15" s="10"/>
      <c r="AR15" s="10"/>
      <c r="AS15" s="10"/>
      <c r="AT15" s="11"/>
      <c r="AU15" s="12"/>
      <c r="AV15" s="17"/>
      <c r="AW15" s="13"/>
      <c r="AX15" s="13"/>
      <c r="AY15" s="13"/>
      <c r="AZ15" s="14"/>
      <c r="BA15" s="9"/>
      <c r="BB15" s="16"/>
      <c r="BC15" s="10"/>
      <c r="BD15" s="10"/>
      <c r="BE15" s="10"/>
      <c r="BF15" s="11"/>
      <c r="BG15" s="12"/>
      <c r="BH15" s="17"/>
      <c r="BI15" s="13"/>
      <c r="BJ15" s="13"/>
      <c r="BK15" s="13"/>
      <c r="BL15" s="14"/>
      <c r="BM15" s="9"/>
      <c r="BN15" s="16"/>
      <c r="BO15" s="10"/>
      <c r="BP15" s="10"/>
      <c r="BQ15" s="10"/>
      <c r="BR15" s="11"/>
      <c r="BS15" s="12"/>
      <c r="BT15" s="17"/>
      <c r="BU15" s="13"/>
      <c r="BV15" s="13"/>
      <c r="BW15" s="13"/>
      <c r="BX15" s="14"/>
      <c r="BY15" s="8">
        <f t="shared" si="0"/>
        <v>0</v>
      </c>
      <c r="BZ15" s="8">
        <f t="shared" si="1"/>
        <v>0</v>
      </c>
      <c r="CA15" s="8">
        <f t="shared" si="2"/>
        <v>0</v>
      </c>
      <c r="CB15" s="8">
        <f t="shared" si="3"/>
        <v>0</v>
      </c>
      <c r="CC15" s="8">
        <f t="shared" si="4"/>
        <v>0</v>
      </c>
      <c r="CD15" s="8">
        <f t="shared" si="5"/>
        <v>0</v>
      </c>
      <c r="CE15" s="15">
        <f t="shared" si="6"/>
        <v>0</v>
      </c>
      <c r="CF15" s="15" t="str">
        <f t="shared" si="7"/>
        <v>OK - No Upgrade</v>
      </c>
      <c r="CG15" s="15" t="str">
        <f t="shared" si="8"/>
        <v>OK - Balanced</v>
      </c>
    </row>
    <row r="16" spans="1:85" ht="15.75" customHeight="1" x14ac:dyDescent="0.25">
      <c r="A16" s="8" t="s">
        <v>1459</v>
      </c>
      <c r="B16" s="8" t="s">
        <v>1460</v>
      </c>
      <c r="C16" s="8" t="s">
        <v>512</v>
      </c>
      <c r="D16" s="8" t="s">
        <v>1487</v>
      </c>
      <c r="E16" s="8" t="s">
        <v>1488</v>
      </c>
      <c r="F16" s="8" t="s">
        <v>43</v>
      </c>
      <c r="G16" s="8" t="s">
        <v>44</v>
      </c>
      <c r="H16" s="8">
        <v>100</v>
      </c>
      <c r="I16" s="8" t="s">
        <v>1489</v>
      </c>
      <c r="J16" s="8">
        <v>1</v>
      </c>
      <c r="K16" s="8">
        <v>236</v>
      </c>
      <c r="L16" s="8">
        <v>235</v>
      </c>
      <c r="M16" s="8">
        <v>236</v>
      </c>
      <c r="N16" s="8">
        <v>414</v>
      </c>
      <c r="O16" s="8">
        <v>412</v>
      </c>
      <c r="P16" s="8">
        <v>412</v>
      </c>
      <c r="Q16" s="9" t="s">
        <v>46</v>
      </c>
      <c r="R16" s="16"/>
      <c r="S16" s="10">
        <v>4</v>
      </c>
      <c r="T16" s="10">
        <v>4</v>
      </c>
      <c r="U16" s="10">
        <v>6</v>
      </c>
      <c r="V16" s="11">
        <v>2</v>
      </c>
      <c r="W16" s="12"/>
      <c r="X16" s="17"/>
      <c r="Y16" s="13"/>
      <c r="Z16" s="13"/>
      <c r="AA16" s="13"/>
      <c r="AB16" s="14"/>
      <c r="AC16" s="9"/>
      <c r="AD16" s="16"/>
      <c r="AE16" s="10"/>
      <c r="AF16" s="10"/>
      <c r="AG16" s="10"/>
      <c r="AH16" s="11"/>
      <c r="AI16" s="12"/>
      <c r="AJ16" s="17"/>
      <c r="AK16" s="13"/>
      <c r="AL16" s="13"/>
      <c r="AM16" s="13"/>
      <c r="AN16" s="14"/>
      <c r="AO16" s="9"/>
      <c r="AP16" s="16"/>
      <c r="AQ16" s="10"/>
      <c r="AR16" s="10"/>
      <c r="AS16" s="10"/>
      <c r="AT16" s="11"/>
      <c r="AU16" s="12"/>
      <c r="AV16" s="17"/>
      <c r="AW16" s="13"/>
      <c r="AX16" s="13"/>
      <c r="AY16" s="13"/>
      <c r="AZ16" s="14"/>
      <c r="BA16" s="9"/>
      <c r="BB16" s="16"/>
      <c r="BC16" s="10"/>
      <c r="BD16" s="10"/>
      <c r="BE16" s="10"/>
      <c r="BF16" s="11"/>
      <c r="BG16" s="12"/>
      <c r="BH16" s="17"/>
      <c r="BI16" s="13"/>
      <c r="BJ16" s="13"/>
      <c r="BK16" s="13"/>
      <c r="BL16" s="14"/>
      <c r="BM16" s="9"/>
      <c r="BN16" s="16"/>
      <c r="BO16" s="10"/>
      <c r="BP16" s="10"/>
      <c r="BQ16" s="10"/>
      <c r="BR16" s="11"/>
      <c r="BS16" s="12"/>
      <c r="BT16" s="17"/>
      <c r="BU16" s="13"/>
      <c r="BV16" s="13"/>
      <c r="BW16" s="13"/>
      <c r="BX16" s="14"/>
      <c r="BY16" s="8">
        <f t="shared" si="0"/>
        <v>4</v>
      </c>
      <c r="BZ16" s="8">
        <f t="shared" si="1"/>
        <v>4</v>
      </c>
      <c r="CA16" s="8">
        <f t="shared" si="2"/>
        <v>6</v>
      </c>
      <c r="CB16" s="8">
        <f t="shared" si="3"/>
        <v>2</v>
      </c>
      <c r="CC16" s="8">
        <f t="shared" si="4"/>
        <v>6</v>
      </c>
      <c r="CD16" s="8">
        <f t="shared" si="5"/>
        <v>4</v>
      </c>
      <c r="CE16" s="15">
        <f t="shared" si="6"/>
        <v>4.3024142060010906</v>
      </c>
      <c r="CF16" s="15" t="str">
        <f t="shared" si="7"/>
        <v>OK - No Upgrade</v>
      </c>
      <c r="CG16" s="15" t="str">
        <f t="shared" si="8"/>
        <v>Need to Balance</v>
      </c>
    </row>
    <row r="17" spans="1:85" ht="15.75" customHeight="1" x14ac:dyDescent="0.25">
      <c r="A17" s="8" t="s">
        <v>1459</v>
      </c>
      <c r="B17" s="8" t="s">
        <v>1460</v>
      </c>
      <c r="C17" s="8" t="s">
        <v>512</v>
      </c>
      <c r="D17" s="8" t="s">
        <v>1487</v>
      </c>
      <c r="E17" s="8" t="s">
        <v>1490</v>
      </c>
      <c r="F17" s="8" t="s">
        <v>43</v>
      </c>
      <c r="G17" s="8" t="s">
        <v>44</v>
      </c>
      <c r="H17" s="8">
        <v>200</v>
      </c>
      <c r="I17" s="8" t="s">
        <v>1491</v>
      </c>
      <c r="J17" s="8">
        <v>1</v>
      </c>
      <c r="K17" s="8">
        <v>233</v>
      </c>
      <c r="L17" s="8">
        <v>233</v>
      </c>
      <c r="M17" s="8">
        <v>235</v>
      </c>
      <c r="N17" s="8">
        <v>406</v>
      </c>
      <c r="O17" s="8">
        <v>406</v>
      </c>
      <c r="P17" s="8">
        <v>403</v>
      </c>
      <c r="Q17" s="9" t="s">
        <v>47</v>
      </c>
      <c r="R17" s="16"/>
      <c r="S17" s="10">
        <v>63</v>
      </c>
      <c r="T17" s="10">
        <v>96</v>
      </c>
      <c r="U17" s="10">
        <v>82</v>
      </c>
      <c r="V17" s="11">
        <v>38</v>
      </c>
      <c r="W17" s="12" t="s">
        <v>47</v>
      </c>
      <c r="X17" s="17"/>
      <c r="Y17" s="13">
        <v>6</v>
      </c>
      <c r="Z17" s="13">
        <v>4</v>
      </c>
      <c r="AA17" s="13">
        <v>6</v>
      </c>
      <c r="AB17" s="14">
        <v>2</v>
      </c>
      <c r="AC17" s="9"/>
      <c r="AD17" s="16"/>
      <c r="AE17" s="10"/>
      <c r="AF17" s="10"/>
      <c r="AG17" s="10"/>
      <c r="AH17" s="11"/>
      <c r="AI17" s="12"/>
      <c r="AJ17" s="17"/>
      <c r="AK17" s="13"/>
      <c r="AL17" s="13"/>
      <c r="AM17" s="13"/>
      <c r="AN17" s="14"/>
      <c r="AO17" s="9"/>
      <c r="AP17" s="16"/>
      <c r="AQ17" s="10"/>
      <c r="AR17" s="10"/>
      <c r="AS17" s="10"/>
      <c r="AT17" s="11"/>
      <c r="AU17" s="12"/>
      <c r="AV17" s="17"/>
      <c r="AW17" s="13"/>
      <c r="AX17" s="13"/>
      <c r="AY17" s="13"/>
      <c r="AZ17" s="14"/>
      <c r="BA17" s="9"/>
      <c r="BB17" s="16"/>
      <c r="BC17" s="10"/>
      <c r="BD17" s="10"/>
      <c r="BE17" s="10"/>
      <c r="BF17" s="11"/>
      <c r="BG17" s="12"/>
      <c r="BH17" s="17"/>
      <c r="BI17" s="13"/>
      <c r="BJ17" s="13"/>
      <c r="BK17" s="13"/>
      <c r="BL17" s="14"/>
      <c r="BM17" s="9"/>
      <c r="BN17" s="16"/>
      <c r="BO17" s="10"/>
      <c r="BP17" s="10"/>
      <c r="BQ17" s="10"/>
      <c r="BR17" s="11"/>
      <c r="BS17" s="12"/>
      <c r="BT17" s="17"/>
      <c r="BU17" s="13"/>
      <c r="BV17" s="13"/>
      <c r="BW17" s="13"/>
      <c r="BX17" s="14"/>
      <c r="BY17" s="8">
        <f t="shared" si="0"/>
        <v>69</v>
      </c>
      <c r="BZ17" s="8">
        <f t="shared" si="1"/>
        <v>100</v>
      </c>
      <c r="CA17" s="8">
        <f t="shared" si="2"/>
        <v>88</v>
      </c>
      <c r="CB17" s="8">
        <f t="shared" si="3"/>
        <v>40</v>
      </c>
      <c r="CC17" s="8">
        <f t="shared" si="4"/>
        <v>100</v>
      </c>
      <c r="CD17" s="8">
        <f t="shared" si="5"/>
        <v>69</v>
      </c>
      <c r="CE17" s="15">
        <f t="shared" si="6"/>
        <v>35.16063139364821</v>
      </c>
      <c r="CF17" s="15" t="str">
        <f t="shared" si="7"/>
        <v>OK - No Upgrade</v>
      </c>
      <c r="CG17" s="15" t="str">
        <f t="shared" si="8"/>
        <v>Need to Balance</v>
      </c>
    </row>
    <row r="18" spans="1:85" ht="15.75" customHeight="1" x14ac:dyDescent="0.25">
      <c r="A18" s="8" t="s">
        <v>1459</v>
      </c>
      <c r="B18" s="8" t="s">
        <v>1460</v>
      </c>
      <c r="C18" s="8" t="s">
        <v>512</v>
      </c>
      <c r="D18" s="8" t="s">
        <v>1487</v>
      </c>
      <c r="E18" s="8" t="s">
        <v>1492</v>
      </c>
      <c r="F18" s="8" t="s">
        <v>43</v>
      </c>
      <c r="G18" s="8" t="s">
        <v>44</v>
      </c>
      <c r="H18" s="8">
        <v>100</v>
      </c>
      <c r="I18" s="8" t="s">
        <v>1493</v>
      </c>
      <c r="J18" s="8">
        <v>1</v>
      </c>
      <c r="K18" s="8">
        <v>236</v>
      </c>
      <c r="L18" s="8">
        <v>233</v>
      </c>
      <c r="M18" s="8">
        <v>232</v>
      </c>
      <c r="N18" s="8">
        <v>414</v>
      </c>
      <c r="O18" s="8">
        <v>412</v>
      </c>
      <c r="P18" s="8">
        <v>413</v>
      </c>
      <c r="Q18" s="9" t="s">
        <v>47</v>
      </c>
      <c r="R18" s="16"/>
      <c r="S18" s="10">
        <v>2</v>
      </c>
      <c r="T18" s="10">
        <v>6</v>
      </c>
      <c r="U18" s="10">
        <v>6</v>
      </c>
      <c r="V18" s="11">
        <v>4</v>
      </c>
      <c r="W18" s="12" t="s">
        <v>47</v>
      </c>
      <c r="X18" s="17"/>
      <c r="Y18" s="13">
        <v>8</v>
      </c>
      <c r="Z18" s="13">
        <v>10</v>
      </c>
      <c r="AA18" s="13">
        <v>6</v>
      </c>
      <c r="AB18" s="14">
        <v>4</v>
      </c>
      <c r="AC18" s="9"/>
      <c r="AD18" s="16"/>
      <c r="AE18" s="10"/>
      <c r="AF18" s="10"/>
      <c r="AG18" s="10"/>
      <c r="AH18" s="11"/>
      <c r="AI18" s="12"/>
      <c r="AJ18" s="17"/>
      <c r="AK18" s="13"/>
      <c r="AL18" s="13"/>
      <c r="AM18" s="13"/>
      <c r="AN18" s="14"/>
      <c r="AO18" s="9"/>
      <c r="AP18" s="16"/>
      <c r="AQ18" s="10"/>
      <c r="AR18" s="10"/>
      <c r="AS18" s="10"/>
      <c r="AT18" s="11"/>
      <c r="AU18" s="12"/>
      <c r="AV18" s="17"/>
      <c r="AW18" s="13"/>
      <c r="AX18" s="13"/>
      <c r="AY18" s="13"/>
      <c r="AZ18" s="14"/>
      <c r="BA18" s="9"/>
      <c r="BB18" s="16"/>
      <c r="BC18" s="10"/>
      <c r="BD18" s="10"/>
      <c r="BE18" s="10"/>
      <c r="BF18" s="11"/>
      <c r="BG18" s="12"/>
      <c r="BH18" s="17"/>
      <c r="BI18" s="13"/>
      <c r="BJ18" s="13"/>
      <c r="BK18" s="13"/>
      <c r="BL18" s="14"/>
      <c r="BM18" s="9"/>
      <c r="BN18" s="16"/>
      <c r="BO18" s="10"/>
      <c r="BP18" s="10"/>
      <c r="BQ18" s="10"/>
      <c r="BR18" s="11"/>
      <c r="BS18" s="12"/>
      <c r="BT18" s="17"/>
      <c r="BU18" s="13"/>
      <c r="BV18" s="13"/>
      <c r="BW18" s="13"/>
      <c r="BX18" s="14"/>
      <c r="BY18" s="8">
        <f t="shared" si="0"/>
        <v>10</v>
      </c>
      <c r="BZ18" s="8">
        <f t="shared" si="1"/>
        <v>16</v>
      </c>
      <c r="CA18" s="8">
        <f t="shared" si="2"/>
        <v>12</v>
      </c>
      <c r="CB18" s="8">
        <f t="shared" si="3"/>
        <v>8</v>
      </c>
      <c r="CC18" s="8">
        <f t="shared" si="4"/>
        <v>16</v>
      </c>
      <c r="CD18" s="8">
        <f t="shared" si="5"/>
        <v>10</v>
      </c>
      <c r="CE18" s="15">
        <f t="shared" si="6"/>
        <v>11.473104549336242</v>
      </c>
      <c r="CF18" s="15" t="str">
        <f t="shared" si="7"/>
        <v>OK - No Upgrade</v>
      </c>
      <c r="CG18" s="15" t="str">
        <f t="shared" si="8"/>
        <v>Need to Balance</v>
      </c>
    </row>
    <row r="19" spans="1:85" ht="15.75" customHeight="1" x14ac:dyDescent="0.25">
      <c r="A19" s="8" t="s">
        <v>1459</v>
      </c>
      <c r="B19" s="8" t="s">
        <v>1460</v>
      </c>
      <c r="C19" s="8" t="s">
        <v>512</v>
      </c>
      <c r="D19" s="8" t="s">
        <v>1487</v>
      </c>
      <c r="E19" s="8" t="s">
        <v>1494</v>
      </c>
      <c r="F19" s="8" t="s">
        <v>43</v>
      </c>
      <c r="G19" s="8" t="s">
        <v>44</v>
      </c>
      <c r="H19" s="8">
        <v>100</v>
      </c>
      <c r="I19" s="8" t="s">
        <v>1495</v>
      </c>
      <c r="J19" s="8">
        <v>1</v>
      </c>
      <c r="K19" s="8">
        <v>236</v>
      </c>
      <c r="L19" s="8">
        <v>236</v>
      </c>
      <c r="M19" s="8">
        <v>235</v>
      </c>
      <c r="N19" s="8">
        <v>414</v>
      </c>
      <c r="O19" s="8">
        <v>411</v>
      </c>
      <c r="P19" s="8">
        <v>413</v>
      </c>
      <c r="Q19" s="9" t="s">
        <v>47</v>
      </c>
      <c r="R19" s="16"/>
      <c r="S19" s="10">
        <v>8</v>
      </c>
      <c r="T19" s="10">
        <v>12</v>
      </c>
      <c r="U19" s="10">
        <v>10</v>
      </c>
      <c r="V19" s="11">
        <v>6</v>
      </c>
      <c r="W19" s="12"/>
      <c r="X19" s="17"/>
      <c r="Y19" s="13"/>
      <c r="Z19" s="13"/>
      <c r="AA19" s="13"/>
      <c r="AB19" s="14"/>
      <c r="AC19" s="9"/>
      <c r="AD19" s="16"/>
      <c r="AE19" s="10"/>
      <c r="AF19" s="10"/>
      <c r="AG19" s="10"/>
      <c r="AH19" s="11"/>
      <c r="AI19" s="12"/>
      <c r="AJ19" s="17"/>
      <c r="AK19" s="13"/>
      <c r="AL19" s="13"/>
      <c r="AM19" s="13"/>
      <c r="AN19" s="14"/>
      <c r="AO19" s="9"/>
      <c r="AP19" s="16"/>
      <c r="AQ19" s="10"/>
      <c r="AR19" s="10"/>
      <c r="AS19" s="10"/>
      <c r="AT19" s="11"/>
      <c r="AU19" s="12"/>
      <c r="AV19" s="17"/>
      <c r="AW19" s="13"/>
      <c r="AX19" s="13"/>
      <c r="AY19" s="13"/>
      <c r="AZ19" s="14"/>
      <c r="BA19" s="9"/>
      <c r="BB19" s="16"/>
      <c r="BC19" s="10"/>
      <c r="BD19" s="10"/>
      <c r="BE19" s="10"/>
      <c r="BF19" s="11"/>
      <c r="BG19" s="12"/>
      <c r="BH19" s="17"/>
      <c r="BI19" s="13"/>
      <c r="BJ19" s="13"/>
      <c r="BK19" s="13"/>
      <c r="BL19" s="14"/>
      <c r="BM19" s="9"/>
      <c r="BN19" s="16"/>
      <c r="BO19" s="10"/>
      <c r="BP19" s="10"/>
      <c r="BQ19" s="10"/>
      <c r="BR19" s="11"/>
      <c r="BS19" s="12"/>
      <c r="BT19" s="17"/>
      <c r="BU19" s="13"/>
      <c r="BV19" s="13"/>
      <c r="BW19" s="13"/>
      <c r="BX19" s="14"/>
      <c r="BY19" s="8">
        <f t="shared" si="0"/>
        <v>8</v>
      </c>
      <c r="BZ19" s="8">
        <f t="shared" si="1"/>
        <v>12</v>
      </c>
      <c r="CA19" s="8">
        <f t="shared" si="2"/>
        <v>10</v>
      </c>
      <c r="CB19" s="8">
        <f t="shared" si="3"/>
        <v>6</v>
      </c>
      <c r="CC19" s="8">
        <f t="shared" si="4"/>
        <v>12</v>
      </c>
      <c r="CD19" s="8">
        <f t="shared" si="5"/>
        <v>8</v>
      </c>
      <c r="CE19" s="15">
        <f t="shared" si="6"/>
        <v>8.6048284120021812</v>
      </c>
      <c r="CF19" s="15" t="str">
        <f t="shared" si="7"/>
        <v>OK - No Upgrade</v>
      </c>
      <c r="CG19" s="15" t="str">
        <f t="shared" si="8"/>
        <v>Need to Balance</v>
      </c>
    </row>
    <row r="20" spans="1:85" ht="15.75" customHeight="1" x14ac:dyDescent="0.25">
      <c r="A20" s="8" t="s">
        <v>1459</v>
      </c>
      <c r="B20" s="8" t="s">
        <v>1460</v>
      </c>
      <c r="C20" s="8" t="s">
        <v>512</v>
      </c>
      <c r="D20" s="8" t="s">
        <v>1487</v>
      </c>
      <c r="E20" s="8" t="s">
        <v>492</v>
      </c>
      <c r="F20" s="8" t="s">
        <v>43</v>
      </c>
      <c r="G20" s="8" t="s">
        <v>44</v>
      </c>
      <c r="H20" s="8">
        <v>100</v>
      </c>
      <c r="I20" s="8" t="s">
        <v>1496</v>
      </c>
      <c r="J20" s="8">
        <v>1</v>
      </c>
      <c r="K20" s="8">
        <v>236</v>
      </c>
      <c r="L20" s="8">
        <v>235</v>
      </c>
      <c r="M20" s="8">
        <v>236</v>
      </c>
      <c r="N20" s="8">
        <v>414</v>
      </c>
      <c r="O20" s="8">
        <v>414</v>
      </c>
      <c r="P20" s="8">
        <v>413</v>
      </c>
      <c r="Q20" s="9" t="s">
        <v>47</v>
      </c>
      <c r="R20" s="16"/>
      <c r="S20" s="10">
        <v>10</v>
      </c>
      <c r="T20" s="10">
        <v>14</v>
      </c>
      <c r="U20" s="10">
        <v>8</v>
      </c>
      <c r="V20" s="11">
        <v>6</v>
      </c>
      <c r="W20" s="12"/>
      <c r="X20" s="17"/>
      <c r="Y20" s="13"/>
      <c r="Z20" s="13"/>
      <c r="AA20" s="13"/>
      <c r="AB20" s="14"/>
      <c r="AC20" s="9"/>
      <c r="AD20" s="16"/>
      <c r="AE20" s="10"/>
      <c r="AF20" s="10"/>
      <c r="AG20" s="10"/>
      <c r="AH20" s="11"/>
      <c r="AI20" s="12"/>
      <c r="AJ20" s="17"/>
      <c r="AK20" s="13"/>
      <c r="AL20" s="13"/>
      <c r="AM20" s="13"/>
      <c r="AN20" s="14"/>
      <c r="AO20" s="9"/>
      <c r="AP20" s="16"/>
      <c r="AQ20" s="10"/>
      <c r="AR20" s="10"/>
      <c r="AS20" s="10"/>
      <c r="AT20" s="11"/>
      <c r="AU20" s="12"/>
      <c r="AV20" s="17"/>
      <c r="AW20" s="13"/>
      <c r="AX20" s="13"/>
      <c r="AY20" s="13"/>
      <c r="AZ20" s="14"/>
      <c r="BA20" s="9"/>
      <c r="BB20" s="16"/>
      <c r="BC20" s="10"/>
      <c r="BD20" s="10"/>
      <c r="BE20" s="10"/>
      <c r="BF20" s="11"/>
      <c r="BG20" s="12"/>
      <c r="BH20" s="17"/>
      <c r="BI20" s="13"/>
      <c r="BJ20" s="13"/>
      <c r="BK20" s="13"/>
      <c r="BL20" s="14"/>
      <c r="BM20" s="9"/>
      <c r="BN20" s="16"/>
      <c r="BO20" s="10"/>
      <c r="BP20" s="10"/>
      <c r="BQ20" s="10"/>
      <c r="BR20" s="11"/>
      <c r="BS20" s="12"/>
      <c r="BT20" s="17"/>
      <c r="BU20" s="13"/>
      <c r="BV20" s="13"/>
      <c r="BW20" s="13"/>
      <c r="BX20" s="14"/>
      <c r="BY20" s="8">
        <f t="shared" si="0"/>
        <v>10</v>
      </c>
      <c r="BZ20" s="8">
        <f t="shared" si="1"/>
        <v>14</v>
      </c>
      <c r="CA20" s="8">
        <f t="shared" si="2"/>
        <v>8</v>
      </c>
      <c r="CB20" s="8">
        <f t="shared" si="3"/>
        <v>6</v>
      </c>
      <c r="CC20" s="8">
        <f t="shared" si="4"/>
        <v>14</v>
      </c>
      <c r="CD20" s="8">
        <f t="shared" si="5"/>
        <v>8</v>
      </c>
      <c r="CE20" s="15">
        <f t="shared" si="6"/>
        <v>10.038966480669211</v>
      </c>
      <c r="CF20" s="15" t="str">
        <f t="shared" si="7"/>
        <v>OK - No Upgrade</v>
      </c>
      <c r="CG20" s="15" t="str">
        <f t="shared" si="8"/>
        <v>Need to Balance</v>
      </c>
    </row>
    <row r="21" spans="1:85" ht="15.75" customHeight="1" x14ac:dyDescent="0.25">
      <c r="A21" s="8" t="s">
        <v>1459</v>
      </c>
      <c r="B21" s="8" t="s">
        <v>1460</v>
      </c>
      <c r="C21" s="8" t="s">
        <v>512</v>
      </c>
      <c r="D21" s="8" t="s">
        <v>1487</v>
      </c>
      <c r="E21" s="8" t="s">
        <v>1497</v>
      </c>
      <c r="F21" s="8" t="s">
        <v>43</v>
      </c>
      <c r="G21" s="8" t="s">
        <v>44</v>
      </c>
      <c r="H21" s="8">
        <v>100</v>
      </c>
      <c r="I21" s="8" t="s">
        <v>1498</v>
      </c>
      <c r="J21" s="8">
        <v>1</v>
      </c>
      <c r="K21" s="8">
        <v>236</v>
      </c>
      <c r="L21" s="8">
        <v>236</v>
      </c>
      <c r="M21" s="8">
        <v>237</v>
      </c>
      <c r="N21" s="8">
        <v>414</v>
      </c>
      <c r="O21" s="8">
        <v>416</v>
      </c>
      <c r="P21" s="8">
        <v>414</v>
      </c>
      <c r="Q21" s="9" t="s">
        <v>47</v>
      </c>
      <c r="R21" s="16"/>
      <c r="S21" s="10">
        <v>20</v>
      </c>
      <c r="T21" s="10">
        <v>17</v>
      </c>
      <c r="U21" s="10">
        <v>22</v>
      </c>
      <c r="V21" s="11">
        <v>8</v>
      </c>
      <c r="W21" s="12"/>
      <c r="X21" s="17"/>
      <c r="Y21" s="13"/>
      <c r="Z21" s="13"/>
      <c r="AA21" s="13"/>
      <c r="AB21" s="14"/>
      <c r="AC21" s="9"/>
      <c r="AD21" s="16"/>
      <c r="AE21" s="10"/>
      <c r="AF21" s="10"/>
      <c r="AG21" s="10"/>
      <c r="AH21" s="11"/>
      <c r="AI21" s="12"/>
      <c r="AJ21" s="17"/>
      <c r="AK21" s="13"/>
      <c r="AL21" s="13"/>
      <c r="AM21" s="13"/>
      <c r="AN21" s="14"/>
      <c r="AO21" s="9"/>
      <c r="AP21" s="16"/>
      <c r="AQ21" s="10"/>
      <c r="AR21" s="10"/>
      <c r="AS21" s="10"/>
      <c r="AT21" s="11"/>
      <c r="AU21" s="12"/>
      <c r="AV21" s="17"/>
      <c r="AW21" s="13"/>
      <c r="AX21" s="13"/>
      <c r="AY21" s="13"/>
      <c r="AZ21" s="14"/>
      <c r="BA21" s="9"/>
      <c r="BB21" s="16"/>
      <c r="BC21" s="10"/>
      <c r="BD21" s="10"/>
      <c r="BE21" s="10"/>
      <c r="BF21" s="11"/>
      <c r="BG21" s="12"/>
      <c r="BH21" s="17"/>
      <c r="BI21" s="13"/>
      <c r="BJ21" s="13"/>
      <c r="BK21" s="13"/>
      <c r="BL21" s="14"/>
      <c r="BM21" s="9"/>
      <c r="BN21" s="16"/>
      <c r="BO21" s="10"/>
      <c r="BP21" s="10"/>
      <c r="BQ21" s="10"/>
      <c r="BR21" s="11"/>
      <c r="BS21" s="12"/>
      <c r="BT21" s="17"/>
      <c r="BU21" s="13"/>
      <c r="BV21" s="13"/>
      <c r="BW21" s="13"/>
      <c r="BX21" s="14"/>
      <c r="BY21" s="8">
        <f t="shared" si="0"/>
        <v>20</v>
      </c>
      <c r="BZ21" s="8">
        <f t="shared" si="1"/>
        <v>17</v>
      </c>
      <c r="CA21" s="8">
        <f t="shared" si="2"/>
        <v>22</v>
      </c>
      <c r="CB21" s="8">
        <f t="shared" si="3"/>
        <v>8</v>
      </c>
      <c r="CC21" s="8">
        <f t="shared" si="4"/>
        <v>22</v>
      </c>
      <c r="CD21" s="8">
        <f t="shared" si="5"/>
        <v>17</v>
      </c>
      <c r="CE21" s="15">
        <f t="shared" si="6"/>
        <v>15.775518755337334</v>
      </c>
      <c r="CF21" s="15" t="str">
        <f t="shared" si="7"/>
        <v>OK - No Upgrade</v>
      </c>
      <c r="CG21" s="15" t="str">
        <f t="shared" si="8"/>
        <v>Need to Balance</v>
      </c>
    </row>
    <row r="22" spans="1:85" ht="15.75" customHeight="1" x14ac:dyDescent="0.25">
      <c r="A22" s="8" t="s">
        <v>1459</v>
      </c>
      <c r="B22" s="8" t="s">
        <v>1460</v>
      </c>
      <c r="C22" s="8" t="s">
        <v>512</v>
      </c>
      <c r="D22" s="8" t="s">
        <v>1487</v>
      </c>
      <c r="E22" s="8" t="s">
        <v>1499</v>
      </c>
      <c r="F22" s="8" t="s">
        <v>43</v>
      </c>
      <c r="G22" s="8" t="s">
        <v>44</v>
      </c>
      <c r="H22" s="8">
        <v>315</v>
      </c>
      <c r="I22" s="8" t="s">
        <v>1500</v>
      </c>
      <c r="J22" s="8">
        <v>1</v>
      </c>
      <c r="K22" s="8">
        <v>236</v>
      </c>
      <c r="L22" s="8">
        <v>236</v>
      </c>
      <c r="M22" s="8">
        <v>237</v>
      </c>
      <c r="N22" s="8">
        <v>412</v>
      </c>
      <c r="O22" s="8">
        <v>412</v>
      </c>
      <c r="P22" s="8">
        <v>411</v>
      </c>
      <c r="Q22" s="9" t="s">
        <v>47</v>
      </c>
      <c r="R22" s="16"/>
      <c r="S22" s="10">
        <v>10</v>
      </c>
      <c r="T22" s="10">
        <v>12</v>
      </c>
      <c r="U22" s="10">
        <v>18</v>
      </c>
      <c r="V22" s="11">
        <v>8</v>
      </c>
      <c r="W22" s="12"/>
      <c r="X22" s="17"/>
      <c r="Y22" s="13"/>
      <c r="Z22" s="13"/>
      <c r="AA22" s="13"/>
      <c r="AB22" s="14"/>
      <c r="AC22" s="9"/>
      <c r="AD22" s="16"/>
      <c r="AE22" s="10"/>
      <c r="AF22" s="10"/>
      <c r="AG22" s="10"/>
      <c r="AH22" s="11"/>
      <c r="AI22" s="12"/>
      <c r="AJ22" s="17"/>
      <c r="AK22" s="13"/>
      <c r="AL22" s="13"/>
      <c r="AM22" s="13"/>
      <c r="AN22" s="14"/>
      <c r="AO22" s="9"/>
      <c r="AP22" s="16"/>
      <c r="AQ22" s="10"/>
      <c r="AR22" s="10"/>
      <c r="AS22" s="10"/>
      <c r="AT22" s="11"/>
      <c r="AU22" s="12"/>
      <c r="AV22" s="17"/>
      <c r="AW22" s="13"/>
      <c r="AX22" s="13"/>
      <c r="AY22" s="13"/>
      <c r="AZ22" s="14"/>
      <c r="BA22" s="9"/>
      <c r="BB22" s="16"/>
      <c r="BC22" s="10"/>
      <c r="BD22" s="10"/>
      <c r="BE22" s="10"/>
      <c r="BF22" s="11"/>
      <c r="BG22" s="12"/>
      <c r="BH22" s="17"/>
      <c r="BI22" s="13"/>
      <c r="BJ22" s="13"/>
      <c r="BK22" s="13"/>
      <c r="BL22" s="14"/>
      <c r="BM22" s="9"/>
      <c r="BN22" s="16"/>
      <c r="BO22" s="10"/>
      <c r="BP22" s="10"/>
      <c r="BQ22" s="10"/>
      <c r="BR22" s="11"/>
      <c r="BS22" s="12"/>
      <c r="BT22" s="17"/>
      <c r="BU22" s="13"/>
      <c r="BV22" s="13"/>
      <c r="BW22" s="13"/>
      <c r="BX22" s="14"/>
      <c r="BY22" s="8">
        <f t="shared" si="0"/>
        <v>10</v>
      </c>
      <c r="BZ22" s="8">
        <f t="shared" si="1"/>
        <v>12</v>
      </c>
      <c r="CA22" s="8">
        <f t="shared" si="2"/>
        <v>18</v>
      </c>
      <c r="CB22" s="8">
        <f t="shared" si="3"/>
        <v>8</v>
      </c>
      <c r="CC22" s="8">
        <f t="shared" si="4"/>
        <v>18</v>
      </c>
      <c r="CD22" s="8">
        <f t="shared" si="5"/>
        <v>10</v>
      </c>
      <c r="CE22" s="15">
        <f t="shared" si="6"/>
        <v>4.0777424726764426</v>
      </c>
      <c r="CF22" s="15" t="str">
        <f t="shared" si="7"/>
        <v>OK - No Upgrade</v>
      </c>
      <c r="CG22" s="15" t="str">
        <f t="shared" si="8"/>
        <v>Need to Balance</v>
      </c>
    </row>
    <row r="23" spans="1:85" ht="15.75" customHeight="1" x14ac:dyDescent="0.25">
      <c r="A23" s="8" t="s">
        <v>1459</v>
      </c>
      <c r="B23" s="8" t="s">
        <v>1460</v>
      </c>
      <c r="C23" s="8" t="s">
        <v>512</v>
      </c>
      <c r="D23" s="8" t="s">
        <v>1487</v>
      </c>
      <c r="E23" s="8" t="s">
        <v>1501</v>
      </c>
      <c r="F23" s="8" t="s">
        <v>43</v>
      </c>
      <c r="G23" s="8" t="s">
        <v>44</v>
      </c>
      <c r="H23" s="8">
        <v>100</v>
      </c>
      <c r="I23" s="8" t="s">
        <v>1502</v>
      </c>
      <c r="J23" s="8">
        <v>1</v>
      </c>
      <c r="K23" s="8">
        <v>238</v>
      </c>
      <c r="L23" s="8">
        <v>239</v>
      </c>
      <c r="M23" s="8">
        <v>237</v>
      </c>
      <c r="N23" s="8">
        <v>416</v>
      </c>
      <c r="O23" s="8">
        <v>417</v>
      </c>
      <c r="P23" s="8">
        <v>416</v>
      </c>
      <c r="Q23" s="9"/>
      <c r="R23" s="16"/>
      <c r="S23" s="10"/>
      <c r="T23" s="10"/>
      <c r="U23" s="10"/>
      <c r="V23" s="11"/>
      <c r="W23" s="12" t="s">
        <v>46</v>
      </c>
      <c r="X23" s="17"/>
      <c r="Y23" s="13">
        <v>8</v>
      </c>
      <c r="Z23" s="13">
        <v>4</v>
      </c>
      <c r="AA23" s="13">
        <v>6</v>
      </c>
      <c r="AB23" s="14">
        <v>2</v>
      </c>
      <c r="AC23" s="9"/>
      <c r="AD23" s="16"/>
      <c r="AE23" s="10"/>
      <c r="AF23" s="10"/>
      <c r="AG23" s="10"/>
      <c r="AH23" s="11"/>
      <c r="AI23" s="12"/>
      <c r="AJ23" s="17"/>
      <c r="AK23" s="13"/>
      <c r="AL23" s="13"/>
      <c r="AM23" s="13"/>
      <c r="AN23" s="14"/>
      <c r="AO23" s="9"/>
      <c r="AP23" s="16"/>
      <c r="AQ23" s="10"/>
      <c r="AR23" s="10"/>
      <c r="AS23" s="10"/>
      <c r="AT23" s="11"/>
      <c r="AU23" s="12"/>
      <c r="AV23" s="17"/>
      <c r="AW23" s="13"/>
      <c r="AX23" s="13"/>
      <c r="AY23" s="13"/>
      <c r="AZ23" s="14"/>
      <c r="BA23" s="9"/>
      <c r="BB23" s="16"/>
      <c r="BC23" s="10"/>
      <c r="BD23" s="10"/>
      <c r="BE23" s="10"/>
      <c r="BF23" s="11"/>
      <c r="BG23" s="12"/>
      <c r="BH23" s="17"/>
      <c r="BI23" s="13"/>
      <c r="BJ23" s="13"/>
      <c r="BK23" s="13"/>
      <c r="BL23" s="14"/>
      <c r="BM23" s="9"/>
      <c r="BN23" s="16"/>
      <c r="BO23" s="10"/>
      <c r="BP23" s="10"/>
      <c r="BQ23" s="10"/>
      <c r="BR23" s="11"/>
      <c r="BS23" s="12"/>
      <c r="BT23" s="17"/>
      <c r="BU23" s="13"/>
      <c r="BV23" s="13"/>
      <c r="BW23" s="13"/>
      <c r="BX23" s="14"/>
      <c r="BY23" s="8">
        <f t="shared" si="0"/>
        <v>8</v>
      </c>
      <c r="BZ23" s="8">
        <f t="shared" si="1"/>
        <v>4</v>
      </c>
      <c r="CA23" s="8">
        <f t="shared" si="2"/>
        <v>6</v>
      </c>
      <c r="CB23" s="8">
        <f t="shared" si="3"/>
        <v>2</v>
      </c>
      <c r="CC23" s="8">
        <f t="shared" si="4"/>
        <v>8</v>
      </c>
      <c r="CD23" s="8">
        <f t="shared" si="5"/>
        <v>4</v>
      </c>
      <c r="CE23" s="15">
        <f t="shared" si="6"/>
        <v>5.764265087589223</v>
      </c>
      <c r="CF23" s="15" t="str">
        <f t="shared" si="7"/>
        <v>OK - No Upgrade</v>
      </c>
      <c r="CG23" s="15" t="str">
        <f t="shared" si="8"/>
        <v>Need to Balance</v>
      </c>
    </row>
    <row r="24" spans="1:85" ht="15.75" customHeight="1" x14ac:dyDescent="0.25">
      <c r="A24" s="8" t="s">
        <v>1459</v>
      </c>
      <c r="B24" s="8" t="s">
        <v>1460</v>
      </c>
      <c r="C24" s="8" t="s">
        <v>512</v>
      </c>
      <c r="D24" s="8" t="s">
        <v>1503</v>
      </c>
      <c r="E24" s="8" t="s">
        <v>1504</v>
      </c>
      <c r="F24" s="8" t="s">
        <v>43</v>
      </c>
      <c r="G24" s="8" t="s">
        <v>44</v>
      </c>
      <c r="H24" s="8">
        <v>315</v>
      </c>
      <c r="I24" s="8" t="s">
        <v>1505</v>
      </c>
      <c r="J24" s="8">
        <v>1</v>
      </c>
      <c r="K24" s="8">
        <v>248</v>
      </c>
      <c r="L24" s="8">
        <v>249</v>
      </c>
      <c r="M24" s="8">
        <v>247</v>
      </c>
      <c r="N24" s="8">
        <v>436</v>
      </c>
      <c r="O24" s="8">
        <v>435</v>
      </c>
      <c r="P24" s="8">
        <v>432</v>
      </c>
      <c r="Q24" s="9"/>
      <c r="R24" s="16"/>
      <c r="S24" s="10"/>
      <c r="T24" s="10"/>
      <c r="U24" s="10"/>
      <c r="V24" s="11"/>
      <c r="W24" s="12" t="s">
        <v>47</v>
      </c>
      <c r="X24" s="17"/>
      <c r="Y24" s="13">
        <v>114</v>
      </c>
      <c r="Z24" s="13">
        <v>90</v>
      </c>
      <c r="AA24" s="13">
        <v>71</v>
      </c>
      <c r="AB24" s="14">
        <v>45</v>
      </c>
      <c r="AC24" s="9"/>
      <c r="AD24" s="16"/>
      <c r="AE24" s="10"/>
      <c r="AF24" s="10"/>
      <c r="AG24" s="10"/>
      <c r="AH24" s="11"/>
      <c r="AI24" s="12"/>
      <c r="AJ24" s="17"/>
      <c r="AK24" s="13"/>
      <c r="AL24" s="13"/>
      <c r="AM24" s="13"/>
      <c r="AN24" s="14"/>
      <c r="AO24" s="9"/>
      <c r="AP24" s="16"/>
      <c r="AQ24" s="10"/>
      <c r="AR24" s="10"/>
      <c r="AS24" s="10"/>
      <c r="AT24" s="11"/>
      <c r="AU24" s="12"/>
      <c r="AV24" s="17"/>
      <c r="AW24" s="13"/>
      <c r="AX24" s="13"/>
      <c r="AY24" s="13"/>
      <c r="AZ24" s="14"/>
      <c r="BA24" s="9"/>
      <c r="BB24" s="16"/>
      <c r="BC24" s="10"/>
      <c r="BD24" s="10"/>
      <c r="BE24" s="10"/>
      <c r="BF24" s="11"/>
      <c r="BG24" s="12"/>
      <c r="BH24" s="17"/>
      <c r="BI24" s="13"/>
      <c r="BJ24" s="13"/>
      <c r="BK24" s="13"/>
      <c r="BL24" s="14"/>
      <c r="BM24" s="9"/>
      <c r="BN24" s="16"/>
      <c r="BO24" s="10"/>
      <c r="BP24" s="10"/>
      <c r="BQ24" s="10"/>
      <c r="BR24" s="11"/>
      <c r="BS24" s="12"/>
      <c r="BT24" s="17"/>
      <c r="BU24" s="13"/>
      <c r="BV24" s="13"/>
      <c r="BW24" s="13"/>
      <c r="BX24" s="14"/>
      <c r="BY24" s="8">
        <f t="shared" si="0"/>
        <v>114</v>
      </c>
      <c r="BZ24" s="8">
        <f t="shared" si="1"/>
        <v>90</v>
      </c>
      <c r="CA24" s="8">
        <f t="shared" si="2"/>
        <v>71</v>
      </c>
      <c r="CB24" s="8">
        <f t="shared" si="3"/>
        <v>45</v>
      </c>
      <c r="CC24" s="8">
        <f t="shared" si="4"/>
        <v>114</v>
      </c>
      <c r="CD24" s="8">
        <f t="shared" si="5"/>
        <v>71</v>
      </c>
      <c r="CE24" s="15">
        <f t="shared" si="6"/>
        <v>27.330112171239197</v>
      </c>
      <c r="CF24" s="15" t="str">
        <f t="shared" si="7"/>
        <v>OK - No Upgrade</v>
      </c>
      <c r="CG24" s="15" t="str">
        <f t="shared" si="8"/>
        <v>Need to Balance</v>
      </c>
    </row>
    <row r="25" spans="1:85" ht="15.75" customHeight="1" x14ac:dyDescent="0.25">
      <c r="A25" s="8" t="s">
        <v>1459</v>
      </c>
      <c r="B25" s="8" t="s">
        <v>1460</v>
      </c>
      <c r="C25" s="8" t="s">
        <v>512</v>
      </c>
      <c r="D25" s="8" t="s">
        <v>1503</v>
      </c>
      <c r="E25" s="8" t="s">
        <v>1506</v>
      </c>
      <c r="F25" s="8" t="s">
        <v>43</v>
      </c>
      <c r="G25" s="8" t="s">
        <v>1077</v>
      </c>
      <c r="H25" s="8">
        <v>315</v>
      </c>
      <c r="I25" s="8" t="s">
        <v>1507</v>
      </c>
      <c r="J25" s="8">
        <v>1</v>
      </c>
      <c r="K25" s="8">
        <v>254</v>
      </c>
      <c r="L25" s="8">
        <v>251</v>
      </c>
      <c r="M25" s="8">
        <v>253</v>
      </c>
      <c r="N25" s="8">
        <v>436</v>
      </c>
      <c r="O25" s="8">
        <v>436</v>
      </c>
      <c r="P25" s="8">
        <v>435</v>
      </c>
      <c r="Q25" s="9" t="s">
        <v>46</v>
      </c>
      <c r="R25" s="16"/>
      <c r="S25" s="10">
        <v>35</v>
      </c>
      <c r="T25" s="10">
        <v>60</v>
      </c>
      <c r="U25" s="10">
        <v>50</v>
      </c>
      <c r="V25" s="11">
        <v>24</v>
      </c>
      <c r="W25" s="12" t="s">
        <v>47</v>
      </c>
      <c r="X25" s="17"/>
      <c r="Y25" s="13">
        <v>0</v>
      </c>
      <c r="Z25" s="13">
        <v>0</v>
      </c>
      <c r="AA25" s="13">
        <v>0</v>
      </c>
      <c r="AB25" s="14">
        <v>0</v>
      </c>
      <c r="AC25" s="9"/>
      <c r="AD25" s="16"/>
      <c r="AE25" s="10"/>
      <c r="AF25" s="10"/>
      <c r="AG25" s="10"/>
      <c r="AH25" s="11"/>
      <c r="AI25" s="12"/>
      <c r="AJ25" s="17"/>
      <c r="AK25" s="13"/>
      <c r="AL25" s="13"/>
      <c r="AM25" s="13"/>
      <c r="AN25" s="14"/>
      <c r="AO25" s="9"/>
      <c r="AP25" s="16"/>
      <c r="AQ25" s="10"/>
      <c r="AR25" s="10"/>
      <c r="AS25" s="10"/>
      <c r="AT25" s="11"/>
      <c r="AU25" s="12"/>
      <c r="AV25" s="17"/>
      <c r="AW25" s="13"/>
      <c r="AX25" s="13"/>
      <c r="AY25" s="13"/>
      <c r="AZ25" s="14"/>
      <c r="BA25" s="9"/>
      <c r="BB25" s="16"/>
      <c r="BC25" s="10"/>
      <c r="BD25" s="10"/>
      <c r="BE25" s="10"/>
      <c r="BF25" s="11"/>
      <c r="BG25" s="12"/>
      <c r="BH25" s="17"/>
      <c r="BI25" s="13"/>
      <c r="BJ25" s="13"/>
      <c r="BK25" s="13"/>
      <c r="BL25" s="14"/>
      <c r="BM25" s="9"/>
      <c r="BN25" s="16"/>
      <c r="BO25" s="10"/>
      <c r="BP25" s="10"/>
      <c r="BQ25" s="10"/>
      <c r="BR25" s="11"/>
      <c r="BS25" s="12"/>
      <c r="BT25" s="17"/>
      <c r="BU25" s="13"/>
      <c r="BV25" s="13"/>
      <c r="BW25" s="13"/>
      <c r="BX25" s="14"/>
      <c r="BY25" s="8">
        <f t="shared" si="0"/>
        <v>35</v>
      </c>
      <c r="BZ25" s="8">
        <f t="shared" si="1"/>
        <v>60</v>
      </c>
      <c r="CA25" s="8">
        <f t="shared" si="2"/>
        <v>50</v>
      </c>
      <c r="CB25" s="8">
        <f t="shared" si="3"/>
        <v>24</v>
      </c>
      <c r="CC25" s="8">
        <f t="shared" si="4"/>
        <v>60</v>
      </c>
      <c r="CD25" s="8">
        <f t="shared" si="5"/>
        <v>35</v>
      </c>
      <c r="CE25" s="15">
        <f t="shared" si="6"/>
        <v>14.384269563810104</v>
      </c>
      <c r="CF25" s="15" t="str">
        <f t="shared" si="7"/>
        <v>OK - No Upgrade</v>
      </c>
      <c r="CG25" s="15" t="str">
        <f t="shared" si="8"/>
        <v>Need to Balance</v>
      </c>
    </row>
    <row r="26" spans="1:85" ht="15.75" customHeight="1" x14ac:dyDescent="0.25">
      <c r="A26" s="8" t="s">
        <v>1459</v>
      </c>
      <c r="B26" s="8" t="s">
        <v>1460</v>
      </c>
      <c r="C26" s="8" t="s">
        <v>512</v>
      </c>
      <c r="D26" s="8" t="s">
        <v>1503</v>
      </c>
      <c r="E26" s="8" t="s">
        <v>1508</v>
      </c>
      <c r="F26" s="8" t="s">
        <v>43</v>
      </c>
      <c r="G26" s="8" t="s">
        <v>44</v>
      </c>
      <c r="H26" s="8">
        <v>100</v>
      </c>
      <c r="I26" s="8" t="s">
        <v>1509</v>
      </c>
      <c r="J26" s="8">
        <v>1</v>
      </c>
      <c r="K26" s="8">
        <v>238</v>
      </c>
      <c r="L26" s="8">
        <v>237</v>
      </c>
      <c r="M26" s="8">
        <v>238</v>
      </c>
      <c r="N26" s="8">
        <v>417</v>
      </c>
      <c r="O26" s="8">
        <v>417</v>
      </c>
      <c r="P26" s="8">
        <v>417</v>
      </c>
      <c r="Q26" s="9" t="s">
        <v>46</v>
      </c>
      <c r="R26" s="16"/>
      <c r="S26" s="10">
        <v>0</v>
      </c>
      <c r="T26" s="10">
        <v>0</v>
      </c>
      <c r="U26" s="10">
        <v>0</v>
      </c>
      <c r="V26" s="11">
        <v>0</v>
      </c>
      <c r="W26" s="12"/>
      <c r="X26" s="17"/>
      <c r="Y26" s="13"/>
      <c r="Z26" s="13"/>
      <c r="AA26" s="13"/>
      <c r="AB26" s="14"/>
      <c r="AC26" s="9"/>
      <c r="AD26" s="16"/>
      <c r="AE26" s="10"/>
      <c r="AF26" s="10"/>
      <c r="AG26" s="10"/>
      <c r="AH26" s="11"/>
      <c r="AI26" s="12"/>
      <c r="AJ26" s="17"/>
      <c r="AK26" s="13"/>
      <c r="AL26" s="13"/>
      <c r="AM26" s="13"/>
      <c r="AN26" s="14"/>
      <c r="AO26" s="9"/>
      <c r="AP26" s="16"/>
      <c r="AQ26" s="10"/>
      <c r="AR26" s="10"/>
      <c r="AS26" s="10"/>
      <c r="AT26" s="11"/>
      <c r="AU26" s="12"/>
      <c r="AV26" s="17"/>
      <c r="AW26" s="13"/>
      <c r="AX26" s="13"/>
      <c r="AY26" s="13"/>
      <c r="AZ26" s="14"/>
      <c r="BA26" s="9"/>
      <c r="BB26" s="16"/>
      <c r="BC26" s="10"/>
      <c r="BD26" s="10"/>
      <c r="BE26" s="10"/>
      <c r="BF26" s="11"/>
      <c r="BG26" s="12"/>
      <c r="BH26" s="17"/>
      <c r="BI26" s="13"/>
      <c r="BJ26" s="13"/>
      <c r="BK26" s="13"/>
      <c r="BL26" s="14"/>
      <c r="BM26" s="9"/>
      <c r="BN26" s="16"/>
      <c r="BO26" s="10"/>
      <c r="BP26" s="10"/>
      <c r="BQ26" s="10"/>
      <c r="BR26" s="11"/>
      <c r="BS26" s="12"/>
      <c r="BT26" s="17"/>
      <c r="BU26" s="13"/>
      <c r="BV26" s="13"/>
      <c r="BW26" s="13"/>
      <c r="BX26" s="14"/>
      <c r="BY26" s="8">
        <f t="shared" si="0"/>
        <v>0</v>
      </c>
      <c r="BZ26" s="8">
        <f t="shared" si="1"/>
        <v>0</v>
      </c>
      <c r="CA26" s="8">
        <f t="shared" si="2"/>
        <v>0</v>
      </c>
      <c r="CB26" s="8">
        <f t="shared" si="3"/>
        <v>0</v>
      </c>
      <c r="CC26" s="8">
        <f t="shared" si="4"/>
        <v>0</v>
      </c>
      <c r="CD26" s="8">
        <f t="shared" si="5"/>
        <v>0</v>
      </c>
      <c r="CE26" s="15">
        <f t="shared" si="6"/>
        <v>0</v>
      </c>
      <c r="CF26" s="15" t="str">
        <f t="shared" si="7"/>
        <v>OK - No Upgrade</v>
      </c>
      <c r="CG26" s="15" t="str">
        <f t="shared" si="8"/>
        <v>OK - Balanced</v>
      </c>
    </row>
    <row r="27" spans="1:85" ht="15.75" customHeight="1" x14ac:dyDescent="0.25">
      <c r="A27" s="8" t="s">
        <v>1459</v>
      </c>
      <c r="B27" s="8" t="s">
        <v>1460</v>
      </c>
      <c r="C27" s="8" t="s">
        <v>512</v>
      </c>
      <c r="D27" s="8" t="s">
        <v>1510</v>
      </c>
      <c r="E27" s="8" t="s">
        <v>1511</v>
      </c>
      <c r="F27" s="8" t="s">
        <v>43</v>
      </c>
      <c r="G27" s="8" t="s">
        <v>44</v>
      </c>
      <c r="H27" s="8">
        <v>100</v>
      </c>
      <c r="I27" s="8" t="s">
        <v>1512</v>
      </c>
      <c r="J27" s="8">
        <v>1</v>
      </c>
      <c r="K27" s="8">
        <v>239</v>
      </c>
      <c r="L27" s="8">
        <v>238</v>
      </c>
      <c r="M27" s="8">
        <v>237</v>
      </c>
      <c r="N27" s="8">
        <v>417</v>
      </c>
      <c r="O27" s="8">
        <v>417</v>
      </c>
      <c r="P27" s="8">
        <v>416</v>
      </c>
      <c r="Q27" s="9"/>
      <c r="R27" s="16"/>
      <c r="S27" s="10"/>
      <c r="T27" s="10"/>
      <c r="U27" s="10"/>
      <c r="V27" s="11"/>
      <c r="W27" s="12" t="s">
        <v>47</v>
      </c>
      <c r="X27" s="17"/>
      <c r="Y27" s="13">
        <v>8</v>
      </c>
      <c r="Z27" s="13">
        <v>6</v>
      </c>
      <c r="AA27" s="13">
        <v>2</v>
      </c>
      <c r="AB27" s="14">
        <v>2</v>
      </c>
      <c r="AC27" s="9"/>
      <c r="AD27" s="16"/>
      <c r="AE27" s="10"/>
      <c r="AF27" s="10"/>
      <c r="AG27" s="10"/>
      <c r="AH27" s="11"/>
      <c r="AI27" s="12"/>
      <c r="AJ27" s="17"/>
      <c r="AK27" s="13"/>
      <c r="AL27" s="13"/>
      <c r="AM27" s="13"/>
      <c r="AN27" s="14"/>
      <c r="AO27" s="9"/>
      <c r="AP27" s="16"/>
      <c r="AQ27" s="10"/>
      <c r="AR27" s="10"/>
      <c r="AS27" s="10"/>
      <c r="AT27" s="11"/>
      <c r="AU27" s="12"/>
      <c r="AV27" s="17"/>
      <c r="AW27" s="13"/>
      <c r="AX27" s="13"/>
      <c r="AY27" s="13"/>
      <c r="AZ27" s="14"/>
      <c r="BA27" s="9"/>
      <c r="BB27" s="16"/>
      <c r="BC27" s="10"/>
      <c r="BD27" s="10"/>
      <c r="BE27" s="10"/>
      <c r="BF27" s="11"/>
      <c r="BG27" s="12"/>
      <c r="BH27" s="17"/>
      <c r="BI27" s="13"/>
      <c r="BJ27" s="13"/>
      <c r="BK27" s="13"/>
      <c r="BL27" s="14"/>
      <c r="BM27" s="9"/>
      <c r="BN27" s="16"/>
      <c r="BO27" s="10"/>
      <c r="BP27" s="10"/>
      <c r="BQ27" s="10"/>
      <c r="BR27" s="11"/>
      <c r="BS27" s="12"/>
      <c r="BT27" s="17"/>
      <c r="BU27" s="13"/>
      <c r="BV27" s="13"/>
      <c r="BW27" s="13"/>
      <c r="BX27" s="14"/>
      <c r="BY27" s="8">
        <f t="shared" si="0"/>
        <v>8</v>
      </c>
      <c r="BZ27" s="8">
        <f t="shared" si="1"/>
        <v>6</v>
      </c>
      <c r="CA27" s="8">
        <f t="shared" si="2"/>
        <v>2</v>
      </c>
      <c r="CB27" s="8">
        <f t="shared" si="3"/>
        <v>2</v>
      </c>
      <c r="CC27" s="8">
        <f t="shared" si="4"/>
        <v>8</v>
      </c>
      <c r="CD27" s="8">
        <f t="shared" si="5"/>
        <v>2</v>
      </c>
      <c r="CE27" s="15">
        <f t="shared" si="6"/>
        <v>5.778121494049774</v>
      </c>
      <c r="CF27" s="15" t="str">
        <f t="shared" si="7"/>
        <v>OK - No Upgrade</v>
      </c>
      <c r="CG27" s="15" t="str">
        <f t="shared" si="8"/>
        <v>Need to Balance</v>
      </c>
    </row>
    <row r="28" spans="1:85" ht="15.75" customHeight="1" x14ac:dyDescent="0.25">
      <c r="A28" s="8" t="s">
        <v>1459</v>
      </c>
      <c r="B28" s="8" t="s">
        <v>1460</v>
      </c>
      <c r="C28" s="8" t="s">
        <v>512</v>
      </c>
      <c r="D28" s="8" t="s">
        <v>1513</v>
      </c>
      <c r="E28" s="8" t="s">
        <v>1514</v>
      </c>
      <c r="F28" s="8" t="s">
        <v>43</v>
      </c>
      <c r="G28" s="8" t="s">
        <v>44</v>
      </c>
      <c r="H28" s="8">
        <v>315</v>
      </c>
      <c r="I28" s="8" t="s">
        <v>1515</v>
      </c>
      <c r="J28" s="8">
        <v>1</v>
      </c>
      <c r="K28" s="8">
        <v>242</v>
      </c>
      <c r="L28" s="8">
        <v>243</v>
      </c>
      <c r="M28" s="8">
        <v>243</v>
      </c>
      <c r="N28" s="8">
        <v>420</v>
      </c>
      <c r="O28" s="8">
        <v>421</v>
      </c>
      <c r="P28" s="8">
        <v>419</v>
      </c>
      <c r="Q28" s="9" t="s">
        <v>46</v>
      </c>
      <c r="R28" s="16"/>
      <c r="S28" s="10">
        <v>112</v>
      </c>
      <c r="T28" s="10">
        <v>65</v>
      </c>
      <c r="U28" s="10">
        <v>58</v>
      </c>
      <c r="V28" s="11">
        <v>59</v>
      </c>
      <c r="W28" s="12"/>
      <c r="X28" s="17"/>
      <c r="Y28" s="13"/>
      <c r="Z28" s="13"/>
      <c r="AA28" s="13"/>
      <c r="AB28" s="14"/>
      <c r="AC28" s="9"/>
      <c r="AD28" s="16"/>
      <c r="AE28" s="10"/>
      <c r="AF28" s="10"/>
      <c r="AG28" s="10"/>
      <c r="AH28" s="11"/>
      <c r="AI28" s="12"/>
      <c r="AJ28" s="17"/>
      <c r="AK28" s="13"/>
      <c r="AL28" s="13"/>
      <c r="AM28" s="13"/>
      <c r="AN28" s="14"/>
      <c r="AO28" s="9"/>
      <c r="AP28" s="16"/>
      <c r="AQ28" s="10"/>
      <c r="AR28" s="10"/>
      <c r="AS28" s="10"/>
      <c r="AT28" s="11"/>
      <c r="AU28" s="12"/>
      <c r="AV28" s="17"/>
      <c r="AW28" s="13"/>
      <c r="AX28" s="13"/>
      <c r="AY28" s="13"/>
      <c r="AZ28" s="14"/>
      <c r="BA28" s="9"/>
      <c r="BB28" s="16"/>
      <c r="BC28" s="10"/>
      <c r="BD28" s="10"/>
      <c r="BE28" s="10"/>
      <c r="BF28" s="11"/>
      <c r="BG28" s="12"/>
      <c r="BH28" s="17"/>
      <c r="BI28" s="13"/>
      <c r="BJ28" s="13"/>
      <c r="BK28" s="13"/>
      <c r="BL28" s="14"/>
      <c r="BM28" s="9"/>
      <c r="BN28" s="16"/>
      <c r="BO28" s="10"/>
      <c r="BP28" s="10"/>
      <c r="BQ28" s="10"/>
      <c r="BR28" s="11"/>
      <c r="BS28" s="12"/>
      <c r="BT28" s="17"/>
      <c r="BU28" s="13"/>
      <c r="BV28" s="13"/>
      <c r="BW28" s="13"/>
      <c r="BX28" s="14"/>
      <c r="BY28" s="8">
        <f t="shared" si="0"/>
        <v>112</v>
      </c>
      <c r="BZ28" s="8">
        <f t="shared" si="1"/>
        <v>65</v>
      </c>
      <c r="CA28" s="8">
        <f t="shared" si="2"/>
        <v>58</v>
      </c>
      <c r="CB28" s="8">
        <f t="shared" si="3"/>
        <v>59</v>
      </c>
      <c r="CC28" s="8">
        <f t="shared" si="4"/>
        <v>112</v>
      </c>
      <c r="CD28" s="8">
        <f t="shared" si="5"/>
        <v>58</v>
      </c>
      <c r="CE28" s="15">
        <f t="shared" si="6"/>
        <v>25.865292059695232</v>
      </c>
      <c r="CF28" s="15" t="str">
        <f t="shared" si="7"/>
        <v>OK - No Upgrade</v>
      </c>
      <c r="CG28" s="15" t="str">
        <f t="shared" si="8"/>
        <v>Need to Balance</v>
      </c>
    </row>
    <row r="29" spans="1:85" ht="15.75" customHeight="1" x14ac:dyDescent="0.25">
      <c r="A29" s="8" t="s">
        <v>1459</v>
      </c>
      <c r="B29" s="8" t="s">
        <v>1460</v>
      </c>
      <c r="C29" s="8" t="s">
        <v>512</v>
      </c>
      <c r="D29" s="8" t="s">
        <v>1516</v>
      </c>
      <c r="E29" s="8" t="s">
        <v>1517</v>
      </c>
      <c r="F29" s="8" t="s">
        <v>43</v>
      </c>
      <c r="G29" s="8" t="s">
        <v>44</v>
      </c>
      <c r="H29" s="8">
        <v>200</v>
      </c>
      <c r="I29" s="8" t="s">
        <v>1518</v>
      </c>
      <c r="J29" s="8">
        <v>1</v>
      </c>
      <c r="K29" s="8">
        <v>241</v>
      </c>
      <c r="L29" s="8">
        <v>242</v>
      </c>
      <c r="M29" s="8">
        <v>243</v>
      </c>
      <c r="N29" s="8">
        <v>407</v>
      </c>
      <c r="O29" s="8">
        <v>418</v>
      </c>
      <c r="P29" s="8">
        <v>420</v>
      </c>
      <c r="Q29" s="9" t="s">
        <v>46</v>
      </c>
      <c r="R29" s="16"/>
      <c r="S29" s="10">
        <v>0</v>
      </c>
      <c r="T29" s="10">
        <v>0</v>
      </c>
      <c r="U29" s="10">
        <v>0</v>
      </c>
      <c r="V29" s="11">
        <v>0</v>
      </c>
      <c r="W29" s="12" t="s">
        <v>46</v>
      </c>
      <c r="X29" s="17"/>
      <c r="Y29" s="13">
        <v>170</v>
      </c>
      <c r="Z29" s="13">
        <v>152</v>
      </c>
      <c r="AA29" s="13">
        <v>145</v>
      </c>
      <c r="AB29" s="14">
        <v>18</v>
      </c>
      <c r="AC29" s="9"/>
      <c r="AD29" s="16"/>
      <c r="AE29" s="10"/>
      <c r="AF29" s="10"/>
      <c r="AG29" s="10"/>
      <c r="AH29" s="11"/>
      <c r="AI29" s="12"/>
      <c r="AJ29" s="17"/>
      <c r="AK29" s="13"/>
      <c r="AL29" s="13"/>
      <c r="AM29" s="13"/>
      <c r="AN29" s="14"/>
      <c r="AO29" s="9"/>
      <c r="AP29" s="16"/>
      <c r="AQ29" s="10"/>
      <c r="AR29" s="10"/>
      <c r="AS29" s="10"/>
      <c r="AT29" s="11"/>
      <c r="AU29" s="12"/>
      <c r="AV29" s="17"/>
      <c r="AW29" s="13"/>
      <c r="AX29" s="13"/>
      <c r="AY29" s="13"/>
      <c r="AZ29" s="14"/>
      <c r="BA29" s="9"/>
      <c r="BB29" s="16"/>
      <c r="BC29" s="10"/>
      <c r="BD29" s="10"/>
      <c r="BE29" s="10"/>
      <c r="BF29" s="11"/>
      <c r="BG29" s="12"/>
      <c r="BH29" s="17"/>
      <c r="BI29" s="13"/>
      <c r="BJ29" s="13"/>
      <c r="BK29" s="13"/>
      <c r="BL29" s="14"/>
      <c r="BM29" s="9"/>
      <c r="BN29" s="16"/>
      <c r="BO29" s="10"/>
      <c r="BP29" s="10"/>
      <c r="BQ29" s="10"/>
      <c r="BR29" s="11"/>
      <c r="BS29" s="12"/>
      <c r="BT29" s="17"/>
      <c r="BU29" s="13"/>
      <c r="BV29" s="13"/>
      <c r="BW29" s="13"/>
      <c r="BX29" s="14"/>
      <c r="BY29" s="8">
        <f t="shared" si="0"/>
        <v>170</v>
      </c>
      <c r="BZ29" s="8">
        <f t="shared" si="1"/>
        <v>152</v>
      </c>
      <c r="CA29" s="8">
        <f t="shared" si="2"/>
        <v>145</v>
      </c>
      <c r="CB29" s="8">
        <f t="shared" si="3"/>
        <v>18</v>
      </c>
      <c r="CC29" s="8">
        <f t="shared" si="4"/>
        <v>170</v>
      </c>
      <c r="CD29" s="8">
        <f t="shared" si="5"/>
        <v>145</v>
      </c>
      <c r="CE29" s="15">
        <f t="shared" si="6"/>
        <v>59.920297687845306</v>
      </c>
      <c r="CF29" s="15" t="str">
        <f t="shared" si="7"/>
        <v>OK - No Upgrade</v>
      </c>
      <c r="CG29" s="15" t="str">
        <f t="shared" si="8"/>
        <v>OK - Balanced</v>
      </c>
    </row>
    <row r="30" spans="1:85" ht="15.75" customHeight="1" x14ac:dyDescent="0.25">
      <c r="A30" s="8" t="s">
        <v>1459</v>
      </c>
      <c r="B30" s="8" t="s">
        <v>1460</v>
      </c>
      <c r="C30" s="8" t="s">
        <v>512</v>
      </c>
      <c r="D30" s="8" t="s">
        <v>1516</v>
      </c>
      <c r="E30" s="8" t="s">
        <v>1519</v>
      </c>
      <c r="F30" s="8" t="s">
        <v>43</v>
      </c>
      <c r="G30" s="8" t="s">
        <v>44</v>
      </c>
      <c r="H30" s="8">
        <v>100</v>
      </c>
      <c r="I30" s="8" t="s">
        <v>1520</v>
      </c>
      <c r="J30" s="8">
        <v>1</v>
      </c>
      <c r="K30" s="8">
        <v>231</v>
      </c>
      <c r="L30" s="8">
        <v>232</v>
      </c>
      <c r="M30" s="8">
        <v>232</v>
      </c>
      <c r="N30" s="8">
        <v>400</v>
      </c>
      <c r="O30" s="8">
        <v>402</v>
      </c>
      <c r="P30" s="8">
        <v>400</v>
      </c>
      <c r="Q30" s="9" t="s">
        <v>46</v>
      </c>
      <c r="R30" s="16"/>
      <c r="S30" s="10">
        <v>16</v>
      </c>
      <c r="T30" s="10">
        <v>15</v>
      </c>
      <c r="U30" s="10">
        <v>20</v>
      </c>
      <c r="V30" s="11">
        <v>13</v>
      </c>
      <c r="W30" s="12"/>
      <c r="X30" s="17"/>
      <c r="Y30" s="13"/>
      <c r="Z30" s="13"/>
      <c r="AA30" s="13"/>
      <c r="AB30" s="14"/>
      <c r="AC30" s="9"/>
      <c r="AD30" s="16"/>
      <c r="AE30" s="10"/>
      <c r="AF30" s="10"/>
      <c r="AG30" s="10"/>
      <c r="AH30" s="11"/>
      <c r="AI30" s="12"/>
      <c r="AJ30" s="17"/>
      <c r="AK30" s="13"/>
      <c r="AL30" s="13"/>
      <c r="AM30" s="13"/>
      <c r="AN30" s="14"/>
      <c r="AO30" s="9"/>
      <c r="AP30" s="16"/>
      <c r="AQ30" s="10"/>
      <c r="AR30" s="10"/>
      <c r="AS30" s="10"/>
      <c r="AT30" s="11"/>
      <c r="AU30" s="12"/>
      <c r="AV30" s="17"/>
      <c r="AW30" s="13"/>
      <c r="AX30" s="13"/>
      <c r="AY30" s="13"/>
      <c r="AZ30" s="14"/>
      <c r="BA30" s="9"/>
      <c r="BB30" s="16"/>
      <c r="BC30" s="10"/>
      <c r="BD30" s="10"/>
      <c r="BE30" s="10"/>
      <c r="BF30" s="11"/>
      <c r="BG30" s="12"/>
      <c r="BH30" s="17"/>
      <c r="BI30" s="13"/>
      <c r="BJ30" s="13"/>
      <c r="BK30" s="13"/>
      <c r="BL30" s="14"/>
      <c r="BM30" s="9"/>
      <c r="BN30" s="16"/>
      <c r="BO30" s="10"/>
      <c r="BP30" s="10"/>
      <c r="BQ30" s="10"/>
      <c r="BR30" s="11"/>
      <c r="BS30" s="12"/>
      <c r="BT30" s="17"/>
      <c r="BU30" s="13"/>
      <c r="BV30" s="13"/>
      <c r="BW30" s="13"/>
      <c r="BX30" s="14"/>
      <c r="BY30" s="8">
        <f t="shared" si="0"/>
        <v>16</v>
      </c>
      <c r="BZ30" s="8">
        <f t="shared" si="1"/>
        <v>15</v>
      </c>
      <c r="CA30" s="8">
        <f t="shared" si="2"/>
        <v>20</v>
      </c>
      <c r="CB30" s="8">
        <f t="shared" si="3"/>
        <v>13</v>
      </c>
      <c r="CC30" s="8">
        <f t="shared" si="4"/>
        <v>20</v>
      </c>
      <c r="CD30" s="8">
        <f t="shared" si="5"/>
        <v>15</v>
      </c>
      <c r="CE30" s="15">
        <f t="shared" si="6"/>
        <v>13.856406460551018</v>
      </c>
      <c r="CF30" s="15" t="str">
        <f t="shared" si="7"/>
        <v>OK - No Upgrade</v>
      </c>
      <c r="CG30" s="15" t="str">
        <f t="shared" si="8"/>
        <v>Need to Balance</v>
      </c>
    </row>
    <row r="31" spans="1:85" ht="15.75" customHeight="1" x14ac:dyDescent="0.25">
      <c r="A31" s="8" t="s">
        <v>1459</v>
      </c>
      <c r="B31" s="8" t="s">
        <v>1460</v>
      </c>
      <c r="C31" s="8" t="s">
        <v>512</v>
      </c>
      <c r="D31" s="8" t="s">
        <v>1521</v>
      </c>
      <c r="E31" s="8" t="s">
        <v>1522</v>
      </c>
      <c r="F31" s="8" t="s">
        <v>43</v>
      </c>
      <c r="G31" s="8" t="s">
        <v>44</v>
      </c>
      <c r="H31" s="8">
        <v>315</v>
      </c>
      <c r="I31" s="8" t="s">
        <v>1523</v>
      </c>
      <c r="J31" s="8">
        <v>1</v>
      </c>
      <c r="K31" s="8">
        <v>236</v>
      </c>
      <c r="L31" s="8">
        <v>235</v>
      </c>
      <c r="M31" s="8">
        <v>236</v>
      </c>
      <c r="N31" s="8">
        <v>408</v>
      </c>
      <c r="O31" s="8">
        <v>405</v>
      </c>
      <c r="P31" s="8">
        <v>408</v>
      </c>
      <c r="Q31" s="9" t="s">
        <v>47</v>
      </c>
      <c r="R31" s="16"/>
      <c r="S31" s="10">
        <v>31</v>
      </c>
      <c r="T31" s="10">
        <v>41</v>
      </c>
      <c r="U31" s="10">
        <v>44</v>
      </c>
      <c r="V31" s="11">
        <v>13</v>
      </c>
      <c r="W31" s="12" t="s">
        <v>46</v>
      </c>
      <c r="X31" s="17"/>
      <c r="Y31" s="13">
        <v>42</v>
      </c>
      <c r="Z31" s="13">
        <v>35</v>
      </c>
      <c r="AA31" s="13">
        <v>70</v>
      </c>
      <c r="AB31" s="14">
        <v>23</v>
      </c>
      <c r="AC31" s="9"/>
      <c r="AD31" s="16"/>
      <c r="AE31" s="10"/>
      <c r="AF31" s="10"/>
      <c r="AG31" s="10"/>
      <c r="AH31" s="11"/>
      <c r="AI31" s="12"/>
      <c r="AJ31" s="17"/>
      <c r="AK31" s="13"/>
      <c r="AL31" s="13"/>
      <c r="AM31" s="13"/>
      <c r="AN31" s="14"/>
      <c r="AO31" s="9"/>
      <c r="AP31" s="16"/>
      <c r="AQ31" s="10"/>
      <c r="AR31" s="10"/>
      <c r="AS31" s="10"/>
      <c r="AT31" s="11"/>
      <c r="AU31" s="12"/>
      <c r="AV31" s="17"/>
      <c r="AW31" s="13"/>
      <c r="AX31" s="13"/>
      <c r="AY31" s="13"/>
      <c r="AZ31" s="14"/>
      <c r="BA31" s="9"/>
      <c r="BB31" s="16"/>
      <c r="BC31" s="10"/>
      <c r="BD31" s="10"/>
      <c r="BE31" s="10"/>
      <c r="BF31" s="11"/>
      <c r="BG31" s="12"/>
      <c r="BH31" s="17"/>
      <c r="BI31" s="13"/>
      <c r="BJ31" s="13"/>
      <c r="BK31" s="13"/>
      <c r="BL31" s="14"/>
      <c r="BM31" s="9"/>
      <c r="BN31" s="16"/>
      <c r="BO31" s="10"/>
      <c r="BP31" s="10"/>
      <c r="BQ31" s="10"/>
      <c r="BR31" s="11"/>
      <c r="BS31" s="12"/>
      <c r="BT31" s="17"/>
      <c r="BU31" s="13"/>
      <c r="BV31" s="13"/>
      <c r="BW31" s="13"/>
      <c r="BX31" s="14"/>
      <c r="BY31" s="8">
        <f t="shared" si="0"/>
        <v>73</v>
      </c>
      <c r="BZ31" s="8">
        <f t="shared" si="1"/>
        <v>76</v>
      </c>
      <c r="CA31" s="8">
        <f t="shared" si="2"/>
        <v>114</v>
      </c>
      <c r="CB31" s="8">
        <f t="shared" si="3"/>
        <v>36</v>
      </c>
      <c r="CC31" s="8">
        <f t="shared" si="4"/>
        <v>114</v>
      </c>
      <c r="CD31" s="8">
        <f t="shared" si="5"/>
        <v>73</v>
      </c>
      <c r="CE31" s="15">
        <f t="shared" si="6"/>
        <v>25.574967352902732</v>
      </c>
      <c r="CF31" s="15" t="str">
        <f t="shared" si="7"/>
        <v>OK - No Upgrade</v>
      </c>
      <c r="CG31" s="15" t="str">
        <f t="shared" si="8"/>
        <v>Need to Balance</v>
      </c>
    </row>
    <row r="32" spans="1:85" ht="15.75" customHeight="1" x14ac:dyDescent="0.25">
      <c r="A32" s="8" t="s">
        <v>1459</v>
      </c>
      <c r="B32" s="8" t="s">
        <v>1460</v>
      </c>
      <c r="C32" s="8" t="s">
        <v>512</v>
      </c>
      <c r="D32" s="8" t="s">
        <v>1524</v>
      </c>
      <c r="E32" s="8" t="s">
        <v>1525</v>
      </c>
      <c r="F32" s="8" t="s">
        <v>43</v>
      </c>
      <c r="G32" s="8" t="s">
        <v>44</v>
      </c>
      <c r="H32" s="8">
        <v>315</v>
      </c>
      <c r="I32" s="8" t="s">
        <v>1526</v>
      </c>
      <c r="J32" s="8">
        <v>1</v>
      </c>
      <c r="K32" s="8">
        <v>233</v>
      </c>
      <c r="L32" s="8">
        <v>235</v>
      </c>
      <c r="M32" s="8">
        <v>235</v>
      </c>
      <c r="N32" s="8">
        <v>403</v>
      </c>
      <c r="O32" s="8">
        <v>407</v>
      </c>
      <c r="P32" s="8">
        <v>408</v>
      </c>
      <c r="Q32" s="9" t="s">
        <v>47</v>
      </c>
      <c r="R32" s="16"/>
      <c r="S32" s="10">
        <v>220</v>
      </c>
      <c r="T32" s="10">
        <v>134</v>
      </c>
      <c r="U32" s="10">
        <v>150</v>
      </c>
      <c r="V32" s="11">
        <v>62</v>
      </c>
      <c r="W32" s="12" t="s">
        <v>47</v>
      </c>
      <c r="X32" s="17"/>
      <c r="Y32" s="13">
        <v>68</v>
      </c>
      <c r="Z32" s="13">
        <v>0</v>
      </c>
      <c r="AA32" s="13">
        <v>47</v>
      </c>
      <c r="AB32" s="14">
        <v>52</v>
      </c>
      <c r="AC32" s="9"/>
      <c r="AD32" s="16"/>
      <c r="AE32" s="10"/>
      <c r="AF32" s="10"/>
      <c r="AG32" s="10"/>
      <c r="AH32" s="11"/>
      <c r="AI32" s="12"/>
      <c r="AJ32" s="17"/>
      <c r="AK32" s="13"/>
      <c r="AL32" s="13"/>
      <c r="AM32" s="13"/>
      <c r="AN32" s="14"/>
      <c r="AO32" s="9"/>
      <c r="AP32" s="16"/>
      <c r="AQ32" s="10"/>
      <c r="AR32" s="10"/>
      <c r="AS32" s="10"/>
      <c r="AT32" s="11"/>
      <c r="AU32" s="12"/>
      <c r="AV32" s="17"/>
      <c r="AW32" s="13"/>
      <c r="AX32" s="13"/>
      <c r="AY32" s="13"/>
      <c r="AZ32" s="14"/>
      <c r="BA32" s="9"/>
      <c r="BB32" s="16"/>
      <c r="BC32" s="10"/>
      <c r="BD32" s="10"/>
      <c r="BE32" s="10"/>
      <c r="BF32" s="11"/>
      <c r="BG32" s="12"/>
      <c r="BH32" s="17"/>
      <c r="BI32" s="13"/>
      <c r="BJ32" s="13"/>
      <c r="BK32" s="13"/>
      <c r="BL32" s="14"/>
      <c r="BM32" s="9"/>
      <c r="BN32" s="16"/>
      <c r="BO32" s="10"/>
      <c r="BP32" s="10"/>
      <c r="BQ32" s="10"/>
      <c r="BR32" s="11"/>
      <c r="BS32" s="12"/>
      <c r="BT32" s="17"/>
      <c r="BU32" s="13"/>
      <c r="BV32" s="13"/>
      <c r="BW32" s="13"/>
      <c r="BX32" s="14"/>
      <c r="BY32" s="8">
        <f t="shared" si="0"/>
        <v>288</v>
      </c>
      <c r="BZ32" s="8">
        <f t="shared" si="1"/>
        <v>134</v>
      </c>
      <c r="CA32" s="8">
        <f t="shared" si="2"/>
        <v>197</v>
      </c>
      <c r="CB32" s="8">
        <f t="shared" si="3"/>
        <v>114</v>
      </c>
      <c r="CC32" s="8">
        <f t="shared" si="4"/>
        <v>288</v>
      </c>
      <c r="CD32" s="8">
        <f t="shared" si="5"/>
        <v>134</v>
      </c>
      <c r="CE32" s="15">
        <f t="shared" si="6"/>
        <v>63.818649184023549</v>
      </c>
      <c r="CF32" s="15" t="str">
        <f t="shared" si="7"/>
        <v>OK - No Upgrade</v>
      </c>
      <c r="CG32" s="15" t="str">
        <f t="shared" si="8"/>
        <v>Need to Balance</v>
      </c>
    </row>
    <row r="33" spans="1:85" ht="15.75" customHeight="1" x14ac:dyDescent="0.25">
      <c r="A33" s="8" t="s">
        <v>1459</v>
      </c>
      <c r="B33" s="8" t="s">
        <v>1460</v>
      </c>
      <c r="C33" s="8" t="s">
        <v>512</v>
      </c>
      <c r="D33" s="8" t="s">
        <v>1527</v>
      </c>
      <c r="E33" s="8" t="s">
        <v>1528</v>
      </c>
      <c r="F33" s="8" t="s">
        <v>43</v>
      </c>
      <c r="G33" s="8" t="s">
        <v>44</v>
      </c>
      <c r="H33" s="8">
        <v>315</v>
      </c>
      <c r="I33" s="8" t="s">
        <v>1529</v>
      </c>
      <c r="J33" s="8">
        <v>1</v>
      </c>
      <c r="K33" s="8">
        <v>233</v>
      </c>
      <c r="L33" s="8">
        <v>234</v>
      </c>
      <c r="M33" s="8">
        <v>233</v>
      </c>
      <c r="N33" s="8">
        <v>403</v>
      </c>
      <c r="O33" s="8">
        <v>400</v>
      </c>
      <c r="P33" s="8">
        <v>402</v>
      </c>
      <c r="Q33" s="9" t="s">
        <v>46</v>
      </c>
      <c r="R33" s="16"/>
      <c r="S33" s="10">
        <v>53</v>
      </c>
      <c r="T33" s="10">
        <v>27</v>
      </c>
      <c r="U33" s="10">
        <v>48</v>
      </c>
      <c r="V33" s="11">
        <v>25</v>
      </c>
      <c r="W33" s="12" t="s">
        <v>46</v>
      </c>
      <c r="X33" s="17"/>
      <c r="Y33" s="13">
        <v>131</v>
      </c>
      <c r="Z33" s="13">
        <v>173</v>
      </c>
      <c r="AA33" s="13">
        <v>180</v>
      </c>
      <c r="AB33" s="14">
        <v>46</v>
      </c>
      <c r="AC33" s="9"/>
      <c r="AD33" s="16"/>
      <c r="AE33" s="10"/>
      <c r="AF33" s="10"/>
      <c r="AG33" s="10"/>
      <c r="AH33" s="11"/>
      <c r="AI33" s="12"/>
      <c r="AJ33" s="17"/>
      <c r="AK33" s="13"/>
      <c r="AL33" s="13"/>
      <c r="AM33" s="13"/>
      <c r="AN33" s="14"/>
      <c r="AO33" s="9"/>
      <c r="AP33" s="16"/>
      <c r="AQ33" s="10"/>
      <c r="AR33" s="10"/>
      <c r="AS33" s="10"/>
      <c r="AT33" s="11"/>
      <c r="AU33" s="12"/>
      <c r="AV33" s="17"/>
      <c r="AW33" s="13"/>
      <c r="AX33" s="13"/>
      <c r="AY33" s="13"/>
      <c r="AZ33" s="14"/>
      <c r="BA33" s="9"/>
      <c r="BB33" s="16"/>
      <c r="BC33" s="10"/>
      <c r="BD33" s="10"/>
      <c r="BE33" s="10"/>
      <c r="BF33" s="11"/>
      <c r="BG33" s="12"/>
      <c r="BH33" s="17"/>
      <c r="BI33" s="13"/>
      <c r="BJ33" s="13"/>
      <c r="BK33" s="13"/>
      <c r="BL33" s="14"/>
      <c r="BM33" s="9"/>
      <c r="BN33" s="16"/>
      <c r="BO33" s="10"/>
      <c r="BP33" s="10"/>
      <c r="BQ33" s="10"/>
      <c r="BR33" s="11"/>
      <c r="BS33" s="12"/>
      <c r="BT33" s="17"/>
      <c r="BU33" s="13"/>
      <c r="BV33" s="13"/>
      <c r="BW33" s="13"/>
      <c r="BX33" s="14"/>
      <c r="BY33" s="8">
        <f t="shared" si="0"/>
        <v>184</v>
      </c>
      <c r="BZ33" s="8">
        <f t="shared" si="1"/>
        <v>200</v>
      </c>
      <c r="CA33" s="8">
        <f t="shared" si="2"/>
        <v>228</v>
      </c>
      <c r="CB33" s="8">
        <f t="shared" si="3"/>
        <v>71</v>
      </c>
      <c r="CC33" s="8">
        <f t="shared" si="4"/>
        <v>228</v>
      </c>
      <c r="CD33" s="8">
        <f t="shared" si="5"/>
        <v>184</v>
      </c>
      <c r="CE33" s="15">
        <f t="shared" si="6"/>
        <v>50.523097270685305</v>
      </c>
      <c r="CF33" s="15" t="str">
        <f t="shared" si="7"/>
        <v>OK - No Upgrade</v>
      </c>
      <c r="CG33" s="15" t="str">
        <f t="shared" si="8"/>
        <v>Need to Balance</v>
      </c>
    </row>
    <row r="34" spans="1:85" ht="15.75" customHeight="1" x14ac:dyDescent="0.25">
      <c r="A34" s="8" t="s">
        <v>1459</v>
      </c>
      <c r="B34" s="8" t="s">
        <v>1460</v>
      </c>
      <c r="C34" s="8" t="s">
        <v>512</v>
      </c>
      <c r="D34" s="8" t="s">
        <v>1530</v>
      </c>
      <c r="E34" s="8" t="s">
        <v>1531</v>
      </c>
      <c r="F34" s="8" t="s">
        <v>43</v>
      </c>
      <c r="G34" s="8" t="s">
        <v>44</v>
      </c>
      <c r="H34" s="8">
        <v>315</v>
      </c>
      <c r="I34" s="8" t="s">
        <v>1532</v>
      </c>
      <c r="J34" s="8">
        <v>1</v>
      </c>
      <c r="K34" s="8">
        <v>250</v>
      </c>
      <c r="L34" s="8">
        <v>248</v>
      </c>
      <c r="M34" s="8">
        <v>248</v>
      </c>
      <c r="N34" s="8">
        <v>432</v>
      </c>
      <c r="O34" s="8">
        <v>431</v>
      </c>
      <c r="P34" s="8">
        <v>431</v>
      </c>
      <c r="Q34" s="9" t="s">
        <v>46</v>
      </c>
      <c r="R34" s="16"/>
      <c r="S34" s="10">
        <v>60</v>
      </c>
      <c r="T34" s="10">
        <v>87</v>
      </c>
      <c r="U34" s="10">
        <v>68</v>
      </c>
      <c r="V34" s="11">
        <v>35</v>
      </c>
      <c r="W34" s="12" t="s">
        <v>46</v>
      </c>
      <c r="X34" s="17"/>
      <c r="Y34" s="13">
        <v>0</v>
      </c>
      <c r="Z34" s="13">
        <v>0</v>
      </c>
      <c r="AA34" s="13">
        <v>0</v>
      </c>
      <c r="AB34" s="14">
        <v>0</v>
      </c>
      <c r="AC34" s="9"/>
      <c r="AD34" s="16"/>
      <c r="AE34" s="10"/>
      <c r="AF34" s="10"/>
      <c r="AG34" s="10"/>
      <c r="AH34" s="11"/>
      <c r="AI34" s="12"/>
      <c r="AJ34" s="17"/>
      <c r="AK34" s="13"/>
      <c r="AL34" s="13"/>
      <c r="AM34" s="13"/>
      <c r="AN34" s="14"/>
      <c r="AO34" s="9"/>
      <c r="AP34" s="16"/>
      <c r="AQ34" s="10"/>
      <c r="AR34" s="10"/>
      <c r="AS34" s="10"/>
      <c r="AT34" s="11"/>
      <c r="AU34" s="12"/>
      <c r="AV34" s="17"/>
      <c r="AW34" s="13"/>
      <c r="AX34" s="13"/>
      <c r="AY34" s="13"/>
      <c r="AZ34" s="14"/>
      <c r="BA34" s="9"/>
      <c r="BB34" s="16"/>
      <c r="BC34" s="10"/>
      <c r="BD34" s="10"/>
      <c r="BE34" s="10"/>
      <c r="BF34" s="11"/>
      <c r="BG34" s="12"/>
      <c r="BH34" s="17"/>
      <c r="BI34" s="13"/>
      <c r="BJ34" s="13"/>
      <c r="BK34" s="13"/>
      <c r="BL34" s="14"/>
      <c r="BM34" s="9"/>
      <c r="BN34" s="16"/>
      <c r="BO34" s="10"/>
      <c r="BP34" s="10"/>
      <c r="BQ34" s="10"/>
      <c r="BR34" s="11"/>
      <c r="BS34" s="12"/>
      <c r="BT34" s="17"/>
      <c r="BU34" s="13"/>
      <c r="BV34" s="13"/>
      <c r="BW34" s="13"/>
      <c r="BX34" s="14"/>
      <c r="BY34" s="8">
        <f t="shared" si="0"/>
        <v>60</v>
      </c>
      <c r="BZ34" s="8">
        <f t="shared" si="1"/>
        <v>87</v>
      </c>
      <c r="CA34" s="8">
        <f t="shared" si="2"/>
        <v>68</v>
      </c>
      <c r="CB34" s="8">
        <f t="shared" si="3"/>
        <v>35</v>
      </c>
      <c r="CC34" s="8">
        <f t="shared" si="4"/>
        <v>87</v>
      </c>
      <c r="CD34" s="8">
        <f t="shared" si="5"/>
        <v>60</v>
      </c>
      <c r="CE34" s="15">
        <f t="shared" si="6"/>
        <v>20.665840492593233</v>
      </c>
      <c r="CF34" s="15" t="str">
        <f t="shared" si="7"/>
        <v>OK - No Upgrade</v>
      </c>
      <c r="CG34" s="15" t="str">
        <f t="shared" si="8"/>
        <v>Need to Balance</v>
      </c>
    </row>
    <row r="35" spans="1:85" ht="15.75" customHeight="1" x14ac:dyDescent="0.25">
      <c r="A35" s="8" t="s">
        <v>1459</v>
      </c>
      <c r="B35" s="8" t="s">
        <v>1460</v>
      </c>
      <c r="C35" s="8" t="s">
        <v>512</v>
      </c>
      <c r="D35" s="8" t="s">
        <v>1533</v>
      </c>
      <c r="E35" s="8" t="s">
        <v>1534</v>
      </c>
      <c r="F35" s="8" t="s">
        <v>43</v>
      </c>
      <c r="G35" s="8" t="s">
        <v>44</v>
      </c>
      <c r="H35" s="8">
        <v>315</v>
      </c>
      <c r="I35" s="8" t="s">
        <v>1535</v>
      </c>
      <c r="J35" s="8">
        <v>1</v>
      </c>
      <c r="K35" s="8">
        <v>234</v>
      </c>
      <c r="L35" s="8">
        <v>236</v>
      </c>
      <c r="M35" s="8">
        <v>237</v>
      </c>
      <c r="N35" s="8">
        <v>404</v>
      </c>
      <c r="O35" s="8">
        <v>408</v>
      </c>
      <c r="P35" s="8">
        <v>407</v>
      </c>
      <c r="Q35" s="9" t="s">
        <v>46</v>
      </c>
      <c r="R35" s="16"/>
      <c r="S35" s="10">
        <v>182</v>
      </c>
      <c r="T35" s="10">
        <v>196</v>
      </c>
      <c r="U35" s="10">
        <v>131</v>
      </c>
      <c r="V35" s="11">
        <v>66</v>
      </c>
      <c r="W35" s="12" t="s">
        <v>46</v>
      </c>
      <c r="X35" s="17"/>
      <c r="Y35" s="13">
        <v>204</v>
      </c>
      <c r="Z35" s="13">
        <v>106</v>
      </c>
      <c r="AA35" s="13">
        <v>161</v>
      </c>
      <c r="AB35" s="14">
        <v>82</v>
      </c>
      <c r="AC35" s="9"/>
      <c r="AD35" s="16"/>
      <c r="AE35" s="10"/>
      <c r="AF35" s="10"/>
      <c r="AG35" s="10"/>
      <c r="AH35" s="11"/>
      <c r="AI35" s="12"/>
      <c r="AJ35" s="17"/>
      <c r="AK35" s="13"/>
      <c r="AL35" s="13"/>
      <c r="AM35" s="13"/>
      <c r="AN35" s="14"/>
      <c r="AO35" s="9"/>
      <c r="AP35" s="16"/>
      <c r="AQ35" s="10"/>
      <c r="AR35" s="10"/>
      <c r="AS35" s="10"/>
      <c r="AT35" s="11"/>
      <c r="AU35" s="12"/>
      <c r="AV35" s="17"/>
      <c r="AW35" s="13"/>
      <c r="AX35" s="13"/>
      <c r="AY35" s="13"/>
      <c r="AZ35" s="14"/>
      <c r="BA35" s="9"/>
      <c r="BB35" s="16"/>
      <c r="BC35" s="10"/>
      <c r="BD35" s="10"/>
      <c r="BE35" s="10"/>
      <c r="BF35" s="11"/>
      <c r="BG35" s="12"/>
      <c r="BH35" s="17"/>
      <c r="BI35" s="13"/>
      <c r="BJ35" s="13"/>
      <c r="BK35" s="13"/>
      <c r="BL35" s="14"/>
      <c r="BM35" s="9"/>
      <c r="BN35" s="16"/>
      <c r="BO35" s="10"/>
      <c r="BP35" s="10"/>
      <c r="BQ35" s="10"/>
      <c r="BR35" s="11"/>
      <c r="BS35" s="12"/>
      <c r="BT35" s="17"/>
      <c r="BU35" s="13"/>
      <c r="BV35" s="13"/>
      <c r="BW35" s="13"/>
      <c r="BX35" s="14"/>
      <c r="BY35" s="8">
        <f t="shared" si="0"/>
        <v>386</v>
      </c>
      <c r="BZ35" s="8">
        <f t="shared" si="1"/>
        <v>302</v>
      </c>
      <c r="CA35" s="8">
        <f t="shared" si="2"/>
        <v>292</v>
      </c>
      <c r="CB35" s="8">
        <f t="shared" si="3"/>
        <v>148</v>
      </c>
      <c r="CC35" s="8">
        <f t="shared" si="4"/>
        <v>386</v>
      </c>
      <c r="CD35" s="8">
        <f t="shared" si="5"/>
        <v>292</v>
      </c>
      <c r="CE35" s="15">
        <f t="shared" si="6"/>
        <v>85.746962265244747</v>
      </c>
      <c r="CF35" s="15" t="str">
        <f t="shared" si="7"/>
        <v>Upgrade</v>
      </c>
      <c r="CG35" s="15" t="str">
        <f t="shared" si="8"/>
        <v>Need to Balance</v>
      </c>
    </row>
    <row r="36" spans="1:85" ht="15.75" customHeight="1" x14ac:dyDescent="0.25">
      <c r="A36" s="8" t="s">
        <v>1459</v>
      </c>
      <c r="B36" s="8" t="s">
        <v>1460</v>
      </c>
      <c r="C36" s="8" t="s">
        <v>512</v>
      </c>
      <c r="D36" s="8" t="s">
        <v>1536</v>
      </c>
      <c r="E36" s="8" t="s">
        <v>1537</v>
      </c>
      <c r="F36" s="8" t="s">
        <v>43</v>
      </c>
      <c r="G36" s="8" t="s">
        <v>44</v>
      </c>
      <c r="H36" s="8">
        <v>100</v>
      </c>
      <c r="I36" s="8" t="s">
        <v>1538</v>
      </c>
      <c r="J36" s="8">
        <v>1</v>
      </c>
      <c r="K36" s="8">
        <v>241</v>
      </c>
      <c r="L36" s="8">
        <v>236</v>
      </c>
      <c r="M36" s="8">
        <v>240</v>
      </c>
      <c r="N36" s="8">
        <v>415</v>
      </c>
      <c r="O36" s="8">
        <v>417</v>
      </c>
      <c r="P36" s="8">
        <v>407</v>
      </c>
      <c r="Q36" s="9" t="s">
        <v>47</v>
      </c>
      <c r="R36" s="16"/>
      <c r="S36" s="10">
        <v>54</v>
      </c>
      <c r="T36" s="10">
        <v>134</v>
      </c>
      <c r="U36" s="10">
        <v>52</v>
      </c>
      <c r="V36" s="11">
        <v>70</v>
      </c>
      <c r="W36" s="12"/>
      <c r="X36" s="17"/>
      <c r="Y36" s="13"/>
      <c r="Z36" s="13"/>
      <c r="AA36" s="13"/>
      <c r="AB36" s="14"/>
      <c r="AC36" s="9"/>
      <c r="AD36" s="16"/>
      <c r="AE36" s="10"/>
      <c r="AF36" s="10"/>
      <c r="AG36" s="10"/>
      <c r="AH36" s="11"/>
      <c r="AI36" s="12"/>
      <c r="AJ36" s="17"/>
      <c r="AK36" s="13"/>
      <c r="AL36" s="13"/>
      <c r="AM36" s="13"/>
      <c r="AN36" s="14"/>
      <c r="AO36" s="9"/>
      <c r="AP36" s="16"/>
      <c r="AQ36" s="10"/>
      <c r="AR36" s="10"/>
      <c r="AS36" s="10"/>
      <c r="AT36" s="11"/>
      <c r="AU36" s="12"/>
      <c r="AV36" s="17"/>
      <c r="AW36" s="13"/>
      <c r="AX36" s="13"/>
      <c r="AY36" s="13"/>
      <c r="AZ36" s="14"/>
      <c r="BA36" s="9"/>
      <c r="BB36" s="16"/>
      <c r="BC36" s="10"/>
      <c r="BD36" s="10"/>
      <c r="BE36" s="10"/>
      <c r="BF36" s="11"/>
      <c r="BG36" s="12"/>
      <c r="BH36" s="17"/>
      <c r="BI36" s="13"/>
      <c r="BJ36" s="13"/>
      <c r="BK36" s="13"/>
      <c r="BL36" s="14"/>
      <c r="BM36" s="9"/>
      <c r="BN36" s="16"/>
      <c r="BO36" s="10"/>
      <c r="BP36" s="10"/>
      <c r="BQ36" s="10"/>
      <c r="BR36" s="11"/>
      <c r="BS36" s="12"/>
      <c r="BT36" s="17"/>
      <c r="BU36" s="13"/>
      <c r="BV36" s="13"/>
      <c r="BW36" s="13"/>
      <c r="BX36" s="14"/>
      <c r="BY36" s="8">
        <f t="shared" ref="BY36:BY67" si="9">SUM(S36,Y36,AE36,AK36,AQ36,AW36,BC36,BI36,BO36,BU36)</f>
        <v>54</v>
      </c>
      <c r="BZ36" s="8">
        <f t="shared" ref="BZ36:BZ67" si="10">SUM(T36,Z36,AF36,AL36,AR36,AX36,BD36,BJ36,BP36,BV36)</f>
        <v>134</v>
      </c>
      <c r="CA36" s="8">
        <f t="shared" ref="CA36:CA67" si="11">SUM(U36,AA36,AG36,AM36,AS36,AY36,BE36,BK36,BQ36,BW36)</f>
        <v>52</v>
      </c>
      <c r="CB36" s="8">
        <f t="shared" ref="CB36:CB67" si="12">SUM(V36,AB36,AH36,AN36,AT36,AZ36,BF36,BL36,BR36,BX36)</f>
        <v>70</v>
      </c>
      <c r="CC36" s="8">
        <f t="shared" ref="CC36:CC67" si="13">MAX(BY36:CA36)</f>
        <v>134</v>
      </c>
      <c r="CD36" s="8">
        <f t="shared" ref="CD36:CD67" si="14">MIN(BY36:CA36)</f>
        <v>52</v>
      </c>
      <c r="CE36" s="15">
        <f t="shared" ref="CE36:CE67" si="15">IF(H36&gt;0,(CC36*SQRT(3)*IF(N36&gt;0,N36,IF(O36&gt;0,O36,IF(P36&gt;0,P36,415)))/(H36*1000))*100,0)</f>
        <v>96.319345408905249</v>
      </c>
      <c r="CF36" s="15" t="str">
        <f t="shared" ref="CF36:CF67" si="16">IF(CE36&gt;70,"Upgrade","OK - No Upgrade")</f>
        <v>Upgrade</v>
      </c>
      <c r="CG36" s="15" t="str">
        <f t="shared" ref="CG36:CG67" si="17">IF(IF(AVERAGE(BY36:CA36)&gt;0,((CC36-AVERAGE(BY36:CA36))/AVERAGE(BY36:CA36))*100,0)&gt;10,"Need to Balance","OK - Balanced")</f>
        <v>Need to Balance</v>
      </c>
    </row>
    <row r="37" spans="1:85" ht="15.75" customHeight="1" x14ac:dyDescent="0.25">
      <c r="A37" s="8" t="s">
        <v>1459</v>
      </c>
      <c r="B37" s="8" t="s">
        <v>1460</v>
      </c>
      <c r="C37" s="8" t="s">
        <v>512</v>
      </c>
      <c r="D37" s="8" t="s">
        <v>1539</v>
      </c>
      <c r="E37" s="8" t="s">
        <v>1540</v>
      </c>
      <c r="F37" s="8" t="s">
        <v>43</v>
      </c>
      <c r="G37" s="8" t="s">
        <v>1077</v>
      </c>
      <c r="H37" s="8">
        <v>315</v>
      </c>
      <c r="I37" s="8" t="s">
        <v>1541</v>
      </c>
      <c r="J37" s="8">
        <v>1</v>
      </c>
      <c r="K37" s="8">
        <v>245</v>
      </c>
      <c r="L37" s="8">
        <v>244</v>
      </c>
      <c r="M37" s="8">
        <v>244</v>
      </c>
      <c r="N37" s="8">
        <v>423</v>
      </c>
      <c r="O37" s="8">
        <v>423</v>
      </c>
      <c r="P37" s="8">
        <v>423</v>
      </c>
      <c r="Q37" s="9" t="s">
        <v>47</v>
      </c>
      <c r="R37" s="16"/>
      <c r="S37" s="10">
        <v>149</v>
      </c>
      <c r="T37" s="10">
        <v>138</v>
      </c>
      <c r="U37" s="10">
        <v>127</v>
      </c>
      <c r="V37" s="11">
        <v>18</v>
      </c>
      <c r="W37" s="12" t="s">
        <v>47</v>
      </c>
      <c r="X37" s="17"/>
      <c r="Y37" s="13">
        <v>40</v>
      </c>
      <c r="Z37" s="13">
        <v>26</v>
      </c>
      <c r="AA37" s="13">
        <v>16</v>
      </c>
      <c r="AB37" s="14">
        <v>21</v>
      </c>
      <c r="AC37" s="9"/>
      <c r="AD37" s="16"/>
      <c r="AE37" s="10"/>
      <c r="AF37" s="10"/>
      <c r="AG37" s="10"/>
      <c r="AH37" s="11"/>
      <c r="AI37" s="12"/>
      <c r="AJ37" s="17"/>
      <c r="AK37" s="13"/>
      <c r="AL37" s="13"/>
      <c r="AM37" s="13"/>
      <c r="AN37" s="14"/>
      <c r="AO37" s="9"/>
      <c r="AP37" s="16"/>
      <c r="AQ37" s="10"/>
      <c r="AR37" s="10"/>
      <c r="AS37" s="10"/>
      <c r="AT37" s="11"/>
      <c r="AU37" s="12"/>
      <c r="AV37" s="17"/>
      <c r="AW37" s="13"/>
      <c r="AX37" s="13"/>
      <c r="AY37" s="13"/>
      <c r="AZ37" s="14"/>
      <c r="BA37" s="9"/>
      <c r="BB37" s="16"/>
      <c r="BC37" s="10"/>
      <c r="BD37" s="10"/>
      <c r="BE37" s="10"/>
      <c r="BF37" s="11"/>
      <c r="BG37" s="12"/>
      <c r="BH37" s="17"/>
      <c r="BI37" s="13"/>
      <c r="BJ37" s="13"/>
      <c r="BK37" s="13"/>
      <c r="BL37" s="14"/>
      <c r="BM37" s="9"/>
      <c r="BN37" s="16"/>
      <c r="BO37" s="10"/>
      <c r="BP37" s="10"/>
      <c r="BQ37" s="10"/>
      <c r="BR37" s="11"/>
      <c r="BS37" s="12"/>
      <c r="BT37" s="17"/>
      <c r="BU37" s="13"/>
      <c r="BV37" s="13"/>
      <c r="BW37" s="13"/>
      <c r="BX37" s="14"/>
      <c r="BY37" s="8">
        <f t="shared" si="9"/>
        <v>189</v>
      </c>
      <c r="BZ37" s="8">
        <f t="shared" si="10"/>
        <v>164</v>
      </c>
      <c r="CA37" s="8">
        <f t="shared" si="11"/>
        <v>143</v>
      </c>
      <c r="CB37" s="8">
        <f t="shared" si="12"/>
        <v>39</v>
      </c>
      <c r="CC37" s="8">
        <f t="shared" si="13"/>
        <v>189</v>
      </c>
      <c r="CD37" s="8">
        <f t="shared" si="14"/>
        <v>143</v>
      </c>
      <c r="CE37" s="15">
        <f t="shared" si="15"/>
        <v>43.959449496098109</v>
      </c>
      <c r="CF37" s="15" t="str">
        <f t="shared" si="16"/>
        <v>OK - No Upgrade</v>
      </c>
      <c r="CG37" s="15" t="str">
        <f t="shared" si="17"/>
        <v>Need to Balance</v>
      </c>
    </row>
    <row r="38" spans="1:85" ht="15.75" customHeight="1" x14ac:dyDescent="0.25">
      <c r="A38" s="8" t="s">
        <v>1459</v>
      </c>
      <c r="B38" s="8" t="s">
        <v>1460</v>
      </c>
      <c r="C38" s="8" t="s">
        <v>512</v>
      </c>
      <c r="D38" s="8" t="s">
        <v>1539</v>
      </c>
      <c r="E38" s="8" t="s">
        <v>1542</v>
      </c>
      <c r="F38" s="8" t="s">
        <v>56</v>
      </c>
      <c r="G38" s="8" t="s">
        <v>44</v>
      </c>
      <c r="H38" s="8">
        <v>1000</v>
      </c>
      <c r="I38" s="8" t="s">
        <v>1543</v>
      </c>
      <c r="J38" s="8">
        <v>1</v>
      </c>
      <c r="K38" s="8">
        <v>236</v>
      </c>
      <c r="L38" s="8">
        <v>236</v>
      </c>
      <c r="M38" s="8">
        <v>235</v>
      </c>
      <c r="N38" s="8">
        <v>408</v>
      </c>
      <c r="O38" s="8">
        <v>409</v>
      </c>
      <c r="P38" s="8">
        <v>407</v>
      </c>
      <c r="Q38" s="9"/>
      <c r="R38" s="16"/>
      <c r="S38" s="10"/>
      <c r="T38" s="10"/>
      <c r="U38" s="10"/>
      <c r="V38" s="11"/>
      <c r="W38" s="12"/>
      <c r="X38" s="17"/>
      <c r="Y38" s="13"/>
      <c r="Z38" s="13"/>
      <c r="AA38" s="13"/>
      <c r="AB38" s="14"/>
      <c r="AC38" s="9"/>
      <c r="AD38" s="16"/>
      <c r="AE38" s="10"/>
      <c r="AF38" s="10"/>
      <c r="AG38" s="10"/>
      <c r="AH38" s="11"/>
      <c r="AI38" s="12" t="s">
        <v>47</v>
      </c>
      <c r="AJ38" s="17"/>
      <c r="AK38" s="13">
        <v>83</v>
      </c>
      <c r="AL38" s="13">
        <v>48</v>
      </c>
      <c r="AM38" s="13">
        <v>55</v>
      </c>
      <c r="AN38" s="14">
        <v>26</v>
      </c>
      <c r="AO38" s="9" t="s">
        <v>47</v>
      </c>
      <c r="AP38" s="16"/>
      <c r="AQ38" s="10">
        <v>0</v>
      </c>
      <c r="AR38" s="10">
        <v>0</v>
      </c>
      <c r="AS38" s="10">
        <v>0</v>
      </c>
      <c r="AT38" s="11">
        <v>0</v>
      </c>
      <c r="AU38" s="12" t="s">
        <v>47</v>
      </c>
      <c r="AV38" s="17"/>
      <c r="AW38" s="13">
        <v>30</v>
      </c>
      <c r="AX38" s="13">
        <v>0</v>
      </c>
      <c r="AY38" s="13">
        <v>32</v>
      </c>
      <c r="AZ38" s="14">
        <v>25</v>
      </c>
      <c r="BA38" s="9"/>
      <c r="BB38" s="16"/>
      <c r="BC38" s="10"/>
      <c r="BD38" s="10"/>
      <c r="BE38" s="10"/>
      <c r="BF38" s="11"/>
      <c r="BG38" s="12"/>
      <c r="BH38" s="17"/>
      <c r="BI38" s="13"/>
      <c r="BJ38" s="13"/>
      <c r="BK38" s="13"/>
      <c r="BL38" s="14"/>
      <c r="BM38" s="9"/>
      <c r="BN38" s="16"/>
      <c r="BO38" s="10"/>
      <c r="BP38" s="10"/>
      <c r="BQ38" s="10"/>
      <c r="BR38" s="11"/>
      <c r="BS38" s="12"/>
      <c r="BT38" s="17"/>
      <c r="BU38" s="13"/>
      <c r="BV38" s="13"/>
      <c r="BW38" s="13"/>
      <c r="BX38" s="14"/>
      <c r="BY38" s="8">
        <f t="shared" si="9"/>
        <v>113</v>
      </c>
      <c r="BZ38" s="8">
        <f t="shared" si="10"/>
        <v>48</v>
      </c>
      <c r="CA38" s="8">
        <f t="shared" si="11"/>
        <v>87</v>
      </c>
      <c r="CB38" s="8">
        <f t="shared" si="12"/>
        <v>51</v>
      </c>
      <c r="CC38" s="8">
        <f t="shared" si="13"/>
        <v>113</v>
      </c>
      <c r="CD38" s="8">
        <f t="shared" si="14"/>
        <v>48</v>
      </c>
      <c r="CE38" s="15">
        <f t="shared" si="15"/>
        <v>7.9854470432155518</v>
      </c>
      <c r="CF38" s="15" t="str">
        <f t="shared" si="16"/>
        <v>OK - No Upgrade</v>
      </c>
      <c r="CG38" s="15" t="str">
        <f t="shared" si="17"/>
        <v>Need to Balance</v>
      </c>
    </row>
    <row r="39" spans="1:85" ht="15.75" customHeight="1" x14ac:dyDescent="0.25">
      <c r="A39" s="8" t="s">
        <v>1459</v>
      </c>
      <c r="B39" s="8" t="s">
        <v>1460</v>
      </c>
      <c r="C39" s="8" t="s">
        <v>512</v>
      </c>
      <c r="D39" s="8" t="s">
        <v>1544</v>
      </c>
      <c r="E39" s="8" t="s">
        <v>1545</v>
      </c>
      <c r="F39" s="8" t="s">
        <v>43</v>
      </c>
      <c r="G39" s="8"/>
      <c r="H39" s="8">
        <v>315</v>
      </c>
      <c r="I39" s="8" t="s">
        <v>1546</v>
      </c>
      <c r="J39" s="8">
        <v>1</v>
      </c>
      <c r="K39" s="8">
        <v>238</v>
      </c>
      <c r="L39" s="8">
        <v>237</v>
      </c>
      <c r="M39" s="8">
        <v>238</v>
      </c>
      <c r="N39" s="8">
        <v>412</v>
      </c>
      <c r="O39" s="8">
        <v>413</v>
      </c>
      <c r="P39" s="8">
        <v>412</v>
      </c>
      <c r="Q39" s="9" t="s">
        <v>46</v>
      </c>
      <c r="R39" s="16"/>
      <c r="S39" s="10">
        <v>22</v>
      </c>
      <c r="T39" s="10">
        <v>52</v>
      </c>
      <c r="U39" s="10">
        <v>58</v>
      </c>
      <c r="V39" s="11">
        <v>36</v>
      </c>
      <c r="W39" s="12" t="s">
        <v>46</v>
      </c>
      <c r="X39" s="17"/>
      <c r="Y39" s="13">
        <v>0</v>
      </c>
      <c r="Z39" s="13">
        <v>0</v>
      </c>
      <c r="AA39" s="13">
        <v>0</v>
      </c>
      <c r="AB39" s="14">
        <v>0</v>
      </c>
      <c r="AC39" s="9"/>
      <c r="AD39" s="16"/>
      <c r="AE39" s="10"/>
      <c r="AF39" s="10"/>
      <c r="AG39" s="10"/>
      <c r="AH39" s="11"/>
      <c r="AI39" s="12"/>
      <c r="AJ39" s="17"/>
      <c r="AK39" s="13"/>
      <c r="AL39" s="13"/>
      <c r="AM39" s="13"/>
      <c r="AN39" s="14"/>
      <c r="AO39" s="9"/>
      <c r="AP39" s="16"/>
      <c r="AQ39" s="10"/>
      <c r="AR39" s="10"/>
      <c r="AS39" s="10"/>
      <c r="AT39" s="11"/>
      <c r="AU39" s="12"/>
      <c r="AV39" s="17"/>
      <c r="AW39" s="13"/>
      <c r="AX39" s="13"/>
      <c r="AY39" s="13"/>
      <c r="AZ39" s="14"/>
      <c r="BA39" s="9"/>
      <c r="BB39" s="16"/>
      <c r="BC39" s="10"/>
      <c r="BD39" s="10"/>
      <c r="BE39" s="10"/>
      <c r="BF39" s="11"/>
      <c r="BG39" s="12"/>
      <c r="BH39" s="17"/>
      <c r="BI39" s="13"/>
      <c r="BJ39" s="13"/>
      <c r="BK39" s="13"/>
      <c r="BL39" s="14"/>
      <c r="BM39" s="9"/>
      <c r="BN39" s="16"/>
      <c r="BO39" s="10"/>
      <c r="BP39" s="10"/>
      <c r="BQ39" s="10"/>
      <c r="BR39" s="11"/>
      <c r="BS39" s="12"/>
      <c r="BT39" s="17"/>
      <c r="BU39" s="13"/>
      <c r="BV39" s="13"/>
      <c r="BW39" s="13"/>
      <c r="BX39" s="14"/>
      <c r="BY39" s="8">
        <f t="shared" si="9"/>
        <v>22</v>
      </c>
      <c r="BZ39" s="8">
        <f t="shared" si="10"/>
        <v>52</v>
      </c>
      <c r="CA39" s="8">
        <f t="shared" si="11"/>
        <v>58</v>
      </c>
      <c r="CB39" s="8">
        <f t="shared" si="12"/>
        <v>36</v>
      </c>
      <c r="CC39" s="8">
        <f t="shared" si="13"/>
        <v>58</v>
      </c>
      <c r="CD39" s="8">
        <f t="shared" si="14"/>
        <v>22</v>
      </c>
      <c r="CE39" s="15">
        <f t="shared" si="15"/>
        <v>13.139392411957424</v>
      </c>
      <c r="CF39" s="15" t="str">
        <f t="shared" si="16"/>
        <v>OK - No Upgrade</v>
      </c>
      <c r="CG39" s="15" t="str">
        <f t="shared" si="17"/>
        <v>Need to Balance</v>
      </c>
    </row>
    <row r="40" spans="1:85" ht="15.75" customHeight="1" x14ac:dyDescent="0.25">
      <c r="A40" s="8" t="s">
        <v>1459</v>
      </c>
      <c r="B40" s="8" t="s">
        <v>1460</v>
      </c>
      <c r="C40" s="8" t="s">
        <v>512</v>
      </c>
      <c r="D40" s="8" t="s">
        <v>1547</v>
      </c>
      <c r="E40" s="8" t="s">
        <v>1548</v>
      </c>
      <c r="F40" s="8" t="s">
        <v>43</v>
      </c>
      <c r="G40" s="8" t="s">
        <v>44</v>
      </c>
      <c r="H40" s="8">
        <v>315</v>
      </c>
      <c r="I40" s="8" t="s">
        <v>1549</v>
      </c>
      <c r="J40" s="8">
        <v>1</v>
      </c>
      <c r="K40" s="8">
        <v>238</v>
      </c>
      <c r="L40" s="8">
        <v>239</v>
      </c>
      <c r="M40" s="8">
        <v>238</v>
      </c>
      <c r="N40" s="8">
        <v>413</v>
      </c>
      <c r="O40" s="8">
        <v>414</v>
      </c>
      <c r="P40" s="8">
        <v>414</v>
      </c>
      <c r="Q40" s="9" t="s">
        <v>47</v>
      </c>
      <c r="R40" s="16"/>
      <c r="S40" s="10">
        <v>18</v>
      </c>
      <c r="T40" s="10">
        <v>20</v>
      </c>
      <c r="U40" s="10">
        <v>22</v>
      </c>
      <c r="V40" s="11">
        <v>0</v>
      </c>
      <c r="W40" s="12" t="s">
        <v>132</v>
      </c>
      <c r="X40" s="17"/>
      <c r="Y40" s="13">
        <v>0</v>
      </c>
      <c r="Z40" s="13">
        <v>0</v>
      </c>
      <c r="AA40" s="13">
        <v>0</v>
      </c>
      <c r="AB40" s="14">
        <v>0</v>
      </c>
      <c r="AC40" s="9"/>
      <c r="AD40" s="16"/>
      <c r="AE40" s="10"/>
      <c r="AF40" s="10"/>
      <c r="AG40" s="10"/>
      <c r="AH40" s="11"/>
      <c r="AI40" s="12"/>
      <c r="AJ40" s="17"/>
      <c r="AK40" s="13"/>
      <c r="AL40" s="13"/>
      <c r="AM40" s="13"/>
      <c r="AN40" s="14"/>
      <c r="AO40" s="9"/>
      <c r="AP40" s="16"/>
      <c r="AQ40" s="10"/>
      <c r="AR40" s="10"/>
      <c r="AS40" s="10"/>
      <c r="AT40" s="11"/>
      <c r="AU40" s="12"/>
      <c r="AV40" s="17"/>
      <c r="AW40" s="13"/>
      <c r="AX40" s="13"/>
      <c r="AY40" s="13"/>
      <c r="AZ40" s="14"/>
      <c r="BA40" s="9"/>
      <c r="BB40" s="16"/>
      <c r="BC40" s="10"/>
      <c r="BD40" s="10"/>
      <c r="BE40" s="10"/>
      <c r="BF40" s="11"/>
      <c r="BG40" s="12"/>
      <c r="BH40" s="17"/>
      <c r="BI40" s="13"/>
      <c r="BJ40" s="13"/>
      <c r="BK40" s="13"/>
      <c r="BL40" s="14"/>
      <c r="BM40" s="9"/>
      <c r="BN40" s="16"/>
      <c r="BO40" s="10"/>
      <c r="BP40" s="10"/>
      <c r="BQ40" s="10"/>
      <c r="BR40" s="11"/>
      <c r="BS40" s="12"/>
      <c r="BT40" s="17"/>
      <c r="BU40" s="13"/>
      <c r="BV40" s="13"/>
      <c r="BW40" s="13"/>
      <c r="BX40" s="14"/>
      <c r="BY40" s="8">
        <f t="shared" si="9"/>
        <v>18</v>
      </c>
      <c r="BZ40" s="8">
        <f t="shared" si="10"/>
        <v>20</v>
      </c>
      <c r="CA40" s="8">
        <f t="shared" si="11"/>
        <v>22</v>
      </c>
      <c r="CB40" s="8">
        <f t="shared" si="12"/>
        <v>0</v>
      </c>
      <c r="CC40" s="8">
        <f t="shared" si="13"/>
        <v>22</v>
      </c>
      <c r="CD40" s="8">
        <f t="shared" si="14"/>
        <v>18</v>
      </c>
      <c r="CE40" s="15">
        <f t="shared" si="15"/>
        <v>4.9960043293875618</v>
      </c>
      <c r="CF40" s="15" t="str">
        <f t="shared" si="16"/>
        <v>OK - No Upgrade</v>
      </c>
      <c r="CG40" s="15" t="str">
        <f t="shared" si="17"/>
        <v>OK - Balanced</v>
      </c>
    </row>
    <row r="41" spans="1:85" ht="15.75" customHeight="1" x14ac:dyDescent="0.25">
      <c r="A41" s="8" t="s">
        <v>1459</v>
      </c>
      <c r="B41" s="8" t="s">
        <v>1460</v>
      </c>
      <c r="C41" s="8" t="s">
        <v>512</v>
      </c>
      <c r="D41" s="8" t="s">
        <v>1550</v>
      </c>
      <c r="E41" s="8" t="s">
        <v>1551</v>
      </c>
      <c r="F41" s="8" t="s">
        <v>56</v>
      </c>
      <c r="G41" s="8" t="s">
        <v>44</v>
      </c>
      <c r="H41" s="8">
        <v>500</v>
      </c>
      <c r="I41" s="8" t="s">
        <v>1552</v>
      </c>
      <c r="J41" s="8">
        <v>1</v>
      </c>
      <c r="K41" s="8">
        <v>239</v>
      </c>
      <c r="L41" s="8">
        <v>239</v>
      </c>
      <c r="M41" s="8">
        <v>240</v>
      </c>
      <c r="N41" s="8">
        <v>413</v>
      </c>
      <c r="O41" s="8">
        <v>417</v>
      </c>
      <c r="P41" s="8">
        <v>415</v>
      </c>
      <c r="Q41" s="9" t="s">
        <v>47</v>
      </c>
      <c r="R41" s="16"/>
      <c r="S41" s="10">
        <v>138</v>
      </c>
      <c r="T41" s="10">
        <v>108</v>
      </c>
      <c r="U41" s="10">
        <v>151</v>
      </c>
      <c r="V41" s="11">
        <v>36</v>
      </c>
      <c r="W41" s="12" t="s">
        <v>47</v>
      </c>
      <c r="X41" s="17"/>
      <c r="Y41" s="13">
        <v>53</v>
      </c>
      <c r="Z41" s="13">
        <v>22</v>
      </c>
      <c r="AA41" s="13">
        <v>11</v>
      </c>
      <c r="AB41" s="14">
        <v>37</v>
      </c>
      <c r="AC41" s="9" t="s">
        <v>47</v>
      </c>
      <c r="AD41" s="16"/>
      <c r="AE41" s="10">
        <v>0</v>
      </c>
      <c r="AF41" s="10">
        <v>0</v>
      </c>
      <c r="AG41" s="10">
        <v>0</v>
      </c>
      <c r="AH41" s="11">
        <v>0</v>
      </c>
      <c r="AI41" s="12"/>
      <c r="AJ41" s="17"/>
      <c r="AK41" s="13"/>
      <c r="AL41" s="13"/>
      <c r="AM41" s="13"/>
      <c r="AN41" s="14"/>
      <c r="AO41" s="9"/>
      <c r="AP41" s="16"/>
      <c r="AQ41" s="10"/>
      <c r="AR41" s="10"/>
      <c r="AS41" s="10"/>
      <c r="AT41" s="11"/>
      <c r="AU41" s="12"/>
      <c r="AV41" s="17"/>
      <c r="AW41" s="13"/>
      <c r="AX41" s="13"/>
      <c r="AY41" s="13"/>
      <c r="AZ41" s="14"/>
      <c r="BA41" s="9"/>
      <c r="BB41" s="16"/>
      <c r="BC41" s="10"/>
      <c r="BD41" s="10"/>
      <c r="BE41" s="10"/>
      <c r="BF41" s="11"/>
      <c r="BG41" s="12"/>
      <c r="BH41" s="17"/>
      <c r="BI41" s="13"/>
      <c r="BJ41" s="13"/>
      <c r="BK41" s="13"/>
      <c r="BL41" s="14"/>
      <c r="BM41" s="9"/>
      <c r="BN41" s="16"/>
      <c r="BO41" s="10"/>
      <c r="BP41" s="10"/>
      <c r="BQ41" s="10"/>
      <c r="BR41" s="11"/>
      <c r="BS41" s="12"/>
      <c r="BT41" s="17"/>
      <c r="BU41" s="13"/>
      <c r="BV41" s="13"/>
      <c r="BW41" s="13"/>
      <c r="BX41" s="14"/>
      <c r="BY41" s="8">
        <f t="shared" si="9"/>
        <v>191</v>
      </c>
      <c r="BZ41" s="8">
        <f t="shared" si="10"/>
        <v>130</v>
      </c>
      <c r="CA41" s="8">
        <f t="shared" si="11"/>
        <v>162</v>
      </c>
      <c r="CB41" s="8">
        <f t="shared" si="12"/>
        <v>73</v>
      </c>
      <c r="CC41" s="8">
        <f t="shared" si="13"/>
        <v>191</v>
      </c>
      <c r="CD41" s="8">
        <f t="shared" si="14"/>
        <v>130</v>
      </c>
      <c r="CE41" s="15">
        <f t="shared" si="15"/>
        <v>27.325872770691152</v>
      </c>
      <c r="CF41" s="15" t="str">
        <f t="shared" si="16"/>
        <v>OK - No Upgrade</v>
      </c>
      <c r="CG41" s="15" t="str">
        <f t="shared" si="17"/>
        <v>Need to Balance</v>
      </c>
    </row>
    <row r="42" spans="1:85" ht="15.75" customHeight="1" x14ac:dyDescent="0.25">
      <c r="A42" s="8" t="s">
        <v>1459</v>
      </c>
      <c r="B42" s="8" t="s">
        <v>1460</v>
      </c>
      <c r="C42" s="8" t="s">
        <v>512</v>
      </c>
      <c r="D42" s="8" t="s">
        <v>1550</v>
      </c>
      <c r="E42" s="8" t="s">
        <v>1553</v>
      </c>
      <c r="F42" s="8" t="s">
        <v>43</v>
      </c>
      <c r="G42" s="8" t="s">
        <v>44</v>
      </c>
      <c r="H42" s="8">
        <v>100</v>
      </c>
      <c r="I42" s="8" t="s">
        <v>1554</v>
      </c>
      <c r="J42" s="8">
        <v>1</v>
      </c>
      <c r="K42" s="8">
        <v>227</v>
      </c>
      <c r="L42" s="8">
        <v>227</v>
      </c>
      <c r="M42" s="8">
        <v>228</v>
      </c>
      <c r="N42" s="8">
        <v>383</v>
      </c>
      <c r="O42" s="8">
        <v>383</v>
      </c>
      <c r="P42" s="8">
        <v>386</v>
      </c>
      <c r="Q42" s="9" t="s">
        <v>46</v>
      </c>
      <c r="R42" s="16"/>
      <c r="S42" s="10">
        <v>12</v>
      </c>
      <c r="T42" s="10">
        <v>0</v>
      </c>
      <c r="U42" s="10">
        <v>14</v>
      </c>
      <c r="V42" s="11">
        <v>14</v>
      </c>
      <c r="W42" s="12" t="s">
        <v>132</v>
      </c>
      <c r="X42" s="17"/>
      <c r="Y42" s="13">
        <v>16</v>
      </c>
      <c r="Z42" s="13">
        <v>0</v>
      </c>
      <c r="AA42" s="13">
        <v>0</v>
      </c>
      <c r="AB42" s="14">
        <v>14</v>
      </c>
      <c r="AC42" s="9"/>
      <c r="AD42" s="16"/>
      <c r="AE42" s="10"/>
      <c r="AF42" s="10"/>
      <c r="AG42" s="10"/>
      <c r="AH42" s="11"/>
      <c r="AI42" s="12"/>
      <c r="AJ42" s="17"/>
      <c r="AK42" s="13"/>
      <c r="AL42" s="13"/>
      <c r="AM42" s="13"/>
      <c r="AN42" s="14"/>
      <c r="AO42" s="9"/>
      <c r="AP42" s="16"/>
      <c r="AQ42" s="10"/>
      <c r="AR42" s="10"/>
      <c r="AS42" s="10"/>
      <c r="AT42" s="11"/>
      <c r="AU42" s="12"/>
      <c r="AV42" s="17"/>
      <c r="AW42" s="13"/>
      <c r="AX42" s="13"/>
      <c r="AY42" s="13"/>
      <c r="AZ42" s="14"/>
      <c r="BA42" s="9"/>
      <c r="BB42" s="16"/>
      <c r="BC42" s="10"/>
      <c r="BD42" s="10"/>
      <c r="BE42" s="10"/>
      <c r="BF42" s="11"/>
      <c r="BG42" s="12"/>
      <c r="BH42" s="17"/>
      <c r="BI42" s="13"/>
      <c r="BJ42" s="13"/>
      <c r="BK42" s="13"/>
      <c r="BL42" s="14"/>
      <c r="BM42" s="9"/>
      <c r="BN42" s="16"/>
      <c r="BO42" s="10"/>
      <c r="BP42" s="10"/>
      <c r="BQ42" s="10"/>
      <c r="BR42" s="11"/>
      <c r="BS42" s="12"/>
      <c r="BT42" s="17"/>
      <c r="BU42" s="13"/>
      <c r="BV42" s="13"/>
      <c r="BW42" s="13"/>
      <c r="BX42" s="14"/>
      <c r="BY42" s="8">
        <f t="shared" si="9"/>
        <v>28</v>
      </c>
      <c r="BZ42" s="8">
        <f t="shared" si="10"/>
        <v>0</v>
      </c>
      <c r="CA42" s="8">
        <f t="shared" si="11"/>
        <v>14</v>
      </c>
      <c r="CB42" s="8">
        <f t="shared" si="12"/>
        <v>28</v>
      </c>
      <c r="CC42" s="8">
        <f t="shared" si="13"/>
        <v>28</v>
      </c>
      <c r="CD42" s="8">
        <f t="shared" si="14"/>
        <v>0</v>
      </c>
      <c r="CE42" s="15">
        <f t="shared" si="15"/>
        <v>18.574512860368639</v>
      </c>
      <c r="CF42" s="15" t="str">
        <f t="shared" si="16"/>
        <v>OK - No Upgrade</v>
      </c>
      <c r="CG42" s="15" t="str">
        <f t="shared" si="17"/>
        <v>Need to Balance</v>
      </c>
    </row>
    <row r="43" spans="1:85" ht="15.75" customHeight="1" x14ac:dyDescent="0.25">
      <c r="A43" s="8" t="s">
        <v>1459</v>
      </c>
      <c r="B43" s="8" t="s">
        <v>1460</v>
      </c>
      <c r="C43" s="8" t="s">
        <v>512</v>
      </c>
      <c r="D43" s="8" t="s">
        <v>1550</v>
      </c>
      <c r="E43" s="8" t="s">
        <v>1555</v>
      </c>
      <c r="F43" s="8" t="s">
        <v>43</v>
      </c>
      <c r="G43" s="8" t="s">
        <v>44</v>
      </c>
      <c r="H43" s="8">
        <v>315</v>
      </c>
      <c r="I43" s="8" t="s">
        <v>1556</v>
      </c>
      <c r="J43" s="8">
        <v>1</v>
      </c>
      <c r="K43" s="8">
        <v>236</v>
      </c>
      <c r="L43" s="8">
        <v>235</v>
      </c>
      <c r="M43" s="8">
        <v>238</v>
      </c>
      <c r="N43" s="8">
        <v>406</v>
      </c>
      <c r="O43" s="8">
        <v>402</v>
      </c>
      <c r="P43" s="8">
        <v>408</v>
      </c>
      <c r="Q43" s="9" t="s">
        <v>46</v>
      </c>
      <c r="R43" s="16"/>
      <c r="S43" s="10">
        <v>65</v>
      </c>
      <c r="T43" s="10">
        <v>58</v>
      </c>
      <c r="U43" s="10">
        <v>67</v>
      </c>
      <c r="V43" s="11">
        <v>10</v>
      </c>
      <c r="W43" s="12" t="s">
        <v>47</v>
      </c>
      <c r="X43" s="17"/>
      <c r="Y43" s="13">
        <v>148</v>
      </c>
      <c r="Z43" s="13">
        <v>115</v>
      </c>
      <c r="AA43" s="13">
        <v>54</v>
      </c>
      <c r="AB43" s="14">
        <v>70</v>
      </c>
      <c r="AC43" s="9"/>
      <c r="AD43" s="16"/>
      <c r="AE43" s="10"/>
      <c r="AF43" s="10"/>
      <c r="AG43" s="10"/>
      <c r="AH43" s="11"/>
      <c r="AI43" s="12"/>
      <c r="AJ43" s="17"/>
      <c r="AK43" s="13"/>
      <c r="AL43" s="13"/>
      <c r="AM43" s="13"/>
      <c r="AN43" s="14"/>
      <c r="AO43" s="9"/>
      <c r="AP43" s="16"/>
      <c r="AQ43" s="10"/>
      <c r="AR43" s="10"/>
      <c r="AS43" s="10"/>
      <c r="AT43" s="11"/>
      <c r="AU43" s="12"/>
      <c r="AV43" s="17"/>
      <c r="AW43" s="13"/>
      <c r="AX43" s="13"/>
      <c r="AY43" s="13"/>
      <c r="AZ43" s="14"/>
      <c r="BA43" s="9"/>
      <c r="BB43" s="16"/>
      <c r="BC43" s="10"/>
      <c r="BD43" s="10"/>
      <c r="BE43" s="10"/>
      <c r="BF43" s="11"/>
      <c r="BG43" s="12"/>
      <c r="BH43" s="17"/>
      <c r="BI43" s="13"/>
      <c r="BJ43" s="13"/>
      <c r="BK43" s="13"/>
      <c r="BL43" s="14"/>
      <c r="BM43" s="9"/>
      <c r="BN43" s="16"/>
      <c r="BO43" s="10"/>
      <c r="BP43" s="10"/>
      <c r="BQ43" s="10"/>
      <c r="BR43" s="11"/>
      <c r="BS43" s="12"/>
      <c r="BT43" s="17"/>
      <c r="BU43" s="13"/>
      <c r="BV43" s="13"/>
      <c r="BW43" s="13"/>
      <c r="BX43" s="14"/>
      <c r="BY43" s="8">
        <f t="shared" si="9"/>
        <v>213</v>
      </c>
      <c r="BZ43" s="8">
        <f t="shared" si="10"/>
        <v>173</v>
      </c>
      <c r="CA43" s="8">
        <f t="shared" si="11"/>
        <v>121</v>
      </c>
      <c r="CB43" s="8">
        <f t="shared" si="12"/>
        <v>80</v>
      </c>
      <c r="CC43" s="8">
        <f t="shared" si="13"/>
        <v>213</v>
      </c>
      <c r="CD43" s="8">
        <f t="shared" si="14"/>
        <v>121</v>
      </c>
      <c r="CE43" s="15">
        <f t="shared" si="15"/>
        <v>47.550568170457566</v>
      </c>
      <c r="CF43" s="15" t="str">
        <f t="shared" si="16"/>
        <v>OK - No Upgrade</v>
      </c>
      <c r="CG43" s="15" t="str">
        <f t="shared" si="17"/>
        <v>Need to Balance</v>
      </c>
    </row>
    <row r="44" spans="1:85" ht="15.75" customHeight="1" x14ac:dyDescent="0.25">
      <c r="A44" s="8" t="s">
        <v>1459</v>
      </c>
      <c r="B44" s="8" t="s">
        <v>1460</v>
      </c>
      <c r="C44" s="8" t="s">
        <v>512</v>
      </c>
      <c r="D44" s="8" t="s">
        <v>1557</v>
      </c>
      <c r="E44" s="8" t="s">
        <v>1558</v>
      </c>
      <c r="F44" s="8" t="s">
        <v>43</v>
      </c>
      <c r="G44" s="8" t="s">
        <v>44</v>
      </c>
      <c r="H44" s="8">
        <v>315</v>
      </c>
      <c r="I44" s="8" t="s">
        <v>1559</v>
      </c>
      <c r="J44" s="8">
        <v>1</v>
      </c>
      <c r="K44" s="8">
        <v>235</v>
      </c>
      <c r="L44" s="8">
        <v>234</v>
      </c>
      <c r="M44" s="8">
        <v>236</v>
      </c>
      <c r="N44" s="8">
        <v>404</v>
      </c>
      <c r="O44" s="8">
        <v>408</v>
      </c>
      <c r="P44" s="8">
        <v>409</v>
      </c>
      <c r="Q44" s="9" t="s">
        <v>47</v>
      </c>
      <c r="R44" s="16"/>
      <c r="S44" s="10">
        <v>37</v>
      </c>
      <c r="T44" s="10">
        <v>0</v>
      </c>
      <c r="U44" s="10">
        <v>23</v>
      </c>
      <c r="V44" s="11">
        <v>31</v>
      </c>
      <c r="W44" s="12" t="s">
        <v>47</v>
      </c>
      <c r="X44" s="17"/>
      <c r="Y44" s="13">
        <v>184</v>
      </c>
      <c r="Z44" s="13">
        <v>129</v>
      </c>
      <c r="AA44" s="13">
        <v>124</v>
      </c>
      <c r="AB44" s="14">
        <v>53</v>
      </c>
      <c r="AC44" s="9"/>
      <c r="AD44" s="16"/>
      <c r="AE44" s="10"/>
      <c r="AF44" s="10"/>
      <c r="AG44" s="10"/>
      <c r="AH44" s="11"/>
      <c r="AI44" s="12"/>
      <c r="AJ44" s="17"/>
      <c r="AK44" s="13"/>
      <c r="AL44" s="13"/>
      <c r="AM44" s="13"/>
      <c r="AN44" s="14"/>
      <c r="AO44" s="9"/>
      <c r="AP44" s="16"/>
      <c r="AQ44" s="10"/>
      <c r="AR44" s="10"/>
      <c r="AS44" s="10"/>
      <c r="AT44" s="11"/>
      <c r="AU44" s="12"/>
      <c r="AV44" s="17"/>
      <c r="AW44" s="13"/>
      <c r="AX44" s="13"/>
      <c r="AY44" s="13"/>
      <c r="AZ44" s="14"/>
      <c r="BA44" s="9"/>
      <c r="BB44" s="16"/>
      <c r="BC44" s="10"/>
      <c r="BD44" s="10"/>
      <c r="BE44" s="10"/>
      <c r="BF44" s="11"/>
      <c r="BG44" s="12"/>
      <c r="BH44" s="17"/>
      <c r="BI44" s="13"/>
      <c r="BJ44" s="13"/>
      <c r="BK44" s="13"/>
      <c r="BL44" s="14"/>
      <c r="BM44" s="9"/>
      <c r="BN44" s="16"/>
      <c r="BO44" s="10"/>
      <c r="BP44" s="10"/>
      <c r="BQ44" s="10"/>
      <c r="BR44" s="11"/>
      <c r="BS44" s="12"/>
      <c r="BT44" s="17"/>
      <c r="BU44" s="13"/>
      <c r="BV44" s="13"/>
      <c r="BW44" s="13"/>
      <c r="BX44" s="14"/>
      <c r="BY44" s="8">
        <f t="shared" si="9"/>
        <v>221</v>
      </c>
      <c r="BZ44" s="8">
        <f t="shared" si="10"/>
        <v>129</v>
      </c>
      <c r="CA44" s="8">
        <f t="shared" si="11"/>
        <v>147</v>
      </c>
      <c r="CB44" s="8">
        <f t="shared" si="12"/>
        <v>84</v>
      </c>
      <c r="CC44" s="8">
        <f t="shared" si="13"/>
        <v>221</v>
      </c>
      <c r="CD44" s="8">
        <f t="shared" si="14"/>
        <v>129</v>
      </c>
      <c r="CE44" s="15">
        <f t="shared" si="15"/>
        <v>49.093468032691945</v>
      </c>
      <c r="CF44" s="15" t="str">
        <f t="shared" si="16"/>
        <v>OK - No Upgrade</v>
      </c>
      <c r="CG44" s="15" t="str">
        <f t="shared" si="17"/>
        <v>Need to Balance</v>
      </c>
    </row>
    <row r="45" spans="1:85" ht="15.75" customHeight="1" x14ac:dyDescent="0.25">
      <c r="A45" s="8" t="s">
        <v>1459</v>
      </c>
      <c r="B45" s="8" t="s">
        <v>1460</v>
      </c>
      <c r="C45" s="8" t="s">
        <v>512</v>
      </c>
      <c r="D45" s="8" t="s">
        <v>1560</v>
      </c>
      <c r="E45" s="8" t="s">
        <v>1561</v>
      </c>
      <c r="F45" s="8" t="s">
        <v>56</v>
      </c>
      <c r="G45" s="8" t="s">
        <v>44</v>
      </c>
      <c r="H45" s="8">
        <v>1000</v>
      </c>
      <c r="I45" s="8" t="s">
        <v>1562</v>
      </c>
      <c r="J45" s="8">
        <v>1</v>
      </c>
      <c r="K45" s="8">
        <v>238</v>
      </c>
      <c r="L45" s="8">
        <v>237</v>
      </c>
      <c r="M45" s="8">
        <v>239</v>
      </c>
      <c r="N45" s="8">
        <v>411</v>
      </c>
      <c r="O45" s="8">
        <v>413</v>
      </c>
      <c r="P45" s="8">
        <v>412</v>
      </c>
      <c r="Q45" s="9" t="s">
        <v>47</v>
      </c>
      <c r="R45" s="16"/>
      <c r="S45" s="10">
        <v>36</v>
      </c>
      <c r="T45" s="10">
        <v>22</v>
      </c>
      <c r="U45" s="10">
        <v>48</v>
      </c>
      <c r="V45" s="11">
        <v>21</v>
      </c>
      <c r="W45" s="12" t="s">
        <v>47</v>
      </c>
      <c r="X45" s="17"/>
      <c r="Y45" s="13">
        <v>11</v>
      </c>
      <c r="Z45" s="13">
        <v>57</v>
      </c>
      <c r="AA45" s="13">
        <v>20</v>
      </c>
      <c r="AB45" s="14">
        <v>33</v>
      </c>
      <c r="AC45" s="9"/>
      <c r="AD45" s="16"/>
      <c r="AE45" s="10"/>
      <c r="AF45" s="10"/>
      <c r="AG45" s="10"/>
      <c r="AH45" s="11"/>
      <c r="AI45" s="12"/>
      <c r="AJ45" s="17"/>
      <c r="AK45" s="13"/>
      <c r="AL45" s="13"/>
      <c r="AM45" s="13"/>
      <c r="AN45" s="14"/>
      <c r="AO45" s="9"/>
      <c r="AP45" s="16"/>
      <c r="AQ45" s="10"/>
      <c r="AR45" s="10"/>
      <c r="AS45" s="10"/>
      <c r="AT45" s="11"/>
      <c r="AU45" s="12"/>
      <c r="AV45" s="17"/>
      <c r="AW45" s="13"/>
      <c r="AX45" s="13"/>
      <c r="AY45" s="13"/>
      <c r="AZ45" s="14"/>
      <c r="BA45" s="9"/>
      <c r="BB45" s="16"/>
      <c r="BC45" s="10"/>
      <c r="BD45" s="10"/>
      <c r="BE45" s="10"/>
      <c r="BF45" s="11"/>
      <c r="BG45" s="12"/>
      <c r="BH45" s="17"/>
      <c r="BI45" s="13"/>
      <c r="BJ45" s="13"/>
      <c r="BK45" s="13"/>
      <c r="BL45" s="14"/>
      <c r="BM45" s="9"/>
      <c r="BN45" s="16"/>
      <c r="BO45" s="10"/>
      <c r="BP45" s="10"/>
      <c r="BQ45" s="10"/>
      <c r="BR45" s="11"/>
      <c r="BS45" s="12"/>
      <c r="BT45" s="17"/>
      <c r="BU45" s="13"/>
      <c r="BV45" s="13"/>
      <c r="BW45" s="13"/>
      <c r="BX45" s="14"/>
      <c r="BY45" s="8">
        <f t="shared" si="9"/>
        <v>47</v>
      </c>
      <c r="BZ45" s="8">
        <f t="shared" si="10"/>
        <v>79</v>
      </c>
      <c r="CA45" s="8">
        <f t="shared" si="11"/>
        <v>68</v>
      </c>
      <c r="CB45" s="8">
        <f t="shared" si="12"/>
        <v>54</v>
      </c>
      <c r="CC45" s="8">
        <f t="shared" si="13"/>
        <v>79</v>
      </c>
      <c r="CD45" s="8">
        <f t="shared" si="14"/>
        <v>47</v>
      </c>
      <c r="CE45" s="15">
        <f t="shared" si="15"/>
        <v>5.6237957670953875</v>
      </c>
      <c r="CF45" s="15" t="str">
        <f t="shared" si="16"/>
        <v>OK - No Upgrade</v>
      </c>
      <c r="CG45" s="15" t="str">
        <f t="shared" si="17"/>
        <v>Need to Balance</v>
      </c>
    </row>
    <row r="46" spans="1:85" ht="15.75" customHeight="1" x14ac:dyDescent="0.25">
      <c r="A46" s="8" t="s">
        <v>1459</v>
      </c>
      <c r="B46" s="8" t="s">
        <v>1460</v>
      </c>
      <c r="C46" s="8" t="s">
        <v>389</v>
      </c>
      <c r="D46" s="8" t="s">
        <v>1563</v>
      </c>
      <c r="E46" s="8" t="s">
        <v>1564</v>
      </c>
      <c r="F46" s="8" t="s">
        <v>43</v>
      </c>
      <c r="G46" s="8"/>
      <c r="H46" s="8">
        <v>100</v>
      </c>
      <c r="I46" s="8" t="s">
        <v>1565</v>
      </c>
      <c r="J46" s="8">
        <v>1</v>
      </c>
      <c r="K46" s="8">
        <v>243</v>
      </c>
      <c r="L46" s="8">
        <v>242</v>
      </c>
      <c r="M46" s="8">
        <v>242</v>
      </c>
      <c r="N46" s="8">
        <v>420</v>
      </c>
      <c r="O46" s="8">
        <v>422</v>
      </c>
      <c r="P46" s="8">
        <v>423</v>
      </c>
      <c r="Q46" s="9" t="s">
        <v>46</v>
      </c>
      <c r="R46" s="16"/>
      <c r="S46" s="10">
        <v>0</v>
      </c>
      <c r="T46" s="10">
        <v>0</v>
      </c>
      <c r="U46" s="10">
        <v>0</v>
      </c>
      <c r="V46" s="11">
        <v>0</v>
      </c>
      <c r="W46" s="12"/>
      <c r="X46" s="17"/>
      <c r="Y46" s="13"/>
      <c r="Z46" s="13"/>
      <c r="AA46" s="13"/>
      <c r="AB46" s="14"/>
      <c r="AC46" s="9"/>
      <c r="AD46" s="16"/>
      <c r="AE46" s="10"/>
      <c r="AF46" s="10"/>
      <c r="AG46" s="10"/>
      <c r="AH46" s="11"/>
      <c r="AI46" s="12"/>
      <c r="AJ46" s="17"/>
      <c r="AK46" s="13"/>
      <c r="AL46" s="13"/>
      <c r="AM46" s="13"/>
      <c r="AN46" s="14"/>
      <c r="AO46" s="9"/>
      <c r="AP46" s="16"/>
      <c r="AQ46" s="10"/>
      <c r="AR46" s="10"/>
      <c r="AS46" s="10"/>
      <c r="AT46" s="11"/>
      <c r="AU46" s="12"/>
      <c r="AV46" s="17"/>
      <c r="AW46" s="13"/>
      <c r="AX46" s="13"/>
      <c r="AY46" s="13"/>
      <c r="AZ46" s="14"/>
      <c r="BA46" s="9"/>
      <c r="BB46" s="16"/>
      <c r="BC46" s="10"/>
      <c r="BD46" s="10"/>
      <c r="BE46" s="10"/>
      <c r="BF46" s="11"/>
      <c r="BG46" s="12"/>
      <c r="BH46" s="17"/>
      <c r="BI46" s="13"/>
      <c r="BJ46" s="13"/>
      <c r="BK46" s="13"/>
      <c r="BL46" s="14"/>
      <c r="BM46" s="9"/>
      <c r="BN46" s="16"/>
      <c r="BO46" s="10"/>
      <c r="BP46" s="10"/>
      <c r="BQ46" s="10"/>
      <c r="BR46" s="11"/>
      <c r="BS46" s="12"/>
      <c r="BT46" s="17"/>
      <c r="BU46" s="13"/>
      <c r="BV46" s="13"/>
      <c r="BW46" s="13"/>
      <c r="BX46" s="14"/>
      <c r="BY46" s="8">
        <f t="shared" si="9"/>
        <v>0</v>
      </c>
      <c r="BZ46" s="8">
        <f t="shared" si="10"/>
        <v>0</v>
      </c>
      <c r="CA46" s="8">
        <f t="shared" si="11"/>
        <v>0</v>
      </c>
      <c r="CB46" s="8">
        <f t="shared" si="12"/>
        <v>0</v>
      </c>
      <c r="CC46" s="8">
        <f t="shared" si="13"/>
        <v>0</v>
      </c>
      <c r="CD46" s="8">
        <f t="shared" si="14"/>
        <v>0</v>
      </c>
      <c r="CE46" s="15">
        <f t="shared" si="15"/>
        <v>0</v>
      </c>
      <c r="CF46" s="15" t="str">
        <f t="shared" si="16"/>
        <v>OK - No Upgrade</v>
      </c>
      <c r="CG46" s="15" t="str">
        <f t="shared" si="17"/>
        <v>OK - Balanced</v>
      </c>
    </row>
    <row r="47" spans="1:85" ht="15.75" customHeight="1" x14ac:dyDescent="0.25">
      <c r="A47" s="8" t="s">
        <v>1459</v>
      </c>
      <c r="B47" s="8" t="s">
        <v>1460</v>
      </c>
      <c r="C47" s="8" t="s">
        <v>389</v>
      </c>
      <c r="D47" s="8" t="s">
        <v>1566</v>
      </c>
      <c r="E47" s="8" t="s">
        <v>1567</v>
      </c>
      <c r="F47" s="8" t="s">
        <v>43</v>
      </c>
      <c r="G47" s="8"/>
      <c r="H47" s="8">
        <v>100</v>
      </c>
      <c r="I47" s="8" t="s">
        <v>1568</v>
      </c>
      <c r="J47" s="8">
        <v>1</v>
      </c>
      <c r="K47" s="8">
        <v>244</v>
      </c>
      <c r="L47" s="8">
        <v>243</v>
      </c>
      <c r="M47" s="8">
        <v>224</v>
      </c>
      <c r="N47" s="8">
        <v>423</v>
      </c>
      <c r="O47" s="8">
        <v>426</v>
      </c>
      <c r="P47" s="8">
        <v>423</v>
      </c>
      <c r="Q47" s="9" t="s">
        <v>46</v>
      </c>
      <c r="R47" s="16"/>
      <c r="S47" s="10">
        <v>0</v>
      </c>
      <c r="T47" s="10">
        <v>0</v>
      </c>
      <c r="U47" s="10">
        <v>0</v>
      </c>
      <c r="V47" s="11">
        <v>0</v>
      </c>
      <c r="W47" s="12"/>
      <c r="X47" s="17"/>
      <c r="Y47" s="13"/>
      <c r="Z47" s="13"/>
      <c r="AA47" s="13"/>
      <c r="AB47" s="14"/>
      <c r="AC47" s="9"/>
      <c r="AD47" s="16"/>
      <c r="AE47" s="10"/>
      <c r="AF47" s="10"/>
      <c r="AG47" s="10"/>
      <c r="AH47" s="11"/>
      <c r="AI47" s="12"/>
      <c r="AJ47" s="17"/>
      <c r="AK47" s="13"/>
      <c r="AL47" s="13"/>
      <c r="AM47" s="13"/>
      <c r="AN47" s="14"/>
      <c r="AO47" s="9"/>
      <c r="AP47" s="16"/>
      <c r="AQ47" s="10"/>
      <c r="AR47" s="10"/>
      <c r="AS47" s="10"/>
      <c r="AT47" s="11"/>
      <c r="AU47" s="12"/>
      <c r="AV47" s="17"/>
      <c r="AW47" s="13"/>
      <c r="AX47" s="13"/>
      <c r="AY47" s="13"/>
      <c r="AZ47" s="14"/>
      <c r="BA47" s="9"/>
      <c r="BB47" s="16"/>
      <c r="BC47" s="10"/>
      <c r="BD47" s="10"/>
      <c r="BE47" s="10"/>
      <c r="BF47" s="11"/>
      <c r="BG47" s="12"/>
      <c r="BH47" s="17"/>
      <c r="BI47" s="13"/>
      <c r="BJ47" s="13"/>
      <c r="BK47" s="13"/>
      <c r="BL47" s="14"/>
      <c r="BM47" s="9"/>
      <c r="BN47" s="16"/>
      <c r="BO47" s="10"/>
      <c r="BP47" s="10"/>
      <c r="BQ47" s="10"/>
      <c r="BR47" s="11"/>
      <c r="BS47" s="12"/>
      <c r="BT47" s="17"/>
      <c r="BU47" s="13"/>
      <c r="BV47" s="13"/>
      <c r="BW47" s="13"/>
      <c r="BX47" s="14"/>
      <c r="BY47" s="8">
        <f t="shared" si="9"/>
        <v>0</v>
      </c>
      <c r="BZ47" s="8">
        <f t="shared" si="10"/>
        <v>0</v>
      </c>
      <c r="CA47" s="8">
        <f t="shared" si="11"/>
        <v>0</v>
      </c>
      <c r="CB47" s="8">
        <f t="shared" si="12"/>
        <v>0</v>
      </c>
      <c r="CC47" s="8">
        <f t="shared" si="13"/>
        <v>0</v>
      </c>
      <c r="CD47" s="8">
        <f t="shared" si="14"/>
        <v>0</v>
      </c>
      <c r="CE47" s="15">
        <f t="shared" si="15"/>
        <v>0</v>
      </c>
      <c r="CF47" s="15" t="str">
        <f t="shared" si="16"/>
        <v>OK - No Upgrade</v>
      </c>
      <c r="CG47" s="15" t="str">
        <f t="shared" si="17"/>
        <v>OK - Balanced</v>
      </c>
    </row>
    <row r="48" spans="1:85" ht="15.75" customHeight="1" x14ac:dyDescent="0.25">
      <c r="A48" s="8" t="s">
        <v>1459</v>
      </c>
      <c r="B48" s="8" t="s">
        <v>1460</v>
      </c>
      <c r="C48" s="8" t="s">
        <v>389</v>
      </c>
      <c r="D48" s="8" t="s">
        <v>1569</v>
      </c>
      <c r="E48" s="8" t="s">
        <v>1570</v>
      </c>
      <c r="F48" s="8" t="s">
        <v>43</v>
      </c>
      <c r="G48" s="8"/>
      <c r="H48" s="8">
        <v>100</v>
      </c>
      <c r="I48" s="8" t="s">
        <v>1571</v>
      </c>
      <c r="J48" s="8">
        <v>1</v>
      </c>
      <c r="K48" s="8">
        <v>242</v>
      </c>
      <c r="L48" s="8">
        <v>241</v>
      </c>
      <c r="M48" s="8">
        <v>240</v>
      </c>
      <c r="N48" s="8">
        <v>424</v>
      </c>
      <c r="O48" s="8">
        <v>421</v>
      </c>
      <c r="P48" s="8">
        <v>424</v>
      </c>
      <c r="Q48" s="9" t="s">
        <v>46</v>
      </c>
      <c r="R48" s="16"/>
      <c r="S48" s="10">
        <v>0</v>
      </c>
      <c r="T48" s="10">
        <v>0</v>
      </c>
      <c r="U48" s="10">
        <v>4</v>
      </c>
      <c r="V48" s="11">
        <v>0</v>
      </c>
      <c r="W48" s="12"/>
      <c r="X48" s="17"/>
      <c r="Y48" s="13"/>
      <c r="Z48" s="13"/>
      <c r="AA48" s="13"/>
      <c r="AB48" s="14"/>
      <c r="AC48" s="9"/>
      <c r="AD48" s="16"/>
      <c r="AE48" s="10"/>
      <c r="AF48" s="10"/>
      <c r="AG48" s="10"/>
      <c r="AH48" s="11"/>
      <c r="AI48" s="12"/>
      <c r="AJ48" s="17"/>
      <c r="AK48" s="13"/>
      <c r="AL48" s="13"/>
      <c r="AM48" s="13"/>
      <c r="AN48" s="14"/>
      <c r="AO48" s="9"/>
      <c r="AP48" s="16"/>
      <c r="AQ48" s="10"/>
      <c r="AR48" s="10"/>
      <c r="AS48" s="10"/>
      <c r="AT48" s="11"/>
      <c r="AU48" s="12"/>
      <c r="AV48" s="17"/>
      <c r="AW48" s="13"/>
      <c r="AX48" s="13"/>
      <c r="AY48" s="13"/>
      <c r="AZ48" s="14"/>
      <c r="BA48" s="9"/>
      <c r="BB48" s="16"/>
      <c r="BC48" s="10"/>
      <c r="BD48" s="10"/>
      <c r="BE48" s="10"/>
      <c r="BF48" s="11"/>
      <c r="BG48" s="12"/>
      <c r="BH48" s="17"/>
      <c r="BI48" s="13"/>
      <c r="BJ48" s="13"/>
      <c r="BK48" s="13"/>
      <c r="BL48" s="14"/>
      <c r="BM48" s="9"/>
      <c r="BN48" s="16"/>
      <c r="BO48" s="10"/>
      <c r="BP48" s="10"/>
      <c r="BQ48" s="10"/>
      <c r="BR48" s="11"/>
      <c r="BS48" s="12"/>
      <c r="BT48" s="17"/>
      <c r="BU48" s="13"/>
      <c r="BV48" s="13"/>
      <c r="BW48" s="13"/>
      <c r="BX48" s="14"/>
      <c r="BY48" s="8">
        <f t="shared" si="9"/>
        <v>0</v>
      </c>
      <c r="BZ48" s="8">
        <f t="shared" si="10"/>
        <v>0</v>
      </c>
      <c r="CA48" s="8">
        <f t="shared" si="11"/>
        <v>4</v>
      </c>
      <c r="CB48" s="8">
        <f t="shared" si="12"/>
        <v>0</v>
      </c>
      <c r="CC48" s="8">
        <f t="shared" si="13"/>
        <v>4</v>
      </c>
      <c r="CD48" s="8">
        <f t="shared" si="14"/>
        <v>0</v>
      </c>
      <c r="CE48" s="15">
        <f t="shared" si="15"/>
        <v>2.9375581696368158</v>
      </c>
      <c r="CF48" s="15" t="str">
        <f t="shared" si="16"/>
        <v>OK - No Upgrade</v>
      </c>
      <c r="CG48" s="15" t="str">
        <f t="shared" si="17"/>
        <v>Need to Balance</v>
      </c>
    </row>
    <row r="49" spans="1:85" ht="15.75" customHeight="1" x14ac:dyDescent="0.25">
      <c r="A49" s="8" t="s">
        <v>1459</v>
      </c>
      <c r="B49" s="8" t="s">
        <v>1460</v>
      </c>
      <c r="C49" s="8" t="s">
        <v>389</v>
      </c>
      <c r="D49" s="8" t="s">
        <v>1569</v>
      </c>
      <c r="E49" s="8" t="s">
        <v>1572</v>
      </c>
      <c r="F49" s="8" t="s">
        <v>43</v>
      </c>
      <c r="G49" s="8"/>
      <c r="H49" s="8">
        <v>100</v>
      </c>
      <c r="I49" s="8" t="s">
        <v>1573</v>
      </c>
      <c r="J49" s="8">
        <v>1</v>
      </c>
      <c r="K49" s="8">
        <v>240</v>
      </c>
      <c r="L49" s="8">
        <v>241</v>
      </c>
      <c r="M49" s="8">
        <v>241</v>
      </c>
      <c r="N49" s="8">
        <v>419</v>
      </c>
      <c r="O49" s="8">
        <v>420</v>
      </c>
      <c r="P49" s="8">
        <v>419</v>
      </c>
      <c r="Q49" s="9" t="s">
        <v>46</v>
      </c>
      <c r="R49" s="16"/>
      <c r="S49" s="10">
        <v>2</v>
      </c>
      <c r="T49" s="10">
        <v>4</v>
      </c>
      <c r="U49" s="10">
        <v>8</v>
      </c>
      <c r="V49" s="11">
        <v>2</v>
      </c>
      <c r="W49" s="12"/>
      <c r="X49" s="17"/>
      <c r="Y49" s="13"/>
      <c r="Z49" s="13"/>
      <c r="AA49" s="13"/>
      <c r="AB49" s="14"/>
      <c r="AC49" s="9"/>
      <c r="AD49" s="16"/>
      <c r="AE49" s="10"/>
      <c r="AF49" s="10"/>
      <c r="AG49" s="10"/>
      <c r="AH49" s="11"/>
      <c r="AI49" s="12"/>
      <c r="AJ49" s="17"/>
      <c r="AK49" s="13"/>
      <c r="AL49" s="13"/>
      <c r="AM49" s="13"/>
      <c r="AN49" s="14"/>
      <c r="AO49" s="9"/>
      <c r="AP49" s="16"/>
      <c r="AQ49" s="10"/>
      <c r="AR49" s="10"/>
      <c r="AS49" s="10"/>
      <c r="AT49" s="11"/>
      <c r="AU49" s="12"/>
      <c r="AV49" s="17"/>
      <c r="AW49" s="13"/>
      <c r="AX49" s="13"/>
      <c r="AY49" s="13"/>
      <c r="AZ49" s="14"/>
      <c r="BA49" s="9"/>
      <c r="BB49" s="16"/>
      <c r="BC49" s="10"/>
      <c r="BD49" s="10"/>
      <c r="BE49" s="10"/>
      <c r="BF49" s="11"/>
      <c r="BG49" s="12"/>
      <c r="BH49" s="17"/>
      <c r="BI49" s="13"/>
      <c r="BJ49" s="13"/>
      <c r="BK49" s="13"/>
      <c r="BL49" s="14"/>
      <c r="BM49" s="9"/>
      <c r="BN49" s="16"/>
      <c r="BO49" s="10"/>
      <c r="BP49" s="10"/>
      <c r="BQ49" s="10"/>
      <c r="BR49" s="11"/>
      <c r="BS49" s="12"/>
      <c r="BT49" s="17"/>
      <c r="BU49" s="13"/>
      <c r="BV49" s="13"/>
      <c r="BW49" s="13"/>
      <c r="BX49" s="14"/>
      <c r="BY49" s="8">
        <f t="shared" si="9"/>
        <v>2</v>
      </c>
      <c r="BZ49" s="8">
        <f t="shared" si="10"/>
        <v>4</v>
      </c>
      <c r="CA49" s="8">
        <f t="shared" si="11"/>
        <v>8</v>
      </c>
      <c r="CB49" s="8">
        <f t="shared" si="12"/>
        <v>2</v>
      </c>
      <c r="CC49" s="8">
        <f t="shared" si="13"/>
        <v>8</v>
      </c>
      <c r="CD49" s="8">
        <f t="shared" si="14"/>
        <v>2</v>
      </c>
      <c r="CE49" s="15">
        <f t="shared" si="15"/>
        <v>5.8058343069708762</v>
      </c>
      <c r="CF49" s="15" t="str">
        <f t="shared" si="16"/>
        <v>OK - No Upgrade</v>
      </c>
      <c r="CG49" s="15" t="str">
        <f t="shared" si="17"/>
        <v>Need to Balance</v>
      </c>
    </row>
    <row r="50" spans="1:85" ht="15.75" customHeight="1" x14ac:dyDescent="0.25">
      <c r="A50" s="8" t="s">
        <v>1459</v>
      </c>
      <c r="B50" s="8" t="s">
        <v>1460</v>
      </c>
      <c r="C50" s="8" t="s">
        <v>389</v>
      </c>
      <c r="D50" s="8" t="s">
        <v>1574</v>
      </c>
      <c r="E50" s="8" t="s">
        <v>1575</v>
      </c>
      <c r="F50" s="8" t="s">
        <v>43</v>
      </c>
      <c r="G50" s="8"/>
      <c r="H50" s="8">
        <v>100</v>
      </c>
      <c r="I50" s="8" t="s">
        <v>807</v>
      </c>
      <c r="J50" s="8">
        <v>1</v>
      </c>
      <c r="K50" s="8">
        <v>243</v>
      </c>
      <c r="L50" s="8">
        <v>242</v>
      </c>
      <c r="M50" s="8">
        <v>241</v>
      </c>
      <c r="N50" s="8">
        <v>420</v>
      </c>
      <c r="O50" s="8">
        <v>420</v>
      </c>
      <c r="P50" s="8">
        <v>420</v>
      </c>
      <c r="Q50" s="9" t="s">
        <v>47</v>
      </c>
      <c r="R50" s="16"/>
      <c r="S50" s="10">
        <v>21</v>
      </c>
      <c r="T50" s="10">
        <v>10</v>
      </c>
      <c r="U50" s="10">
        <v>44</v>
      </c>
      <c r="V50" s="11">
        <v>29</v>
      </c>
      <c r="W50" s="12"/>
      <c r="X50" s="17"/>
      <c r="Y50" s="13"/>
      <c r="Z50" s="13"/>
      <c r="AA50" s="13"/>
      <c r="AB50" s="14"/>
      <c r="AC50" s="9"/>
      <c r="AD50" s="16"/>
      <c r="AE50" s="10"/>
      <c r="AF50" s="10"/>
      <c r="AG50" s="10"/>
      <c r="AH50" s="11"/>
      <c r="AI50" s="12"/>
      <c r="AJ50" s="17"/>
      <c r="AK50" s="13"/>
      <c r="AL50" s="13"/>
      <c r="AM50" s="13"/>
      <c r="AN50" s="14"/>
      <c r="AO50" s="9"/>
      <c r="AP50" s="16"/>
      <c r="AQ50" s="10"/>
      <c r="AR50" s="10"/>
      <c r="AS50" s="10"/>
      <c r="AT50" s="11"/>
      <c r="AU50" s="12"/>
      <c r="AV50" s="17"/>
      <c r="AW50" s="13"/>
      <c r="AX50" s="13"/>
      <c r="AY50" s="13"/>
      <c r="AZ50" s="14"/>
      <c r="BA50" s="9"/>
      <c r="BB50" s="16"/>
      <c r="BC50" s="10"/>
      <c r="BD50" s="10"/>
      <c r="BE50" s="10"/>
      <c r="BF50" s="11"/>
      <c r="BG50" s="12"/>
      <c r="BH50" s="17"/>
      <c r="BI50" s="13"/>
      <c r="BJ50" s="13"/>
      <c r="BK50" s="13"/>
      <c r="BL50" s="14"/>
      <c r="BM50" s="9"/>
      <c r="BN50" s="16"/>
      <c r="BO50" s="10"/>
      <c r="BP50" s="10"/>
      <c r="BQ50" s="10"/>
      <c r="BR50" s="11"/>
      <c r="BS50" s="12"/>
      <c r="BT50" s="17"/>
      <c r="BU50" s="13"/>
      <c r="BV50" s="13"/>
      <c r="BW50" s="13"/>
      <c r="BX50" s="14"/>
      <c r="BY50" s="8">
        <f t="shared" si="9"/>
        <v>21</v>
      </c>
      <c r="BZ50" s="8">
        <f t="shared" si="10"/>
        <v>10</v>
      </c>
      <c r="CA50" s="8">
        <f t="shared" si="11"/>
        <v>44</v>
      </c>
      <c r="CB50" s="8">
        <f t="shared" si="12"/>
        <v>29</v>
      </c>
      <c r="CC50" s="8">
        <f t="shared" si="13"/>
        <v>44</v>
      </c>
      <c r="CD50" s="8">
        <f t="shared" si="14"/>
        <v>10</v>
      </c>
      <c r="CE50" s="15">
        <f t="shared" si="15"/>
        <v>32.00829892387285</v>
      </c>
      <c r="CF50" s="15" t="str">
        <f t="shared" si="16"/>
        <v>OK - No Upgrade</v>
      </c>
      <c r="CG50" s="15" t="str">
        <f t="shared" si="17"/>
        <v>Need to Balance</v>
      </c>
    </row>
    <row r="51" spans="1:85" ht="15.75" customHeight="1" x14ac:dyDescent="0.25">
      <c r="A51" s="8" t="s">
        <v>1459</v>
      </c>
      <c r="B51" s="8" t="s">
        <v>1460</v>
      </c>
      <c r="C51" s="8" t="s">
        <v>389</v>
      </c>
      <c r="D51" s="8" t="s">
        <v>1576</v>
      </c>
      <c r="E51" s="8" t="s">
        <v>1577</v>
      </c>
      <c r="F51" s="8" t="s">
        <v>43</v>
      </c>
      <c r="G51" s="8"/>
      <c r="H51" s="8">
        <v>315</v>
      </c>
      <c r="I51" s="8" t="s">
        <v>1578</v>
      </c>
      <c r="J51" s="8">
        <v>1</v>
      </c>
      <c r="K51" s="8">
        <v>240</v>
      </c>
      <c r="L51" s="8">
        <v>242</v>
      </c>
      <c r="M51" s="8">
        <v>240</v>
      </c>
      <c r="N51" s="8">
        <v>422</v>
      </c>
      <c r="O51" s="8">
        <v>420</v>
      </c>
      <c r="P51" s="8">
        <v>421</v>
      </c>
      <c r="Q51" s="9" t="s">
        <v>46</v>
      </c>
      <c r="R51" s="16"/>
      <c r="S51" s="10">
        <v>23</v>
      </c>
      <c r="T51" s="10">
        <v>117</v>
      </c>
      <c r="U51" s="10">
        <v>69</v>
      </c>
      <c r="V51" s="11">
        <v>84</v>
      </c>
      <c r="W51" s="12"/>
      <c r="X51" s="17"/>
      <c r="Y51" s="13"/>
      <c r="Z51" s="13"/>
      <c r="AA51" s="13"/>
      <c r="AB51" s="14"/>
      <c r="AC51" s="9"/>
      <c r="AD51" s="16"/>
      <c r="AE51" s="10"/>
      <c r="AF51" s="10"/>
      <c r="AG51" s="10"/>
      <c r="AH51" s="11"/>
      <c r="AI51" s="12"/>
      <c r="AJ51" s="17"/>
      <c r="AK51" s="13"/>
      <c r="AL51" s="13"/>
      <c r="AM51" s="13"/>
      <c r="AN51" s="14"/>
      <c r="AO51" s="9"/>
      <c r="AP51" s="16"/>
      <c r="AQ51" s="10"/>
      <c r="AR51" s="10"/>
      <c r="AS51" s="10"/>
      <c r="AT51" s="11"/>
      <c r="AU51" s="12"/>
      <c r="AV51" s="17"/>
      <c r="AW51" s="13"/>
      <c r="AX51" s="13"/>
      <c r="AY51" s="13"/>
      <c r="AZ51" s="14"/>
      <c r="BA51" s="9"/>
      <c r="BB51" s="16"/>
      <c r="BC51" s="10"/>
      <c r="BD51" s="10"/>
      <c r="BE51" s="10"/>
      <c r="BF51" s="11"/>
      <c r="BG51" s="12"/>
      <c r="BH51" s="17"/>
      <c r="BI51" s="13"/>
      <c r="BJ51" s="13"/>
      <c r="BK51" s="13"/>
      <c r="BL51" s="14"/>
      <c r="BM51" s="9"/>
      <c r="BN51" s="16"/>
      <c r="BO51" s="10"/>
      <c r="BP51" s="10"/>
      <c r="BQ51" s="10"/>
      <c r="BR51" s="11"/>
      <c r="BS51" s="12"/>
      <c r="BT51" s="17"/>
      <c r="BU51" s="13"/>
      <c r="BV51" s="13"/>
      <c r="BW51" s="13"/>
      <c r="BX51" s="14"/>
      <c r="BY51" s="8">
        <f t="shared" si="9"/>
        <v>23</v>
      </c>
      <c r="BZ51" s="8">
        <f t="shared" si="10"/>
        <v>117</v>
      </c>
      <c r="CA51" s="8">
        <f t="shared" si="11"/>
        <v>69</v>
      </c>
      <c r="CB51" s="8">
        <f t="shared" si="12"/>
        <v>84</v>
      </c>
      <c r="CC51" s="8">
        <f t="shared" si="13"/>
        <v>117</v>
      </c>
      <c r="CD51" s="8">
        <f t="shared" si="14"/>
        <v>23</v>
      </c>
      <c r="CE51" s="15">
        <f t="shared" si="15"/>
        <v>27.148659229493887</v>
      </c>
      <c r="CF51" s="15" t="str">
        <f t="shared" si="16"/>
        <v>OK - No Upgrade</v>
      </c>
      <c r="CG51" s="15" t="str">
        <f t="shared" si="17"/>
        <v>Need to Balance</v>
      </c>
    </row>
    <row r="52" spans="1:85" ht="15.75" customHeight="1" x14ac:dyDescent="0.25">
      <c r="A52" s="8" t="s">
        <v>1459</v>
      </c>
      <c r="B52" s="8" t="s">
        <v>1460</v>
      </c>
      <c r="C52" s="8" t="s">
        <v>389</v>
      </c>
      <c r="D52" s="8" t="s">
        <v>1579</v>
      </c>
      <c r="E52" s="8" t="s">
        <v>1580</v>
      </c>
      <c r="F52" s="8" t="s">
        <v>43</v>
      </c>
      <c r="G52" s="8"/>
      <c r="H52" s="8">
        <v>315</v>
      </c>
      <c r="I52" s="8" t="s">
        <v>1581</v>
      </c>
      <c r="J52" s="8">
        <v>1</v>
      </c>
      <c r="K52" s="8">
        <v>241</v>
      </c>
      <c r="L52" s="8">
        <v>241</v>
      </c>
      <c r="M52" s="8">
        <v>241</v>
      </c>
      <c r="N52" s="8">
        <v>419</v>
      </c>
      <c r="O52" s="8">
        <v>420</v>
      </c>
      <c r="P52" s="8">
        <v>419</v>
      </c>
      <c r="Q52" s="9"/>
      <c r="R52" s="16"/>
      <c r="S52" s="10"/>
      <c r="T52" s="10"/>
      <c r="U52" s="10"/>
      <c r="V52" s="11"/>
      <c r="W52" s="12" t="s">
        <v>46</v>
      </c>
      <c r="X52" s="17"/>
      <c r="Y52" s="13">
        <v>104</v>
      </c>
      <c r="Z52" s="13">
        <v>50</v>
      </c>
      <c r="AA52" s="13">
        <v>122</v>
      </c>
      <c r="AB52" s="14">
        <v>64</v>
      </c>
      <c r="AC52" s="9"/>
      <c r="AD52" s="16"/>
      <c r="AE52" s="10"/>
      <c r="AF52" s="10"/>
      <c r="AG52" s="10"/>
      <c r="AH52" s="11"/>
      <c r="AI52" s="12"/>
      <c r="AJ52" s="17"/>
      <c r="AK52" s="13"/>
      <c r="AL52" s="13"/>
      <c r="AM52" s="13"/>
      <c r="AN52" s="14"/>
      <c r="AO52" s="9"/>
      <c r="AP52" s="16"/>
      <c r="AQ52" s="10"/>
      <c r="AR52" s="10"/>
      <c r="AS52" s="10"/>
      <c r="AT52" s="11"/>
      <c r="AU52" s="12"/>
      <c r="AV52" s="17"/>
      <c r="AW52" s="13"/>
      <c r="AX52" s="13"/>
      <c r="AY52" s="13"/>
      <c r="AZ52" s="14"/>
      <c r="BA52" s="9"/>
      <c r="BB52" s="16"/>
      <c r="BC52" s="10"/>
      <c r="BD52" s="10"/>
      <c r="BE52" s="10"/>
      <c r="BF52" s="11"/>
      <c r="BG52" s="12"/>
      <c r="BH52" s="17"/>
      <c r="BI52" s="13"/>
      <c r="BJ52" s="13"/>
      <c r="BK52" s="13"/>
      <c r="BL52" s="14"/>
      <c r="BM52" s="9"/>
      <c r="BN52" s="16"/>
      <c r="BO52" s="10"/>
      <c r="BP52" s="10"/>
      <c r="BQ52" s="10"/>
      <c r="BR52" s="11"/>
      <c r="BS52" s="12"/>
      <c r="BT52" s="17"/>
      <c r="BU52" s="13"/>
      <c r="BV52" s="13"/>
      <c r="BW52" s="13"/>
      <c r="BX52" s="14"/>
      <c r="BY52" s="8">
        <f t="shared" si="9"/>
        <v>104</v>
      </c>
      <c r="BZ52" s="8">
        <f t="shared" si="10"/>
        <v>50</v>
      </c>
      <c r="CA52" s="8">
        <f t="shared" si="11"/>
        <v>122</v>
      </c>
      <c r="CB52" s="8">
        <f t="shared" si="12"/>
        <v>64</v>
      </c>
      <c r="CC52" s="8">
        <f t="shared" si="13"/>
        <v>122</v>
      </c>
      <c r="CD52" s="8">
        <f t="shared" si="14"/>
        <v>50</v>
      </c>
      <c r="CE52" s="15">
        <f t="shared" si="15"/>
        <v>28.107610533747891</v>
      </c>
      <c r="CF52" s="15" t="str">
        <f t="shared" si="16"/>
        <v>OK - No Upgrade</v>
      </c>
      <c r="CG52" s="15" t="str">
        <f t="shared" si="17"/>
        <v>Need to Balance</v>
      </c>
    </row>
    <row r="53" spans="1:85" ht="15.75" customHeight="1" x14ac:dyDescent="0.25">
      <c r="A53" s="8" t="s">
        <v>1459</v>
      </c>
      <c r="B53" s="8" t="s">
        <v>1460</v>
      </c>
      <c r="C53" s="8" t="s">
        <v>389</v>
      </c>
      <c r="D53" s="8" t="s">
        <v>1582</v>
      </c>
      <c r="E53" s="8" t="s">
        <v>1583</v>
      </c>
      <c r="F53" s="8" t="s">
        <v>43</v>
      </c>
      <c r="G53" s="8"/>
      <c r="H53" s="8">
        <v>100</v>
      </c>
      <c r="I53" s="8" t="s">
        <v>810</v>
      </c>
      <c r="J53" s="8">
        <v>1</v>
      </c>
      <c r="K53" s="8">
        <v>240</v>
      </c>
      <c r="L53" s="8">
        <v>241</v>
      </c>
      <c r="M53" s="8">
        <v>210</v>
      </c>
      <c r="N53" s="8">
        <v>420</v>
      </c>
      <c r="O53" s="8">
        <v>419</v>
      </c>
      <c r="P53" s="8">
        <v>419</v>
      </c>
      <c r="Q53" s="9" t="s">
        <v>46</v>
      </c>
      <c r="R53" s="16"/>
      <c r="S53" s="10">
        <v>0</v>
      </c>
      <c r="T53" s="10">
        <v>0</v>
      </c>
      <c r="U53" s="10">
        <v>0</v>
      </c>
      <c r="V53" s="11">
        <v>0</v>
      </c>
      <c r="W53" s="12" t="s">
        <v>47</v>
      </c>
      <c r="X53" s="17"/>
      <c r="Y53" s="13">
        <v>0</v>
      </c>
      <c r="Z53" s="13">
        <v>0</v>
      </c>
      <c r="AA53" s="13">
        <v>0</v>
      </c>
      <c r="AB53" s="14">
        <v>0</v>
      </c>
      <c r="AC53" s="9"/>
      <c r="AD53" s="16"/>
      <c r="AE53" s="10"/>
      <c r="AF53" s="10"/>
      <c r="AG53" s="10"/>
      <c r="AH53" s="11"/>
      <c r="AI53" s="12"/>
      <c r="AJ53" s="17"/>
      <c r="AK53" s="13"/>
      <c r="AL53" s="13"/>
      <c r="AM53" s="13"/>
      <c r="AN53" s="14"/>
      <c r="AO53" s="9"/>
      <c r="AP53" s="16"/>
      <c r="AQ53" s="10"/>
      <c r="AR53" s="10"/>
      <c r="AS53" s="10"/>
      <c r="AT53" s="11"/>
      <c r="AU53" s="12"/>
      <c r="AV53" s="17"/>
      <c r="AW53" s="13"/>
      <c r="AX53" s="13"/>
      <c r="AY53" s="13"/>
      <c r="AZ53" s="14"/>
      <c r="BA53" s="9"/>
      <c r="BB53" s="16"/>
      <c r="BC53" s="10"/>
      <c r="BD53" s="10"/>
      <c r="BE53" s="10"/>
      <c r="BF53" s="11"/>
      <c r="BG53" s="12"/>
      <c r="BH53" s="17"/>
      <c r="BI53" s="13"/>
      <c r="BJ53" s="13"/>
      <c r="BK53" s="13"/>
      <c r="BL53" s="14"/>
      <c r="BM53" s="9"/>
      <c r="BN53" s="16"/>
      <c r="BO53" s="10"/>
      <c r="BP53" s="10"/>
      <c r="BQ53" s="10"/>
      <c r="BR53" s="11"/>
      <c r="BS53" s="12"/>
      <c r="BT53" s="17"/>
      <c r="BU53" s="13"/>
      <c r="BV53" s="13"/>
      <c r="BW53" s="13"/>
      <c r="BX53" s="14"/>
      <c r="BY53" s="8">
        <f t="shared" si="9"/>
        <v>0</v>
      </c>
      <c r="BZ53" s="8">
        <f t="shared" si="10"/>
        <v>0</v>
      </c>
      <c r="CA53" s="8">
        <f t="shared" si="11"/>
        <v>0</v>
      </c>
      <c r="CB53" s="8">
        <f t="shared" si="12"/>
        <v>0</v>
      </c>
      <c r="CC53" s="8">
        <f t="shared" si="13"/>
        <v>0</v>
      </c>
      <c r="CD53" s="8">
        <f t="shared" si="14"/>
        <v>0</v>
      </c>
      <c r="CE53" s="15">
        <f t="shared" si="15"/>
        <v>0</v>
      </c>
      <c r="CF53" s="15" t="str">
        <f t="shared" si="16"/>
        <v>OK - No Upgrade</v>
      </c>
      <c r="CG53" s="15" t="str">
        <f t="shared" si="17"/>
        <v>OK - Balanced</v>
      </c>
    </row>
    <row r="54" spans="1:85" ht="15.75" customHeight="1" x14ac:dyDescent="0.25">
      <c r="A54" s="8" t="s">
        <v>1459</v>
      </c>
      <c r="B54" s="8" t="s">
        <v>1460</v>
      </c>
      <c r="C54" s="8" t="s">
        <v>389</v>
      </c>
      <c r="D54" s="8" t="s">
        <v>1584</v>
      </c>
      <c r="E54" s="8" t="s">
        <v>1585</v>
      </c>
      <c r="F54" s="8" t="s">
        <v>43</v>
      </c>
      <c r="G54" s="8"/>
      <c r="H54" s="8">
        <v>315</v>
      </c>
      <c r="I54" s="8" t="s">
        <v>1586</v>
      </c>
      <c r="J54" s="8">
        <v>1</v>
      </c>
      <c r="K54" s="8">
        <v>242</v>
      </c>
      <c r="L54" s="8">
        <v>242</v>
      </c>
      <c r="M54" s="8">
        <v>243</v>
      </c>
      <c r="N54" s="8">
        <v>419</v>
      </c>
      <c r="O54" s="8">
        <v>418</v>
      </c>
      <c r="P54" s="8">
        <v>420</v>
      </c>
      <c r="Q54" s="9" t="s">
        <v>47</v>
      </c>
      <c r="R54" s="16"/>
      <c r="S54" s="10">
        <v>117</v>
      </c>
      <c r="T54" s="10">
        <v>40</v>
      </c>
      <c r="U54" s="10">
        <v>137</v>
      </c>
      <c r="V54" s="11">
        <v>85</v>
      </c>
      <c r="W54" s="12" t="s">
        <v>46</v>
      </c>
      <c r="X54" s="17"/>
      <c r="Y54" s="13">
        <v>38</v>
      </c>
      <c r="Z54" s="13">
        <v>44</v>
      </c>
      <c r="AA54" s="13">
        <v>23</v>
      </c>
      <c r="AB54" s="14">
        <v>12</v>
      </c>
      <c r="AC54" s="9"/>
      <c r="AD54" s="16"/>
      <c r="AE54" s="10"/>
      <c r="AF54" s="10"/>
      <c r="AG54" s="10"/>
      <c r="AH54" s="11"/>
      <c r="AI54" s="12"/>
      <c r="AJ54" s="17"/>
      <c r="AK54" s="13"/>
      <c r="AL54" s="13"/>
      <c r="AM54" s="13"/>
      <c r="AN54" s="14"/>
      <c r="AO54" s="9"/>
      <c r="AP54" s="16"/>
      <c r="AQ54" s="10"/>
      <c r="AR54" s="10"/>
      <c r="AS54" s="10"/>
      <c r="AT54" s="11"/>
      <c r="AU54" s="12"/>
      <c r="AV54" s="17"/>
      <c r="AW54" s="13"/>
      <c r="AX54" s="13"/>
      <c r="AY54" s="13"/>
      <c r="AZ54" s="14"/>
      <c r="BA54" s="9"/>
      <c r="BB54" s="16"/>
      <c r="BC54" s="10"/>
      <c r="BD54" s="10"/>
      <c r="BE54" s="10"/>
      <c r="BF54" s="11"/>
      <c r="BG54" s="12"/>
      <c r="BH54" s="17"/>
      <c r="BI54" s="13"/>
      <c r="BJ54" s="13"/>
      <c r="BK54" s="13"/>
      <c r="BL54" s="14"/>
      <c r="BM54" s="9"/>
      <c r="BN54" s="16"/>
      <c r="BO54" s="10"/>
      <c r="BP54" s="10"/>
      <c r="BQ54" s="10"/>
      <c r="BR54" s="11"/>
      <c r="BS54" s="12"/>
      <c r="BT54" s="17"/>
      <c r="BU54" s="13"/>
      <c r="BV54" s="13"/>
      <c r="BW54" s="13"/>
      <c r="BX54" s="14"/>
      <c r="BY54" s="8">
        <f t="shared" si="9"/>
        <v>155</v>
      </c>
      <c r="BZ54" s="8">
        <f t="shared" si="10"/>
        <v>84</v>
      </c>
      <c r="CA54" s="8">
        <f t="shared" si="11"/>
        <v>160</v>
      </c>
      <c r="CB54" s="8">
        <f t="shared" si="12"/>
        <v>97</v>
      </c>
      <c r="CC54" s="8">
        <f t="shared" si="13"/>
        <v>160</v>
      </c>
      <c r="CD54" s="8">
        <f t="shared" si="14"/>
        <v>84</v>
      </c>
      <c r="CE54" s="15">
        <f t="shared" si="15"/>
        <v>36.862440044259529</v>
      </c>
      <c r="CF54" s="15" t="str">
        <f t="shared" si="16"/>
        <v>OK - No Upgrade</v>
      </c>
      <c r="CG54" s="15" t="str">
        <f t="shared" si="17"/>
        <v>Need to Balance</v>
      </c>
    </row>
    <row r="55" spans="1:85" ht="15.75" customHeight="1" x14ac:dyDescent="0.25">
      <c r="A55" s="8" t="s">
        <v>1459</v>
      </c>
      <c r="B55" s="8" t="s">
        <v>1460</v>
      </c>
      <c r="C55" s="8" t="s">
        <v>389</v>
      </c>
      <c r="D55" s="8" t="s">
        <v>1587</v>
      </c>
      <c r="E55" s="8" t="s">
        <v>1588</v>
      </c>
      <c r="F55" s="8" t="s">
        <v>43</v>
      </c>
      <c r="G55" s="8"/>
      <c r="H55" s="8">
        <v>315</v>
      </c>
      <c r="I55" s="8" t="s">
        <v>1589</v>
      </c>
      <c r="J55" s="8">
        <v>1</v>
      </c>
      <c r="K55" s="8">
        <v>232</v>
      </c>
      <c r="L55" s="8">
        <v>231</v>
      </c>
      <c r="M55" s="8">
        <v>231</v>
      </c>
      <c r="N55" s="8">
        <v>403</v>
      </c>
      <c r="O55" s="8">
        <v>403</v>
      </c>
      <c r="P55" s="8">
        <v>401</v>
      </c>
      <c r="Q55" s="9" t="s">
        <v>46</v>
      </c>
      <c r="R55" s="16"/>
      <c r="S55" s="10">
        <v>0</v>
      </c>
      <c r="T55" s="10">
        <v>0</v>
      </c>
      <c r="U55" s="10">
        <v>0</v>
      </c>
      <c r="V55" s="11">
        <v>0</v>
      </c>
      <c r="W55" s="12" t="s">
        <v>46</v>
      </c>
      <c r="X55" s="17"/>
      <c r="Y55" s="13">
        <v>145</v>
      </c>
      <c r="Z55" s="13">
        <v>108</v>
      </c>
      <c r="AA55" s="13">
        <v>137</v>
      </c>
      <c r="AB55" s="14">
        <v>41</v>
      </c>
      <c r="AC55" s="9"/>
      <c r="AD55" s="16"/>
      <c r="AE55" s="10"/>
      <c r="AF55" s="10"/>
      <c r="AG55" s="10"/>
      <c r="AH55" s="11"/>
      <c r="AI55" s="12"/>
      <c r="AJ55" s="17"/>
      <c r="AK55" s="13"/>
      <c r="AL55" s="13"/>
      <c r="AM55" s="13"/>
      <c r="AN55" s="14"/>
      <c r="AO55" s="9"/>
      <c r="AP55" s="16"/>
      <c r="AQ55" s="10"/>
      <c r="AR55" s="10"/>
      <c r="AS55" s="10"/>
      <c r="AT55" s="11"/>
      <c r="AU55" s="12"/>
      <c r="AV55" s="17"/>
      <c r="AW55" s="13"/>
      <c r="AX55" s="13"/>
      <c r="AY55" s="13"/>
      <c r="AZ55" s="14"/>
      <c r="BA55" s="9"/>
      <c r="BB55" s="16"/>
      <c r="BC55" s="10"/>
      <c r="BD55" s="10"/>
      <c r="BE55" s="10"/>
      <c r="BF55" s="11"/>
      <c r="BG55" s="12"/>
      <c r="BH55" s="17"/>
      <c r="BI55" s="13"/>
      <c r="BJ55" s="13"/>
      <c r="BK55" s="13"/>
      <c r="BL55" s="14"/>
      <c r="BM55" s="9"/>
      <c r="BN55" s="16"/>
      <c r="BO55" s="10"/>
      <c r="BP55" s="10"/>
      <c r="BQ55" s="10"/>
      <c r="BR55" s="11"/>
      <c r="BS55" s="12"/>
      <c r="BT55" s="17"/>
      <c r="BU55" s="13"/>
      <c r="BV55" s="13"/>
      <c r="BW55" s="13"/>
      <c r="BX55" s="14"/>
      <c r="BY55" s="8">
        <f t="shared" si="9"/>
        <v>145</v>
      </c>
      <c r="BZ55" s="8">
        <f t="shared" si="10"/>
        <v>108</v>
      </c>
      <c r="CA55" s="8">
        <f t="shared" si="11"/>
        <v>137</v>
      </c>
      <c r="CB55" s="8">
        <f t="shared" si="12"/>
        <v>41</v>
      </c>
      <c r="CC55" s="8">
        <f t="shared" si="13"/>
        <v>145</v>
      </c>
      <c r="CD55" s="8">
        <f t="shared" si="14"/>
        <v>108</v>
      </c>
      <c r="CE55" s="15">
        <f t="shared" si="15"/>
        <v>32.130917123900744</v>
      </c>
      <c r="CF55" s="15" t="str">
        <f t="shared" si="16"/>
        <v>OK - No Upgrade</v>
      </c>
      <c r="CG55" s="15" t="str">
        <f t="shared" si="17"/>
        <v>Need to Balance</v>
      </c>
    </row>
    <row r="56" spans="1:85" ht="15.75" customHeight="1" x14ac:dyDescent="0.25">
      <c r="A56" s="8" t="s">
        <v>1459</v>
      </c>
      <c r="B56" s="8" t="s">
        <v>1460</v>
      </c>
      <c r="C56" s="8" t="s">
        <v>389</v>
      </c>
      <c r="D56" s="8" t="s">
        <v>1590</v>
      </c>
      <c r="E56" s="8" t="s">
        <v>1591</v>
      </c>
      <c r="F56" s="8" t="s">
        <v>43</v>
      </c>
      <c r="G56" s="8"/>
      <c r="H56" s="8">
        <v>315</v>
      </c>
      <c r="I56" s="8" t="s">
        <v>1592</v>
      </c>
      <c r="J56" s="8">
        <v>1</v>
      </c>
      <c r="K56" s="8">
        <v>244</v>
      </c>
      <c r="L56" s="8">
        <v>245</v>
      </c>
      <c r="M56" s="8">
        <v>243</v>
      </c>
      <c r="N56" s="8">
        <v>420</v>
      </c>
      <c r="O56" s="8">
        <v>421</v>
      </c>
      <c r="P56" s="8">
        <v>421</v>
      </c>
      <c r="Q56" s="9" t="s">
        <v>47</v>
      </c>
      <c r="R56" s="16"/>
      <c r="S56" s="10">
        <v>10</v>
      </c>
      <c r="T56" s="10">
        <v>50</v>
      </c>
      <c r="U56" s="10">
        <v>10</v>
      </c>
      <c r="V56" s="11">
        <v>40</v>
      </c>
      <c r="W56" s="12" t="s">
        <v>47</v>
      </c>
      <c r="X56" s="17"/>
      <c r="Y56" s="13">
        <v>77</v>
      </c>
      <c r="Z56" s="13">
        <v>68</v>
      </c>
      <c r="AA56" s="13">
        <v>60</v>
      </c>
      <c r="AB56" s="14">
        <v>14</v>
      </c>
      <c r="AC56" s="9"/>
      <c r="AD56" s="16"/>
      <c r="AE56" s="10"/>
      <c r="AF56" s="10"/>
      <c r="AG56" s="10"/>
      <c r="AH56" s="11"/>
      <c r="AI56" s="12"/>
      <c r="AJ56" s="17"/>
      <c r="AK56" s="13"/>
      <c r="AL56" s="13"/>
      <c r="AM56" s="13"/>
      <c r="AN56" s="14"/>
      <c r="AO56" s="9"/>
      <c r="AP56" s="16"/>
      <c r="AQ56" s="10"/>
      <c r="AR56" s="10"/>
      <c r="AS56" s="10"/>
      <c r="AT56" s="11"/>
      <c r="AU56" s="12"/>
      <c r="AV56" s="17"/>
      <c r="AW56" s="13"/>
      <c r="AX56" s="13"/>
      <c r="AY56" s="13"/>
      <c r="AZ56" s="14"/>
      <c r="BA56" s="9"/>
      <c r="BB56" s="16"/>
      <c r="BC56" s="10"/>
      <c r="BD56" s="10"/>
      <c r="BE56" s="10"/>
      <c r="BF56" s="11"/>
      <c r="BG56" s="12"/>
      <c r="BH56" s="17"/>
      <c r="BI56" s="13"/>
      <c r="BJ56" s="13"/>
      <c r="BK56" s="13"/>
      <c r="BL56" s="14"/>
      <c r="BM56" s="9"/>
      <c r="BN56" s="16"/>
      <c r="BO56" s="10"/>
      <c r="BP56" s="10"/>
      <c r="BQ56" s="10"/>
      <c r="BR56" s="11"/>
      <c r="BS56" s="12"/>
      <c r="BT56" s="17"/>
      <c r="BU56" s="13"/>
      <c r="BV56" s="13"/>
      <c r="BW56" s="13"/>
      <c r="BX56" s="14"/>
      <c r="BY56" s="8">
        <f t="shared" si="9"/>
        <v>87</v>
      </c>
      <c r="BZ56" s="8">
        <f t="shared" si="10"/>
        <v>118</v>
      </c>
      <c r="CA56" s="8">
        <f t="shared" si="11"/>
        <v>70</v>
      </c>
      <c r="CB56" s="8">
        <f t="shared" si="12"/>
        <v>54</v>
      </c>
      <c r="CC56" s="8">
        <f t="shared" si="13"/>
        <v>118</v>
      </c>
      <c r="CD56" s="8">
        <f t="shared" si="14"/>
        <v>70</v>
      </c>
      <c r="CE56" s="15">
        <f t="shared" si="15"/>
        <v>27.250932705750337</v>
      </c>
      <c r="CF56" s="15" t="str">
        <f t="shared" si="16"/>
        <v>OK - No Upgrade</v>
      </c>
      <c r="CG56" s="15" t="str">
        <f t="shared" si="17"/>
        <v>Need to Balance</v>
      </c>
    </row>
    <row r="57" spans="1:85" ht="15.75" customHeight="1" x14ac:dyDescent="0.25">
      <c r="A57" s="8" t="s">
        <v>1459</v>
      </c>
      <c r="B57" s="8" t="s">
        <v>1460</v>
      </c>
      <c r="C57" s="8" t="s">
        <v>389</v>
      </c>
      <c r="D57" s="8" t="s">
        <v>1593</v>
      </c>
      <c r="E57" s="8" t="s">
        <v>1594</v>
      </c>
      <c r="F57" s="8" t="s">
        <v>43</v>
      </c>
      <c r="G57" s="8"/>
      <c r="H57" s="8">
        <v>315</v>
      </c>
      <c r="I57" s="8" t="s">
        <v>1595</v>
      </c>
      <c r="J57" s="8">
        <v>1</v>
      </c>
      <c r="K57" s="8">
        <v>241</v>
      </c>
      <c r="L57" s="8">
        <v>240</v>
      </c>
      <c r="M57" s="8">
        <v>239</v>
      </c>
      <c r="N57" s="8">
        <v>416</v>
      </c>
      <c r="O57" s="8">
        <v>417</v>
      </c>
      <c r="P57" s="8">
        <v>416</v>
      </c>
      <c r="Q57" s="9" t="s">
        <v>47</v>
      </c>
      <c r="R57" s="16"/>
      <c r="S57" s="10">
        <v>70</v>
      </c>
      <c r="T57" s="10">
        <v>20</v>
      </c>
      <c r="U57" s="10">
        <v>31</v>
      </c>
      <c r="V57" s="11">
        <v>37</v>
      </c>
      <c r="W57" s="12" t="s">
        <v>46</v>
      </c>
      <c r="X57" s="17"/>
      <c r="Y57" s="13">
        <v>195</v>
      </c>
      <c r="Z57" s="13">
        <v>206</v>
      </c>
      <c r="AA57" s="13">
        <v>124</v>
      </c>
      <c r="AB57" s="14">
        <v>50</v>
      </c>
      <c r="AC57" s="9" t="s">
        <v>47</v>
      </c>
      <c r="AD57" s="16"/>
      <c r="AE57" s="10">
        <v>48</v>
      </c>
      <c r="AF57" s="10">
        <v>60</v>
      </c>
      <c r="AG57" s="10">
        <v>40</v>
      </c>
      <c r="AH57" s="11">
        <v>21</v>
      </c>
      <c r="AI57" s="12"/>
      <c r="AJ57" s="17"/>
      <c r="AK57" s="13"/>
      <c r="AL57" s="13"/>
      <c r="AM57" s="13"/>
      <c r="AN57" s="14"/>
      <c r="AO57" s="9"/>
      <c r="AP57" s="16"/>
      <c r="AQ57" s="10"/>
      <c r="AR57" s="10"/>
      <c r="AS57" s="10"/>
      <c r="AT57" s="11"/>
      <c r="AU57" s="12"/>
      <c r="AV57" s="17"/>
      <c r="AW57" s="13"/>
      <c r="AX57" s="13"/>
      <c r="AY57" s="13"/>
      <c r="AZ57" s="14"/>
      <c r="BA57" s="9"/>
      <c r="BB57" s="16"/>
      <c r="BC57" s="10"/>
      <c r="BD57" s="10"/>
      <c r="BE57" s="10"/>
      <c r="BF57" s="11"/>
      <c r="BG57" s="12"/>
      <c r="BH57" s="17"/>
      <c r="BI57" s="13"/>
      <c r="BJ57" s="13"/>
      <c r="BK57" s="13"/>
      <c r="BL57" s="14"/>
      <c r="BM57" s="9"/>
      <c r="BN57" s="16"/>
      <c r="BO57" s="10"/>
      <c r="BP57" s="10"/>
      <c r="BQ57" s="10"/>
      <c r="BR57" s="11"/>
      <c r="BS57" s="12"/>
      <c r="BT57" s="17"/>
      <c r="BU57" s="13"/>
      <c r="BV57" s="13"/>
      <c r="BW57" s="13"/>
      <c r="BX57" s="14"/>
      <c r="BY57" s="8">
        <f t="shared" si="9"/>
        <v>313</v>
      </c>
      <c r="BZ57" s="8">
        <f t="shared" si="10"/>
        <v>286</v>
      </c>
      <c r="CA57" s="8">
        <f t="shared" si="11"/>
        <v>195</v>
      </c>
      <c r="CB57" s="8">
        <f t="shared" si="12"/>
        <v>108</v>
      </c>
      <c r="CC57" s="8">
        <f t="shared" si="13"/>
        <v>313</v>
      </c>
      <c r="CD57" s="8">
        <f t="shared" si="14"/>
        <v>195</v>
      </c>
      <c r="CE57" s="15">
        <f t="shared" si="15"/>
        <v>71.59583223870743</v>
      </c>
      <c r="CF57" s="15" t="str">
        <f t="shared" si="16"/>
        <v>Upgrade</v>
      </c>
      <c r="CG57" s="15" t="str">
        <f t="shared" si="17"/>
        <v>Need to Balance</v>
      </c>
    </row>
    <row r="58" spans="1:85" ht="15.75" customHeight="1" x14ac:dyDescent="0.25">
      <c r="A58" s="8" t="s">
        <v>1459</v>
      </c>
      <c r="B58" s="8" t="s">
        <v>1460</v>
      </c>
      <c r="C58" s="8" t="s">
        <v>389</v>
      </c>
      <c r="D58" s="8" t="s">
        <v>1596</v>
      </c>
      <c r="E58" s="8" t="s">
        <v>1597</v>
      </c>
      <c r="F58" s="8" t="s">
        <v>43</v>
      </c>
      <c r="G58" s="8"/>
      <c r="H58" s="8">
        <v>315</v>
      </c>
      <c r="I58" s="8" t="s">
        <v>1598</v>
      </c>
      <c r="J58" s="8">
        <v>1</v>
      </c>
      <c r="K58" s="8">
        <v>242</v>
      </c>
      <c r="L58" s="8">
        <v>243</v>
      </c>
      <c r="M58" s="8">
        <v>240</v>
      </c>
      <c r="N58" s="8">
        <v>422</v>
      </c>
      <c r="O58" s="8">
        <v>423</v>
      </c>
      <c r="P58" s="8">
        <v>421</v>
      </c>
      <c r="Q58" s="9" t="s">
        <v>47</v>
      </c>
      <c r="R58" s="16"/>
      <c r="S58" s="10">
        <v>90</v>
      </c>
      <c r="T58" s="10">
        <v>80</v>
      </c>
      <c r="U58" s="10">
        <v>83</v>
      </c>
      <c r="V58" s="11">
        <v>11</v>
      </c>
      <c r="W58" s="12" t="s">
        <v>47</v>
      </c>
      <c r="X58" s="17"/>
      <c r="Y58" s="13">
        <v>58</v>
      </c>
      <c r="Z58" s="13">
        <v>61</v>
      </c>
      <c r="AA58" s="13">
        <v>40</v>
      </c>
      <c r="AB58" s="14">
        <v>16</v>
      </c>
      <c r="AC58" s="9"/>
      <c r="AD58" s="16"/>
      <c r="AE58" s="10"/>
      <c r="AF58" s="10"/>
      <c r="AG58" s="10"/>
      <c r="AH58" s="11"/>
      <c r="AI58" s="12"/>
      <c r="AJ58" s="17"/>
      <c r="AK58" s="13"/>
      <c r="AL58" s="13"/>
      <c r="AM58" s="13"/>
      <c r="AN58" s="14"/>
      <c r="AO58" s="9"/>
      <c r="AP58" s="16"/>
      <c r="AQ58" s="10"/>
      <c r="AR58" s="10"/>
      <c r="AS58" s="10"/>
      <c r="AT58" s="11"/>
      <c r="AU58" s="12"/>
      <c r="AV58" s="17"/>
      <c r="AW58" s="13"/>
      <c r="AX58" s="13"/>
      <c r="AY58" s="13"/>
      <c r="AZ58" s="14"/>
      <c r="BA58" s="9"/>
      <c r="BB58" s="16"/>
      <c r="BC58" s="10"/>
      <c r="BD58" s="10"/>
      <c r="BE58" s="10"/>
      <c r="BF58" s="11"/>
      <c r="BG58" s="12"/>
      <c r="BH58" s="17"/>
      <c r="BI58" s="13"/>
      <c r="BJ58" s="13"/>
      <c r="BK58" s="13"/>
      <c r="BL58" s="14"/>
      <c r="BM58" s="9"/>
      <c r="BN58" s="16"/>
      <c r="BO58" s="10"/>
      <c r="BP58" s="10"/>
      <c r="BQ58" s="10"/>
      <c r="BR58" s="11"/>
      <c r="BS58" s="12"/>
      <c r="BT58" s="17"/>
      <c r="BU58" s="13"/>
      <c r="BV58" s="13"/>
      <c r="BW58" s="13"/>
      <c r="BX58" s="14"/>
      <c r="BY58" s="8">
        <f t="shared" si="9"/>
        <v>148</v>
      </c>
      <c r="BZ58" s="8">
        <f t="shared" si="10"/>
        <v>141</v>
      </c>
      <c r="CA58" s="8">
        <f t="shared" si="11"/>
        <v>123</v>
      </c>
      <c r="CB58" s="8">
        <f t="shared" si="12"/>
        <v>27</v>
      </c>
      <c r="CC58" s="8">
        <f t="shared" si="13"/>
        <v>148</v>
      </c>
      <c r="CD58" s="8">
        <f t="shared" si="14"/>
        <v>123</v>
      </c>
      <c r="CE58" s="15">
        <f t="shared" si="15"/>
        <v>34.341893726197391</v>
      </c>
      <c r="CF58" s="15" t="str">
        <f t="shared" si="16"/>
        <v>OK - No Upgrade</v>
      </c>
      <c r="CG58" s="15" t="str">
        <f t="shared" si="17"/>
        <v>OK - Balanced</v>
      </c>
    </row>
    <row r="59" spans="1:85" ht="15.75" customHeight="1" x14ac:dyDescent="0.25">
      <c r="A59" s="8" t="s">
        <v>1459</v>
      </c>
      <c r="B59" s="8" t="s">
        <v>1460</v>
      </c>
      <c r="C59" s="8" t="s">
        <v>389</v>
      </c>
      <c r="D59" s="8" t="s">
        <v>1599</v>
      </c>
      <c r="E59" s="8" t="s">
        <v>1600</v>
      </c>
      <c r="F59" s="8" t="s">
        <v>43</v>
      </c>
      <c r="G59" s="8"/>
      <c r="H59" s="8">
        <v>315</v>
      </c>
      <c r="I59" s="8" t="s">
        <v>1601</v>
      </c>
      <c r="J59" s="8">
        <v>1</v>
      </c>
      <c r="K59" s="8">
        <v>212</v>
      </c>
      <c r="L59" s="8">
        <v>242</v>
      </c>
      <c r="M59" s="8">
        <v>242</v>
      </c>
      <c r="N59" s="8">
        <v>420</v>
      </c>
      <c r="O59" s="8">
        <v>421</v>
      </c>
      <c r="P59" s="8">
        <v>421</v>
      </c>
      <c r="Q59" s="9" t="s">
        <v>47</v>
      </c>
      <c r="R59" s="16"/>
      <c r="S59" s="10">
        <v>0</v>
      </c>
      <c r="T59" s="10">
        <v>0</v>
      </c>
      <c r="U59" s="10">
        <v>0</v>
      </c>
      <c r="V59" s="11">
        <v>0</v>
      </c>
      <c r="W59" s="12" t="s">
        <v>46</v>
      </c>
      <c r="X59" s="17"/>
      <c r="Y59" s="13">
        <v>36</v>
      </c>
      <c r="Z59" s="13">
        <v>42</v>
      </c>
      <c r="AA59" s="13">
        <v>15</v>
      </c>
      <c r="AB59" s="14">
        <v>27</v>
      </c>
      <c r="AC59" s="9"/>
      <c r="AD59" s="16"/>
      <c r="AE59" s="10"/>
      <c r="AF59" s="10"/>
      <c r="AG59" s="10"/>
      <c r="AH59" s="11"/>
      <c r="AI59" s="12"/>
      <c r="AJ59" s="17"/>
      <c r="AK59" s="13"/>
      <c r="AL59" s="13"/>
      <c r="AM59" s="13"/>
      <c r="AN59" s="14"/>
      <c r="AO59" s="9"/>
      <c r="AP59" s="16"/>
      <c r="AQ59" s="10"/>
      <c r="AR59" s="10"/>
      <c r="AS59" s="10"/>
      <c r="AT59" s="11"/>
      <c r="AU59" s="12"/>
      <c r="AV59" s="17"/>
      <c r="AW59" s="13"/>
      <c r="AX59" s="13"/>
      <c r="AY59" s="13"/>
      <c r="AZ59" s="14"/>
      <c r="BA59" s="9"/>
      <c r="BB59" s="16"/>
      <c r="BC59" s="10"/>
      <c r="BD59" s="10"/>
      <c r="BE59" s="10"/>
      <c r="BF59" s="11"/>
      <c r="BG59" s="12"/>
      <c r="BH59" s="17"/>
      <c r="BI59" s="13"/>
      <c r="BJ59" s="13"/>
      <c r="BK59" s="13"/>
      <c r="BL59" s="14"/>
      <c r="BM59" s="9"/>
      <c r="BN59" s="16"/>
      <c r="BO59" s="10"/>
      <c r="BP59" s="10"/>
      <c r="BQ59" s="10"/>
      <c r="BR59" s="11"/>
      <c r="BS59" s="12"/>
      <c r="BT59" s="17"/>
      <c r="BU59" s="13"/>
      <c r="BV59" s="13"/>
      <c r="BW59" s="13"/>
      <c r="BX59" s="14"/>
      <c r="BY59" s="8">
        <f t="shared" si="9"/>
        <v>36</v>
      </c>
      <c r="BZ59" s="8">
        <f t="shared" si="10"/>
        <v>42</v>
      </c>
      <c r="CA59" s="8">
        <f t="shared" si="11"/>
        <v>15</v>
      </c>
      <c r="CB59" s="8">
        <f t="shared" si="12"/>
        <v>27</v>
      </c>
      <c r="CC59" s="8">
        <f t="shared" si="13"/>
        <v>42</v>
      </c>
      <c r="CD59" s="8">
        <f t="shared" si="14"/>
        <v>15</v>
      </c>
      <c r="CE59" s="15">
        <f t="shared" si="15"/>
        <v>9.6994845223857116</v>
      </c>
      <c r="CF59" s="15" t="str">
        <f t="shared" si="16"/>
        <v>OK - No Upgrade</v>
      </c>
      <c r="CG59" s="15" t="str">
        <f t="shared" si="17"/>
        <v>Need to Balance</v>
      </c>
    </row>
    <row r="60" spans="1:85" ht="15.75" customHeight="1" x14ac:dyDescent="0.25">
      <c r="A60" s="8" t="s">
        <v>1459</v>
      </c>
      <c r="B60" s="8" t="s">
        <v>1460</v>
      </c>
      <c r="C60" s="8" t="s">
        <v>389</v>
      </c>
      <c r="D60" s="8" t="s">
        <v>1602</v>
      </c>
      <c r="E60" s="8" t="s">
        <v>1603</v>
      </c>
      <c r="F60" s="8" t="s">
        <v>56</v>
      </c>
      <c r="G60" s="8"/>
      <c r="H60" s="8">
        <v>1000</v>
      </c>
      <c r="I60" s="8" t="s">
        <v>837</v>
      </c>
      <c r="J60" s="8">
        <v>1</v>
      </c>
      <c r="K60" s="8">
        <v>242</v>
      </c>
      <c r="L60" s="8">
        <v>243</v>
      </c>
      <c r="M60" s="8">
        <v>242</v>
      </c>
      <c r="N60" s="8">
        <v>420</v>
      </c>
      <c r="O60" s="8">
        <v>421</v>
      </c>
      <c r="P60" s="8">
        <v>419</v>
      </c>
      <c r="Q60" s="9" t="s">
        <v>46</v>
      </c>
      <c r="R60" s="16"/>
      <c r="S60" s="10"/>
      <c r="T60" s="10"/>
      <c r="U60" s="10"/>
      <c r="V60" s="11"/>
      <c r="W60" s="12"/>
      <c r="X60" s="17"/>
      <c r="Y60" s="13"/>
      <c r="Z60" s="13"/>
      <c r="AA60" s="13"/>
      <c r="AB60" s="14"/>
      <c r="AC60" s="9" t="s">
        <v>46</v>
      </c>
      <c r="AD60" s="16"/>
      <c r="AE60" s="10">
        <v>285</v>
      </c>
      <c r="AF60" s="10">
        <v>288</v>
      </c>
      <c r="AG60" s="10">
        <v>187</v>
      </c>
      <c r="AH60" s="11">
        <v>85</v>
      </c>
      <c r="AI60" s="12" t="s">
        <v>46</v>
      </c>
      <c r="AJ60" s="17"/>
      <c r="AK60" s="13">
        <v>51</v>
      </c>
      <c r="AL60" s="13">
        <v>48</v>
      </c>
      <c r="AM60" s="13">
        <v>60</v>
      </c>
      <c r="AN60" s="14">
        <v>13</v>
      </c>
      <c r="AO60" s="9"/>
      <c r="AP60" s="16"/>
      <c r="AQ60" s="10"/>
      <c r="AR60" s="10"/>
      <c r="AS60" s="10"/>
      <c r="AT60" s="11"/>
      <c r="AU60" s="12"/>
      <c r="AV60" s="17"/>
      <c r="AW60" s="13"/>
      <c r="AX60" s="13"/>
      <c r="AY60" s="13"/>
      <c r="AZ60" s="14"/>
      <c r="BA60" s="9" t="s">
        <v>47</v>
      </c>
      <c r="BB60" s="16"/>
      <c r="BC60" s="10">
        <v>105</v>
      </c>
      <c r="BD60" s="10">
        <v>126</v>
      </c>
      <c r="BE60" s="10">
        <v>64</v>
      </c>
      <c r="BF60" s="11">
        <v>66</v>
      </c>
      <c r="BG60" s="12" t="s">
        <v>47</v>
      </c>
      <c r="BH60" s="17"/>
      <c r="BI60" s="13">
        <v>0</v>
      </c>
      <c r="BJ60" s="13">
        <v>0</v>
      </c>
      <c r="BK60" s="13">
        <v>0</v>
      </c>
      <c r="BL60" s="14">
        <v>0</v>
      </c>
      <c r="BM60" s="9"/>
      <c r="BN60" s="16"/>
      <c r="BO60" s="10"/>
      <c r="BP60" s="10"/>
      <c r="BQ60" s="10"/>
      <c r="BR60" s="11"/>
      <c r="BS60" s="12"/>
      <c r="BT60" s="17"/>
      <c r="BU60" s="13"/>
      <c r="BV60" s="13"/>
      <c r="BW60" s="13"/>
      <c r="BX60" s="14"/>
      <c r="BY60" s="8">
        <f t="shared" si="9"/>
        <v>441</v>
      </c>
      <c r="BZ60" s="8">
        <f t="shared" si="10"/>
        <v>462</v>
      </c>
      <c r="CA60" s="8">
        <f t="shared" si="11"/>
        <v>311</v>
      </c>
      <c r="CB60" s="8">
        <f t="shared" si="12"/>
        <v>164</v>
      </c>
      <c r="CC60" s="8">
        <f t="shared" si="13"/>
        <v>462</v>
      </c>
      <c r="CD60" s="8">
        <f t="shared" si="14"/>
        <v>311</v>
      </c>
      <c r="CE60" s="15">
        <f t="shared" si="15"/>
        <v>33.608713870066495</v>
      </c>
      <c r="CF60" s="15" t="str">
        <f t="shared" si="16"/>
        <v>OK - No Upgrade</v>
      </c>
      <c r="CG60" s="15" t="str">
        <f t="shared" si="17"/>
        <v>Need to Balance</v>
      </c>
    </row>
    <row r="61" spans="1:85" ht="15.75" customHeight="1" x14ac:dyDescent="0.25">
      <c r="A61" s="8" t="s">
        <v>1459</v>
      </c>
      <c r="B61" s="8" t="s">
        <v>1460</v>
      </c>
      <c r="C61" s="8" t="s">
        <v>389</v>
      </c>
      <c r="D61" s="8" t="s">
        <v>1602</v>
      </c>
      <c r="E61" s="8" t="s">
        <v>1604</v>
      </c>
      <c r="F61" s="8" t="s">
        <v>56</v>
      </c>
      <c r="G61" s="8"/>
      <c r="H61" s="8">
        <v>1000</v>
      </c>
      <c r="I61" s="8" t="s">
        <v>840</v>
      </c>
      <c r="J61" s="8">
        <v>1</v>
      </c>
      <c r="K61" s="8">
        <v>244</v>
      </c>
      <c r="L61" s="8">
        <v>245</v>
      </c>
      <c r="M61" s="8">
        <v>244</v>
      </c>
      <c r="N61" s="8">
        <v>421</v>
      </c>
      <c r="O61" s="8">
        <v>420</v>
      </c>
      <c r="P61" s="8">
        <v>421</v>
      </c>
      <c r="Q61" s="9" t="s">
        <v>47</v>
      </c>
      <c r="R61" s="16"/>
      <c r="S61" s="10">
        <v>10</v>
      </c>
      <c r="T61" s="10">
        <v>34</v>
      </c>
      <c r="U61" s="10">
        <v>15</v>
      </c>
      <c r="V61" s="11">
        <v>28</v>
      </c>
      <c r="W61" s="12"/>
      <c r="X61" s="17"/>
      <c r="Y61" s="13"/>
      <c r="Z61" s="13"/>
      <c r="AA61" s="13"/>
      <c r="AB61" s="14"/>
      <c r="AC61" s="9" t="s">
        <v>46</v>
      </c>
      <c r="AD61" s="16"/>
      <c r="AE61" s="10">
        <v>98</v>
      </c>
      <c r="AF61" s="10">
        <v>89</v>
      </c>
      <c r="AG61" s="10">
        <v>118</v>
      </c>
      <c r="AH61" s="11">
        <v>32</v>
      </c>
      <c r="AI61" s="12" t="s">
        <v>46</v>
      </c>
      <c r="AJ61" s="17"/>
      <c r="AK61" s="13">
        <v>62</v>
      </c>
      <c r="AL61" s="13">
        <v>80</v>
      </c>
      <c r="AM61" s="13">
        <v>20</v>
      </c>
      <c r="AN61" s="14">
        <v>38</v>
      </c>
      <c r="AO61" s="9"/>
      <c r="AP61" s="16"/>
      <c r="AQ61" s="10"/>
      <c r="AR61" s="10"/>
      <c r="AS61" s="10"/>
      <c r="AT61" s="11"/>
      <c r="AU61" s="12" t="s">
        <v>46</v>
      </c>
      <c r="AV61" s="17"/>
      <c r="AW61" s="13">
        <v>37</v>
      </c>
      <c r="AX61" s="13">
        <v>58</v>
      </c>
      <c r="AY61" s="13">
        <v>16</v>
      </c>
      <c r="AZ61" s="14">
        <v>18</v>
      </c>
      <c r="BA61" s="9" t="s">
        <v>46</v>
      </c>
      <c r="BB61" s="16"/>
      <c r="BC61" s="10">
        <v>73</v>
      </c>
      <c r="BD61" s="10">
        <v>65</v>
      </c>
      <c r="BE61" s="10">
        <v>90</v>
      </c>
      <c r="BF61" s="11">
        <v>36</v>
      </c>
      <c r="BG61" s="12" t="s">
        <v>47</v>
      </c>
      <c r="BH61" s="17"/>
      <c r="BI61" s="13">
        <v>64</v>
      </c>
      <c r="BJ61" s="13">
        <v>24</v>
      </c>
      <c r="BK61" s="13">
        <v>15</v>
      </c>
      <c r="BL61" s="14">
        <v>40</v>
      </c>
      <c r="BM61" s="9"/>
      <c r="BN61" s="16"/>
      <c r="BO61" s="10"/>
      <c r="BP61" s="10"/>
      <c r="BQ61" s="10"/>
      <c r="BR61" s="11"/>
      <c r="BS61" s="12"/>
      <c r="BT61" s="17"/>
      <c r="BU61" s="13"/>
      <c r="BV61" s="13"/>
      <c r="BW61" s="13"/>
      <c r="BX61" s="14"/>
      <c r="BY61" s="8">
        <f t="shared" si="9"/>
        <v>344</v>
      </c>
      <c r="BZ61" s="8">
        <f t="shared" si="10"/>
        <v>350</v>
      </c>
      <c r="CA61" s="8">
        <f t="shared" si="11"/>
        <v>274</v>
      </c>
      <c r="CB61" s="8">
        <f t="shared" si="12"/>
        <v>192</v>
      </c>
      <c r="CC61" s="8">
        <f t="shared" si="13"/>
        <v>350</v>
      </c>
      <c r="CD61" s="8">
        <f t="shared" si="14"/>
        <v>274</v>
      </c>
      <c r="CE61" s="15">
        <f t="shared" si="15"/>
        <v>25.521768649527406</v>
      </c>
      <c r="CF61" s="15" t="str">
        <f t="shared" si="16"/>
        <v>OK - No Upgrade</v>
      </c>
      <c r="CG61" s="15" t="str">
        <f t="shared" si="17"/>
        <v>OK - Balanced</v>
      </c>
    </row>
    <row r="62" spans="1:85" ht="15.75" customHeight="1" x14ac:dyDescent="0.25">
      <c r="A62" s="8" t="s">
        <v>1459</v>
      </c>
      <c r="B62" s="8" t="s">
        <v>1460</v>
      </c>
      <c r="C62" s="8" t="s">
        <v>389</v>
      </c>
      <c r="D62" s="8" t="s">
        <v>1602</v>
      </c>
      <c r="E62" s="8" t="s">
        <v>1605</v>
      </c>
      <c r="F62" s="8" t="s">
        <v>56</v>
      </c>
      <c r="G62" s="8"/>
      <c r="H62" s="8">
        <v>1000</v>
      </c>
      <c r="I62" s="8" t="s">
        <v>1606</v>
      </c>
      <c r="J62" s="8">
        <v>1</v>
      </c>
      <c r="K62" s="8">
        <v>238</v>
      </c>
      <c r="L62" s="8">
        <v>239</v>
      </c>
      <c r="M62" s="8">
        <v>210</v>
      </c>
      <c r="N62" s="8">
        <v>412</v>
      </c>
      <c r="O62" s="8">
        <v>413</v>
      </c>
      <c r="P62" s="8">
        <v>413</v>
      </c>
      <c r="Q62" s="9" t="s">
        <v>132</v>
      </c>
      <c r="R62" s="16"/>
      <c r="S62" s="10">
        <v>13</v>
      </c>
      <c r="T62" s="10">
        <v>35</v>
      </c>
      <c r="U62" s="10">
        <v>10</v>
      </c>
      <c r="V62" s="11">
        <v>23</v>
      </c>
      <c r="W62" s="12" t="s">
        <v>46</v>
      </c>
      <c r="X62" s="17"/>
      <c r="Y62" s="13">
        <v>38</v>
      </c>
      <c r="Z62" s="13">
        <v>80</v>
      </c>
      <c r="AA62" s="13">
        <v>33</v>
      </c>
      <c r="AB62" s="14">
        <v>38</v>
      </c>
      <c r="AC62" s="9" t="s">
        <v>47</v>
      </c>
      <c r="AD62" s="16"/>
      <c r="AE62" s="10">
        <v>218</v>
      </c>
      <c r="AF62" s="10">
        <v>220</v>
      </c>
      <c r="AG62" s="10">
        <v>217</v>
      </c>
      <c r="AH62" s="11">
        <v>23</v>
      </c>
      <c r="AI62" s="12" t="s">
        <v>47</v>
      </c>
      <c r="AJ62" s="17"/>
      <c r="AK62" s="13">
        <v>0</v>
      </c>
      <c r="AL62" s="13">
        <v>0</v>
      </c>
      <c r="AM62" s="13">
        <v>0</v>
      </c>
      <c r="AN62" s="14">
        <v>0</v>
      </c>
      <c r="AO62" s="9" t="s">
        <v>47</v>
      </c>
      <c r="AP62" s="16"/>
      <c r="AQ62" s="10">
        <v>5</v>
      </c>
      <c r="AR62" s="10">
        <v>4</v>
      </c>
      <c r="AS62" s="10">
        <v>4</v>
      </c>
      <c r="AT62" s="11">
        <v>9</v>
      </c>
      <c r="AU62" s="12"/>
      <c r="AV62" s="17"/>
      <c r="AW62" s="13"/>
      <c r="AX62" s="13"/>
      <c r="AY62" s="13"/>
      <c r="AZ62" s="14"/>
      <c r="BA62" s="9"/>
      <c r="BB62" s="16"/>
      <c r="BC62" s="10"/>
      <c r="BD62" s="10"/>
      <c r="BE62" s="10"/>
      <c r="BF62" s="11"/>
      <c r="BG62" s="12"/>
      <c r="BH62" s="17"/>
      <c r="BI62" s="13"/>
      <c r="BJ62" s="13"/>
      <c r="BK62" s="13"/>
      <c r="BL62" s="14"/>
      <c r="BM62" s="9"/>
      <c r="BN62" s="16"/>
      <c r="BO62" s="10"/>
      <c r="BP62" s="10"/>
      <c r="BQ62" s="10"/>
      <c r="BR62" s="11"/>
      <c r="BS62" s="12"/>
      <c r="BT62" s="17"/>
      <c r="BU62" s="13"/>
      <c r="BV62" s="13"/>
      <c r="BW62" s="13"/>
      <c r="BX62" s="14"/>
      <c r="BY62" s="8">
        <f t="shared" si="9"/>
        <v>274</v>
      </c>
      <c r="BZ62" s="8">
        <f t="shared" si="10"/>
        <v>339</v>
      </c>
      <c r="CA62" s="8">
        <f t="shared" si="11"/>
        <v>264</v>
      </c>
      <c r="CB62" s="8">
        <f t="shared" si="12"/>
        <v>93</v>
      </c>
      <c r="CC62" s="8">
        <f t="shared" si="13"/>
        <v>339</v>
      </c>
      <c r="CD62" s="8">
        <f t="shared" si="14"/>
        <v>264</v>
      </c>
      <c r="CE62" s="15">
        <f t="shared" si="15"/>
        <v>24.191207219152997</v>
      </c>
      <c r="CF62" s="15" t="str">
        <f t="shared" si="16"/>
        <v>OK - No Upgrade</v>
      </c>
      <c r="CG62" s="15" t="str">
        <f t="shared" si="17"/>
        <v>Need to Balance</v>
      </c>
    </row>
    <row r="63" spans="1:85" ht="15.75" customHeight="1" x14ac:dyDescent="0.25">
      <c r="A63" s="8" t="s">
        <v>1459</v>
      </c>
      <c r="B63" s="8" t="s">
        <v>1460</v>
      </c>
      <c r="C63" s="8" t="s">
        <v>512</v>
      </c>
      <c r="D63" s="8" t="s">
        <v>1602</v>
      </c>
      <c r="E63" s="8" t="s">
        <v>1607</v>
      </c>
      <c r="F63" s="8" t="s">
        <v>56</v>
      </c>
      <c r="G63" s="8"/>
      <c r="H63" s="8">
        <v>1000</v>
      </c>
      <c r="I63" s="8" t="s">
        <v>1608</v>
      </c>
      <c r="J63" s="8">
        <v>1</v>
      </c>
      <c r="K63" s="8">
        <v>239</v>
      </c>
      <c r="L63" s="8">
        <v>239</v>
      </c>
      <c r="M63" s="8">
        <v>240</v>
      </c>
      <c r="N63" s="8">
        <v>415</v>
      </c>
      <c r="O63" s="8">
        <v>416</v>
      </c>
      <c r="P63" s="8">
        <v>417</v>
      </c>
      <c r="Q63" s="9" t="s">
        <v>47</v>
      </c>
      <c r="R63" s="16"/>
      <c r="S63" s="10">
        <v>71</v>
      </c>
      <c r="T63" s="10">
        <v>90</v>
      </c>
      <c r="U63" s="10">
        <v>89</v>
      </c>
      <c r="V63" s="11">
        <v>17</v>
      </c>
      <c r="W63" s="12" t="s">
        <v>47</v>
      </c>
      <c r="X63" s="17"/>
      <c r="Y63" s="13">
        <v>80</v>
      </c>
      <c r="Z63" s="13">
        <v>50</v>
      </c>
      <c r="AA63" s="13">
        <v>66</v>
      </c>
      <c r="AB63" s="14">
        <v>18</v>
      </c>
      <c r="AC63" s="9" t="s">
        <v>47</v>
      </c>
      <c r="AD63" s="16"/>
      <c r="AE63" s="10">
        <v>33</v>
      </c>
      <c r="AF63" s="10">
        <v>30</v>
      </c>
      <c r="AG63" s="10">
        <v>20</v>
      </c>
      <c r="AH63" s="11">
        <v>13</v>
      </c>
      <c r="AI63" s="12" t="s">
        <v>47</v>
      </c>
      <c r="AJ63" s="17"/>
      <c r="AK63" s="13">
        <v>109</v>
      </c>
      <c r="AL63" s="13">
        <v>98</v>
      </c>
      <c r="AM63" s="13">
        <v>34</v>
      </c>
      <c r="AN63" s="14">
        <v>57</v>
      </c>
      <c r="AO63" s="9"/>
      <c r="AP63" s="16"/>
      <c r="AQ63" s="10"/>
      <c r="AR63" s="10"/>
      <c r="AS63" s="10"/>
      <c r="AT63" s="11"/>
      <c r="AU63" s="12"/>
      <c r="AV63" s="17"/>
      <c r="AW63" s="13"/>
      <c r="AX63" s="13"/>
      <c r="AY63" s="13"/>
      <c r="AZ63" s="14"/>
      <c r="BA63" s="9"/>
      <c r="BB63" s="16"/>
      <c r="BC63" s="10"/>
      <c r="BD63" s="10"/>
      <c r="BE63" s="10"/>
      <c r="BF63" s="11"/>
      <c r="BG63" s="12"/>
      <c r="BH63" s="17"/>
      <c r="BI63" s="13"/>
      <c r="BJ63" s="13"/>
      <c r="BK63" s="13"/>
      <c r="BL63" s="14"/>
      <c r="BM63" s="9"/>
      <c r="BN63" s="16"/>
      <c r="BO63" s="10"/>
      <c r="BP63" s="10"/>
      <c r="BQ63" s="10"/>
      <c r="BR63" s="11"/>
      <c r="BS63" s="12"/>
      <c r="BT63" s="17"/>
      <c r="BU63" s="13"/>
      <c r="BV63" s="13"/>
      <c r="BW63" s="13"/>
      <c r="BX63" s="14"/>
      <c r="BY63" s="8">
        <f t="shared" si="9"/>
        <v>293</v>
      </c>
      <c r="BZ63" s="8">
        <f t="shared" si="10"/>
        <v>268</v>
      </c>
      <c r="CA63" s="8">
        <f t="shared" si="11"/>
        <v>209</v>
      </c>
      <c r="CB63" s="8">
        <f t="shared" si="12"/>
        <v>105</v>
      </c>
      <c r="CC63" s="8">
        <f t="shared" si="13"/>
        <v>293</v>
      </c>
      <c r="CD63" s="8">
        <f t="shared" si="14"/>
        <v>209</v>
      </c>
      <c r="CE63" s="15">
        <f t="shared" si="15"/>
        <v>21.060871794633762</v>
      </c>
      <c r="CF63" s="15" t="str">
        <f t="shared" si="16"/>
        <v>OK - No Upgrade</v>
      </c>
      <c r="CG63" s="15" t="str">
        <f t="shared" si="17"/>
        <v>Need to Balance</v>
      </c>
    </row>
    <row r="64" spans="1:85" ht="15.75" customHeight="1" x14ac:dyDescent="0.25">
      <c r="A64" s="8" t="s">
        <v>1459</v>
      </c>
      <c r="B64" s="8" t="s">
        <v>1460</v>
      </c>
      <c r="C64" s="8" t="s">
        <v>389</v>
      </c>
      <c r="D64" s="8" t="s">
        <v>1609</v>
      </c>
      <c r="E64" s="8" t="s">
        <v>1610</v>
      </c>
      <c r="F64" s="8" t="s">
        <v>56</v>
      </c>
      <c r="G64" s="8"/>
      <c r="H64" s="8">
        <v>1000</v>
      </c>
      <c r="I64" s="8" t="s">
        <v>1611</v>
      </c>
      <c r="J64" s="8">
        <v>1</v>
      </c>
      <c r="K64" s="8">
        <v>246</v>
      </c>
      <c r="L64" s="8">
        <v>244</v>
      </c>
      <c r="M64" s="8">
        <v>245</v>
      </c>
      <c r="N64" s="8">
        <v>435</v>
      </c>
      <c r="O64" s="8">
        <v>426</v>
      </c>
      <c r="P64" s="8">
        <v>426</v>
      </c>
      <c r="Q64" s="9" t="s">
        <v>47</v>
      </c>
      <c r="R64" s="16"/>
      <c r="S64" s="10">
        <v>34</v>
      </c>
      <c r="T64" s="10">
        <v>49</v>
      </c>
      <c r="U64" s="10">
        <v>63</v>
      </c>
      <c r="V64" s="11">
        <v>22</v>
      </c>
      <c r="W64" s="12" t="s">
        <v>46</v>
      </c>
      <c r="X64" s="17"/>
      <c r="Y64" s="13">
        <v>26</v>
      </c>
      <c r="Z64" s="13">
        <v>28</v>
      </c>
      <c r="AA64" s="13">
        <v>66</v>
      </c>
      <c r="AB64" s="14">
        <v>30</v>
      </c>
      <c r="AC64" s="9" t="s">
        <v>46</v>
      </c>
      <c r="AD64" s="16"/>
      <c r="AE64" s="10">
        <v>0</v>
      </c>
      <c r="AF64" s="10">
        <v>0</v>
      </c>
      <c r="AG64" s="10">
        <v>0</v>
      </c>
      <c r="AH64" s="11">
        <v>0</v>
      </c>
      <c r="AI64" s="12" t="s">
        <v>46</v>
      </c>
      <c r="AJ64" s="17"/>
      <c r="AK64" s="13">
        <v>63</v>
      </c>
      <c r="AL64" s="13">
        <v>81</v>
      </c>
      <c r="AM64" s="13">
        <v>165</v>
      </c>
      <c r="AN64" s="14">
        <v>30</v>
      </c>
      <c r="AO64" s="9" t="s">
        <v>46</v>
      </c>
      <c r="AP64" s="16"/>
      <c r="AQ64" s="10">
        <v>61</v>
      </c>
      <c r="AR64" s="10">
        <v>74</v>
      </c>
      <c r="AS64" s="10">
        <v>98</v>
      </c>
      <c r="AT64" s="11">
        <v>36</v>
      </c>
      <c r="AU64" s="12" t="s">
        <v>47</v>
      </c>
      <c r="AV64" s="17"/>
      <c r="AW64" s="13">
        <v>120</v>
      </c>
      <c r="AX64" s="13">
        <v>118</v>
      </c>
      <c r="AY64" s="13">
        <v>70</v>
      </c>
      <c r="AZ64" s="14">
        <v>51</v>
      </c>
      <c r="BA64" s="9"/>
      <c r="BB64" s="16"/>
      <c r="BC64" s="10"/>
      <c r="BD64" s="10"/>
      <c r="BE64" s="10"/>
      <c r="BF64" s="11"/>
      <c r="BG64" s="12"/>
      <c r="BH64" s="17"/>
      <c r="BI64" s="13"/>
      <c r="BJ64" s="13"/>
      <c r="BK64" s="13"/>
      <c r="BL64" s="14"/>
      <c r="BM64" s="9"/>
      <c r="BN64" s="16"/>
      <c r="BO64" s="10"/>
      <c r="BP64" s="10"/>
      <c r="BQ64" s="10"/>
      <c r="BR64" s="11"/>
      <c r="BS64" s="12"/>
      <c r="BT64" s="17"/>
      <c r="BU64" s="13"/>
      <c r="BV64" s="13"/>
      <c r="BW64" s="13"/>
      <c r="BX64" s="14"/>
      <c r="BY64" s="8">
        <f t="shared" si="9"/>
        <v>304</v>
      </c>
      <c r="BZ64" s="8">
        <f t="shared" si="10"/>
        <v>350</v>
      </c>
      <c r="CA64" s="8">
        <f t="shared" si="11"/>
        <v>462</v>
      </c>
      <c r="CB64" s="8">
        <f t="shared" si="12"/>
        <v>169</v>
      </c>
      <c r="CC64" s="8">
        <f t="shared" si="13"/>
        <v>462</v>
      </c>
      <c r="CD64" s="8">
        <f t="shared" si="14"/>
        <v>304</v>
      </c>
      <c r="CE64" s="15">
        <f t="shared" si="15"/>
        <v>34.809025079711724</v>
      </c>
      <c r="CF64" s="15" t="str">
        <f t="shared" si="16"/>
        <v>OK - No Upgrade</v>
      </c>
      <c r="CG64" s="15" t="str">
        <f t="shared" si="17"/>
        <v>Need to Balance</v>
      </c>
    </row>
    <row r="65" spans="1:85" ht="15.75" customHeight="1" x14ac:dyDescent="0.25">
      <c r="A65" s="8" t="s">
        <v>1459</v>
      </c>
      <c r="B65" s="8" t="s">
        <v>1460</v>
      </c>
      <c r="C65" s="8" t="s">
        <v>389</v>
      </c>
      <c r="D65" s="8" t="s">
        <v>1602</v>
      </c>
      <c r="E65" s="8" t="s">
        <v>1612</v>
      </c>
      <c r="F65" s="8" t="s">
        <v>43</v>
      </c>
      <c r="G65" s="8"/>
      <c r="H65" s="8">
        <v>315</v>
      </c>
      <c r="I65" s="8" t="s">
        <v>1613</v>
      </c>
      <c r="J65" s="8">
        <v>1</v>
      </c>
      <c r="K65" s="8">
        <v>246</v>
      </c>
      <c r="L65" s="8">
        <v>244</v>
      </c>
      <c r="M65" s="8">
        <v>248</v>
      </c>
      <c r="N65" s="8">
        <v>427</v>
      </c>
      <c r="O65" s="8">
        <v>430</v>
      </c>
      <c r="P65" s="8">
        <v>429</v>
      </c>
      <c r="Q65" s="9" t="s">
        <v>47</v>
      </c>
      <c r="R65" s="16"/>
      <c r="S65" s="10">
        <v>40</v>
      </c>
      <c r="T65" s="10">
        <v>15</v>
      </c>
      <c r="U65" s="10">
        <v>17</v>
      </c>
      <c r="V65" s="11">
        <v>26</v>
      </c>
      <c r="W65" s="12"/>
      <c r="X65" s="17"/>
      <c r="Y65" s="13">
        <v>26</v>
      </c>
      <c r="Z65" s="13">
        <v>26</v>
      </c>
      <c r="AA65" s="13">
        <v>52</v>
      </c>
      <c r="AB65" s="14">
        <v>20</v>
      </c>
      <c r="AC65" s="9"/>
      <c r="AD65" s="16"/>
      <c r="AE65" s="10"/>
      <c r="AF65" s="10"/>
      <c r="AG65" s="10"/>
      <c r="AH65" s="11"/>
      <c r="AI65" s="12"/>
      <c r="AJ65" s="17"/>
      <c r="AK65" s="13"/>
      <c r="AL65" s="13"/>
      <c r="AM65" s="13"/>
      <c r="AN65" s="14"/>
      <c r="AO65" s="9"/>
      <c r="AP65" s="16"/>
      <c r="AQ65" s="10"/>
      <c r="AR65" s="10"/>
      <c r="AS65" s="10"/>
      <c r="AT65" s="11"/>
      <c r="AU65" s="12"/>
      <c r="AV65" s="17"/>
      <c r="AW65" s="13"/>
      <c r="AX65" s="13"/>
      <c r="AY65" s="13"/>
      <c r="AZ65" s="14"/>
      <c r="BA65" s="9"/>
      <c r="BB65" s="16"/>
      <c r="BC65" s="10"/>
      <c r="BD65" s="10"/>
      <c r="BE65" s="10"/>
      <c r="BF65" s="11"/>
      <c r="BG65" s="12"/>
      <c r="BH65" s="17"/>
      <c r="BI65" s="13"/>
      <c r="BJ65" s="13"/>
      <c r="BK65" s="13"/>
      <c r="BL65" s="14"/>
      <c r="BM65" s="9"/>
      <c r="BN65" s="16"/>
      <c r="BO65" s="10"/>
      <c r="BP65" s="10"/>
      <c r="BQ65" s="10"/>
      <c r="BR65" s="11"/>
      <c r="BS65" s="12"/>
      <c r="BT65" s="17"/>
      <c r="BU65" s="13"/>
      <c r="BV65" s="13"/>
      <c r="BW65" s="13"/>
      <c r="BX65" s="14"/>
      <c r="BY65" s="8">
        <f t="shared" si="9"/>
        <v>66</v>
      </c>
      <c r="BZ65" s="8">
        <f t="shared" si="10"/>
        <v>41</v>
      </c>
      <c r="CA65" s="8">
        <f t="shared" si="11"/>
        <v>69</v>
      </c>
      <c r="CB65" s="8">
        <f t="shared" si="12"/>
        <v>46</v>
      </c>
      <c r="CC65" s="8">
        <f t="shared" si="13"/>
        <v>69</v>
      </c>
      <c r="CD65" s="8">
        <f t="shared" si="14"/>
        <v>41</v>
      </c>
      <c r="CE65" s="15">
        <f t="shared" si="15"/>
        <v>16.200448553460898</v>
      </c>
      <c r="CF65" s="15" t="str">
        <f t="shared" si="16"/>
        <v>OK - No Upgrade</v>
      </c>
      <c r="CG65" s="15" t="str">
        <f t="shared" si="17"/>
        <v>Need to Balance</v>
      </c>
    </row>
    <row r="66" spans="1:85" ht="15.75" customHeight="1" x14ac:dyDescent="0.25">
      <c r="A66" s="8" t="s">
        <v>1459</v>
      </c>
      <c r="B66" s="8" t="s">
        <v>1460</v>
      </c>
      <c r="C66" s="8" t="s">
        <v>389</v>
      </c>
      <c r="D66" s="8" t="s">
        <v>1602</v>
      </c>
      <c r="E66" s="8" t="s">
        <v>1614</v>
      </c>
      <c r="F66" s="8" t="s">
        <v>43</v>
      </c>
      <c r="G66" s="8"/>
      <c r="H66" s="8">
        <v>100</v>
      </c>
      <c r="I66" s="8" t="s">
        <v>1615</v>
      </c>
      <c r="J66" s="8">
        <v>1</v>
      </c>
      <c r="K66" s="8">
        <v>247</v>
      </c>
      <c r="L66" s="8">
        <v>249</v>
      </c>
      <c r="M66" s="8">
        <v>250</v>
      </c>
      <c r="N66" s="8">
        <v>431</v>
      </c>
      <c r="O66" s="8">
        <v>433</v>
      </c>
      <c r="P66" s="8">
        <v>433</v>
      </c>
      <c r="Q66" s="9" t="s">
        <v>46</v>
      </c>
      <c r="R66" s="16"/>
      <c r="S66" s="10">
        <v>18</v>
      </c>
      <c r="T66" s="10">
        <v>0</v>
      </c>
      <c r="U66" s="10">
        <v>8</v>
      </c>
      <c r="V66" s="11">
        <v>9</v>
      </c>
      <c r="W66" s="12"/>
      <c r="X66" s="17"/>
      <c r="Y66" s="13"/>
      <c r="Z66" s="13"/>
      <c r="AA66" s="13"/>
      <c r="AB66" s="14"/>
      <c r="AC66" s="9"/>
      <c r="AD66" s="16"/>
      <c r="AE66" s="10"/>
      <c r="AF66" s="10"/>
      <c r="AG66" s="10"/>
      <c r="AH66" s="11"/>
      <c r="AI66" s="12"/>
      <c r="AJ66" s="17"/>
      <c r="AK66" s="13"/>
      <c r="AL66" s="13"/>
      <c r="AM66" s="13"/>
      <c r="AN66" s="14"/>
      <c r="AO66" s="9"/>
      <c r="AP66" s="16"/>
      <c r="AQ66" s="10"/>
      <c r="AR66" s="10"/>
      <c r="AS66" s="10"/>
      <c r="AT66" s="11"/>
      <c r="AU66" s="12"/>
      <c r="AV66" s="17"/>
      <c r="AW66" s="13"/>
      <c r="AX66" s="13"/>
      <c r="AY66" s="13"/>
      <c r="AZ66" s="14"/>
      <c r="BA66" s="9"/>
      <c r="BB66" s="16"/>
      <c r="BC66" s="10"/>
      <c r="BD66" s="10"/>
      <c r="BE66" s="10"/>
      <c r="BF66" s="11"/>
      <c r="BG66" s="12"/>
      <c r="BH66" s="17"/>
      <c r="BI66" s="13"/>
      <c r="BJ66" s="13"/>
      <c r="BK66" s="13"/>
      <c r="BL66" s="14"/>
      <c r="BM66" s="9"/>
      <c r="BN66" s="16"/>
      <c r="BO66" s="10"/>
      <c r="BP66" s="10"/>
      <c r="BQ66" s="10"/>
      <c r="BR66" s="11"/>
      <c r="BS66" s="12"/>
      <c r="BT66" s="17"/>
      <c r="BU66" s="13"/>
      <c r="BV66" s="13"/>
      <c r="BW66" s="13"/>
      <c r="BX66" s="14"/>
      <c r="BY66" s="8">
        <f t="shared" si="9"/>
        <v>18</v>
      </c>
      <c r="BZ66" s="8">
        <f t="shared" si="10"/>
        <v>0</v>
      </c>
      <c r="CA66" s="8">
        <f t="shared" si="11"/>
        <v>8</v>
      </c>
      <c r="CB66" s="8">
        <f t="shared" si="12"/>
        <v>9</v>
      </c>
      <c r="CC66" s="8">
        <f t="shared" si="13"/>
        <v>18</v>
      </c>
      <c r="CD66" s="8">
        <f t="shared" si="14"/>
        <v>0</v>
      </c>
      <c r="CE66" s="15">
        <f t="shared" si="15"/>
        <v>13.43725016511935</v>
      </c>
      <c r="CF66" s="15" t="str">
        <f t="shared" si="16"/>
        <v>OK - No Upgrade</v>
      </c>
      <c r="CG66" s="15" t="str">
        <f t="shared" si="17"/>
        <v>Need to Balance</v>
      </c>
    </row>
    <row r="67" spans="1:85" ht="15.75" customHeight="1" x14ac:dyDescent="0.25">
      <c r="A67" s="8" t="s">
        <v>1459</v>
      </c>
      <c r="B67" s="8" t="s">
        <v>1460</v>
      </c>
      <c r="C67" s="8" t="s">
        <v>389</v>
      </c>
      <c r="D67" s="8" t="s">
        <v>1602</v>
      </c>
      <c r="E67" s="8" t="s">
        <v>1616</v>
      </c>
      <c r="F67" s="8" t="s">
        <v>43</v>
      </c>
      <c r="G67" s="8"/>
      <c r="H67" s="8">
        <v>315</v>
      </c>
      <c r="I67" s="8" t="s">
        <v>1617</v>
      </c>
      <c r="J67" s="8">
        <v>1</v>
      </c>
      <c r="K67" s="8">
        <v>246</v>
      </c>
      <c r="L67" s="8">
        <v>245</v>
      </c>
      <c r="M67" s="8">
        <v>248</v>
      </c>
      <c r="N67" s="8">
        <v>427</v>
      </c>
      <c r="O67" s="8">
        <v>4230</v>
      </c>
      <c r="P67" s="8">
        <v>424</v>
      </c>
      <c r="Q67" s="9" t="s">
        <v>47</v>
      </c>
      <c r="R67" s="16"/>
      <c r="S67" s="10">
        <v>27</v>
      </c>
      <c r="T67" s="10">
        <v>15</v>
      </c>
      <c r="U67" s="10">
        <v>25</v>
      </c>
      <c r="V67" s="11">
        <v>17</v>
      </c>
      <c r="W67" s="12" t="s">
        <v>47</v>
      </c>
      <c r="X67" s="17"/>
      <c r="Y67" s="13">
        <v>189</v>
      </c>
      <c r="Z67" s="13">
        <v>155</v>
      </c>
      <c r="AA67" s="13">
        <v>126</v>
      </c>
      <c r="AB67" s="14">
        <v>41</v>
      </c>
      <c r="AC67" s="9"/>
      <c r="AD67" s="16"/>
      <c r="AE67" s="10"/>
      <c r="AF67" s="10"/>
      <c r="AG67" s="10"/>
      <c r="AH67" s="11"/>
      <c r="AI67" s="12"/>
      <c r="AJ67" s="17"/>
      <c r="AK67" s="13"/>
      <c r="AL67" s="13"/>
      <c r="AM67" s="13"/>
      <c r="AN67" s="14"/>
      <c r="AO67" s="9"/>
      <c r="AP67" s="16"/>
      <c r="AQ67" s="10"/>
      <c r="AR67" s="10"/>
      <c r="AS67" s="10"/>
      <c r="AT67" s="11"/>
      <c r="AU67" s="12"/>
      <c r="AV67" s="17"/>
      <c r="AW67" s="13"/>
      <c r="AX67" s="13"/>
      <c r="AY67" s="13"/>
      <c r="AZ67" s="14"/>
      <c r="BA67" s="9"/>
      <c r="BB67" s="16"/>
      <c r="BC67" s="10"/>
      <c r="BD67" s="10"/>
      <c r="BE67" s="10"/>
      <c r="BF67" s="11"/>
      <c r="BG67" s="12"/>
      <c r="BH67" s="17"/>
      <c r="BI67" s="13"/>
      <c r="BJ67" s="13"/>
      <c r="BK67" s="13"/>
      <c r="BL67" s="14"/>
      <c r="BM67" s="9"/>
      <c r="BN67" s="16"/>
      <c r="BO67" s="10"/>
      <c r="BP67" s="10"/>
      <c r="BQ67" s="10"/>
      <c r="BR67" s="11"/>
      <c r="BS67" s="12"/>
      <c r="BT67" s="17"/>
      <c r="BU67" s="13"/>
      <c r="BV67" s="13"/>
      <c r="BW67" s="13"/>
      <c r="BX67" s="14"/>
      <c r="BY67" s="8">
        <f t="shared" si="9"/>
        <v>216</v>
      </c>
      <c r="BZ67" s="8">
        <f t="shared" si="10"/>
        <v>170</v>
      </c>
      <c r="CA67" s="8">
        <f t="shared" si="11"/>
        <v>151</v>
      </c>
      <c r="CB67" s="8">
        <f t="shared" si="12"/>
        <v>58</v>
      </c>
      <c r="CC67" s="8">
        <f t="shared" si="13"/>
        <v>216</v>
      </c>
      <c r="CD67" s="8">
        <f t="shared" si="14"/>
        <v>151</v>
      </c>
      <c r="CE67" s="15">
        <f t="shared" si="15"/>
        <v>50.714447645616723</v>
      </c>
      <c r="CF67" s="15" t="str">
        <f t="shared" si="16"/>
        <v>OK - No Upgrade</v>
      </c>
      <c r="CG67" s="15" t="str">
        <f t="shared" si="17"/>
        <v>Need to Balance</v>
      </c>
    </row>
    <row r="68" spans="1:85" ht="15.75" customHeight="1" x14ac:dyDescent="0.25">
      <c r="A68" s="8" t="s">
        <v>1459</v>
      </c>
      <c r="B68" s="8" t="s">
        <v>1460</v>
      </c>
      <c r="C68" s="8" t="s">
        <v>124</v>
      </c>
      <c r="D68" s="8" t="s">
        <v>1618</v>
      </c>
      <c r="E68" s="8" t="s">
        <v>1619</v>
      </c>
      <c r="F68" s="8" t="s">
        <v>56</v>
      </c>
      <c r="G68" s="8"/>
      <c r="H68" s="8">
        <v>1000</v>
      </c>
      <c r="I68" s="8" t="s">
        <v>1620</v>
      </c>
      <c r="J68" s="8">
        <v>1</v>
      </c>
      <c r="K68" s="8">
        <v>245</v>
      </c>
      <c r="L68" s="8">
        <v>244</v>
      </c>
      <c r="M68" s="8">
        <v>244</v>
      </c>
      <c r="N68" s="8">
        <v>425</v>
      </c>
      <c r="O68" s="8">
        <v>427</v>
      </c>
      <c r="P68" s="8">
        <v>426</v>
      </c>
      <c r="Q68" s="9"/>
      <c r="R68" s="16"/>
      <c r="S68" s="10"/>
      <c r="T68" s="10"/>
      <c r="U68" s="10"/>
      <c r="V68" s="11"/>
      <c r="W68" s="12"/>
      <c r="X68" s="17"/>
      <c r="Y68" s="13"/>
      <c r="Z68" s="13"/>
      <c r="AA68" s="13"/>
      <c r="AB68" s="14"/>
      <c r="AC68" s="9"/>
      <c r="AD68" s="16"/>
      <c r="AE68" s="10"/>
      <c r="AF68" s="10"/>
      <c r="AG68" s="10"/>
      <c r="AH68" s="11"/>
      <c r="AI68" s="12"/>
      <c r="AJ68" s="17"/>
      <c r="AK68" s="13"/>
      <c r="AL68" s="13"/>
      <c r="AM68" s="13"/>
      <c r="AN68" s="14"/>
      <c r="AO68" s="9" t="s">
        <v>47</v>
      </c>
      <c r="AP68" s="16"/>
      <c r="AQ68" s="10">
        <v>0</v>
      </c>
      <c r="AR68" s="10">
        <v>24</v>
      </c>
      <c r="AS68" s="10">
        <v>13</v>
      </c>
      <c r="AT68" s="11">
        <v>16</v>
      </c>
      <c r="AU68" s="12" t="s">
        <v>47</v>
      </c>
      <c r="AV68" s="17"/>
      <c r="AW68" s="13">
        <v>45</v>
      </c>
      <c r="AX68" s="13">
        <v>52</v>
      </c>
      <c r="AY68" s="13">
        <v>35</v>
      </c>
      <c r="AZ68" s="14">
        <v>32</v>
      </c>
      <c r="BA68" s="9" t="s">
        <v>47</v>
      </c>
      <c r="BB68" s="16"/>
      <c r="BC68" s="10">
        <v>57</v>
      </c>
      <c r="BD68" s="10">
        <v>54</v>
      </c>
      <c r="BE68" s="10">
        <v>74</v>
      </c>
      <c r="BF68" s="11">
        <v>22</v>
      </c>
      <c r="BG68" s="12" t="s">
        <v>47</v>
      </c>
      <c r="BH68" s="17"/>
      <c r="BI68" s="13">
        <v>49</v>
      </c>
      <c r="BJ68" s="13">
        <v>44</v>
      </c>
      <c r="BK68" s="13">
        <v>17</v>
      </c>
      <c r="BL68" s="14">
        <v>18</v>
      </c>
      <c r="BM68" s="9"/>
      <c r="BN68" s="16"/>
      <c r="BO68" s="10"/>
      <c r="BP68" s="10"/>
      <c r="BQ68" s="10"/>
      <c r="BR68" s="11"/>
      <c r="BS68" s="12"/>
      <c r="BT68" s="17"/>
      <c r="BU68" s="13"/>
      <c r="BV68" s="13"/>
      <c r="BW68" s="13"/>
      <c r="BX68" s="14"/>
      <c r="BY68" s="8">
        <f t="shared" ref="BY68:BY103" si="18">SUM(S68,Y68,AE68,AK68,AQ68,AW68,BC68,BI68,BO68,BU68)</f>
        <v>151</v>
      </c>
      <c r="BZ68" s="8">
        <f t="shared" ref="BZ68:BZ103" si="19">SUM(T68,Z68,AF68,AL68,AR68,AX68,BD68,BJ68,BP68,BV68)</f>
        <v>174</v>
      </c>
      <c r="CA68" s="8">
        <f t="shared" ref="CA68:CA103" si="20">SUM(U68,AA68,AG68,AM68,AS68,AY68,BE68,BK68,BQ68,BW68)</f>
        <v>139</v>
      </c>
      <c r="CB68" s="8">
        <f t="shared" ref="CB68:CB103" si="21">SUM(V68,AB68,AH68,AN68,AT68,AZ68,BF68,BL68,BR68,BX68)</f>
        <v>88</v>
      </c>
      <c r="CC68" s="8">
        <f t="shared" ref="CC68:CC103" si="22">MAX(BY68:CA68)</f>
        <v>174</v>
      </c>
      <c r="CD68" s="8">
        <f t="shared" ref="CD68:CD103" si="23">MIN(BY68:CA68)</f>
        <v>139</v>
      </c>
      <c r="CE68" s="15">
        <f t="shared" ref="CE68:CE103" si="24">IF(H68&gt;0,(CC68*SQRT(3)*IF(N68&gt;0,N68,IF(O68&gt;0,O68,IF(P68&gt;0,P68,415)))/(H68*1000))*100,0)</f>
        <v>12.808515721971848</v>
      </c>
      <c r="CF68" s="15" t="str">
        <f t="shared" ref="CF68:CF99" si="25">IF(CE68&gt;70,"Upgrade","OK - No Upgrade")</f>
        <v>OK - No Upgrade</v>
      </c>
      <c r="CG68" s="15" t="str">
        <f t="shared" ref="CG68:CG103" si="26">IF(IF(AVERAGE(BY68:CA68)&gt;0,((CC68-AVERAGE(BY68:CA68))/AVERAGE(BY68:CA68))*100,0)&gt;10,"Need to Balance","OK - Balanced")</f>
        <v>Need to Balance</v>
      </c>
    </row>
    <row r="69" spans="1:85" ht="15.75" customHeight="1" x14ac:dyDescent="0.25">
      <c r="A69" s="8" t="s">
        <v>1459</v>
      </c>
      <c r="B69" s="8" t="s">
        <v>1460</v>
      </c>
      <c r="C69" s="8" t="s">
        <v>124</v>
      </c>
      <c r="D69" s="8" t="s">
        <v>1621</v>
      </c>
      <c r="E69" s="8" t="s">
        <v>1622</v>
      </c>
      <c r="F69" s="8" t="s">
        <v>43</v>
      </c>
      <c r="G69" s="8"/>
      <c r="H69" s="8">
        <v>100</v>
      </c>
      <c r="I69" s="8" t="s">
        <v>1623</v>
      </c>
      <c r="J69" s="8">
        <v>1</v>
      </c>
      <c r="K69" s="8">
        <v>243</v>
      </c>
      <c r="L69" s="8">
        <v>243</v>
      </c>
      <c r="M69" s="8">
        <v>244</v>
      </c>
      <c r="N69" s="8">
        <v>418</v>
      </c>
      <c r="O69" s="8">
        <v>419</v>
      </c>
      <c r="P69" s="8">
        <v>423</v>
      </c>
      <c r="Q69" s="9" t="s">
        <v>47</v>
      </c>
      <c r="R69" s="16"/>
      <c r="S69" s="10">
        <v>0</v>
      </c>
      <c r="T69" s="10">
        <v>22</v>
      </c>
      <c r="U69" s="10">
        <v>0</v>
      </c>
      <c r="V69" s="11">
        <v>12</v>
      </c>
      <c r="W69" s="12" t="s">
        <v>47</v>
      </c>
      <c r="X69" s="17"/>
      <c r="Y69" s="13">
        <v>79</v>
      </c>
      <c r="Z69" s="13">
        <v>51</v>
      </c>
      <c r="AA69" s="13">
        <v>40</v>
      </c>
      <c r="AB69" s="14">
        <v>25</v>
      </c>
      <c r="AC69" s="9"/>
      <c r="AD69" s="16"/>
      <c r="AE69" s="10"/>
      <c r="AF69" s="10"/>
      <c r="AG69" s="10"/>
      <c r="AH69" s="11"/>
      <c r="AI69" s="12"/>
      <c r="AJ69" s="17"/>
      <c r="AK69" s="13"/>
      <c r="AL69" s="13"/>
      <c r="AM69" s="13"/>
      <c r="AN69" s="14"/>
      <c r="AO69" s="9"/>
      <c r="AP69" s="16"/>
      <c r="AQ69" s="10"/>
      <c r="AR69" s="10"/>
      <c r="AS69" s="10"/>
      <c r="AT69" s="11"/>
      <c r="AU69" s="12"/>
      <c r="AV69" s="17"/>
      <c r="AW69" s="13"/>
      <c r="AX69" s="13"/>
      <c r="AY69" s="13"/>
      <c r="AZ69" s="14"/>
      <c r="BA69" s="9"/>
      <c r="BB69" s="16"/>
      <c r="BC69" s="10"/>
      <c r="BD69" s="10"/>
      <c r="BE69" s="10"/>
      <c r="BF69" s="11"/>
      <c r="BG69" s="12"/>
      <c r="BH69" s="17"/>
      <c r="BI69" s="13"/>
      <c r="BJ69" s="13"/>
      <c r="BK69" s="13"/>
      <c r="BL69" s="14"/>
      <c r="BM69" s="9"/>
      <c r="BN69" s="16"/>
      <c r="BO69" s="10"/>
      <c r="BP69" s="10"/>
      <c r="BQ69" s="10"/>
      <c r="BR69" s="11"/>
      <c r="BS69" s="12"/>
      <c r="BT69" s="17"/>
      <c r="BU69" s="13"/>
      <c r="BV69" s="13"/>
      <c r="BW69" s="13"/>
      <c r="BX69" s="14"/>
      <c r="BY69" s="8">
        <f t="shared" si="18"/>
        <v>79</v>
      </c>
      <c r="BZ69" s="8">
        <f t="shared" si="19"/>
        <v>73</v>
      </c>
      <c r="CA69" s="8">
        <f t="shared" si="20"/>
        <v>40</v>
      </c>
      <c r="CB69" s="8">
        <f t="shared" si="21"/>
        <v>37</v>
      </c>
      <c r="CC69" s="8">
        <f t="shared" si="22"/>
        <v>79</v>
      </c>
      <c r="CD69" s="8">
        <f t="shared" si="23"/>
        <v>40</v>
      </c>
      <c r="CE69" s="15">
        <f t="shared" si="24"/>
        <v>57.195781767539465</v>
      </c>
      <c r="CF69" s="15" t="str">
        <f t="shared" si="25"/>
        <v>OK - No Upgrade</v>
      </c>
      <c r="CG69" s="15" t="str">
        <f t="shared" si="26"/>
        <v>Need to Balance</v>
      </c>
    </row>
    <row r="70" spans="1:85" ht="15.75" customHeight="1" x14ac:dyDescent="0.25">
      <c r="A70" s="8" t="s">
        <v>1459</v>
      </c>
      <c r="B70" s="8" t="s">
        <v>1460</v>
      </c>
      <c r="C70" s="8" t="s">
        <v>124</v>
      </c>
      <c r="D70" s="8" t="s">
        <v>1624</v>
      </c>
      <c r="E70" s="8" t="s">
        <v>1625</v>
      </c>
      <c r="F70" s="8" t="s">
        <v>43</v>
      </c>
      <c r="G70" s="8"/>
      <c r="H70" s="8">
        <v>315</v>
      </c>
      <c r="I70" s="8" t="s">
        <v>1626</v>
      </c>
      <c r="J70" s="8">
        <v>1</v>
      </c>
      <c r="K70" s="8">
        <v>245</v>
      </c>
      <c r="L70" s="8">
        <v>244</v>
      </c>
      <c r="M70" s="8">
        <v>244</v>
      </c>
      <c r="N70" s="8">
        <v>424</v>
      </c>
      <c r="O70" s="8">
        <v>424</v>
      </c>
      <c r="P70" s="8">
        <v>427</v>
      </c>
      <c r="Q70" s="9" t="s">
        <v>46</v>
      </c>
      <c r="R70" s="16"/>
      <c r="S70" s="10">
        <v>0</v>
      </c>
      <c r="T70" s="10">
        <v>0</v>
      </c>
      <c r="U70" s="10">
        <v>0</v>
      </c>
      <c r="V70" s="11">
        <v>0</v>
      </c>
      <c r="W70" s="12" t="s">
        <v>46</v>
      </c>
      <c r="X70" s="17"/>
      <c r="Y70" s="13">
        <v>25</v>
      </c>
      <c r="Z70" s="13">
        <v>13</v>
      </c>
      <c r="AA70" s="13">
        <v>0</v>
      </c>
      <c r="AB70" s="14">
        <v>21</v>
      </c>
      <c r="AC70" s="9"/>
      <c r="AD70" s="16"/>
      <c r="AE70" s="10"/>
      <c r="AF70" s="10"/>
      <c r="AG70" s="10"/>
      <c r="AH70" s="11"/>
      <c r="AI70" s="12"/>
      <c r="AJ70" s="17"/>
      <c r="AK70" s="13"/>
      <c r="AL70" s="13"/>
      <c r="AM70" s="13"/>
      <c r="AN70" s="14"/>
      <c r="AO70" s="9"/>
      <c r="AP70" s="16"/>
      <c r="AQ70" s="10"/>
      <c r="AR70" s="10"/>
      <c r="AS70" s="10"/>
      <c r="AT70" s="11"/>
      <c r="AU70" s="12"/>
      <c r="AV70" s="17"/>
      <c r="AW70" s="13"/>
      <c r="AX70" s="13"/>
      <c r="AY70" s="13"/>
      <c r="AZ70" s="14"/>
      <c r="BA70" s="9"/>
      <c r="BB70" s="16"/>
      <c r="BC70" s="10"/>
      <c r="BD70" s="10"/>
      <c r="BE70" s="10"/>
      <c r="BF70" s="11"/>
      <c r="BG70" s="12"/>
      <c r="BH70" s="17"/>
      <c r="BI70" s="13"/>
      <c r="BJ70" s="13"/>
      <c r="BK70" s="13"/>
      <c r="BL70" s="14"/>
      <c r="BM70" s="9"/>
      <c r="BN70" s="16"/>
      <c r="BO70" s="10"/>
      <c r="BP70" s="10"/>
      <c r="BQ70" s="10"/>
      <c r="BR70" s="11"/>
      <c r="BS70" s="12"/>
      <c r="BT70" s="17"/>
      <c r="BU70" s="13"/>
      <c r="BV70" s="13"/>
      <c r="BW70" s="13"/>
      <c r="BX70" s="14"/>
      <c r="BY70" s="8">
        <f t="shared" si="18"/>
        <v>25</v>
      </c>
      <c r="BZ70" s="8">
        <f t="shared" si="19"/>
        <v>13</v>
      </c>
      <c r="CA70" s="8">
        <f t="shared" si="20"/>
        <v>0</v>
      </c>
      <c r="CB70" s="8">
        <f t="shared" si="21"/>
        <v>21</v>
      </c>
      <c r="CC70" s="8">
        <f t="shared" si="22"/>
        <v>25</v>
      </c>
      <c r="CD70" s="8">
        <f t="shared" si="23"/>
        <v>0</v>
      </c>
      <c r="CE70" s="15">
        <f t="shared" si="24"/>
        <v>5.8284884318190793</v>
      </c>
      <c r="CF70" s="15" t="str">
        <f t="shared" si="25"/>
        <v>OK - No Upgrade</v>
      </c>
      <c r="CG70" s="15" t="str">
        <f t="shared" si="26"/>
        <v>Need to Balance</v>
      </c>
    </row>
    <row r="71" spans="1:85" ht="15.75" customHeight="1" x14ac:dyDescent="0.25">
      <c r="A71" s="8" t="s">
        <v>1459</v>
      </c>
      <c r="B71" s="8" t="s">
        <v>1460</v>
      </c>
      <c r="C71" s="8" t="s">
        <v>124</v>
      </c>
      <c r="D71" s="8" t="s">
        <v>1627</v>
      </c>
      <c r="E71" s="8" t="s">
        <v>1628</v>
      </c>
      <c r="F71" s="8" t="s">
        <v>43</v>
      </c>
      <c r="G71" s="8"/>
      <c r="H71" s="8">
        <v>315</v>
      </c>
      <c r="I71" s="8" t="s">
        <v>1629</v>
      </c>
      <c r="J71" s="8">
        <v>1</v>
      </c>
      <c r="K71" s="8">
        <v>240</v>
      </c>
      <c r="L71" s="8">
        <v>240</v>
      </c>
      <c r="M71" s="8">
        <v>241</v>
      </c>
      <c r="N71" s="8">
        <v>416</v>
      </c>
      <c r="O71" s="8">
        <v>417</v>
      </c>
      <c r="P71" s="8">
        <v>416</v>
      </c>
      <c r="Q71" s="9"/>
      <c r="R71" s="16"/>
      <c r="S71" s="10"/>
      <c r="T71" s="10"/>
      <c r="U71" s="10"/>
      <c r="V71" s="11"/>
      <c r="W71" s="12"/>
      <c r="X71" s="17"/>
      <c r="Y71" s="13"/>
      <c r="Z71" s="13"/>
      <c r="AA71" s="13"/>
      <c r="AB71" s="14"/>
      <c r="AC71" s="9"/>
      <c r="AD71" s="16"/>
      <c r="AE71" s="10"/>
      <c r="AF71" s="10"/>
      <c r="AG71" s="10"/>
      <c r="AH71" s="11"/>
      <c r="AI71" s="12" t="s">
        <v>47</v>
      </c>
      <c r="AJ71" s="17"/>
      <c r="AK71" s="13">
        <v>0</v>
      </c>
      <c r="AL71" s="13">
        <v>0</v>
      </c>
      <c r="AM71" s="13">
        <v>12</v>
      </c>
      <c r="AN71" s="14">
        <v>12</v>
      </c>
      <c r="AO71" s="9"/>
      <c r="AP71" s="16"/>
      <c r="AQ71" s="10"/>
      <c r="AR71" s="10"/>
      <c r="AS71" s="10"/>
      <c r="AT71" s="11"/>
      <c r="AU71" s="12"/>
      <c r="AV71" s="17"/>
      <c r="AW71" s="13"/>
      <c r="AX71" s="13"/>
      <c r="AY71" s="13"/>
      <c r="AZ71" s="14"/>
      <c r="BA71" s="9"/>
      <c r="BB71" s="16"/>
      <c r="BC71" s="10"/>
      <c r="BD71" s="10"/>
      <c r="BE71" s="10"/>
      <c r="BF71" s="11"/>
      <c r="BG71" s="12"/>
      <c r="BH71" s="17"/>
      <c r="BI71" s="13"/>
      <c r="BJ71" s="13"/>
      <c r="BK71" s="13"/>
      <c r="BL71" s="14"/>
      <c r="BM71" s="9"/>
      <c r="BN71" s="16"/>
      <c r="BO71" s="10"/>
      <c r="BP71" s="10"/>
      <c r="BQ71" s="10"/>
      <c r="BR71" s="11"/>
      <c r="BS71" s="12"/>
      <c r="BT71" s="17"/>
      <c r="BU71" s="13"/>
      <c r="BV71" s="13"/>
      <c r="BW71" s="13"/>
      <c r="BX71" s="14"/>
      <c r="BY71" s="8">
        <f t="shared" si="18"/>
        <v>0</v>
      </c>
      <c r="BZ71" s="8">
        <f t="shared" si="19"/>
        <v>0</v>
      </c>
      <c r="CA71" s="8">
        <f t="shared" si="20"/>
        <v>12</v>
      </c>
      <c r="CB71" s="8">
        <f t="shared" si="21"/>
        <v>12</v>
      </c>
      <c r="CC71" s="8">
        <f t="shared" si="22"/>
        <v>12</v>
      </c>
      <c r="CD71" s="8">
        <f t="shared" si="23"/>
        <v>0</v>
      </c>
      <c r="CE71" s="15">
        <f t="shared" si="24"/>
        <v>2.7448881369472495</v>
      </c>
      <c r="CF71" s="15" t="str">
        <f t="shared" si="25"/>
        <v>OK - No Upgrade</v>
      </c>
      <c r="CG71" s="15" t="str">
        <f t="shared" si="26"/>
        <v>Need to Balance</v>
      </c>
    </row>
    <row r="72" spans="1:85" ht="15.75" customHeight="1" x14ac:dyDescent="0.25">
      <c r="A72" s="8" t="s">
        <v>1459</v>
      </c>
      <c r="B72" s="8" t="s">
        <v>1460</v>
      </c>
      <c r="C72" s="8" t="s">
        <v>124</v>
      </c>
      <c r="D72" s="8" t="s">
        <v>1630</v>
      </c>
      <c r="E72" s="8" t="s">
        <v>1631</v>
      </c>
      <c r="F72" s="8" t="s">
        <v>43</v>
      </c>
      <c r="G72" s="8"/>
      <c r="H72" s="8">
        <v>100</v>
      </c>
      <c r="I72" s="8" t="s">
        <v>1632</v>
      </c>
      <c r="J72" s="8">
        <v>1</v>
      </c>
      <c r="K72" s="8">
        <v>240</v>
      </c>
      <c r="L72" s="8">
        <v>240</v>
      </c>
      <c r="M72" s="8">
        <v>242</v>
      </c>
      <c r="N72" s="8">
        <v>417</v>
      </c>
      <c r="O72" s="8">
        <v>416</v>
      </c>
      <c r="P72" s="8">
        <v>417</v>
      </c>
      <c r="Q72" s="9" t="s">
        <v>132</v>
      </c>
      <c r="R72" s="16"/>
      <c r="S72" s="10">
        <v>0</v>
      </c>
      <c r="T72" s="10">
        <v>0</v>
      </c>
      <c r="U72" s="10">
        <v>0</v>
      </c>
      <c r="V72" s="11">
        <v>0</v>
      </c>
      <c r="W72" s="12"/>
      <c r="X72" s="17"/>
      <c r="Y72" s="13"/>
      <c r="Z72" s="13"/>
      <c r="AA72" s="13"/>
      <c r="AB72" s="14"/>
      <c r="AC72" s="9"/>
      <c r="AD72" s="16"/>
      <c r="AE72" s="10"/>
      <c r="AF72" s="10"/>
      <c r="AG72" s="10"/>
      <c r="AH72" s="11"/>
      <c r="AI72" s="12"/>
      <c r="AJ72" s="17"/>
      <c r="AK72" s="13"/>
      <c r="AL72" s="13"/>
      <c r="AM72" s="13"/>
      <c r="AN72" s="14"/>
      <c r="AO72" s="9"/>
      <c r="AP72" s="16"/>
      <c r="AQ72" s="10"/>
      <c r="AR72" s="10"/>
      <c r="AS72" s="10"/>
      <c r="AT72" s="11"/>
      <c r="AU72" s="12"/>
      <c r="AV72" s="17"/>
      <c r="AW72" s="13"/>
      <c r="AX72" s="13"/>
      <c r="AY72" s="13"/>
      <c r="AZ72" s="14"/>
      <c r="BA72" s="9"/>
      <c r="BB72" s="16"/>
      <c r="BC72" s="10"/>
      <c r="BD72" s="10"/>
      <c r="BE72" s="10"/>
      <c r="BF72" s="11"/>
      <c r="BG72" s="12"/>
      <c r="BH72" s="17"/>
      <c r="BI72" s="13"/>
      <c r="BJ72" s="13"/>
      <c r="BK72" s="13"/>
      <c r="BL72" s="14"/>
      <c r="BM72" s="9"/>
      <c r="BN72" s="16"/>
      <c r="BO72" s="10"/>
      <c r="BP72" s="10"/>
      <c r="BQ72" s="10"/>
      <c r="BR72" s="11"/>
      <c r="BS72" s="12"/>
      <c r="BT72" s="17"/>
      <c r="BU72" s="13"/>
      <c r="BV72" s="13"/>
      <c r="BW72" s="13"/>
      <c r="BX72" s="14"/>
      <c r="BY72" s="8">
        <f t="shared" si="18"/>
        <v>0</v>
      </c>
      <c r="BZ72" s="8">
        <f t="shared" si="19"/>
        <v>0</v>
      </c>
      <c r="CA72" s="8">
        <f t="shared" si="20"/>
        <v>0</v>
      </c>
      <c r="CB72" s="8">
        <f t="shared" si="21"/>
        <v>0</v>
      </c>
      <c r="CC72" s="8">
        <f t="shared" si="22"/>
        <v>0</v>
      </c>
      <c r="CD72" s="8">
        <f t="shared" si="23"/>
        <v>0</v>
      </c>
      <c r="CE72" s="15">
        <f t="shared" si="24"/>
        <v>0</v>
      </c>
      <c r="CF72" s="15" t="str">
        <f t="shared" si="25"/>
        <v>OK - No Upgrade</v>
      </c>
      <c r="CG72" s="15" t="str">
        <f t="shared" si="26"/>
        <v>OK - Balanced</v>
      </c>
    </row>
    <row r="73" spans="1:85" ht="15.75" customHeight="1" x14ac:dyDescent="0.25">
      <c r="A73" s="8" t="s">
        <v>1459</v>
      </c>
      <c r="B73" s="8" t="s">
        <v>1460</v>
      </c>
      <c r="C73" s="8" t="s">
        <v>124</v>
      </c>
      <c r="D73" s="8" t="s">
        <v>1633</v>
      </c>
      <c r="E73" s="8" t="s">
        <v>1634</v>
      </c>
      <c r="F73" s="8" t="s">
        <v>43</v>
      </c>
      <c r="G73" s="8"/>
      <c r="H73" s="8">
        <v>315</v>
      </c>
      <c r="I73" s="8" t="s">
        <v>1635</v>
      </c>
      <c r="J73" s="8">
        <v>1</v>
      </c>
      <c r="K73" s="8">
        <v>237</v>
      </c>
      <c r="L73" s="8">
        <v>236</v>
      </c>
      <c r="M73" s="8">
        <v>238</v>
      </c>
      <c r="N73" s="8">
        <v>412</v>
      </c>
      <c r="O73" s="8">
        <v>413</v>
      </c>
      <c r="P73" s="8">
        <v>412</v>
      </c>
      <c r="Q73" s="9" t="s">
        <v>46</v>
      </c>
      <c r="R73" s="16"/>
      <c r="S73" s="10">
        <v>131</v>
      </c>
      <c r="T73" s="10">
        <v>147</v>
      </c>
      <c r="U73" s="10">
        <v>120</v>
      </c>
      <c r="V73" s="11">
        <v>0</v>
      </c>
      <c r="W73" s="12" t="s">
        <v>46</v>
      </c>
      <c r="X73" s="17"/>
      <c r="Y73" s="13">
        <v>38</v>
      </c>
      <c r="Z73" s="13">
        <v>31</v>
      </c>
      <c r="AA73" s="13">
        <v>26</v>
      </c>
      <c r="AB73" s="14">
        <v>11</v>
      </c>
      <c r="AC73" s="9"/>
      <c r="AD73" s="16"/>
      <c r="AE73" s="10"/>
      <c r="AF73" s="10"/>
      <c r="AG73" s="10"/>
      <c r="AH73" s="11"/>
      <c r="AI73" s="12"/>
      <c r="AJ73" s="17"/>
      <c r="AK73" s="13"/>
      <c r="AL73" s="13"/>
      <c r="AM73" s="13"/>
      <c r="AN73" s="14"/>
      <c r="AO73" s="9"/>
      <c r="AP73" s="16"/>
      <c r="AQ73" s="10"/>
      <c r="AR73" s="10"/>
      <c r="AS73" s="10"/>
      <c r="AT73" s="11"/>
      <c r="AU73" s="12"/>
      <c r="AV73" s="17"/>
      <c r="AW73" s="13"/>
      <c r="AX73" s="13"/>
      <c r="AY73" s="13"/>
      <c r="AZ73" s="14"/>
      <c r="BA73" s="9"/>
      <c r="BB73" s="16"/>
      <c r="BC73" s="10"/>
      <c r="BD73" s="10"/>
      <c r="BE73" s="10"/>
      <c r="BF73" s="11"/>
      <c r="BG73" s="12"/>
      <c r="BH73" s="17"/>
      <c r="BI73" s="13"/>
      <c r="BJ73" s="13"/>
      <c r="BK73" s="13"/>
      <c r="BL73" s="14"/>
      <c r="BM73" s="9"/>
      <c r="BN73" s="16"/>
      <c r="BO73" s="10"/>
      <c r="BP73" s="10"/>
      <c r="BQ73" s="10"/>
      <c r="BR73" s="11"/>
      <c r="BS73" s="12"/>
      <c r="BT73" s="17"/>
      <c r="BU73" s="13"/>
      <c r="BV73" s="13"/>
      <c r="BW73" s="13"/>
      <c r="BX73" s="14"/>
      <c r="BY73" s="8">
        <f t="shared" si="18"/>
        <v>169</v>
      </c>
      <c r="BZ73" s="8">
        <f t="shared" si="19"/>
        <v>178</v>
      </c>
      <c r="CA73" s="8">
        <f t="shared" si="20"/>
        <v>146</v>
      </c>
      <c r="CB73" s="8">
        <f t="shared" si="21"/>
        <v>11</v>
      </c>
      <c r="CC73" s="8">
        <f t="shared" si="22"/>
        <v>178</v>
      </c>
      <c r="CD73" s="8">
        <f t="shared" si="23"/>
        <v>146</v>
      </c>
      <c r="CE73" s="15">
        <f t="shared" si="24"/>
        <v>40.324342229800372</v>
      </c>
      <c r="CF73" s="15" t="str">
        <f t="shared" si="25"/>
        <v>OK - No Upgrade</v>
      </c>
      <c r="CG73" s="15" t="str">
        <f t="shared" si="26"/>
        <v>OK - Balanced</v>
      </c>
    </row>
    <row r="74" spans="1:85" ht="15.75" customHeight="1" x14ac:dyDescent="0.25">
      <c r="A74" s="8" t="s">
        <v>1459</v>
      </c>
      <c r="B74" s="8" t="s">
        <v>1460</v>
      </c>
      <c r="C74" s="8" t="s">
        <v>124</v>
      </c>
      <c r="D74" s="8" t="s">
        <v>1636</v>
      </c>
      <c r="E74" s="8" t="s">
        <v>1637</v>
      </c>
      <c r="F74" s="8" t="s">
        <v>43</v>
      </c>
      <c r="G74" s="8"/>
      <c r="H74" s="8">
        <v>200</v>
      </c>
      <c r="I74" s="8" t="s">
        <v>1638</v>
      </c>
      <c r="J74" s="8">
        <v>1</v>
      </c>
      <c r="K74" s="8">
        <v>237</v>
      </c>
      <c r="L74" s="8">
        <v>238</v>
      </c>
      <c r="M74" s="8">
        <v>237</v>
      </c>
      <c r="N74" s="8">
        <v>412</v>
      </c>
      <c r="O74" s="8">
        <v>413</v>
      </c>
      <c r="P74" s="8">
        <v>412</v>
      </c>
      <c r="Q74" s="9" t="s">
        <v>46</v>
      </c>
      <c r="R74" s="16"/>
      <c r="S74" s="10">
        <v>66</v>
      </c>
      <c r="T74" s="10">
        <v>51</v>
      </c>
      <c r="U74" s="10">
        <v>59</v>
      </c>
      <c r="V74" s="11">
        <v>24</v>
      </c>
      <c r="W74" s="12"/>
      <c r="X74" s="17"/>
      <c r="Y74" s="13"/>
      <c r="Z74" s="13"/>
      <c r="AA74" s="13"/>
      <c r="AB74" s="14"/>
      <c r="AC74" s="9"/>
      <c r="AD74" s="16"/>
      <c r="AE74" s="10"/>
      <c r="AF74" s="10"/>
      <c r="AG74" s="10"/>
      <c r="AH74" s="11"/>
      <c r="AI74" s="12"/>
      <c r="AJ74" s="17"/>
      <c r="AK74" s="13"/>
      <c r="AL74" s="13"/>
      <c r="AM74" s="13"/>
      <c r="AN74" s="14"/>
      <c r="AO74" s="9"/>
      <c r="AP74" s="16"/>
      <c r="AQ74" s="10"/>
      <c r="AR74" s="10"/>
      <c r="AS74" s="10"/>
      <c r="AT74" s="11"/>
      <c r="AU74" s="12"/>
      <c r="AV74" s="17"/>
      <c r="AW74" s="13"/>
      <c r="AX74" s="13"/>
      <c r="AY74" s="13"/>
      <c r="AZ74" s="14"/>
      <c r="BA74" s="9"/>
      <c r="BB74" s="16"/>
      <c r="BC74" s="10"/>
      <c r="BD74" s="10"/>
      <c r="BE74" s="10"/>
      <c r="BF74" s="11"/>
      <c r="BG74" s="12"/>
      <c r="BH74" s="17"/>
      <c r="BI74" s="13"/>
      <c r="BJ74" s="13"/>
      <c r="BK74" s="13"/>
      <c r="BL74" s="14"/>
      <c r="BM74" s="9"/>
      <c r="BN74" s="16"/>
      <c r="BO74" s="10"/>
      <c r="BP74" s="10"/>
      <c r="BQ74" s="10"/>
      <c r="BR74" s="11"/>
      <c r="BS74" s="12"/>
      <c r="BT74" s="17"/>
      <c r="BU74" s="13"/>
      <c r="BV74" s="13"/>
      <c r="BW74" s="13"/>
      <c r="BX74" s="14"/>
      <c r="BY74" s="8">
        <f t="shared" si="18"/>
        <v>66</v>
      </c>
      <c r="BZ74" s="8">
        <f t="shared" si="19"/>
        <v>51</v>
      </c>
      <c r="CA74" s="8">
        <f t="shared" si="20"/>
        <v>59</v>
      </c>
      <c r="CB74" s="8">
        <f t="shared" si="21"/>
        <v>24</v>
      </c>
      <c r="CC74" s="8">
        <f t="shared" si="22"/>
        <v>66</v>
      </c>
      <c r="CD74" s="8">
        <f t="shared" si="23"/>
        <v>51</v>
      </c>
      <c r="CE74" s="15">
        <f t="shared" si="24"/>
        <v>23.548962779706454</v>
      </c>
      <c r="CF74" s="15" t="str">
        <f t="shared" si="25"/>
        <v>OK - No Upgrade</v>
      </c>
      <c r="CG74" s="15" t="str">
        <f t="shared" si="26"/>
        <v>Need to Balance</v>
      </c>
    </row>
    <row r="75" spans="1:85" ht="15.75" customHeight="1" x14ac:dyDescent="0.25">
      <c r="A75" s="8" t="s">
        <v>1459</v>
      </c>
      <c r="B75" s="8" t="s">
        <v>1460</v>
      </c>
      <c r="C75" s="8" t="s">
        <v>124</v>
      </c>
      <c r="D75" s="8" t="s">
        <v>1639</v>
      </c>
      <c r="E75" s="8" t="s">
        <v>1640</v>
      </c>
      <c r="F75" s="8" t="s">
        <v>43</v>
      </c>
      <c r="G75" s="8"/>
      <c r="H75" s="8">
        <v>315</v>
      </c>
      <c r="I75" s="8" t="s">
        <v>1641</v>
      </c>
      <c r="J75" s="8">
        <v>1</v>
      </c>
      <c r="K75" s="8">
        <v>239</v>
      </c>
      <c r="L75" s="8">
        <v>239</v>
      </c>
      <c r="M75" s="8">
        <v>234</v>
      </c>
      <c r="N75" s="8">
        <v>416</v>
      </c>
      <c r="O75" s="8">
        <v>415</v>
      </c>
      <c r="P75" s="8">
        <v>416</v>
      </c>
      <c r="Q75" s="9" t="s">
        <v>70</v>
      </c>
      <c r="R75" s="16"/>
      <c r="S75" s="10">
        <v>74</v>
      </c>
      <c r="T75" s="10">
        <v>47</v>
      </c>
      <c r="U75" s="10">
        <v>44</v>
      </c>
      <c r="V75" s="11">
        <v>31</v>
      </c>
      <c r="W75" s="12" t="s">
        <v>70</v>
      </c>
      <c r="X75" s="17"/>
      <c r="Y75" s="13">
        <v>0</v>
      </c>
      <c r="Z75" s="13">
        <v>16</v>
      </c>
      <c r="AA75" s="13">
        <v>38</v>
      </c>
      <c r="AB75" s="14">
        <v>19</v>
      </c>
      <c r="AC75" s="9"/>
      <c r="AD75" s="16"/>
      <c r="AE75" s="10"/>
      <c r="AF75" s="10"/>
      <c r="AG75" s="10"/>
      <c r="AH75" s="11"/>
      <c r="AI75" s="12"/>
      <c r="AJ75" s="17"/>
      <c r="AK75" s="13"/>
      <c r="AL75" s="13"/>
      <c r="AM75" s="13"/>
      <c r="AN75" s="14"/>
      <c r="AO75" s="9"/>
      <c r="AP75" s="16"/>
      <c r="AQ75" s="10"/>
      <c r="AR75" s="10"/>
      <c r="AS75" s="10"/>
      <c r="AT75" s="11"/>
      <c r="AU75" s="12"/>
      <c r="AV75" s="17"/>
      <c r="AW75" s="13"/>
      <c r="AX75" s="13"/>
      <c r="AY75" s="13"/>
      <c r="AZ75" s="14"/>
      <c r="BA75" s="9"/>
      <c r="BB75" s="16"/>
      <c r="BC75" s="10"/>
      <c r="BD75" s="10"/>
      <c r="BE75" s="10"/>
      <c r="BF75" s="11"/>
      <c r="BG75" s="12"/>
      <c r="BH75" s="17"/>
      <c r="BI75" s="13"/>
      <c r="BJ75" s="13"/>
      <c r="BK75" s="13"/>
      <c r="BL75" s="14"/>
      <c r="BM75" s="9"/>
      <c r="BN75" s="16"/>
      <c r="BO75" s="10"/>
      <c r="BP75" s="10"/>
      <c r="BQ75" s="10"/>
      <c r="BR75" s="11"/>
      <c r="BS75" s="12"/>
      <c r="BT75" s="17"/>
      <c r="BU75" s="13"/>
      <c r="BV75" s="13"/>
      <c r="BW75" s="13"/>
      <c r="BX75" s="14"/>
      <c r="BY75" s="8">
        <f t="shared" si="18"/>
        <v>74</v>
      </c>
      <c r="BZ75" s="8">
        <f t="shared" si="19"/>
        <v>63</v>
      </c>
      <c r="CA75" s="8">
        <f t="shared" si="20"/>
        <v>82</v>
      </c>
      <c r="CB75" s="8">
        <f t="shared" si="21"/>
        <v>50</v>
      </c>
      <c r="CC75" s="8">
        <f t="shared" si="22"/>
        <v>82</v>
      </c>
      <c r="CD75" s="8">
        <f t="shared" si="23"/>
        <v>63</v>
      </c>
      <c r="CE75" s="15">
        <f t="shared" si="24"/>
        <v>18.756735602472869</v>
      </c>
      <c r="CF75" s="15" t="str">
        <f t="shared" si="25"/>
        <v>OK - No Upgrade</v>
      </c>
      <c r="CG75" s="15" t="str">
        <f t="shared" si="26"/>
        <v>Need to Balance</v>
      </c>
    </row>
    <row r="76" spans="1:85" ht="15.75" customHeight="1" x14ac:dyDescent="0.25">
      <c r="A76" s="8" t="s">
        <v>1459</v>
      </c>
      <c r="B76" s="8" t="s">
        <v>1460</v>
      </c>
      <c r="C76" s="8" t="s">
        <v>124</v>
      </c>
      <c r="D76" s="8" t="s">
        <v>1642</v>
      </c>
      <c r="E76" s="8" t="s">
        <v>1643</v>
      </c>
      <c r="F76" s="8" t="s">
        <v>43</v>
      </c>
      <c r="G76" s="8"/>
      <c r="H76" s="8">
        <v>315</v>
      </c>
      <c r="I76" s="8" t="s">
        <v>1644</v>
      </c>
      <c r="J76" s="8">
        <v>1</v>
      </c>
      <c r="K76" s="8">
        <v>247</v>
      </c>
      <c r="L76" s="8">
        <v>249</v>
      </c>
      <c r="M76" s="8">
        <v>278</v>
      </c>
      <c r="N76" s="8">
        <v>429</v>
      </c>
      <c r="O76" s="8">
        <v>430</v>
      </c>
      <c r="P76" s="8">
        <v>427</v>
      </c>
      <c r="Q76" s="9" t="s">
        <v>46</v>
      </c>
      <c r="R76" s="16"/>
      <c r="S76" s="10">
        <v>57</v>
      </c>
      <c r="T76" s="10">
        <v>16</v>
      </c>
      <c r="U76" s="10">
        <v>27</v>
      </c>
      <c r="V76" s="11">
        <v>33</v>
      </c>
      <c r="W76" s="12" t="s">
        <v>46</v>
      </c>
      <c r="X76" s="17"/>
      <c r="Y76" s="13">
        <v>177</v>
      </c>
      <c r="Z76" s="13">
        <v>159</v>
      </c>
      <c r="AA76" s="13">
        <v>281</v>
      </c>
      <c r="AB76" s="14">
        <v>74</v>
      </c>
      <c r="AC76" s="9"/>
      <c r="AD76" s="16"/>
      <c r="AE76" s="10"/>
      <c r="AF76" s="10"/>
      <c r="AG76" s="10"/>
      <c r="AH76" s="11"/>
      <c r="AI76" s="12"/>
      <c r="AJ76" s="17"/>
      <c r="AK76" s="13"/>
      <c r="AL76" s="13"/>
      <c r="AM76" s="13"/>
      <c r="AN76" s="14"/>
      <c r="AO76" s="9"/>
      <c r="AP76" s="16"/>
      <c r="AQ76" s="10"/>
      <c r="AR76" s="10"/>
      <c r="AS76" s="10"/>
      <c r="AT76" s="11"/>
      <c r="AU76" s="12"/>
      <c r="AV76" s="17"/>
      <c r="AW76" s="13"/>
      <c r="AX76" s="13"/>
      <c r="AY76" s="13"/>
      <c r="AZ76" s="14"/>
      <c r="BA76" s="9"/>
      <c r="BB76" s="16"/>
      <c r="BC76" s="10"/>
      <c r="BD76" s="10"/>
      <c r="BE76" s="10"/>
      <c r="BF76" s="11"/>
      <c r="BG76" s="12"/>
      <c r="BH76" s="17"/>
      <c r="BI76" s="13"/>
      <c r="BJ76" s="13"/>
      <c r="BK76" s="13"/>
      <c r="BL76" s="14"/>
      <c r="BM76" s="9"/>
      <c r="BN76" s="16"/>
      <c r="BO76" s="10"/>
      <c r="BP76" s="10"/>
      <c r="BQ76" s="10"/>
      <c r="BR76" s="11"/>
      <c r="BS76" s="12"/>
      <c r="BT76" s="17"/>
      <c r="BU76" s="13"/>
      <c r="BV76" s="13"/>
      <c r="BW76" s="13"/>
      <c r="BX76" s="14"/>
      <c r="BY76" s="8">
        <f t="shared" si="18"/>
        <v>234</v>
      </c>
      <c r="BZ76" s="8">
        <f t="shared" si="19"/>
        <v>175</v>
      </c>
      <c r="CA76" s="8">
        <f t="shared" si="20"/>
        <v>308</v>
      </c>
      <c r="CB76" s="8">
        <f t="shared" si="21"/>
        <v>107</v>
      </c>
      <c r="CC76" s="8">
        <f t="shared" si="22"/>
        <v>308</v>
      </c>
      <c r="CD76" s="8">
        <f t="shared" si="23"/>
        <v>175</v>
      </c>
      <c r="CE76" s="15">
        <f t="shared" si="24"/>
        <v>72.653757874822503</v>
      </c>
      <c r="CF76" s="15" t="str">
        <f t="shared" si="25"/>
        <v>Upgrade</v>
      </c>
      <c r="CG76" s="15" t="str">
        <f t="shared" si="26"/>
        <v>Need to Balance</v>
      </c>
    </row>
    <row r="77" spans="1:85" ht="15.75" customHeight="1" x14ac:dyDescent="0.25">
      <c r="A77" s="8" t="s">
        <v>1459</v>
      </c>
      <c r="B77" s="8" t="s">
        <v>1460</v>
      </c>
      <c r="C77" s="8" t="s">
        <v>124</v>
      </c>
      <c r="D77" s="8" t="s">
        <v>1645</v>
      </c>
      <c r="E77" s="8" t="s">
        <v>1646</v>
      </c>
      <c r="F77" s="8" t="s">
        <v>56</v>
      </c>
      <c r="G77" s="8"/>
      <c r="H77" s="8">
        <v>1000</v>
      </c>
      <c r="I77" s="8" t="s">
        <v>1647</v>
      </c>
      <c r="J77" s="8">
        <v>1</v>
      </c>
      <c r="K77" s="8">
        <v>242</v>
      </c>
      <c r="L77" s="8">
        <v>241</v>
      </c>
      <c r="M77" s="8">
        <v>241</v>
      </c>
      <c r="N77" s="8">
        <v>418</v>
      </c>
      <c r="O77" s="8">
        <v>419</v>
      </c>
      <c r="P77" s="8">
        <v>420</v>
      </c>
      <c r="Q77" s="9" t="s">
        <v>47</v>
      </c>
      <c r="R77" s="16"/>
      <c r="S77" s="10">
        <v>0</v>
      </c>
      <c r="T77" s="10">
        <v>62</v>
      </c>
      <c r="U77" s="10">
        <v>16</v>
      </c>
      <c r="V77" s="11">
        <v>46</v>
      </c>
      <c r="W77" s="12" t="s">
        <v>47</v>
      </c>
      <c r="X77" s="17"/>
      <c r="Y77" s="13">
        <v>271</v>
      </c>
      <c r="Z77" s="13">
        <v>195</v>
      </c>
      <c r="AA77" s="13">
        <v>196</v>
      </c>
      <c r="AB77" s="14">
        <v>55</v>
      </c>
      <c r="AC77" s="9" t="s">
        <v>47</v>
      </c>
      <c r="AD77" s="16"/>
      <c r="AE77" s="10">
        <v>21</v>
      </c>
      <c r="AF77" s="10">
        <v>15</v>
      </c>
      <c r="AG77" s="10">
        <v>13</v>
      </c>
      <c r="AH77" s="11">
        <v>0</v>
      </c>
      <c r="AI77" s="12" t="s">
        <v>47</v>
      </c>
      <c r="AJ77" s="17"/>
      <c r="AK77" s="13">
        <v>13</v>
      </c>
      <c r="AL77" s="13">
        <v>0</v>
      </c>
      <c r="AM77" s="13">
        <v>10</v>
      </c>
      <c r="AN77" s="14">
        <v>0</v>
      </c>
      <c r="AO77" s="9"/>
      <c r="AP77" s="16"/>
      <c r="AQ77" s="10"/>
      <c r="AR77" s="10"/>
      <c r="AS77" s="10"/>
      <c r="AT77" s="11"/>
      <c r="AU77" s="12"/>
      <c r="AV77" s="17"/>
      <c r="AW77" s="13"/>
      <c r="AX77" s="13"/>
      <c r="AY77" s="13"/>
      <c r="AZ77" s="14"/>
      <c r="BA77" s="9"/>
      <c r="BB77" s="16"/>
      <c r="BC77" s="10"/>
      <c r="BD77" s="10"/>
      <c r="BE77" s="10"/>
      <c r="BF77" s="11"/>
      <c r="BG77" s="12"/>
      <c r="BH77" s="17"/>
      <c r="BI77" s="13"/>
      <c r="BJ77" s="13"/>
      <c r="BK77" s="13"/>
      <c r="BL77" s="14"/>
      <c r="BM77" s="9"/>
      <c r="BN77" s="16"/>
      <c r="BO77" s="10"/>
      <c r="BP77" s="10"/>
      <c r="BQ77" s="10"/>
      <c r="BR77" s="11"/>
      <c r="BS77" s="12"/>
      <c r="BT77" s="17"/>
      <c r="BU77" s="13"/>
      <c r="BV77" s="13"/>
      <c r="BW77" s="13"/>
      <c r="BX77" s="14"/>
      <c r="BY77" s="8">
        <f t="shared" si="18"/>
        <v>305</v>
      </c>
      <c r="BZ77" s="8">
        <f t="shared" si="19"/>
        <v>272</v>
      </c>
      <c r="CA77" s="8">
        <f t="shared" si="20"/>
        <v>235</v>
      </c>
      <c r="CB77" s="8">
        <f t="shared" si="21"/>
        <v>101</v>
      </c>
      <c r="CC77" s="8">
        <f t="shared" si="22"/>
        <v>305</v>
      </c>
      <c r="CD77" s="8">
        <f t="shared" si="23"/>
        <v>235</v>
      </c>
      <c r="CE77" s="15">
        <f t="shared" si="24"/>
        <v>22.081915745695614</v>
      </c>
      <c r="CF77" s="15" t="str">
        <f t="shared" si="25"/>
        <v>OK - No Upgrade</v>
      </c>
      <c r="CG77" s="15" t="str">
        <f t="shared" si="26"/>
        <v>Need to Balance</v>
      </c>
    </row>
    <row r="78" spans="1:85" ht="15.75" customHeight="1" x14ac:dyDescent="0.25">
      <c r="A78" s="8" t="s">
        <v>1459</v>
      </c>
      <c r="B78" s="8" t="s">
        <v>1460</v>
      </c>
      <c r="C78" s="8" t="s">
        <v>124</v>
      </c>
      <c r="D78" s="8" t="s">
        <v>1648</v>
      </c>
      <c r="E78" s="8" t="s">
        <v>1649</v>
      </c>
      <c r="F78" s="8" t="s">
        <v>43</v>
      </c>
      <c r="G78" s="8"/>
      <c r="H78" s="8">
        <v>315</v>
      </c>
      <c r="I78" s="8" t="s">
        <v>1650</v>
      </c>
      <c r="J78" s="8">
        <v>1</v>
      </c>
      <c r="K78" s="8">
        <v>238</v>
      </c>
      <c r="L78" s="8">
        <v>239</v>
      </c>
      <c r="M78" s="8">
        <v>238</v>
      </c>
      <c r="N78" s="8">
        <v>414</v>
      </c>
      <c r="O78" s="8">
        <v>414</v>
      </c>
      <c r="P78" s="8">
        <v>416</v>
      </c>
      <c r="Q78" s="9" t="s">
        <v>47</v>
      </c>
      <c r="R78" s="16"/>
      <c r="S78" s="10">
        <v>13</v>
      </c>
      <c r="T78" s="10">
        <v>23</v>
      </c>
      <c r="U78" s="10">
        <v>27</v>
      </c>
      <c r="V78" s="11">
        <v>10</v>
      </c>
      <c r="W78" s="12" t="s">
        <v>47</v>
      </c>
      <c r="X78" s="17"/>
      <c r="Y78" s="13">
        <v>116</v>
      </c>
      <c r="Z78" s="13">
        <v>66</v>
      </c>
      <c r="AA78" s="13">
        <v>136</v>
      </c>
      <c r="AB78" s="14">
        <v>43</v>
      </c>
      <c r="AC78" s="9"/>
      <c r="AD78" s="16"/>
      <c r="AE78" s="10"/>
      <c r="AF78" s="10"/>
      <c r="AG78" s="10"/>
      <c r="AH78" s="11"/>
      <c r="AI78" s="12"/>
      <c r="AJ78" s="17"/>
      <c r="AK78" s="13"/>
      <c r="AL78" s="13"/>
      <c r="AM78" s="13"/>
      <c r="AN78" s="14"/>
      <c r="AO78" s="9"/>
      <c r="AP78" s="16"/>
      <c r="AQ78" s="10"/>
      <c r="AR78" s="10"/>
      <c r="AS78" s="10"/>
      <c r="AT78" s="11"/>
      <c r="AU78" s="12"/>
      <c r="AV78" s="17"/>
      <c r="AW78" s="13"/>
      <c r="AX78" s="13"/>
      <c r="AY78" s="13"/>
      <c r="AZ78" s="14"/>
      <c r="BA78" s="9"/>
      <c r="BB78" s="16"/>
      <c r="BC78" s="10"/>
      <c r="BD78" s="10"/>
      <c r="BE78" s="10"/>
      <c r="BF78" s="11"/>
      <c r="BG78" s="12"/>
      <c r="BH78" s="17"/>
      <c r="BI78" s="13"/>
      <c r="BJ78" s="13"/>
      <c r="BK78" s="13"/>
      <c r="BL78" s="14"/>
      <c r="BM78" s="9"/>
      <c r="BN78" s="16"/>
      <c r="BO78" s="10"/>
      <c r="BP78" s="10"/>
      <c r="BQ78" s="10"/>
      <c r="BR78" s="11"/>
      <c r="BS78" s="12"/>
      <c r="BT78" s="17"/>
      <c r="BU78" s="13"/>
      <c r="BV78" s="13"/>
      <c r="BW78" s="13"/>
      <c r="BX78" s="14"/>
      <c r="BY78" s="8">
        <f t="shared" si="18"/>
        <v>129</v>
      </c>
      <c r="BZ78" s="8">
        <f t="shared" si="19"/>
        <v>89</v>
      </c>
      <c r="CA78" s="8">
        <f t="shared" si="20"/>
        <v>163</v>
      </c>
      <c r="CB78" s="8">
        <f t="shared" si="21"/>
        <v>53</v>
      </c>
      <c r="CC78" s="8">
        <f t="shared" si="22"/>
        <v>163</v>
      </c>
      <c r="CD78" s="8">
        <f t="shared" si="23"/>
        <v>89</v>
      </c>
      <c r="CE78" s="15">
        <f t="shared" si="24"/>
        <v>37.105477014718403</v>
      </c>
      <c r="CF78" s="15" t="str">
        <f t="shared" si="25"/>
        <v>OK - No Upgrade</v>
      </c>
      <c r="CG78" s="15" t="str">
        <f t="shared" si="26"/>
        <v>Need to Balance</v>
      </c>
    </row>
    <row r="79" spans="1:85" ht="15.75" customHeight="1" x14ac:dyDescent="0.25">
      <c r="A79" s="8" t="s">
        <v>1459</v>
      </c>
      <c r="B79" s="8" t="s">
        <v>1460</v>
      </c>
      <c r="C79" s="8" t="s">
        <v>124</v>
      </c>
      <c r="D79" s="8" t="s">
        <v>1651</v>
      </c>
      <c r="E79" s="8" t="s">
        <v>1652</v>
      </c>
      <c r="F79" s="8" t="s">
        <v>43</v>
      </c>
      <c r="G79" s="8"/>
      <c r="H79" s="8">
        <v>100</v>
      </c>
      <c r="I79" s="8" t="s">
        <v>1653</v>
      </c>
      <c r="J79" s="8">
        <v>1</v>
      </c>
      <c r="K79" s="8">
        <v>235</v>
      </c>
      <c r="L79" s="8">
        <v>235</v>
      </c>
      <c r="M79" s="8">
        <v>236</v>
      </c>
      <c r="N79" s="8">
        <v>407</v>
      </c>
      <c r="O79" s="8">
        <v>408</v>
      </c>
      <c r="P79" s="8">
        <v>407</v>
      </c>
      <c r="Q79" s="9" t="s">
        <v>46</v>
      </c>
      <c r="R79" s="16"/>
      <c r="S79" s="10">
        <v>0</v>
      </c>
      <c r="T79" s="10">
        <v>0</v>
      </c>
      <c r="U79" s="10">
        <v>0</v>
      </c>
      <c r="V79" s="11">
        <v>0</v>
      </c>
      <c r="W79" s="12" t="s">
        <v>46</v>
      </c>
      <c r="X79" s="17"/>
      <c r="Y79" s="13">
        <v>0</v>
      </c>
      <c r="Z79" s="13">
        <v>0</v>
      </c>
      <c r="AA79" s="13">
        <v>0</v>
      </c>
      <c r="AB79" s="14">
        <v>0</v>
      </c>
      <c r="AC79" s="9"/>
      <c r="AD79" s="16"/>
      <c r="AE79" s="10"/>
      <c r="AF79" s="10"/>
      <c r="AG79" s="10"/>
      <c r="AH79" s="11"/>
      <c r="AI79" s="12"/>
      <c r="AJ79" s="17"/>
      <c r="AK79" s="13"/>
      <c r="AL79" s="13"/>
      <c r="AM79" s="13"/>
      <c r="AN79" s="14"/>
      <c r="AO79" s="9"/>
      <c r="AP79" s="16"/>
      <c r="AQ79" s="10"/>
      <c r="AR79" s="10"/>
      <c r="AS79" s="10"/>
      <c r="AT79" s="11"/>
      <c r="AU79" s="12"/>
      <c r="AV79" s="17"/>
      <c r="AW79" s="13"/>
      <c r="AX79" s="13"/>
      <c r="AY79" s="13"/>
      <c r="AZ79" s="14"/>
      <c r="BA79" s="9"/>
      <c r="BB79" s="16"/>
      <c r="BC79" s="10"/>
      <c r="BD79" s="10"/>
      <c r="BE79" s="10"/>
      <c r="BF79" s="11"/>
      <c r="BG79" s="12"/>
      <c r="BH79" s="17"/>
      <c r="BI79" s="13"/>
      <c r="BJ79" s="13"/>
      <c r="BK79" s="13"/>
      <c r="BL79" s="14"/>
      <c r="BM79" s="9"/>
      <c r="BN79" s="16"/>
      <c r="BO79" s="10"/>
      <c r="BP79" s="10"/>
      <c r="BQ79" s="10"/>
      <c r="BR79" s="11"/>
      <c r="BS79" s="12"/>
      <c r="BT79" s="17"/>
      <c r="BU79" s="13"/>
      <c r="BV79" s="13"/>
      <c r="BW79" s="13"/>
      <c r="BX79" s="14"/>
      <c r="BY79" s="8">
        <f t="shared" si="18"/>
        <v>0</v>
      </c>
      <c r="BZ79" s="8">
        <f t="shared" si="19"/>
        <v>0</v>
      </c>
      <c r="CA79" s="8">
        <f t="shared" si="20"/>
        <v>0</v>
      </c>
      <c r="CB79" s="8">
        <f t="shared" si="21"/>
        <v>0</v>
      </c>
      <c r="CC79" s="8">
        <f t="shared" si="22"/>
        <v>0</v>
      </c>
      <c r="CD79" s="8">
        <f t="shared" si="23"/>
        <v>0</v>
      </c>
      <c r="CE79" s="15">
        <f t="shared" si="24"/>
        <v>0</v>
      </c>
      <c r="CF79" s="15" t="str">
        <f t="shared" si="25"/>
        <v>OK - No Upgrade</v>
      </c>
      <c r="CG79" s="15" t="str">
        <f t="shared" si="26"/>
        <v>OK - Balanced</v>
      </c>
    </row>
    <row r="80" spans="1:85" ht="15.75" customHeight="1" x14ac:dyDescent="0.25">
      <c r="A80" s="8" t="s">
        <v>1459</v>
      </c>
      <c r="B80" s="8" t="s">
        <v>1460</v>
      </c>
      <c r="C80" s="8" t="s">
        <v>265</v>
      </c>
      <c r="D80" s="8" t="s">
        <v>1654</v>
      </c>
      <c r="E80" s="8" t="s">
        <v>1655</v>
      </c>
      <c r="F80" s="8" t="s">
        <v>56</v>
      </c>
      <c r="G80" s="8"/>
      <c r="H80" s="8">
        <v>1000</v>
      </c>
      <c r="I80" s="8" t="s">
        <v>1656</v>
      </c>
      <c r="J80" s="8">
        <v>1</v>
      </c>
      <c r="K80" s="8">
        <v>244</v>
      </c>
      <c r="L80" s="8">
        <v>243</v>
      </c>
      <c r="M80" s="8">
        <v>244</v>
      </c>
      <c r="N80" s="8">
        <v>423</v>
      </c>
      <c r="O80" s="8">
        <v>424</v>
      </c>
      <c r="P80" s="8">
        <v>422</v>
      </c>
      <c r="Q80" s="9" t="s">
        <v>92</v>
      </c>
      <c r="R80" s="16"/>
      <c r="S80" s="10">
        <v>300</v>
      </c>
      <c r="T80" s="10">
        <v>220</v>
      </c>
      <c r="U80" s="10">
        <v>210</v>
      </c>
      <c r="V80" s="11">
        <v>8</v>
      </c>
      <c r="W80" s="12" t="s">
        <v>92</v>
      </c>
      <c r="X80" s="17"/>
      <c r="Y80" s="13">
        <v>90</v>
      </c>
      <c r="Z80" s="13">
        <v>80</v>
      </c>
      <c r="AA80" s="13">
        <v>78</v>
      </c>
      <c r="AB80" s="14">
        <v>10</v>
      </c>
      <c r="AC80" s="9" t="s">
        <v>70</v>
      </c>
      <c r="AD80" s="16"/>
      <c r="AE80" s="10">
        <v>90</v>
      </c>
      <c r="AF80" s="10">
        <v>70</v>
      </c>
      <c r="AG80" s="10">
        <v>94</v>
      </c>
      <c r="AH80" s="11">
        <v>3</v>
      </c>
      <c r="AI80" s="12" t="s">
        <v>70</v>
      </c>
      <c r="AJ80" s="17"/>
      <c r="AK80" s="13">
        <v>34</v>
      </c>
      <c r="AL80" s="13">
        <v>33</v>
      </c>
      <c r="AM80" s="13">
        <v>34</v>
      </c>
      <c r="AN80" s="14">
        <v>2</v>
      </c>
      <c r="AO80" s="9" t="s">
        <v>92</v>
      </c>
      <c r="AP80" s="16"/>
      <c r="AQ80" s="10">
        <v>270</v>
      </c>
      <c r="AR80" s="10">
        <v>270</v>
      </c>
      <c r="AS80" s="10">
        <v>220</v>
      </c>
      <c r="AT80" s="11">
        <v>8</v>
      </c>
      <c r="AU80" s="12"/>
      <c r="AV80" s="17"/>
      <c r="AW80" s="13"/>
      <c r="AX80" s="13"/>
      <c r="AY80" s="13"/>
      <c r="AZ80" s="14"/>
      <c r="BA80" s="9"/>
      <c r="BB80" s="16"/>
      <c r="BC80" s="10"/>
      <c r="BD80" s="10"/>
      <c r="BE80" s="10"/>
      <c r="BF80" s="11"/>
      <c r="BG80" s="12"/>
      <c r="BH80" s="17"/>
      <c r="BI80" s="13"/>
      <c r="BJ80" s="13"/>
      <c r="BK80" s="13"/>
      <c r="BL80" s="14"/>
      <c r="BM80" s="9"/>
      <c r="BN80" s="16"/>
      <c r="BO80" s="10"/>
      <c r="BP80" s="10"/>
      <c r="BQ80" s="10"/>
      <c r="BR80" s="11"/>
      <c r="BS80" s="12"/>
      <c r="BT80" s="17"/>
      <c r="BU80" s="13"/>
      <c r="BV80" s="13"/>
      <c r="BW80" s="13"/>
      <c r="BX80" s="14"/>
      <c r="BY80" s="8">
        <f t="shared" si="18"/>
        <v>784</v>
      </c>
      <c r="BZ80" s="8">
        <f t="shared" si="19"/>
        <v>673</v>
      </c>
      <c r="CA80" s="8">
        <f t="shared" si="20"/>
        <v>636</v>
      </c>
      <c r="CB80" s="8">
        <f t="shared" si="21"/>
        <v>31</v>
      </c>
      <c r="CC80" s="8">
        <f t="shared" si="22"/>
        <v>784</v>
      </c>
      <c r="CD80" s="8">
        <f t="shared" si="23"/>
        <v>636</v>
      </c>
      <c r="CE80" s="15">
        <f t="shared" si="24"/>
        <v>57.440347341568184</v>
      </c>
      <c r="CF80" s="15" t="str">
        <f t="shared" si="25"/>
        <v>OK - No Upgrade</v>
      </c>
      <c r="CG80" s="15" t="str">
        <f t="shared" si="26"/>
        <v>Need to Balance</v>
      </c>
    </row>
    <row r="81" spans="1:85" ht="15.75" customHeight="1" x14ac:dyDescent="0.25">
      <c r="A81" s="8" t="s">
        <v>1459</v>
      </c>
      <c r="B81" s="8" t="s">
        <v>1460</v>
      </c>
      <c r="C81" s="8" t="s">
        <v>124</v>
      </c>
      <c r="D81" s="8" t="s">
        <v>1657</v>
      </c>
      <c r="E81" s="8" t="s">
        <v>1658</v>
      </c>
      <c r="F81" s="8" t="s">
        <v>56</v>
      </c>
      <c r="G81" s="8"/>
      <c r="H81" s="8">
        <v>500</v>
      </c>
      <c r="I81" s="8" t="s">
        <v>1659</v>
      </c>
      <c r="J81" s="8">
        <v>1</v>
      </c>
      <c r="K81" s="8">
        <v>239</v>
      </c>
      <c r="L81" s="8">
        <v>238</v>
      </c>
      <c r="M81" s="8">
        <v>210</v>
      </c>
      <c r="N81" s="8">
        <v>416</v>
      </c>
      <c r="O81" s="8">
        <v>416</v>
      </c>
      <c r="P81" s="8">
        <v>416</v>
      </c>
      <c r="Q81" s="9" t="s">
        <v>47</v>
      </c>
      <c r="R81" s="16"/>
      <c r="S81" s="10">
        <v>10</v>
      </c>
      <c r="T81" s="10">
        <v>10</v>
      </c>
      <c r="U81" s="10">
        <v>10</v>
      </c>
      <c r="V81" s="11">
        <v>9</v>
      </c>
      <c r="W81" s="12" t="s">
        <v>47</v>
      </c>
      <c r="X81" s="17"/>
      <c r="Y81" s="13">
        <v>76</v>
      </c>
      <c r="Z81" s="13">
        <v>55</v>
      </c>
      <c r="AA81" s="13">
        <v>35</v>
      </c>
      <c r="AB81" s="14">
        <v>29</v>
      </c>
      <c r="AC81" s="9" t="s">
        <v>47</v>
      </c>
      <c r="AD81" s="16"/>
      <c r="AE81" s="10">
        <v>8</v>
      </c>
      <c r="AF81" s="10">
        <v>6</v>
      </c>
      <c r="AG81" s="10">
        <v>5</v>
      </c>
      <c r="AH81" s="11">
        <v>5</v>
      </c>
      <c r="AI81" s="12"/>
      <c r="AJ81" s="17"/>
      <c r="AK81" s="13">
        <v>20</v>
      </c>
      <c r="AL81" s="13">
        <v>18</v>
      </c>
      <c r="AM81" s="13">
        <v>15</v>
      </c>
      <c r="AN81" s="14">
        <v>8</v>
      </c>
      <c r="AO81" s="9"/>
      <c r="AP81" s="16"/>
      <c r="AQ81" s="10"/>
      <c r="AR81" s="10"/>
      <c r="AS81" s="10"/>
      <c r="AT81" s="11"/>
      <c r="AU81" s="12"/>
      <c r="AV81" s="17"/>
      <c r="AW81" s="13"/>
      <c r="AX81" s="13"/>
      <c r="AY81" s="13"/>
      <c r="AZ81" s="14"/>
      <c r="BA81" s="9"/>
      <c r="BB81" s="16"/>
      <c r="BC81" s="10"/>
      <c r="BD81" s="10"/>
      <c r="BE81" s="10"/>
      <c r="BF81" s="11"/>
      <c r="BG81" s="12"/>
      <c r="BH81" s="17"/>
      <c r="BI81" s="13"/>
      <c r="BJ81" s="13"/>
      <c r="BK81" s="13"/>
      <c r="BL81" s="14"/>
      <c r="BM81" s="9"/>
      <c r="BN81" s="16"/>
      <c r="BO81" s="10"/>
      <c r="BP81" s="10"/>
      <c r="BQ81" s="10"/>
      <c r="BR81" s="11"/>
      <c r="BS81" s="12"/>
      <c r="BT81" s="17"/>
      <c r="BU81" s="13"/>
      <c r="BV81" s="13"/>
      <c r="BW81" s="13"/>
      <c r="BX81" s="14"/>
      <c r="BY81" s="8">
        <f t="shared" si="18"/>
        <v>114</v>
      </c>
      <c r="BZ81" s="8">
        <f t="shared" si="19"/>
        <v>89</v>
      </c>
      <c r="CA81" s="8">
        <f t="shared" si="20"/>
        <v>65</v>
      </c>
      <c r="CB81" s="8">
        <f t="shared" si="21"/>
        <v>51</v>
      </c>
      <c r="CC81" s="8">
        <f t="shared" si="22"/>
        <v>114</v>
      </c>
      <c r="CD81" s="8">
        <f t="shared" si="23"/>
        <v>65</v>
      </c>
      <c r="CE81" s="15">
        <f t="shared" si="24"/>
        <v>16.428155499629284</v>
      </c>
      <c r="CF81" s="15" t="str">
        <f t="shared" si="25"/>
        <v>OK - No Upgrade</v>
      </c>
      <c r="CG81" s="15" t="str">
        <f t="shared" si="26"/>
        <v>Need to Balance</v>
      </c>
    </row>
    <row r="82" spans="1:85" ht="15.75" customHeight="1" x14ac:dyDescent="0.25">
      <c r="A82" s="8" t="s">
        <v>1459</v>
      </c>
      <c r="B82" s="8" t="s">
        <v>1460</v>
      </c>
      <c r="C82" s="8" t="s">
        <v>124</v>
      </c>
      <c r="D82" s="8" t="s">
        <v>1660</v>
      </c>
      <c r="E82" s="8" t="s">
        <v>1661</v>
      </c>
      <c r="F82" s="8" t="s">
        <v>43</v>
      </c>
      <c r="G82" s="8"/>
      <c r="H82" s="8">
        <v>315</v>
      </c>
      <c r="I82" s="8" t="s">
        <v>1662</v>
      </c>
      <c r="J82" s="8">
        <v>1</v>
      </c>
      <c r="K82" s="8">
        <v>239</v>
      </c>
      <c r="L82" s="8">
        <v>239</v>
      </c>
      <c r="M82" s="8">
        <v>240</v>
      </c>
      <c r="N82" s="8">
        <v>416</v>
      </c>
      <c r="O82" s="8">
        <v>416</v>
      </c>
      <c r="P82" s="8">
        <v>417</v>
      </c>
      <c r="Q82" s="9" t="s">
        <v>47</v>
      </c>
      <c r="R82" s="16"/>
      <c r="S82" s="10">
        <v>52</v>
      </c>
      <c r="T82" s="10">
        <v>59</v>
      </c>
      <c r="U82" s="10">
        <v>49</v>
      </c>
      <c r="V82" s="11">
        <v>12</v>
      </c>
      <c r="W82" s="12"/>
      <c r="X82" s="17"/>
      <c r="Y82" s="13"/>
      <c r="Z82" s="13"/>
      <c r="AA82" s="13"/>
      <c r="AB82" s="14"/>
      <c r="AC82" s="9"/>
      <c r="AD82" s="16"/>
      <c r="AE82" s="10"/>
      <c r="AF82" s="10"/>
      <c r="AG82" s="10"/>
      <c r="AH82" s="11"/>
      <c r="AI82" s="12"/>
      <c r="AJ82" s="17"/>
      <c r="AK82" s="13"/>
      <c r="AL82" s="13"/>
      <c r="AM82" s="13"/>
      <c r="AN82" s="14"/>
      <c r="AO82" s="9"/>
      <c r="AP82" s="16"/>
      <c r="AQ82" s="10"/>
      <c r="AR82" s="10"/>
      <c r="AS82" s="10"/>
      <c r="AT82" s="11"/>
      <c r="AU82" s="12"/>
      <c r="AV82" s="17"/>
      <c r="AW82" s="13"/>
      <c r="AX82" s="13"/>
      <c r="AY82" s="13"/>
      <c r="AZ82" s="14"/>
      <c r="BA82" s="9"/>
      <c r="BB82" s="16"/>
      <c r="BC82" s="10"/>
      <c r="BD82" s="10"/>
      <c r="BE82" s="10"/>
      <c r="BF82" s="11"/>
      <c r="BG82" s="12"/>
      <c r="BH82" s="17"/>
      <c r="BI82" s="13"/>
      <c r="BJ82" s="13"/>
      <c r="BK82" s="13"/>
      <c r="BL82" s="14"/>
      <c r="BM82" s="9"/>
      <c r="BN82" s="16"/>
      <c r="BO82" s="10"/>
      <c r="BP82" s="10"/>
      <c r="BQ82" s="10"/>
      <c r="BR82" s="11"/>
      <c r="BS82" s="12"/>
      <c r="BT82" s="17"/>
      <c r="BU82" s="13"/>
      <c r="BV82" s="13"/>
      <c r="BW82" s="13"/>
      <c r="BX82" s="14"/>
      <c r="BY82" s="8">
        <f t="shared" si="18"/>
        <v>52</v>
      </c>
      <c r="BZ82" s="8">
        <f t="shared" si="19"/>
        <v>59</v>
      </c>
      <c r="CA82" s="8">
        <f t="shared" si="20"/>
        <v>49</v>
      </c>
      <c r="CB82" s="8">
        <f t="shared" si="21"/>
        <v>12</v>
      </c>
      <c r="CC82" s="8">
        <f t="shared" si="22"/>
        <v>59</v>
      </c>
      <c r="CD82" s="8">
        <f t="shared" si="23"/>
        <v>49</v>
      </c>
      <c r="CE82" s="15">
        <f t="shared" si="24"/>
        <v>13.495700006657311</v>
      </c>
      <c r="CF82" s="15" t="str">
        <f t="shared" si="25"/>
        <v>OK - No Upgrade</v>
      </c>
      <c r="CG82" s="15" t="str">
        <f t="shared" si="26"/>
        <v>Need to Balance</v>
      </c>
    </row>
    <row r="83" spans="1:85" ht="15.75" customHeight="1" x14ac:dyDescent="0.25">
      <c r="A83" s="8" t="s">
        <v>1459</v>
      </c>
      <c r="B83" s="8" t="s">
        <v>1460</v>
      </c>
      <c r="C83" s="8" t="s">
        <v>124</v>
      </c>
      <c r="D83" s="8" t="s">
        <v>1663</v>
      </c>
      <c r="E83" s="8" t="s">
        <v>1664</v>
      </c>
      <c r="F83" s="8" t="s">
        <v>43</v>
      </c>
      <c r="G83" s="8"/>
      <c r="H83" s="8">
        <v>315</v>
      </c>
      <c r="I83" s="8" t="s">
        <v>1665</v>
      </c>
      <c r="J83" s="8">
        <v>1</v>
      </c>
      <c r="K83" s="8">
        <v>239</v>
      </c>
      <c r="L83" s="8">
        <v>239</v>
      </c>
      <c r="M83" s="8">
        <v>238</v>
      </c>
      <c r="N83" s="8">
        <v>417</v>
      </c>
      <c r="O83" s="8">
        <v>418</v>
      </c>
      <c r="P83" s="8">
        <v>418</v>
      </c>
      <c r="Q83" s="9" t="s">
        <v>46</v>
      </c>
      <c r="R83" s="16"/>
      <c r="S83" s="10">
        <v>45</v>
      </c>
      <c r="T83" s="10">
        <v>63</v>
      </c>
      <c r="U83" s="10">
        <v>158</v>
      </c>
      <c r="V83" s="11">
        <v>95</v>
      </c>
      <c r="W83" s="12" t="s">
        <v>47</v>
      </c>
      <c r="X83" s="17"/>
      <c r="Y83" s="13">
        <v>12</v>
      </c>
      <c r="Z83" s="13">
        <v>10</v>
      </c>
      <c r="AA83" s="13">
        <v>8</v>
      </c>
      <c r="AB83" s="14">
        <v>3</v>
      </c>
      <c r="AC83" s="9"/>
      <c r="AD83" s="16"/>
      <c r="AE83" s="10"/>
      <c r="AF83" s="10"/>
      <c r="AG83" s="10"/>
      <c r="AH83" s="11"/>
      <c r="AI83" s="12"/>
      <c r="AJ83" s="17"/>
      <c r="AK83" s="13"/>
      <c r="AL83" s="13"/>
      <c r="AM83" s="13"/>
      <c r="AN83" s="14"/>
      <c r="AO83" s="9"/>
      <c r="AP83" s="16"/>
      <c r="AQ83" s="10"/>
      <c r="AR83" s="10"/>
      <c r="AS83" s="10"/>
      <c r="AT83" s="11"/>
      <c r="AU83" s="12"/>
      <c r="AV83" s="17"/>
      <c r="AW83" s="13"/>
      <c r="AX83" s="13"/>
      <c r="AY83" s="13"/>
      <c r="AZ83" s="14"/>
      <c r="BA83" s="9"/>
      <c r="BB83" s="16"/>
      <c r="BC83" s="10"/>
      <c r="BD83" s="10"/>
      <c r="BE83" s="10"/>
      <c r="BF83" s="11"/>
      <c r="BG83" s="12"/>
      <c r="BH83" s="17"/>
      <c r="BI83" s="13"/>
      <c r="BJ83" s="13"/>
      <c r="BK83" s="13"/>
      <c r="BL83" s="14"/>
      <c r="BM83" s="9"/>
      <c r="BN83" s="16"/>
      <c r="BO83" s="10"/>
      <c r="BP83" s="10"/>
      <c r="BQ83" s="10"/>
      <c r="BR83" s="11"/>
      <c r="BS83" s="12"/>
      <c r="BT83" s="17"/>
      <c r="BU83" s="13"/>
      <c r="BV83" s="13"/>
      <c r="BW83" s="13"/>
      <c r="BX83" s="14"/>
      <c r="BY83" s="8">
        <f t="shared" si="18"/>
        <v>57</v>
      </c>
      <c r="BZ83" s="8">
        <f t="shared" si="19"/>
        <v>73</v>
      </c>
      <c r="CA83" s="8">
        <f t="shared" si="20"/>
        <v>166</v>
      </c>
      <c r="CB83" s="8">
        <f t="shared" si="21"/>
        <v>98</v>
      </c>
      <c r="CC83" s="8">
        <f t="shared" si="22"/>
        <v>166</v>
      </c>
      <c r="CD83" s="8">
        <f t="shared" si="23"/>
        <v>57</v>
      </c>
      <c r="CE83" s="15">
        <f t="shared" si="24"/>
        <v>38.06222888937549</v>
      </c>
      <c r="CF83" s="15" t="str">
        <f t="shared" si="25"/>
        <v>OK - No Upgrade</v>
      </c>
      <c r="CG83" s="15" t="str">
        <f t="shared" si="26"/>
        <v>Need to Balance</v>
      </c>
    </row>
    <row r="84" spans="1:85" ht="15.75" customHeight="1" x14ac:dyDescent="0.25">
      <c r="A84" s="8" t="s">
        <v>1459</v>
      </c>
      <c r="B84" s="8" t="s">
        <v>1460</v>
      </c>
      <c r="C84" s="8" t="s">
        <v>124</v>
      </c>
      <c r="D84" s="8" t="s">
        <v>1666</v>
      </c>
      <c r="E84" s="8" t="s">
        <v>1667</v>
      </c>
      <c r="F84" s="8" t="s">
        <v>43</v>
      </c>
      <c r="G84" s="8"/>
      <c r="H84" s="8">
        <v>315</v>
      </c>
      <c r="I84" s="8" t="s">
        <v>1665</v>
      </c>
      <c r="J84" s="8">
        <v>1</v>
      </c>
      <c r="K84" s="8">
        <v>238</v>
      </c>
      <c r="L84" s="8">
        <v>236</v>
      </c>
      <c r="M84" s="8">
        <v>237</v>
      </c>
      <c r="N84" s="8">
        <v>410</v>
      </c>
      <c r="O84" s="8">
        <v>413</v>
      </c>
      <c r="P84" s="8">
        <v>411</v>
      </c>
      <c r="Q84" s="9" t="s">
        <v>46</v>
      </c>
      <c r="R84" s="16"/>
      <c r="S84" s="10">
        <v>94</v>
      </c>
      <c r="T84" s="10">
        <v>95</v>
      </c>
      <c r="U84" s="10">
        <v>55</v>
      </c>
      <c r="V84" s="11">
        <v>44</v>
      </c>
      <c r="W84" s="12" t="s">
        <v>46</v>
      </c>
      <c r="X84" s="17"/>
      <c r="Y84" s="13">
        <v>10</v>
      </c>
      <c r="Z84" s="13">
        <v>24</v>
      </c>
      <c r="AA84" s="13">
        <v>15</v>
      </c>
      <c r="AB84" s="14">
        <v>20</v>
      </c>
      <c r="AC84" s="9"/>
      <c r="AD84" s="16"/>
      <c r="AE84" s="10"/>
      <c r="AF84" s="10"/>
      <c r="AG84" s="10"/>
      <c r="AH84" s="11"/>
      <c r="AI84" s="12"/>
      <c r="AJ84" s="17"/>
      <c r="AK84" s="13"/>
      <c r="AL84" s="13"/>
      <c r="AM84" s="13"/>
      <c r="AN84" s="14"/>
      <c r="AO84" s="9"/>
      <c r="AP84" s="16"/>
      <c r="AQ84" s="10"/>
      <c r="AR84" s="10"/>
      <c r="AS84" s="10"/>
      <c r="AT84" s="11"/>
      <c r="AU84" s="12"/>
      <c r="AV84" s="17"/>
      <c r="AW84" s="13"/>
      <c r="AX84" s="13"/>
      <c r="AY84" s="13"/>
      <c r="AZ84" s="14"/>
      <c r="BA84" s="9"/>
      <c r="BB84" s="16"/>
      <c r="BC84" s="10"/>
      <c r="BD84" s="10"/>
      <c r="BE84" s="10"/>
      <c r="BF84" s="11"/>
      <c r="BG84" s="12"/>
      <c r="BH84" s="17"/>
      <c r="BI84" s="13"/>
      <c r="BJ84" s="13"/>
      <c r="BK84" s="13"/>
      <c r="BL84" s="14"/>
      <c r="BM84" s="9"/>
      <c r="BN84" s="16"/>
      <c r="BO84" s="10"/>
      <c r="BP84" s="10"/>
      <c r="BQ84" s="10"/>
      <c r="BR84" s="11"/>
      <c r="BS84" s="12"/>
      <c r="BT84" s="17"/>
      <c r="BU84" s="13"/>
      <c r="BV84" s="13"/>
      <c r="BW84" s="13"/>
      <c r="BX84" s="14"/>
      <c r="BY84" s="8">
        <f t="shared" si="18"/>
        <v>104</v>
      </c>
      <c r="BZ84" s="8">
        <f t="shared" si="19"/>
        <v>119</v>
      </c>
      <c r="CA84" s="8">
        <f t="shared" si="20"/>
        <v>70</v>
      </c>
      <c r="CB84" s="8">
        <f t="shared" si="21"/>
        <v>64</v>
      </c>
      <c r="CC84" s="8">
        <f t="shared" si="22"/>
        <v>119</v>
      </c>
      <c r="CD84" s="8">
        <f t="shared" si="23"/>
        <v>70</v>
      </c>
      <c r="CE84" s="15">
        <f t="shared" si="24"/>
        <v>26.82754250834461</v>
      </c>
      <c r="CF84" s="15" t="str">
        <f t="shared" si="25"/>
        <v>OK - No Upgrade</v>
      </c>
      <c r="CG84" s="15" t="str">
        <f t="shared" si="26"/>
        <v>Need to Balance</v>
      </c>
    </row>
    <row r="85" spans="1:85" ht="15.75" customHeight="1" x14ac:dyDescent="0.25">
      <c r="A85" s="8" t="s">
        <v>1459</v>
      </c>
      <c r="B85" s="8" t="s">
        <v>1460</v>
      </c>
      <c r="C85" s="8" t="s">
        <v>124</v>
      </c>
      <c r="D85" s="8" t="s">
        <v>1668</v>
      </c>
      <c r="E85" s="8" t="s">
        <v>1669</v>
      </c>
      <c r="F85" s="8" t="s">
        <v>43</v>
      </c>
      <c r="G85" s="8"/>
      <c r="H85" s="8">
        <v>100</v>
      </c>
      <c r="I85" s="8" t="s">
        <v>1670</v>
      </c>
      <c r="J85" s="8">
        <v>1</v>
      </c>
      <c r="K85" s="8">
        <v>238</v>
      </c>
      <c r="L85" s="8">
        <v>238</v>
      </c>
      <c r="M85" s="8">
        <v>239</v>
      </c>
      <c r="N85" s="8">
        <v>417</v>
      </c>
      <c r="O85" s="8">
        <v>417</v>
      </c>
      <c r="P85" s="8">
        <v>416</v>
      </c>
      <c r="Q85" s="9" t="s">
        <v>46</v>
      </c>
      <c r="R85" s="16"/>
      <c r="S85" s="10">
        <v>0</v>
      </c>
      <c r="T85" s="10">
        <v>0</v>
      </c>
      <c r="U85" s="10">
        <v>0</v>
      </c>
      <c r="V85" s="11">
        <v>0</v>
      </c>
      <c r="W85" s="12"/>
      <c r="X85" s="17"/>
      <c r="Y85" s="13"/>
      <c r="Z85" s="13"/>
      <c r="AA85" s="13"/>
      <c r="AB85" s="14"/>
      <c r="AC85" s="9"/>
      <c r="AD85" s="16"/>
      <c r="AE85" s="10"/>
      <c r="AF85" s="10"/>
      <c r="AG85" s="10"/>
      <c r="AH85" s="11"/>
      <c r="AI85" s="12"/>
      <c r="AJ85" s="17"/>
      <c r="AK85" s="13"/>
      <c r="AL85" s="13"/>
      <c r="AM85" s="13"/>
      <c r="AN85" s="14"/>
      <c r="AO85" s="9"/>
      <c r="AP85" s="16"/>
      <c r="AQ85" s="10"/>
      <c r="AR85" s="10"/>
      <c r="AS85" s="10"/>
      <c r="AT85" s="11"/>
      <c r="AU85" s="12"/>
      <c r="AV85" s="17"/>
      <c r="AW85" s="13"/>
      <c r="AX85" s="13"/>
      <c r="AY85" s="13"/>
      <c r="AZ85" s="14"/>
      <c r="BA85" s="9"/>
      <c r="BB85" s="16"/>
      <c r="BC85" s="10"/>
      <c r="BD85" s="10"/>
      <c r="BE85" s="10"/>
      <c r="BF85" s="11"/>
      <c r="BG85" s="12"/>
      <c r="BH85" s="17"/>
      <c r="BI85" s="13"/>
      <c r="BJ85" s="13"/>
      <c r="BK85" s="13"/>
      <c r="BL85" s="14"/>
      <c r="BM85" s="9"/>
      <c r="BN85" s="16"/>
      <c r="BO85" s="10"/>
      <c r="BP85" s="10"/>
      <c r="BQ85" s="10"/>
      <c r="BR85" s="11"/>
      <c r="BS85" s="12"/>
      <c r="BT85" s="17"/>
      <c r="BU85" s="13"/>
      <c r="BV85" s="13"/>
      <c r="BW85" s="13"/>
      <c r="BX85" s="14"/>
      <c r="BY85" s="8">
        <f t="shared" si="18"/>
        <v>0</v>
      </c>
      <c r="BZ85" s="8">
        <f t="shared" si="19"/>
        <v>0</v>
      </c>
      <c r="CA85" s="8">
        <f t="shared" si="20"/>
        <v>0</v>
      </c>
      <c r="CB85" s="8">
        <f t="shared" si="21"/>
        <v>0</v>
      </c>
      <c r="CC85" s="8">
        <f t="shared" si="22"/>
        <v>0</v>
      </c>
      <c r="CD85" s="8">
        <f t="shared" si="23"/>
        <v>0</v>
      </c>
      <c r="CE85" s="15">
        <f t="shared" si="24"/>
        <v>0</v>
      </c>
      <c r="CF85" s="15" t="str">
        <f t="shared" si="25"/>
        <v>OK - No Upgrade</v>
      </c>
      <c r="CG85" s="15" t="str">
        <f t="shared" si="26"/>
        <v>OK - Balanced</v>
      </c>
    </row>
    <row r="86" spans="1:85" ht="15.75" customHeight="1" x14ac:dyDescent="0.25">
      <c r="A86" s="8" t="s">
        <v>1459</v>
      </c>
      <c r="B86" s="8" t="s">
        <v>1460</v>
      </c>
      <c r="C86" s="8" t="s">
        <v>124</v>
      </c>
      <c r="D86" s="8" t="s">
        <v>1671</v>
      </c>
      <c r="E86" s="8" t="s">
        <v>1672</v>
      </c>
      <c r="F86" s="8" t="s">
        <v>43</v>
      </c>
      <c r="G86" s="8"/>
      <c r="H86" s="8">
        <v>315</v>
      </c>
      <c r="I86" s="8" t="s">
        <v>1670</v>
      </c>
      <c r="J86" s="8">
        <v>1</v>
      </c>
      <c r="K86" s="8">
        <v>233</v>
      </c>
      <c r="L86" s="8">
        <v>233</v>
      </c>
      <c r="M86" s="8">
        <v>236</v>
      </c>
      <c r="N86" s="8">
        <v>404</v>
      </c>
      <c r="O86" s="8">
        <v>408</v>
      </c>
      <c r="P86" s="8">
        <v>409</v>
      </c>
      <c r="Q86" s="9" t="s">
        <v>46</v>
      </c>
      <c r="R86" s="16"/>
      <c r="S86" s="10">
        <v>65</v>
      </c>
      <c r="T86" s="10">
        <v>76</v>
      </c>
      <c r="U86" s="10">
        <v>27</v>
      </c>
      <c r="V86" s="11">
        <v>45</v>
      </c>
      <c r="W86" s="12" t="s">
        <v>47</v>
      </c>
      <c r="X86" s="17"/>
      <c r="Y86" s="13">
        <v>20</v>
      </c>
      <c r="Z86" s="13">
        <v>29</v>
      </c>
      <c r="AA86" s="13">
        <v>20</v>
      </c>
      <c r="AB86" s="14">
        <v>6</v>
      </c>
      <c r="AC86" s="9"/>
      <c r="AD86" s="16"/>
      <c r="AE86" s="10"/>
      <c r="AF86" s="10"/>
      <c r="AG86" s="10"/>
      <c r="AH86" s="11"/>
      <c r="AI86" s="12"/>
      <c r="AJ86" s="17"/>
      <c r="AK86" s="13"/>
      <c r="AL86" s="13"/>
      <c r="AM86" s="13"/>
      <c r="AN86" s="14"/>
      <c r="AO86" s="9"/>
      <c r="AP86" s="16"/>
      <c r="AQ86" s="10"/>
      <c r="AR86" s="10"/>
      <c r="AS86" s="10"/>
      <c r="AT86" s="11"/>
      <c r="AU86" s="12"/>
      <c r="AV86" s="17"/>
      <c r="AW86" s="13"/>
      <c r="AX86" s="13"/>
      <c r="AY86" s="13"/>
      <c r="AZ86" s="14"/>
      <c r="BA86" s="9"/>
      <c r="BB86" s="16"/>
      <c r="BC86" s="10"/>
      <c r="BD86" s="10"/>
      <c r="BE86" s="10"/>
      <c r="BF86" s="11"/>
      <c r="BG86" s="12"/>
      <c r="BH86" s="17"/>
      <c r="BI86" s="13"/>
      <c r="BJ86" s="13"/>
      <c r="BK86" s="13"/>
      <c r="BL86" s="14"/>
      <c r="BM86" s="9"/>
      <c r="BN86" s="16"/>
      <c r="BO86" s="10"/>
      <c r="BP86" s="10"/>
      <c r="BQ86" s="10"/>
      <c r="BR86" s="11"/>
      <c r="BS86" s="12"/>
      <c r="BT86" s="17"/>
      <c r="BU86" s="13"/>
      <c r="BV86" s="13"/>
      <c r="BW86" s="13"/>
      <c r="BX86" s="14"/>
      <c r="BY86" s="8">
        <f t="shared" si="18"/>
        <v>85</v>
      </c>
      <c r="BZ86" s="8">
        <f t="shared" si="19"/>
        <v>105</v>
      </c>
      <c r="CA86" s="8">
        <f t="shared" si="20"/>
        <v>47</v>
      </c>
      <c r="CB86" s="8">
        <f t="shared" si="21"/>
        <v>51</v>
      </c>
      <c r="CC86" s="8">
        <f t="shared" si="22"/>
        <v>105</v>
      </c>
      <c r="CD86" s="8">
        <f t="shared" si="23"/>
        <v>47</v>
      </c>
      <c r="CE86" s="15">
        <f t="shared" si="24"/>
        <v>23.324950875260878</v>
      </c>
      <c r="CF86" s="15" t="str">
        <f t="shared" si="25"/>
        <v>OK - No Upgrade</v>
      </c>
      <c r="CG86" s="15" t="str">
        <f t="shared" si="26"/>
        <v>Need to Balance</v>
      </c>
    </row>
    <row r="87" spans="1:85" ht="15.75" customHeight="1" x14ac:dyDescent="0.25">
      <c r="A87" s="8" t="s">
        <v>1459</v>
      </c>
      <c r="B87" s="8" t="s">
        <v>1460</v>
      </c>
      <c r="C87" s="8" t="s">
        <v>124</v>
      </c>
      <c r="D87" s="8" t="s">
        <v>1673</v>
      </c>
      <c r="E87" s="8" t="s">
        <v>1674</v>
      </c>
      <c r="F87" s="8" t="s">
        <v>56</v>
      </c>
      <c r="G87" s="8"/>
      <c r="H87" s="8">
        <v>1000</v>
      </c>
      <c r="I87" s="8" t="s">
        <v>1675</v>
      </c>
      <c r="J87" s="8">
        <v>1</v>
      </c>
      <c r="K87" s="8">
        <v>238</v>
      </c>
      <c r="L87" s="8">
        <v>239</v>
      </c>
      <c r="M87" s="8">
        <v>240</v>
      </c>
      <c r="N87" s="8">
        <v>413</v>
      </c>
      <c r="O87" s="8">
        <v>414</v>
      </c>
      <c r="P87" s="8">
        <v>413</v>
      </c>
      <c r="Q87" s="9" t="s">
        <v>47</v>
      </c>
      <c r="R87" s="16"/>
      <c r="S87" s="10">
        <v>80</v>
      </c>
      <c r="T87" s="10">
        <v>91</v>
      </c>
      <c r="U87" s="10">
        <v>85</v>
      </c>
      <c r="V87" s="11">
        <v>18</v>
      </c>
      <c r="W87" s="12"/>
      <c r="X87" s="17"/>
      <c r="Y87" s="13">
        <v>63</v>
      </c>
      <c r="Z87" s="13">
        <v>49</v>
      </c>
      <c r="AA87" s="13">
        <v>61</v>
      </c>
      <c r="AB87" s="14">
        <v>10</v>
      </c>
      <c r="AC87" s="9"/>
      <c r="AD87" s="16"/>
      <c r="AE87" s="10">
        <v>80</v>
      </c>
      <c r="AF87" s="10">
        <v>60</v>
      </c>
      <c r="AG87" s="10">
        <v>78</v>
      </c>
      <c r="AH87" s="11">
        <v>14</v>
      </c>
      <c r="AI87" s="12"/>
      <c r="AJ87" s="17"/>
      <c r="AK87" s="13">
        <v>80</v>
      </c>
      <c r="AL87" s="13">
        <v>72</v>
      </c>
      <c r="AM87" s="13">
        <v>89</v>
      </c>
      <c r="AN87" s="14">
        <v>16</v>
      </c>
      <c r="AO87" s="9"/>
      <c r="AP87" s="16"/>
      <c r="AQ87" s="10"/>
      <c r="AR87" s="10"/>
      <c r="AS87" s="10"/>
      <c r="AT87" s="11"/>
      <c r="AU87" s="12"/>
      <c r="AV87" s="17"/>
      <c r="AW87" s="13"/>
      <c r="AX87" s="13"/>
      <c r="AY87" s="13"/>
      <c r="AZ87" s="14"/>
      <c r="BA87" s="9"/>
      <c r="BB87" s="16"/>
      <c r="BC87" s="10"/>
      <c r="BD87" s="10"/>
      <c r="BE87" s="10"/>
      <c r="BF87" s="11"/>
      <c r="BG87" s="12"/>
      <c r="BH87" s="17"/>
      <c r="BI87" s="13"/>
      <c r="BJ87" s="13"/>
      <c r="BK87" s="13"/>
      <c r="BL87" s="14"/>
      <c r="BM87" s="9"/>
      <c r="BN87" s="16"/>
      <c r="BO87" s="10"/>
      <c r="BP87" s="10"/>
      <c r="BQ87" s="10"/>
      <c r="BR87" s="11"/>
      <c r="BS87" s="12"/>
      <c r="BT87" s="17"/>
      <c r="BU87" s="13"/>
      <c r="BV87" s="13"/>
      <c r="BW87" s="13"/>
      <c r="BX87" s="14"/>
      <c r="BY87" s="8">
        <f t="shared" si="18"/>
        <v>303</v>
      </c>
      <c r="BZ87" s="8">
        <f t="shared" si="19"/>
        <v>272</v>
      </c>
      <c r="CA87" s="8">
        <f t="shared" si="20"/>
        <v>313</v>
      </c>
      <c r="CB87" s="8">
        <f t="shared" si="21"/>
        <v>58</v>
      </c>
      <c r="CC87" s="8">
        <f t="shared" si="22"/>
        <v>313</v>
      </c>
      <c r="CD87" s="8">
        <f t="shared" si="23"/>
        <v>272</v>
      </c>
      <c r="CE87" s="15">
        <f t="shared" si="24"/>
        <v>22.390047584362119</v>
      </c>
      <c r="CF87" s="15" t="str">
        <f t="shared" si="25"/>
        <v>OK - No Upgrade</v>
      </c>
      <c r="CG87" s="15" t="str">
        <f t="shared" si="26"/>
        <v>OK - Balanced</v>
      </c>
    </row>
    <row r="88" spans="1:85" ht="15.75" customHeight="1" x14ac:dyDescent="0.25">
      <c r="A88" s="8" t="s">
        <v>1459</v>
      </c>
      <c r="B88" s="8" t="s">
        <v>1460</v>
      </c>
      <c r="C88" s="8" t="s">
        <v>124</v>
      </c>
      <c r="D88" s="8" t="s">
        <v>1676</v>
      </c>
      <c r="E88" s="8" t="s">
        <v>1677</v>
      </c>
      <c r="F88" s="8" t="s">
        <v>43</v>
      </c>
      <c r="G88" s="8"/>
      <c r="H88" s="8">
        <v>315</v>
      </c>
      <c r="I88" s="8" t="s">
        <v>1678</v>
      </c>
      <c r="J88" s="8">
        <v>1</v>
      </c>
      <c r="K88" s="8">
        <v>238</v>
      </c>
      <c r="L88" s="8">
        <v>238</v>
      </c>
      <c r="M88" s="8">
        <v>239</v>
      </c>
      <c r="N88" s="8">
        <v>414</v>
      </c>
      <c r="O88" s="8">
        <v>416</v>
      </c>
      <c r="P88" s="8">
        <v>413</v>
      </c>
      <c r="Q88" s="9" t="s">
        <v>47</v>
      </c>
      <c r="R88" s="16"/>
      <c r="S88" s="10">
        <v>53</v>
      </c>
      <c r="T88" s="10">
        <v>30</v>
      </c>
      <c r="U88" s="10">
        <v>20</v>
      </c>
      <c r="V88" s="11">
        <v>46</v>
      </c>
      <c r="W88" s="12" t="s">
        <v>47</v>
      </c>
      <c r="X88" s="17"/>
      <c r="Y88" s="13">
        <v>22</v>
      </c>
      <c r="Z88" s="13">
        <v>19</v>
      </c>
      <c r="AA88" s="13">
        <v>13</v>
      </c>
      <c r="AB88" s="14">
        <v>13</v>
      </c>
      <c r="AC88" s="9"/>
      <c r="AD88" s="16"/>
      <c r="AE88" s="10"/>
      <c r="AF88" s="10"/>
      <c r="AG88" s="10"/>
      <c r="AH88" s="11"/>
      <c r="AI88" s="12"/>
      <c r="AJ88" s="17"/>
      <c r="AK88" s="13"/>
      <c r="AL88" s="13"/>
      <c r="AM88" s="13"/>
      <c r="AN88" s="14"/>
      <c r="AO88" s="9"/>
      <c r="AP88" s="16"/>
      <c r="AQ88" s="10"/>
      <c r="AR88" s="10"/>
      <c r="AS88" s="10"/>
      <c r="AT88" s="11"/>
      <c r="AU88" s="12"/>
      <c r="AV88" s="17"/>
      <c r="AW88" s="13"/>
      <c r="AX88" s="13"/>
      <c r="AY88" s="13"/>
      <c r="AZ88" s="14"/>
      <c r="BA88" s="9"/>
      <c r="BB88" s="16"/>
      <c r="BC88" s="10"/>
      <c r="BD88" s="10"/>
      <c r="BE88" s="10"/>
      <c r="BF88" s="11"/>
      <c r="BG88" s="12"/>
      <c r="BH88" s="17"/>
      <c r="BI88" s="13"/>
      <c r="BJ88" s="13"/>
      <c r="BK88" s="13"/>
      <c r="BL88" s="14"/>
      <c r="BM88" s="9"/>
      <c r="BN88" s="16"/>
      <c r="BO88" s="10"/>
      <c r="BP88" s="10"/>
      <c r="BQ88" s="10"/>
      <c r="BR88" s="11"/>
      <c r="BS88" s="12"/>
      <c r="BT88" s="17"/>
      <c r="BU88" s="13"/>
      <c r="BV88" s="13"/>
      <c r="BW88" s="13"/>
      <c r="BX88" s="14"/>
      <c r="BY88" s="8">
        <f t="shared" si="18"/>
        <v>75</v>
      </c>
      <c r="BZ88" s="8">
        <f t="shared" si="19"/>
        <v>49</v>
      </c>
      <c r="CA88" s="8">
        <f t="shared" si="20"/>
        <v>33</v>
      </c>
      <c r="CB88" s="8">
        <f t="shared" si="21"/>
        <v>59</v>
      </c>
      <c r="CC88" s="8">
        <f t="shared" si="22"/>
        <v>75</v>
      </c>
      <c r="CD88" s="8">
        <f t="shared" si="23"/>
        <v>33</v>
      </c>
      <c r="CE88" s="15">
        <f t="shared" si="24"/>
        <v>17.073072246036077</v>
      </c>
      <c r="CF88" s="15" t="str">
        <f t="shared" si="25"/>
        <v>OK - No Upgrade</v>
      </c>
      <c r="CG88" s="15" t="str">
        <f t="shared" si="26"/>
        <v>Need to Balance</v>
      </c>
    </row>
    <row r="89" spans="1:85" ht="15.75" customHeight="1" x14ac:dyDescent="0.25">
      <c r="A89" s="8" t="s">
        <v>1459</v>
      </c>
      <c r="B89" s="8" t="s">
        <v>1460</v>
      </c>
      <c r="C89" s="8" t="s">
        <v>124</v>
      </c>
      <c r="D89" s="8" t="s">
        <v>1679</v>
      </c>
      <c r="E89" s="8" t="s">
        <v>1680</v>
      </c>
      <c r="F89" s="8" t="s">
        <v>43</v>
      </c>
      <c r="G89" s="8"/>
      <c r="H89" s="8">
        <v>315</v>
      </c>
      <c r="I89" s="8" t="s">
        <v>1678</v>
      </c>
      <c r="J89" s="8">
        <v>1</v>
      </c>
      <c r="K89" s="8">
        <v>237</v>
      </c>
      <c r="L89" s="8">
        <v>238</v>
      </c>
      <c r="M89" s="8">
        <v>238</v>
      </c>
      <c r="N89" s="8">
        <v>412</v>
      </c>
      <c r="O89" s="8">
        <v>410</v>
      </c>
      <c r="P89" s="8">
        <v>412</v>
      </c>
      <c r="Q89" s="9" t="s">
        <v>47</v>
      </c>
      <c r="R89" s="16"/>
      <c r="S89" s="10">
        <v>102</v>
      </c>
      <c r="T89" s="10">
        <v>95</v>
      </c>
      <c r="U89" s="10">
        <v>145</v>
      </c>
      <c r="V89" s="11">
        <v>22</v>
      </c>
      <c r="W89" s="12"/>
      <c r="X89" s="17"/>
      <c r="Y89" s="13">
        <v>13</v>
      </c>
      <c r="Z89" s="13">
        <v>11</v>
      </c>
      <c r="AA89" s="13">
        <v>11</v>
      </c>
      <c r="AB89" s="14">
        <v>5</v>
      </c>
      <c r="AC89" s="9"/>
      <c r="AD89" s="16"/>
      <c r="AE89" s="10"/>
      <c r="AF89" s="10"/>
      <c r="AG89" s="10"/>
      <c r="AH89" s="11"/>
      <c r="AI89" s="12"/>
      <c r="AJ89" s="17"/>
      <c r="AK89" s="13"/>
      <c r="AL89" s="13"/>
      <c r="AM89" s="13"/>
      <c r="AN89" s="14"/>
      <c r="AO89" s="9"/>
      <c r="AP89" s="16"/>
      <c r="AQ89" s="10"/>
      <c r="AR89" s="10"/>
      <c r="AS89" s="10"/>
      <c r="AT89" s="11"/>
      <c r="AU89" s="12"/>
      <c r="AV89" s="17"/>
      <c r="AW89" s="13"/>
      <c r="AX89" s="13"/>
      <c r="AY89" s="13"/>
      <c r="AZ89" s="14"/>
      <c r="BA89" s="9"/>
      <c r="BB89" s="16"/>
      <c r="BC89" s="10"/>
      <c r="BD89" s="10"/>
      <c r="BE89" s="10"/>
      <c r="BF89" s="11"/>
      <c r="BG89" s="12"/>
      <c r="BH89" s="17"/>
      <c r="BI89" s="13"/>
      <c r="BJ89" s="13"/>
      <c r="BK89" s="13"/>
      <c r="BL89" s="14"/>
      <c r="BM89" s="9"/>
      <c r="BN89" s="16"/>
      <c r="BO89" s="10"/>
      <c r="BP89" s="10"/>
      <c r="BQ89" s="10"/>
      <c r="BR89" s="11"/>
      <c r="BS89" s="12"/>
      <c r="BT89" s="17"/>
      <c r="BU89" s="13"/>
      <c r="BV89" s="13"/>
      <c r="BW89" s="13"/>
      <c r="BX89" s="14"/>
      <c r="BY89" s="8">
        <f t="shared" si="18"/>
        <v>115</v>
      </c>
      <c r="BZ89" s="8">
        <f t="shared" si="19"/>
        <v>106</v>
      </c>
      <c r="CA89" s="8">
        <f t="shared" si="20"/>
        <v>156</v>
      </c>
      <c r="CB89" s="8">
        <f t="shared" si="21"/>
        <v>27</v>
      </c>
      <c r="CC89" s="8">
        <f t="shared" si="22"/>
        <v>156</v>
      </c>
      <c r="CD89" s="8">
        <f t="shared" si="23"/>
        <v>106</v>
      </c>
      <c r="CE89" s="15">
        <f t="shared" si="24"/>
        <v>35.340434763195837</v>
      </c>
      <c r="CF89" s="15" t="str">
        <f t="shared" si="25"/>
        <v>OK - No Upgrade</v>
      </c>
      <c r="CG89" s="15" t="str">
        <f t="shared" si="26"/>
        <v>Need to Balance</v>
      </c>
    </row>
    <row r="90" spans="1:85" ht="15.75" customHeight="1" x14ac:dyDescent="0.25">
      <c r="A90" s="8" t="s">
        <v>1459</v>
      </c>
      <c r="B90" s="8" t="s">
        <v>1460</v>
      </c>
      <c r="C90" s="8" t="s">
        <v>124</v>
      </c>
      <c r="D90" s="8" t="s">
        <v>1681</v>
      </c>
      <c r="E90" s="8" t="s">
        <v>1682</v>
      </c>
      <c r="F90" s="8" t="s">
        <v>43</v>
      </c>
      <c r="G90" s="8"/>
      <c r="H90" s="8">
        <v>100</v>
      </c>
      <c r="I90" s="8" t="s">
        <v>1034</v>
      </c>
      <c r="J90" s="8">
        <v>1</v>
      </c>
      <c r="K90" s="8">
        <v>239</v>
      </c>
      <c r="L90" s="8">
        <v>239</v>
      </c>
      <c r="M90" s="8">
        <v>240</v>
      </c>
      <c r="N90" s="8">
        <v>418</v>
      </c>
      <c r="O90" s="8">
        <v>418</v>
      </c>
      <c r="P90" s="8">
        <v>417</v>
      </c>
      <c r="Q90" s="9" t="s">
        <v>46</v>
      </c>
      <c r="R90" s="16"/>
      <c r="S90" s="10">
        <v>0</v>
      </c>
      <c r="T90" s="10">
        <v>0</v>
      </c>
      <c r="U90" s="10">
        <v>0</v>
      </c>
      <c r="V90" s="11">
        <v>0</v>
      </c>
      <c r="W90" s="12"/>
      <c r="X90" s="17"/>
      <c r="Y90" s="13"/>
      <c r="Z90" s="13"/>
      <c r="AA90" s="13"/>
      <c r="AB90" s="14"/>
      <c r="AC90" s="9"/>
      <c r="AD90" s="16"/>
      <c r="AE90" s="10"/>
      <c r="AF90" s="10"/>
      <c r="AG90" s="10"/>
      <c r="AH90" s="11"/>
      <c r="AI90" s="12"/>
      <c r="AJ90" s="17"/>
      <c r="AK90" s="13"/>
      <c r="AL90" s="13"/>
      <c r="AM90" s="13"/>
      <c r="AN90" s="14"/>
      <c r="AO90" s="9"/>
      <c r="AP90" s="16"/>
      <c r="AQ90" s="10"/>
      <c r="AR90" s="10"/>
      <c r="AS90" s="10"/>
      <c r="AT90" s="11"/>
      <c r="AU90" s="12"/>
      <c r="AV90" s="17"/>
      <c r="AW90" s="13"/>
      <c r="AX90" s="13"/>
      <c r="AY90" s="13"/>
      <c r="AZ90" s="14"/>
      <c r="BA90" s="9"/>
      <c r="BB90" s="16"/>
      <c r="BC90" s="10"/>
      <c r="BD90" s="10"/>
      <c r="BE90" s="10"/>
      <c r="BF90" s="11"/>
      <c r="BG90" s="12"/>
      <c r="BH90" s="17"/>
      <c r="BI90" s="13"/>
      <c r="BJ90" s="13"/>
      <c r="BK90" s="13"/>
      <c r="BL90" s="14"/>
      <c r="BM90" s="9"/>
      <c r="BN90" s="16"/>
      <c r="BO90" s="10"/>
      <c r="BP90" s="10"/>
      <c r="BQ90" s="10"/>
      <c r="BR90" s="11"/>
      <c r="BS90" s="12"/>
      <c r="BT90" s="17"/>
      <c r="BU90" s="13"/>
      <c r="BV90" s="13"/>
      <c r="BW90" s="13"/>
      <c r="BX90" s="14"/>
      <c r="BY90" s="8">
        <f t="shared" si="18"/>
        <v>0</v>
      </c>
      <c r="BZ90" s="8">
        <f t="shared" si="19"/>
        <v>0</v>
      </c>
      <c r="CA90" s="8">
        <f t="shared" si="20"/>
        <v>0</v>
      </c>
      <c r="CB90" s="8">
        <f t="shared" si="21"/>
        <v>0</v>
      </c>
      <c r="CC90" s="8">
        <f t="shared" si="22"/>
        <v>0</v>
      </c>
      <c r="CD90" s="8">
        <f t="shared" si="23"/>
        <v>0</v>
      </c>
      <c r="CE90" s="15">
        <f t="shared" si="24"/>
        <v>0</v>
      </c>
      <c r="CF90" s="15" t="str">
        <f t="shared" si="25"/>
        <v>OK - No Upgrade</v>
      </c>
      <c r="CG90" s="15" t="str">
        <f t="shared" si="26"/>
        <v>OK - Balanced</v>
      </c>
    </row>
    <row r="91" spans="1:85" ht="15.75" customHeight="1" x14ac:dyDescent="0.25">
      <c r="A91" s="8" t="s">
        <v>1459</v>
      </c>
      <c r="B91" s="8" t="s">
        <v>1460</v>
      </c>
      <c r="C91" s="8" t="s">
        <v>124</v>
      </c>
      <c r="D91" s="8" t="s">
        <v>1683</v>
      </c>
      <c r="E91" s="8" t="s">
        <v>1684</v>
      </c>
      <c r="F91" s="8" t="s">
        <v>43</v>
      </c>
      <c r="G91" s="8"/>
      <c r="H91" s="8">
        <v>100</v>
      </c>
      <c r="I91" s="8" t="s">
        <v>1034</v>
      </c>
      <c r="J91" s="8">
        <v>1</v>
      </c>
      <c r="K91" s="8">
        <v>239</v>
      </c>
      <c r="L91" s="8">
        <v>239</v>
      </c>
      <c r="M91" s="8">
        <v>240</v>
      </c>
      <c r="N91" s="8">
        <v>417</v>
      </c>
      <c r="O91" s="8">
        <v>416</v>
      </c>
      <c r="P91" s="8">
        <v>416</v>
      </c>
      <c r="Q91" s="9" t="s">
        <v>46</v>
      </c>
      <c r="R91" s="16"/>
      <c r="S91" s="10">
        <v>0</v>
      </c>
      <c r="T91" s="10">
        <v>0</v>
      </c>
      <c r="U91" s="10">
        <v>0</v>
      </c>
      <c r="V91" s="11">
        <v>0</v>
      </c>
      <c r="W91" s="12"/>
      <c r="X91" s="17"/>
      <c r="Y91" s="13"/>
      <c r="Z91" s="13"/>
      <c r="AA91" s="13"/>
      <c r="AB91" s="14"/>
      <c r="AC91" s="9"/>
      <c r="AD91" s="16"/>
      <c r="AE91" s="10"/>
      <c r="AF91" s="10"/>
      <c r="AG91" s="10"/>
      <c r="AH91" s="11"/>
      <c r="AI91" s="12"/>
      <c r="AJ91" s="17"/>
      <c r="AK91" s="13"/>
      <c r="AL91" s="13"/>
      <c r="AM91" s="13"/>
      <c r="AN91" s="14"/>
      <c r="AO91" s="9"/>
      <c r="AP91" s="16"/>
      <c r="AQ91" s="10"/>
      <c r="AR91" s="10"/>
      <c r="AS91" s="10"/>
      <c r="AT91" s="11"/>
      <c r="AU91" s="12"/>
      <c r="AV91" s="17"/>
      <c r="AW91" s="13"/>
      <c r="AX91" s="13"/>
      <c r="AY91" s="13"/>
      <c r="AZ91" s="14"/>
      <c r="BA91" s="9"/>
      <c r="BB91" s="16"/>
      <c r="BC91" s="10"/>
      <c r="BD91" s="10"/>
      <c r="BE91" s="10"/>
      <c r="BF91" s="11"/>
      <c r="BG91" s="12"/>
      <c r="BH91" s="17"/>
      <c r="BI91" s="13"/>
      <c r="BJ91" s="13"/>
      <c r="BK91" s="13"/>
      <c r="BL91" s="14"/>
      <c r="BM91" s="9"/>
      <c r="BN91" s="16"/>
      <c r="BO91" s="10"/>
      <c r="BP91" s="10"/>
      <c r="BQ91" s="10"/>
      <c r="BR91" s="11"/>
      <c r="BS91" s="12"/>
      <c r="BT91" s="17"/>
      <c r="BU91" s="13"/>
      <c r="BV91" s="13"/>
      <c r="BW91" s="13"/>
      <c r="BX91" s="14"/>
      <c r="BY91" s="8">
        <f t="shared" si="18"/>
        <v>0</v>
      </c>
      <c r="BZ91" s="8">
        <f t="shared" si="19"/>
        <v>0</v>
      </c>
      <c r="CA91" s="8">
        <f t="shared" si="20"/>
        <v>0</v>
      </c>
      <c r="CB91" s="8">
        <f t="shared" si="21"/>
        <v>0</v>
      </c>
      <c r="CC91" s="8">
        <f t="shared" si="22"/>
        <v>0</v>
      </c>
      <c r="CD91" s="8">
        <f t="shared" si="23"/>
        <v>0</v>
      </c>
      <c r="CE91" s="15">
        <f t="shared" si="24"/>
        <v>0</v>
      </c>
      <c r="CF91" s="15" t="str">
        <f t="shared" si="25"/>
        <v>OK - No Upgrade</v>
      </c>
      <c r="CG91" s="15" t="str">
        <f t="shared" si="26"/>
        <v>OK - Balanced</v>
      </c>
    </row>
    <row r="92" spans="1:85" ht="15.75" customHeight="1" x14ac:dyDescent="0.25">
      <c r="A92" s="8" t="s">
        <v>1459</v>
      </c>
      <c r="B92" s="8" t="s">
        <v>1460</v>
      </c>
      <c r="C92" s="8" t="s">
        <v>124</v>
      </c>
      <c r="D92" s="8" t="s">
        <v>1685</v>
      </c>
      <c r="E92" s="8" t="s">
        <v>1686</v>
      </c>
      <c r="F92" s="8" t="s">
        <v>43</v>
      </c>
      <c r="G92" s="8"/>
      <c r="H92" s="8">
        <v>315</v>
      </c>
      <c r="I92" s="8" t="s">
        <v>1687</v>
      </c>
      <c r="J92" s="8">
        <v>1</v>
      </c>
      <c r="K92" s="8">
        <v>239</v>
      </c>
      <c r="L92" s="8">
        <v>239</v>
      </c>
      <c r="M92" s="8">
        <v>240</v>
      </c>
      <c r="N92" s="8">
        <v>419</v>
      </c>
      <c r="O92" s="8">
        <v>418</v>
      </c>
      <c r="P92" s="8">
        <v>419</v>
      </c>
      <c r="Q92" s="9" t="s">
        <v>47</v>
      </c>
      <c r="R92" s="16"/>
      <c r="S92" s="10">
        <v>28</v>
      </c>
      <c r="T92" s="10">
        <v>20</v>
      </c>
      <c r="U92" s="10">
        <v>8</v>
      </c>
      <c r="V92" s="11">
        <v>15</v>
      </c>
      <c r="W92" s="12"/>
      <c r="X92" s="17"/>
      <c r="Y92" s="13"/>
      <c r="Z92" s="13"/>
      <c r="AA92" s="13"/>
      <c r="AB92" s="14"/>
      <c r="AC92" s="9"/>
      <c r="AD92" s="16"/>
      <c r="AE92" s="10"/>
      <c r="AF92" s="10"/>
      <c r="AG92" s="10"/>
      <c r="AH92" s="11"/>
      <c r="AI92" s="12"/>
      <c r="AJ92" s="17"/>
      <c r="AK92" s="13"/>
      <c r="AL92" s="13"/>
      <c r="AM92" s="13"/>
      <c r="AN92" s="14"/>
      <c r="AO92" s="9"/>
      <c r="AP92" s="16"/>
      <c r="AQ92" s="10"/>
      <c r="AR92" s="10"/>
      <c r="AS92" s="10"/>
      <c r="AT92" s="11"/>
      <c r="AU92" s="12"/>
      <c r="AV92" s="17"/>
      <c r="AW92" s="13"/>
      <c r="AX92" s="13"/>
      <c r="AY92" s="13"/>
      <c r="AZ92" s="14"/>
      <c r="BA92" s="9"/>
      <c r="BB92" s="16"/>
      <c r="BC92" s="10"/>
      <c r="BD92" s="10"/>
      <c r="BE92" s="10"/>
      <c r="BF92" s="11"/>
      <c r="BG92" s="12"/>
      <c r="BH92" s="17"/>
      <c r="BI92" s="13"/>
      <c r="BJ92" s="13"/>
      <c r="BK92" s="13"/>
      <c r="BL92" s="14"/>
      <c r="BM92" s="9"/>
      <c r="BN92" s="16"/>
      <c r="BO92" s="10"/>
      <c r="BP92" s="10"/>
      <c r="BQ92" s="10"/>
      <c r="BR92" s="11"/>
      <c r="BS92" s="12"/>
      <c r="BT92" s="17"/>
      <c r="BU92" s="13"/>
      <c r="BV92" s="13"/>
      <c r="BW92" s="13"/>
      <c r="BX92" s="14"/>
      <c r="BY92" s="8">
        <f t="shared" si="18"/>
        <v>28</v>
      </c>
      <c r="BZ92" s="8">
        <f t="shared" si="19"/>
        <v>20</v>
      </c>
      <c r="CA92" s="8">
        <f t="shared" si="20"/>
        <v>8</v>
      </c>
      <c r="CB92" s="8">
        <f t="shared" si="21"/>
        <v>15</v>
      </c>
      <c r="CC92" s="8">
        <f t="shared" si="22"/>
        <v>28</v>
      </c>
      <c r="CD92" s="8">
        <f t="shared" si="23"/>
        <v>8</v>
      </c>
      <c r="CE92" s="15">
        <f t="shared" si="24"/>
        <v>6.4509270077454186</v>
      </c>
      <c r="CF92" s="15" t="str">
        <f t="shared" si="25"/>
        <v>OK - No Upgrade</v>
      </c>
      <c r="CG92" s="15" t="str">
        <f t="shared" si="26"/>
        <v>Need to Balance</v>
      </c>
    </row>
    <row r="93" spans="1:85" ht="15.75" customHeight="1" x14ac:dyDescent="0.25">
      <c r="A93" s="8" t="s">
        <v>1459</v>
      </c>
      <c r="B93" s="8" t="s">
        <v>1460</v>
      </c>
      <c r="C93" s="8" t="s">
        <v>124</v>
      </c>
      <c r="D93" s="8" t="s">
        <v>1688</v>
      </c>
      <c r="E93" s="8" t="s">
        <v>1689</v>
      </c>
      <c r="F93" s="8" t="s">
        <v>43</v>
      </c>
      <c r="G93" s="8"/>
      <c r="H93" s="8">
        <v>100</v>
      </c>
      <c r="I93" s="8" t="s">
        <v>1687</v>
      </c>
      <c r="J93" s="8">
        <v>1</v>
      </c>
      <c r="K93" s="8">
        <v>241</v>
      </c>
      <c r="L93" s="8">
        <v>240</v>
      </c>
      <c r="M93" s="8">
        <v>239</v>
      </c>
      <c r="N93" s="8">
        <v>418</v>
      </c>
      <c r="O93" s="8">
        <v>3419</v>
      </c>
      <c r="P93" s="8">
        <v>421</v>
      </c>
      <c r="Q93" s="9" t="s">
        <v>47</v>
      </c>
      <c r="R93" s="16"/>
      <c r="S93" s="10">
        <v>0</v>
      </c>
      <c r="T93" s="10">
        <v>0</v>
      </c>
      <c r="U93" s="10">
        <v>0</v>
      </c>
      <c r="V93" s="11">
        <v>0</v>
      </c>
      <c r="W93" s="12"/>
      <c r="X93" s="17"/>
      <c r="Y93" s="13"/>
      <c r="Z93" s="13"/>
      <c r="AA93" s="13"/>
      <c r="AB93" s="14"/>
      <c r="AC93" s="9"/>
      <c r="AD93" s="16"/>
      <c r="AE93" s="10"/>
      <c r="AF93" s="10"/>
      <c r="AG93" s="10"/>
      <c r="AH93" s="11"/>
      <c r="AI93" s="12"/>
      <c r="AJ93" s="17"/>
      <c r="AK93" s="13"/>
      <c r="AL93" s="13"/>
      <c r="AM93" s="13"/>
      <c r="AN93" s="14"/>
      <c r="AO93" s="9"/>
      <c r="AP93" s="16"/>
      <c r="AQ93" s="10"/>
      <c r="AR93" s="10"/>
      <c r="AS93" s="10"/>
      <c r="AT93" s="11"/>
      <c r="AU93" s="12"/>
      <c r="AV93" s="17"/>
      <c r="AW93" s="13"/>
      <c r="AX93" s="13"/>
      <c r="AY93" s="13"/>
      <c r="AZ93" s="14"/>
      <c r="BA93" s="9"/>
      <c r="BB93" s="16"/>
      <c r="BC93" s="10"/>
      <c r="BD93" s="10"/>
      <c r="BE93" s="10"/>
      <c r="BF93" s="11"/>
      <c r="BG93" s="12"/>
      <c r="BH93" s="17"/>
      <c r="BI93" s="13"/>
      <c r="BJ93" s="13"/>
      <c r="BK93" s="13"/>
      <c r="BL93" s="14"/>
      <c r="BM93" s="9"/>
      <c r="BN93" s="16"/>
      <c r="BO93" s="10"/>
      <c r="BP93" s="10"/>
      <c r="BQ93" s="10"/>
      <c r="BR93" s="11"/>
      <c r="BS93" s="12"/>
      <c r="BT93" s="17"/>
      <c r="BU93" s="13"/>
      <c r="BV93" s="13"/>
      <c r="BW93" s="13"/>
      <c r="BX93" s="14"/>
      <c r="BY93" s="8">
        <f t="shared" si="18"/>
        <v>0</v>
      </c>
      <c r="BZ93" s="8">
        <f t="shared" si="19"/>
        <v>0</v>
      </c>
      <c r="CA93" s="8">
        <f t="shared" si="20"/>
        <v>0</v>
      </c>
      <c r="CB93" s="8">
        <f t="shared" si="21"/>
        <v>0</v>
      </c>
      <c r="CC93" s="8">
        <f t="shared" si="22"/>
        <v>0</v>
      </c>
      <c r="CD93" s="8">
        <f t="shared" si="23"/>
        <v>0</v>
      </c>
      <c r="CE93" s="15">
        <f t="shared" si="24"/>
        <v>0</v>
      </c>
      <c r="CF93" s="15" t="str">
        <f t="shared" si="25"/>
        <v>OK - No Upgrade</v>
      </c>
      <c r="CG93" s="15" t="str">
        <f t="shared" si="26"/>
        <v>OK - Balanced</v>
      </c>
    </row>
    <row r="94" spans="1:85" ht="15.75" customHeight="1" x14ac:dyDescent="0.25">
      <c r="A94" s="8" t="s">
        <v>1459</v>
      </c>
      <c r="B94" s="8" t="s">
        <v>1460</v>
      </c>
      <c r="C94" s="8" t="s">
        <v>124</v>
      </c>
      <c r="D94" s="8" t="s">
        <v>1690</v>
      </c>
      <c r="E94" s="8" t="s">
        <v>1691</v>
      </c>
      <c r="F94" s="8" t="s">
        <v>43</v>
      </c>
      <c r="G94" s="8"/>
      <c r="H94" s="8">
        <v>100</v>
      </c>
      <c r="I94" s="8" t="s">
        <v>1687</v>
      </c>
      <c r="J94" s="8">
        <v>1</v>
      </c>
      <c r="K94" s="8">
        <v>240</v>
      </c>
      <c r="L94" s="8">
        <v>239</v>
      </c>
      <c r="M94" s="8">
        <v>241</v>
      </c>
      <c r="N94" s="8">
        <v>416</v>
      </c>
      <c r="O94" s="8">
        <v>418</v>
      </c>
      <c r="P94" s="8">
        <v>416</v>
      </c>
      <c r="Q94" s="9" t="s">
        <v>46</v>
      </c>
      <c r="R94" s="16"/>
      <c r="S94" s="10">
        <v>18</v>
      </c>
      <c r="T94" s="10">
        <v>38</v>
      </c>
      <c r="U94" s="10">
        <v>27</v>
      </c>
      <c r="V94" s="11">
        <v>21</v>
      </c>
      <c r="W94" s="12"/>
      <c r="X94" s="17"/>
      <c r="Y94" s="13">
        <v>0</v>
      </c>
      <c r="Z94" s="13">
        <v>0</v>
      </c>
      <c r="AA94" s="13">
        <v>0</v>
      </c>
      <c r="AB94" s="14">
        <v>0</v>
      </c>
      <c r="AC94" s="9"/>
      <c r="AD94" s="16"/>
      <c r="AE94" s="10"/>
      <c r="AF94" s="10"/>
      <c r="AG94" s="10"/>
      <c r="AH94" s="11"/>
      <c r="AI94" s="12"/>
      <c r="AJ94" s="17"/>
      <c r="AK94" s="13"/>
      <c r="AL94" s="13"/>
      <c r="AM94" s="13"/>
      <c r="AN94" s="14"/>
      <c r="AO94" s="9"/>
      <c r="AP94" s="16"/>
      <c r="AQ94" s="10"/>
      <c r="AR94" s="10"/>
      <c r="AS94" s="10"/>
      <c r="AT94" s="11"/>
      <c r="AU94" s="12"/>
      <c r="AV94" s="17"/>
      <c r="AW94" s="13"/>
      <c r="AX94" s="13"/>
      <c r="AY94" s="13"/>
      <c r="AZ94" s="14"/>
      <c r="BA94" s="9"/>
      <c r="BB94" s="16"/>
      <c r="BC94" s="10"/>
      <c r="BD94" s="10"/>
      <c r="BE94" s="10"/>
      <c r="BF94" s="11"/>
      <c r="BG94" s="12"/>
      <c r="BH94" s="17"/>
      <c r="BI94" s="13"/>
      <c r="BJ94" s="13"/>
      <c r="BK94" s="13"/>
      <c r="BL94" s="14"/>
      <c r="BM94" s="9"/>
      <c r="BN94" s="16"/>
      <c r="BO94" s="10"/>
      <c r="BP94" s="10"/>
      <c r="BQ94" s="10"/>
      <c r="BR94" s="11"/>
      <c r="BS94" s="12"/>
      <c r="BT94" s="17"/>
      <c r="BU94" s="13"/>
      <c r="BV94" s="13"/>
      <c r="BW94" s="13"/>
      <c r="BX94" s="14"/>
      <c r="BY94" s="8">
        <f t="shared" si="18"/>
        <v>18</v>
      </c>
      <c r="BZ94" s="8">
        <f t="shared" si="19"/>
        <v>38</v>
      </c>
      <c r="CA94" s="8">
        <f t="shared" si="20"/>
        <v>27</v>
      </c>
      <c r="CB94" s="8">
        <f t="shared" si="21"/>
        <v>21</v>
      </c>
      <c r="CC94" s="8">
        <f t="shared" si="22"/>
        <v>38</v>
      </c>
      <c r="CD94" s="8">
        <f t="shared" si="23"/>
        <v>18</v>
      </c>
      <c r="CE94" s="15">
        <f t="shared" si="24"/>
        <v>27.380259166048809</v>
      </c>
      <c r="CF94" s="15" t="str">
        <f t="shared" si="25"/>
        <v>OK - No Upgrade</v>
      </c>
      <c r="CG94" s="15" t="str">
        <f t="shared" si="26"/>
        <v>Need to Balance</v>
      </c>
    </row>
    <row r="95" spans="1:85" ht="15.75" customHeight="1" x14ac:dyDescent="0.25">
      <c r="A95" s="8" t="s">
        <v>1459</v>
      </c>
      <c r="B95" s="8" t="s">
        <v>1460</v>
      </c>
      <c r="C95" s="8" t="s">
        <v>124</v>
      </c>
      <c r="D95" s="8" t="s">
        <v>1692</v>
      </c>
      <c r="E95" s="8" t="s">
        <v>1693</v>
      </c>
      <c r="F95" s="8" t="s">
        <v>43</v>
      </c>
      <c r="G95" s="8"/>
      <c r="H95" s="8">
        <v>315</v>
      </c>
      <c r="I95" s="8" t="s">
        <v>1694</v>
      </c>
      <c r="J95" s="8">
        <v>1</v>
      </c>
      <c r="K95" s="8">
        <v>240</v>
      </c>
      <c r="L95" s="8">
        <v>239</v>
      </c>
      <c r="M95" s="8">
        <v>241</v>
      </c>
      <c r="N95" s="8">
        <v>420</v>
      </c>
      <c r="O95" s="8">
        <v>419</v>
      </c>
      <c r="P95" s="8">
        <v>419</v>
      </c>
      <c r="Q95" s="9" t="s">
        <v>47</v>
      </c>
      <c r="R95" s="16"/>
      <c r="S95" s="10">
        <v>12</v>
      </c>
      <c r="T95" s="10">
        <v>14</v>
      </c>
      <c r="U95" s="10">
        <v>13</v>
      </c>
      <c r="V95" s="11">
        <v>10</v>
      </c>
      <c r="W95" s="12"/>
      <c r="X95" s="17"/>
      <c r="Y95" s="13"/>
      <c r="Z95" s="13"/>
      <c r="AA95" s="13"/>
      <c r="AB95" s="14"/>
      <c r="AC95" s="9"/>
      <c r="AD95" s="16"/>
      <c r="AE95" s="10"/>
      <c r="AF95" s="10"/>
      <c r="AG95" s="10"/>
      <c r="AH95" s="11"/>
      <c r="AI95" s="12"/>
      <c r="AJ95" s="17"/>
      <c r="AK95" s="13"/>
      <c r="AL95" s="13"/>
      <c r="AM95" s="13"/>
      <c r="AN95" s="14"/>
      <c r="AO95" s="9"/>
      <c r="AP95" s="16"/>
      <c r="AQ95" s="10"/>
      <c r="AR95" s="10"/>
      <c r="AS95" s="10"/>
      <c r="AT95" s="11"/>
      <c r="AU95" s="12"/>
      <c r="AV95" s="17"/>
      <c r="AW95" s="13"/>
      <c r="AX95" s="13"/>
      <c r="AY95" s="13"/>
      <c r="AZ95" s="14"/>
      <c r="BA95" s="9"/>
      <c r="BB95" s="16"/>
      <c r="BC95" s="10"/>
      <c r="BD95" s="10"/>
      <c r="BE95" s="10"/>
      <c r="BF95" s="11"/>
      <c r="BG95" s="12"/>
      <c r="BH95" s="17"/>
      <c r="BI95" s="13"/>
      <c r="BJ95" s="13"/>
      <c r="BK95" s="13"/>
      <c r="BL95" s="14"/>
      <c r="BM95" s="9"/>
      <c r="BN95" s="16"/>
      <c r="BO95" s="10"/>
      <c r="BP95" s="10"/>
      <c r="BQ95" s="10"/>
      <c r="BR95" s="11"/>
      <c r="BS95" s="12"/>
      <c r="BT95" s="17"/>
      <c r="BU95" s="13"/>
      <c r="BV95" s="13"/>
      <c r="BW95" s="13"/>
      <c r="BX95" s="14"/>
      <c r="BY95" s="8">
        <f t="shared" si="18"/>
        <v>12</v>
      </c>
      <c r="BZ95" s="8">
        <f t="shared" si="19"/>
        <v>14</v>
      </c>
      <c r="CA95" s="8">
        <f t="shared" si="20"/>
        <v>13</v>
      </c>
      <c r="CB95" s="8">
        <f t="shared" si="21"/>
        <v>10</v>
      </c>
      <c r="CC95" s="8">
        <f t="shared" si="22"/>
        <v>14</v>
      </c>
      <c r="CD95" s="8">
        <f t="shared" si="23"/>
        <v>12</v>
      </c>
      <c r="CE95" s="15">
        <f t="shared" si="24"/>
        <v>3.233161507461904</v>
      </c>
      <c r="CF95" s="15" t="str">
        <f t="shared" si="25"/>
        <v>OK - No Upgrade</v>
      </c>
      <c r="CG95" s="15" t="str">
        <f t="shared" si="26"/>
        <v>OK - Balanced</v>
      </c>
    </row>
    <row r="96" spans="1:85" ht="15.75" customHeight="1" x14ac:dyDescent="0.25">
      <c r="A96" s="8" t="s">
        <v>1459</v>
      </c>
      <c r="B96" s="8" t="s">
        <v>1460</v>
      </c>
      <c r="C96" s="8" t="s">
        <v>124</v>
      </c>
      <c r="D96" s="8" t="s">
        <v>1695</v>
      </c>
      <c r="E96" s="8" t="s">
        <v>1696</v>
      </c>
      <c r="F96" s="8" t="s">
        <v>43</v>
      </c>
      <c r="G96" s="8"/>
      <c r="H96" s="8">
        <v>100</v>
      </c>
      <c r="I96" s="8" t="s">
        <v>1694</v>
      </c>
      <c r="J96" s="8">
        <v>1</v>
      </c>
      <c r="K96" s="8">
        <v>241</v>
      </c>
      <c r="L96" s="8">
        <v>241</v>
      </c>
      <c r="M96" s="8">
        <v>243</v>
      </c>
      <c r="N96" s="8">
        <v>422</v>
      </c>
      <c r="O96" s="8">
        <v>421</v>
      </c>
      <c r="P96" s="8">
        <v>418</v>
      </c>
      <c r="Q96" s="9" t="s">
        <v>47</v>
      </c>
      <c r="R96" s="16"/>
      <c r="S96" s="10">
        <v>0</v>
      </c>
      <c r="T96" s="10">
        <v>0</v>
      </c>
      <c r="U96" s="10">
        <v>0</v>
      </c>
      <c r="V96" s="11">
        <v>0</v>
      </c>
      <c r="W96" s="12"/>
      <c r="X96" s="17"/>
      <c r="Y96" s="13"/>
      <c r="Z96" s="13"/>
      <c r="AA96" s="13"/>
      <c r="AB96" s="14"/>
      <c r="AC96" s="9"/>
      <c r="AD96" s="16"/>
      <c r="AE96" s="10"/>
      <c r="AF96" s="10"/>
      <c r="AG96" s="10"/>
      <c r="AH96" s="11"/>
      <c r="AI96" s="12"/>
      <c r="AJ96" s="17"/>
      <c r="AK96" s="13"/>
      <c r="AL96" s="13"/>
      <c r="AM96" s="13"/>
      <c r="AN96" s="14"/>
      <c r="AO96" s="9"/>
      <c r="AP96" s="16"/>
      <c r="AQ96" s="10"/>
      <c r="AR96" s="10"/>
      <c r="AS96" s="10"/>
      <c r="AT96" s="11"/>
      <c r="AU96" s="12"/>
      <c r="AV96" s="17"/>
      <c r="AW96" s="13"/>
      <c r="AX96" s="13"/>
      <c r="AY96" s="13"/>
      <c r="AZ96" s="14"/>
      <c r="BA96" s="9"/>
      <c r="BB96" s="16"/>
      <c r="BC96" s="10"/>
      <c r="BD96" s="10"/>
      <c r="BE96" s="10"/>
      <c r="BF96" s="11"/>
      <c r="BG96" s="12"/>
      <c r="BH96" s="17"/>
      <c r="BI96" s="13"/>
      <c r="BJ96" s="13"/>
      <c r="BK96" s="13"/>
      <c r="BL96" s="14"/>
      <c r="BM96" s="9"/>
      <c r="BN96" s="16"/>
      <c r="BO96" s="10"/>
      <c r="BP96" s="10"/>
      <c r="BQ96" s="10"/>
      <c r="BR96" s="11"/>
      <c r="BS96" s="12"/>
      <c r="BT96" s="17"/>
      <c r="BU96" s="13"/>
      <c r="BV96" s="13"/>
      <c r="BW96" s="13"/>
      <c r="BX96" s="14"/>
      <c r="BY96" s="8">
        <f t="shared" si="18"/>
        <v>0</v>
      </c>
      <c r="BZ96" s="8">
        <f t="shared" si="19"/>
        <v>0</v>
      </c>
      <c r="CA96" s="8">
        <f t="shared" si="20"/>
        <v>0</v>
      </c>
      <c r="CB96" s="8">
        <f t="shared" si="21"/>
        <v>0</v>
      </c>
      <c r="CC96" s="8">
        <f t="shared" si="22"/>
        <v>0</v>
      </c>
      <c r="CD96" s="8">
        <f t="shared" si="23"/>
        <v>0</v>
      </c>
      <c r="CE96" s="15">
        <f t="shared" si="24"/>
        <v>0</v>
      </c>
      <c r="CF96" s="15" t="str">
        <f t="shared" si="25"/>
        <v>OK - No Upgrade</v>
      </c>
      <c r="CG96" s="15" t="str">
        <f t="shared" si="26"/>
        <v>OK - Balanced</v>
      </c>
    </row>
    <row r="97" spans="1:85" ht="15.75" customHeight="1" x14ac:dyDescent="0.25">
      <c r="A97" s="8" t="s">
        <v>1459</v>
      </c>
      <c r="B97" s="8" t="s">
        <v>1460</v>
      </c>
      <c r="C97" s="8" t="s">
        <v>124</v>
      </c>
      <c r="D97" s="8" t="s">
        <v>1697</v>
      </c>
      <c r="E97" s="8" t="s">
        <v>1698</v>
      </c>
      <c r="F97" s="8" t="s">
        <v>43</v>
      </c>
      <c r="G97" s="8"/>
      <c r="H97" s="8">
        <v>100</v>
      </c>
      <c r="I97" s="8" t="s">
        <v>1694</v>
      </c>
      <c r="J97" s="8">
        <v>1</v>
      </c>
      <c r="K97" s="8">
        <v>240</v>
      </c>
      <c r="L97" s="8">
        <v>239</v>
      </c>
      <c r="M97" s="8">
        <v>240</v>
      </c>
      <c r="N97" s="8">
        <v>421</v>
      </c>
      <c r="O97" s="8">
        <v>422</v>
      </c>
      <c r="P97" s="8">
        <v>421</v>
      </c>
      <c r="Q97" s="9" t="s">
        <v>46</v>
      </c>
      <c r="R97" s="16"/>
      <c r="S97" s="10">
        <v>3</v>
      </c>
      <c r="T97" s="10">
        <v>5</v>
      </c>
      <c r="U97" s="10">
        <v>8</v>
      </c>
      <c r="V97" s="11">
        <v>4</v>
      </c>
      <c r="W97" s="12"/>
      <c r="X97" s="17"/>
      <c r="Y97" s="13"/>
      <c r="Z97" s="13"/>
      <c r="AA97" s="13"/>
      <c r="AB97" s="14"/>
      <c r="AC97" s="9"/>
      <c r="AD97" s="16"/>
      <c r="AE97" s="10"/>
      <c r="AF97" s="10"/>
      <c r="AG97" s="10"/>
      <c r="AH97" s="11"/>
      <c r="AI97" s="12"/>
      <c r="AJ97" s="17"/>
      <c r="AK97" s="13"/>
      <c r="AL97" s="13"/>
      <c r="AM97" s="13"/>
      <c r="AN97" s="14"/>
      <c r="AO97" s="9"/>
      <c r="AP97" s="16"/>
      <c r="AQ97" s="10"/>
      <c r="AR97" s="10"/>
      <c r="AS97" s="10"/>
      <c r="AT97" s="11"/>
      <c r="AU97" s="12"/>
      <c r="AV97" s="17"/>
      <c r="AW97" s="13"/>
      <c r="AX97" s="13"/>
      <c r="AY97" s="13"/>
      <c r="AZ97" s="14"/>
      <c r="BA97" s="9"/>
      <c r="BB97" s="16"/>
      <c r="BC97" s="10"/>
      <c r="BD97" s="10"/>
      <c r="BE97" s="10"/>
      <c r="BF97" s="11"/>
      <c r="BG97" s="12"/>
      <c r="BH97" s="17"/>
      <c r="BI97" s="13"/>
      <c r="BJ97" s="13"/>
      <c r="BK97" s="13"/>
      <c r="BL97" s="14"/>
      <c r="BM97" s="9"/>
      <c r="BN97" s="16"/>
      <c r="BO97" s="10"/>
      <c r="BP97" s="10"/>
      <c r="BQ97" s="10"/>
      <c r="BR97" s="11"/>
      <c r="BS97" s="12"/>
      <c r="BT97" s="17"/>
      <c r="BU97" s="13"/>
      <c r="BV97" s="13"/>
      <c r="BW97" s="13"/>
      <c r="BX97" s="14"/>
      <c r="BY97" s="8">
        <f t="shared" si="18"/>
        <v>3</v>
      </c>
      <c r="BZ97" s="8">
        <f t="shared" si="19"/>
        <v>5</v>
      </c>
      <c r="CA97" s="8">
        <f t="shared" si="20"/>
        <v>8</v>
      </c>
      <c r="CB97" s="8">
        <f t="shared" si="21"/>
        <v>4</v>
      </c>
      <c r="CC97" s="8">
        <f t="shared" si="22"/>
        <v>8</v>
      </c>
      <c r="CD97" s="8">
        <f t="shared" si="23"/>
        <v>3</v>
      </c>
      <c r="CE97" s="15">
        <f t="shared" si="24"/>
        <v>5.8335471198919784</v>
      </c>
      <c r="CF97" s="15" t="str">
        <f t="shared" si="25"/>
        <v>OK - No Upgrade</v>
      </c>
      <c r="CG97" s="15" t="str">
        <f t="shared" si="26"/>
        <v>Need to Balance</v>
      </c>
    </row>
    <row r="98" spans="1:85" ht="15.75" customHeight="1" x14ac:dyDescent="0.25">
      <c r="A98" s="8" t="s">
        <v>1459</v>
      </c>
      <c r="B98" s="8" t="s">
        <v>1460</v>
      </c>
      <c r="C98" s="8" t="s">
        <v>124</v>
      </c>
      <c r="D98" s="8" t="s">
        <v>1699</v>
      </c>
      <c r="E98" s="8" t="s">
        <v>1700</v>
      </c>
      <c r="F98" s="8" t="s">
        <v>43</v>
      </c>
      <c r="G98" s="8"/>
      <c r="H98" s="8">
        <v>100</v>
      </c>
      <c r="I98" s="8" t="s">
        <v>1701</v>
      </c>
      <c r="J98" s="8">
        <v>1</v>
      </c>
      <c r="K98" s="8">
        <v>240</v>
      </c>
      <c r="L98" s="8">
        <v>239</v>
      </c>
      <c r="M98" s="8">
        <v>240</v>
      </c>
      <c r="N98" s="8">
        <v>424</v>
      </c>
      <c r="O98" s="8">
        <v>423</v>
      </c>
      <c r="P98" s="8">
        <v>424</v>
      </c>
      <c r="Q98" s="9" t="s">
        <v>47</v>
      </c>
      <c r="R98" s="16"/>
      <c r="S98" s="10">
        <v>42</v>
      </c>
      <c r="T98" s="10">
        <v>51</v>
      </c>
      <c r="U98" s="10">
        <v>54</v>
      </c>
      <c r="V98" s="11">
        <v>12</v>
      </c>
      <c r="W98" s="12" t="s">
        <v>47</v>
      </c>
      <c r="X98" s="17"/>
      <c r="Y98" s="13">
        <v>12</v>
      </c>
      <c r="Z98" s="13">
        <v>23</v>
      </c>
      <c r="AA98" s="13">
        <v>14</v>
      </c>
      <c r="AB98" s="14">
        <v>8</v>
      </c>
      <c r="AC98" s="9"/>
      <c r="AD98" s="16"/>
      <c r="AE98" s="10"/>
      <c r="AF98" s="10"/>
      <c r="AG98" s="10"/>
      <c r="AH98" s="11"/>
      <c r="AI98" s="12"/>
      <c r="AJ98" s="17"/>
      <c r="AK98" s="13"/>
      <c r="AL98" s="13"/>
      <c r="AM98" s="13"/>
      <c r="AN98" s="14"/>
      <c r="AO98" s="9"/>
      <c r="AP98" s="16"/>
      <c r="AQ98" s="10"/>
      <c r="AR98" s="10"/>
      <c r="AS98" s="10"/>
      <c r="AT98" s="11"/>
      <c r="AU98" s="12"/>
      <c r="AV98" s="17"/>
      <c r="AW98" s="13"/>
      <c r="AX98" s="13"/>
      <c r="AY98" s="13"/>
      <c r="AZ98" s="14"/>
      <c r="BA98" s="9"/>
      <c r="BB98" s="16"/>
      <c r="BC98" s="10"/>
      <c r="BD98" s="10"/>
      <c r="BE98" s="10"/>
      <c r="BF98" s="11"/>
      <c r="BG98" s="12"/>
      <c r="BH98" s="17"/>
      <c r="BI98" s="13"/>
      <c r="BJ98" s="13"/>
      <c r="BK98" s="13"/>
      <c r="BL98" s="14"/>
      <c r="BM98" s="9"/>
      <c r="BN98" s="16"/>
      <c r="BO98" s="10"/>
      <c r="BP98" s="10"/>
      <c r="BQ98" s="10"/>
      <c r="BR98" s="11"/>
      <c r="BS98" s="12"/>
      <c r="BT98" s="17"/>
      <c r="BU98" s="13"/>
      <c r="BV98" s="13"/>
      <c r="BW98" s="13"/>
      <c r="BX98" s="14"/>
      <c r="BY98" s="8">
        <f t="shared" si="18"/>
        <v>54</v>
      </c>
      <c r="BZ98" s="8">
        <f t="shared" si="19"/>
        <v>74</v>
      </c>
      <c r="CA98" s="8">
        <f t="shared" si="20"/>
        <v>68</v>
      </c>
      <c r="CB98" s="8">
        <f t="shared" si="21"/>
        <v>20</v>
      </c>
      <c r="CC98" s="8">
        <f t="shared" si="22"/>
        <v>74</v>
      </c>
      <c r="CD98" s="8">
        <f t="shared" si="23"/>
        <v>54</v>
      </c>
      <c r="CE98" s="15">
        <f t="shared" si="24"/>
        <v>54.344826138281086</v>
      </c>
      <c r="CF98" s="15" t="str">
        <f t="shared" si="25"/>
        <v>OK - No Upgrade</v>
      </c>
      <c r="CG98" s="15" t="str">
        <f t="shared" si="26"/>
        <v>Need to Balance</v>
      </c>
    </row>
    <row r="99" spans="1:85" ht="15.75" customHeight="1" x14ac:dyDescent="0.25">
      <c r="A99" s="8" t="s">
        <v>1459</v>
      </c>
      <c r="B99" s="8" t="s">
        <v>1460</v>
      </c>
      <c r="C99" s="8" t="s">
        <v>124</v>
      </c>
      <c r="D99" s="8" t="s">
        <v>1702</v>
      </c>
      <c r="E99" s="8" t="s">
        <v>1703</v>
      </c>
      <c r="F99" s="8" t="s">
        <v>43</v>
      </c>
      <c r="G99" s="8"/>
      <c r="H99" s="8">
        <v>315</v>
      </c>
      <c r="I99" s="8" t="s">
        <v>1701</v>
      </c>
      <c r="J99" s="8">
        <v>1</v>
      </c>
      <c r="K99" s="8">
        <v>240</v>
      </c>
      <c r="L99" s="8">
        <v>241</v>
      </c>
      <c r="M99" s="8">
        <v>242</v>
      </c>
      <c r="N99" s="8">
        <v>420</v>
      </c>
      <c r="O99" s="8">
        <v>420</v>
      </c>
      <c r="P99" s="8">
        <v>417</v>
      </c>
      <c r="Q99" s="9" t="s">
        <v>46</v>
      </c>
      <c r="R99" s="16"/>
      <c r="S99" s="10">
        <v>105</v>
      </c>
      <c r="T99" s="10">
        <v>81</v>
      </c>
      <c r="U99" s="10">
        <v>75</v>
      </c>
      <c r="V99" s="11">
        <v>28</v>
      </c>
      <c r="W99" s="12" t="s">
        <v>46</v>
      </c>
      <c r="X99" s="17"/>
      <c r="Y99" s="13">
        <v>53</v>
      </c>
      <c r="Z99" s="13">
        <v>18</v>
      </c>
      <c r="AA99" s="13">
        <v>43</v>
      </c>
      <c r="AB99" s="14">
        <v>42</v>
      </c>
      <c r="AC99" s="9"/>
      <c r="AD99" s="16"/>
      <c r="AE99" s="10"/>
      <c r="AF99" s="10"/>
      <c r="AG99" s="10"/>
      <c r="AH99" s="11"/>
      <c r="AI99" s="12"/>
      <c r="AJ99" s="17"/>
      <c r="AK99" s="13"/>
      <c r="AL99" s="13"/>
      <c r="AM99" s="13"/>
      <c r="AN99" s="14"/>
      <c r="AO99" s="9"/>
      <c r="AP99" s="16"/>
      <c r="AQ99" s="10"/>
      <c r="AR99" s="10"/>
      <c r="AS99" s="10"/>
      <c r="AT99" s="11"/>
      <c r="AU99" s="12"/>
      <c r="AV99" s="17"/>
      <c r="AW99" s="13"/>
      <c r="AX99" s="13"/>
      <c r="AY99" s="13"/>
      <c r="AZ99" s="14"/>
      <c r="BA99" s="9"/>
      <c r="BB99" s="16"/>
      <c r="BC99" s="10"/>
      <c r="BD99" s="10"/>
      <c r="BE99" s="10"/>
      <c r="BF99" s="11"/>
      <c r="BG99" s="12"/>
      <c r="BH99" s="17"/>
      <c r="BI99" s="13"/>
      <c r="BJ99" s="13"/>
      <c r="BK99" s="13"/>
      <c r="BL99" s="14"/>
      <c r="BM99" s="9"/>
      <c r="BN99" s="16"/>
      <c r="BO99" s="10"/>
      <c r="BP99" s="10"/>
      <c r="BQ99" s="10"/>
      <c r="BR99" s="11"/>
      <c r="BS99" s="12"/>
      <c r="BT99" s="17"/>
      <c r="BU99" s="13"/>
      <c r="BV99" s="13"/>
      <c r="BW99" s="13"/>
      <c r="BX99" s="14"/>
      <c r="BY99" s="8">
        <f t="shared" si="18"/>
        <v>158</v>
      </c>
      <c r="BZ99" s="8">
        <f t="shared" si="19"/>
        <v>99</v>
      </c>
      <c r="CA99" s="8">
        <f t="shared" si="20"/>
        <v>118</v>
      </c>
      <c r="CB99" s="8">
        <f t="shared" si="21"/>
        <v>70</v>
      </c>
      <c r="CC99" s="8">
        <f t="shared" si="22"/>
        <v>158</v>
      </c>
      <c r="CD99" s="8">
        <f t="shared" si="23"/>
        <v>99</v>
      </c>
      <c r="CE99" s="15">
        <f t="shared" si="24"/>
        <v>36.488537012784349</v>
      </c>
      <c r="CF99" s="15" t="str">
        <f t="shared" si="25"/>
        <v>OK - No Upgrade</v>
      </c>
      <c r="CG99" s="15" t="str">
        <f t="shared" si="26"/>
        <v>Need to Balance</v>
      </c>
    </row>
    <row r="100" spans="1:85" ht="15.75" customHeight="1" x14ac:dyDescent="0.25">
      <c r="A100" s="8" t="s">
        <v>1459</v>
      </c>
      <c r="B100" s="8" t="s">
        <v>1460</v>
      </c>
      <c r="C100" s="8" t="s">
        <v>124</v>
      </c>
      <c r="D100" s="8" t="s">
        <v>1704</v>
      </c>
      <c r="E100" s="8" t="s">
        <v>1705</v>
      </c>
      <c r="F100" s="8" t="s">
        <v>43</v>
      </c>
      <c r="G100" s="8"/>
      <c r="H100" s="8">
        <v>315</v>
      </c>
      <c r="I100" s="8" t="s">
        <v>1675</v>
      </c>
      <c r="J100" s="8">
        <v>1</v>
      </c>
      <c r="K100" s="8">
        <v>242</v>
      </c>
      <c r="L100" s="8">
        <v>243</v>
      </c>
      <c r="M100" s="8">
        <v>241</v>
      </c>
      <c r="N100" s="8">
        <v>442</v>
      </c>
      <c r="O100" s="8">
        <v>445</v>
      </c>
      <c r="P100" s="8">
        <v>441</v>
      </c>
      <c r="Q100" s="9" t="s">
        <v>46</v>
      </c>
      <c r="R100" s="16"/>
      <c r="S100" s="10">
        <v>30</v>
      </c>
      <c r="T100" s="10">
        <v>20</v>
      </c>
      <c r="U100" s="10">
        <v>34</v>
      </c>
      <c r="V100" s="11">
        <v>33</v>
      </c>
      <c r="W100" s="12" t="s">
        <v>46</v>
      </c>
      <c r="X100" s="17"/>
      <c r="Y100" s="13">
        <v>75</v>
      </c>
      <c r="Z100" s="13">
        <v>76</v>
      </c>
      <c r="AA100" s="13">
        <v>88</v>
      </c>
      <c r="AB100" s="14">
        <v>14</v>
      </c>
      <c r="AC100" s="9"/>
      <c r="AD100" s="16"/>
      <c r="AE100" s="10"/>
      <c r="AF100" s="10"/>
      <c r="AG100" s="10"/>
      <c r="AH100" s="11"/>
      <c r="AI100" s="12"/>
      <c r="AJ100" s="17"/>
      <c r="AK100" s="13"/>
      <c r="AL100" s="13"/>
      <c r="AM100" s="13"/>
      <c r="AN100" s="14"/>
      <c r="AO100" s="9"/>
      <c r="AP100" s="16"/>
      <c r="AQ100" s="10"/>
      <c r="AR100" s="10"/>
      <c r="AS100" s="10"/>
      <c r="AT100" s="11"/>
      <c r="AU100" s="12"/>
      <c r="AV100" s="17"/>
      <c r="AW100" s="13"/>
      <c r="AX100" s="13"/>
      <c r="AY100" s="13"/>
      <c r="AZ100" s="14"/>
      <c r="BA100" s="9"/>
      <c r="BB100" s="16"/>
      <c r="BC100" s="10"/>
      <c r="BD100" s="10"/>
      <c r="BE100" s="10"/>
      <c r="BF100" s="11"/>
      <c r="BG100" s="12"/>
      <c r="BH100" s="17"/>
      <c r="BI100" s="13"/>
      <c r="BJ100" s="13"/>
      <c r="BK100" s="13"/>
      <c r="BL100" s="14"/>
      <c r="BM100" s="9"/>
      <c r="BN100" s="16"/>
      <c r="BO100" s="10"/>
      <c r="BP100" s="10"/>
      <c r="BQ100" s="10"/>
      <c r="BR100" s="11"/>
      <c r="BS100" s="12"/>
      <c r="BT100" s="17"/>
      <c r="BU100" s="13"/>
      <c r="BV100" s="13"/>
      <c r="BW100" s="13"/>
      <c r="BX100" s="14"/>
      <c r="BY100" s="8">
        <f t="shared" si="18"/>
        <v>105</v>
      </c>
      <c r="BZ100" s="8">
        <f t="shared" si="19"/>
        <v>96</v>
      </c>
      <c r="CA100" s="8">
        <f t="shared" si="20"/>
        <v>122</v>
      </c>
      <c r="CB100" s="8">
        <f t="shared" si="21"/>
        <v>47</v>
      </c>
      <c r="CC100" s="8">
        <f t="shared" si="22"/>
        <v>122</v>
      </c>
      <c r="CD100" s="8">
        <f t="shared" si="23"/>
        <v>96</v>
      </c>
      <c r="CE100" s="15">
        <f t="shared" si="24"/>
        <v>29.650510395982266</v>
      </c>
      <c r="CF100" s="15" t="str">
        <f t="shared" ref="CF100:CF131" si="27">IF(CE100&gt;70,"Upgrade","OK - No Upgrade")</f>
        <v>OK - No Upgrade</v>
      </c>
      <c r="CG100" s="15" t="str">
        <f t="shared" si="26"/>
        <v>Need to Balance</v>
      </c>
    </row>
    <row r="101" spans="1:85" ht="15.75" customHeight="1" x14ac:dyDescent="0.25">
      <c r="A101" s="8" t="s">
        <v>1459</v>
      </c>
      <c r="B101" s="8" t="s">
        <v>1460</v>
      </c>
      <c r="C101" s="8" t="s">
        <v>124</v>
      </c>
      <c r="D101" s="8" t="s">
        <v>1706</v>
      </c>
      <c r="E101" s="8" t="s">
        <v>1707</v>
      </c>
      <c r="F101" s="8" t="s">
        <v>43</v>
      </c>
      <c r="G101" s="8"/>
      <c r="H101" s="8">
        <v>315</v>
      </c>
      <c r="I101" s="8" t="s">
        <v>1675</v>
      </c>
      <c r="J101" s="8">
        <v>1</v>
      </c>
      <c r="K101" s="8">
        <v>243</v>
      </c>
      <c r="L101" s="8">
        <v>244</v>
      </c>
      <c r="M101" s="8">
        <v>246</v>
      </c>
      <c r="N101" s="8">
        <v>424</v>
      </c>
      <c r="O101" s="8">
        <v>424</v>
      </c>
      <c r="P101" s="8">
        <v>423</v>
      </c>
      <c r="Q101" s="9" t="s">
        <v>46</v>
      </c>
      <c r="R101" s="16"/>
      <c r="S101" s="10">
        <v>60</v>
      </c>
      <c r="T101" s="10">
        <v>57</v>
      </c>
      <c r="U101" s="10">
        <v>48</v>
      </c>
      <c r="V101" s="11">
        <v>13</v>
      </c>
      <c r="W101" s="12"/>
      <c r="X101" s="17"/>
      <c r="Y101" s="13"/>
      <c r="Z101" s="13"/>
      <c r="AA101" s="13"/>
      <c r="AB101" s="14"/>
      <c r="AC101" s="9"/>
      <c r="AD101" s="16"/>
      <c r="AE101" s="10"/>
      <c r="AF101" s="10"/>
      <c r="AG101" s="10"/>
      <c r="AH101" s="11"/>
      <c r="AI101" s="12"/>
      <c r="AJ101" s="17"/>
      <c r="AK101" s="13"/>
      <c r="AL101" s="13"/>
      <c r="AM101" s="13"/>
      <c r="AN101" s="14"/>
      <c r="AO101" s="9"/>
      <c r="AP101" s="16"/>
      <c r="AQ101" s="10"/>
      <c r="AR101" s="10"/>
      <c r="AS101" s="10"/>
      <c r="AT101" s="11"/>
      <c r="AU101" s="12"/>
      <c r="AV101" s="17"/>
      <c r="AW101" s="13"/>
      <c r="AX101" s="13"/>
      <c r="AY101" s="13"/>
      <c r="AZ101" s="14"/>
      <c r="BA101" s="9"/>
      <c r="BB101" s="16"/>
      <c r="BC101" s="10"/>
      <c r="BD101" s="10"/>
      <c r="BE101" s="10"/>
      <c r="BF101" s="11"/>
      <c r="BG101" s="12"/>
      <c r="BH101" s="17"/>
      <c r="BI101" s="13"/>
      <c r="BJ101" s="13"/>
      <c r="BK101" s="13"/>
      <c r="BL101" s="14"/>
      <c r="BM101" s="9"/>
      <c r="BN101" s="16"/>
      <c r="BO101" s="10"/>
      <c r="BP101" s="10"/>
      <c r="BQ101" s="10"/>
      <c r="BR101" s="11"/>
      <c r="BS101" s="12"/>
      <c r="BT101" s="17"/>
      <c r="BU101" s="13"/>
      <c r="BV101" s="13"/>
      <c r="BW101" s="13"/>
      <c r="BX101" s="14"/>
      <c r="BY101" s="8">
        <f t="shared" si="18"/>
        <v>60</v>
      </c>
      <c r="BZ101" s="8">
        <f t="shared" si="19"/>
        <v>57</v>
      </c>
      <c r="CA101" s="8">
        <f t="shared" si="20"/>
        <v>48</v>
      </c>
      <c r="CB101" s="8">
        <f t="shared" si="21"/>
        <v>13</v>
      </c>
      <c r="CC101" s="8">
        <f t="shared" si="22"/>
        <v>60</v>
      </c>
      <c r="CD101" s="8">
        <f t="shared" si="23"/>
        <v>48</v>
      </c>
      <c r="CE101" s="15">
        <f t="shared" si="24"/>
        <v>13.988372236365789</v>
      </c>
      <c r="CF101" s="15" t="str">
        <f t="shared" si="27"/>
        <v>OK - No Upgrade</v>
      </c>
      <c r="CG101" s="15" t="str">
        <f t="shared" si="26"/>
        <v>OK - Balanced</v>
      </c>
    </row>
    <row r="102" spans="1:85" ht="15.75" customHeight="1" x14ac:dyDescent="0.25">
      <c r="A102" s="8" t="s">
        <v>1459</v>
      </c>
      <c r="B102" s="8" t="s">
        <v>1460</v>
      </c>
      <c r="C102" s="8" t="s">
        <v>389</v>
      </c>
      <c r="D102" s="8" t="s">
        <v>1708</v>
      </c>
      <c r="E102" s="8" t="s">
        <v>1709</v>
      </c>
      <c r="F102" s="8" t="s">
        <v>56</v>
      </c>
      <c r="G102" s="8"/>
      <c r="H102" s="8">
        <v>500</v>
      </c>
      <c r="I102" s="8" t="s">
        <v>1710</v>
      </c>
      <c r="J102" s="8">
        <v>1</v>
      </c>
      <c r="K102" s="8">
        <v>236</v>
      </c>
      <c r="L102" s="8">
        <v>236</v>
      </c>
      <c r="M102" s="8">
        <v>237</v>
      </c>
      <c r="N102" s="8">
        <v>408</v>
      </c>
      <c r="O102" s="8">
        <v>410</v>
      </c>
      <c r="P102" s="8">
        <v>412</v>
      </c>
      <c r="Q102" s="9" t="s">
        <v>47</v>
      </c>
      <c r="R102" s="16"/>
      <c r="S102" s="10">
        <v>104</v>
      </c>
      <c r="T102" s="10">
        <v>112</v>
      </c>
      <c r="U102" s="10">
        <v>125</v>
      </c>
      <c r="V102" s="11">
        <v>84</v>
      </c>
      <c r="W102" s="12"/>
      <c r="X102" s="17"/>
      <c r="Y102" s="13">
        <v>110</v>
      </c>
      <c r="Z102" s="13">
        <v>120</v>
      </c>
      <c r="AA102" s="13">
        <v>72</v>
      </c>
      <c r="AB102" s="14">
        <v>26</v>
      </c>
      <c r="AC102" s="9"/>
      <c r="AD102" s="16"/>
      <c r="AE102" s="10"/>
      <c r="AF102" s="10"/>
      <c r="AG102" s="10"/>
      <c r="AH102" s="11"/>
      <c r="AI102" s="12"/>
      <c r="AJ102" s="17"/>
      <c r="AK102" s="13"/>
      <c r="AL102" s="13"/>
      <c r="AM102" s="13"/>
      <c r="AN102" s="14"/>
      <c r="AO102" s="9"/>
      <c r="AP102" s="16"/>
      <c r="AQ102" s="10"/>
      <c r="AR102" s="10"/>
      <c r="AS102" s="10"/>
      <c r="AT102" s="11"/>
      <c r="AU102" s="12"/>
      <c r="AV102" s="17"/>
      <c r="AW102" s="13"/>
      <c r="AX102" s="13"/>
      <c r="AY102" s="13"/>
      <c r="AZ102" s="14"/>
      <c r="BA102" s="9"/>
      <c r="BB102" s="16"/>
      <c r="BC102" s="10"/>
      <c r="BD102" s="10"/>
      <c r="BE102" s="10"/>
      <c r="BF102" s="11"/>
      <c r="BG102" s="12"/>
      <c r="BH102" s="17"/>
      <c r="BI102" s="13"/>
      <c r="BJ102" s="13"/>
      <c r="BK102" s="13"/>
      <c r="BL102" s="14"/>
      <c r="BM102" s="9"/>
      <c r="BN102" s="16"/>
      <c r="BO102" s="10"/>
      <c r="BP102" s="10"/>
      <c r="BQ102" s="10"/>
      <c r="BR102" s="11"/>
      <c r="BS102" s="12"/>
      <c r="BT102" s="17"/>
      <c r="BU102" s="13"/>
      <c r="BV102" s="13"/>
      <c r="BW102" s="13"/>
      <c r="BX102" s="14"/>
      <c r="BY102" s="8">
        <f t="shared" si="18"/>
        <v>214</v>
      </c>
      <c r="BZ102" s="8">
        <f t="shared" si="19"/>
        <v>232</v>
      </c>
      <c r="CA102" s="8">
        <f t="shared" si="20"/>
        <v>197</v>
      </c>
      <c r="CB102" s="8">
        <f t="shared" si="21"/>
        <v>110</v>
      </c>
      <c r="CC102" s="8">
        <f t="shared" si="22"/>
        <v>232</v>
      </c>
      <c r="CD102" s="8">
        <f t="shared" si="23"/>
        <v>197</v>
      </c>
      <c r="CE102" s="15">
        <f t="shared" si="24"/>
        <v>32.789800248247921</v>
      </c>
      <c r="CF102" s="15" t="str">
        <f t="shared" si="27"/>
        <v>OK - No Upgrade</v>
      </c>
      <c r="CG102" s="15" t="str">
        <f t="shared" si="26"/>
        <v>OK - Balanced</v>
      </c>
    </row>
    <row r="103" spans="1:85" ht="15.75" customHeight="1" x14ac:dyDescent="0.25">
      <c r="A103" s="8" t="s">
        <v>1459</v>
      </c>
      <c r="B103" s="8" t="s">
        <v>1460</v>
      </c>
      <c r="C103" s="8" t="s">
        <v>389</v>
      </c>
      <c r="D103" s="8" t="s">
        <v>1708</v>
      </c>
      <c r="E103" s="8" t="s">
        <v>1711</v>
      </c>
      <c r="F103" s="8" t="s">
        <v>56</v>
      </c>
      <c r="G103" s="8"/>
      <c r="H103" s="8">
        <v>1000</v>
      </c>
      <c r="I103" s="8" t="s">
        <v>1712</v>
      </c>
      <c r="J103" s="8">
        <v>1</v>
      </c>
      <c r="K103" s="8">
        <v>245</v>
      </c>
      <c r="L103" s="8">
        <v>249</v>
      </c>
      <c r="M103" s="8">
        <v>246</v>
      </c>
      <c r="N103" s="8">
        <v>428</v>
      </c>
      <c r="O103" s="8">
        <v>431</v>
      </c>
      <c r="P103" s="8">
        <v>439</v>
      </c>
      <c r="Q103" s="9" t="s">
        <v>47</v>
      </c>
      <c r="R103" s="16"/>
      <c r="S103" s="10">
        <v>125</v>
      </c>
      <c r="T103" s="10">
        <v>90</v>
      </c>
      <c r="U103" s="10">
        <v>71</v>
      </c>
      <c r="V103" s="11">
        <v>45</v>
      </c>
      <c r="W103" s="12"/>
      <c r="X103" s="17"/>
      <c r="Y103" s="13">
        <v>45</v>
      </c>
      <c r="Z103" s="13">
        <v>45</v>
      </c>
      <c r="AA103" s="13">
        <v>45</v>
      </c>
      <c r="AB103" s="14">
        <v>38</v>
      </c>
      <c r="AC103" s="9"/>
      <c r="AD103" s="16"/>
      <c r="AE103" s="10">
        <v>114</v>
      </c>
      <c r="AF103" s="10">
        <v>157</v>
      </c>
      <c r="AG103" s="10">
        <v>106</v>
      </c>
      <c r="AH103" s="11">
        <v>41</v>
      </c>
      <c r="AI103" s="12"/>
      <c r="AJ103" s="17"/>
      <c r="AK103" s="13"/>
      <c r="AL103" s="13"/>
      <c r="AM103" s="13"/>
      <c r="AN103" s="14"/>
      <c r="AO103" s="9"/>
      <c r="AP103" s="16"/>
      <c r="AQ103" s="10">
        <v>10</v>
      </c>
      <c r="AR103" s="10"/>
      <c r="AS103" s="10"/>
      <c r="AT103" s="11">
        <v>10</v>
      </c>
      <c r="AU103" s="12"/>
      <c r="AV103" s="17"/>
      <c r="AW103" s="13"/>
      <c r="AX103" s="13"/>
      <c r="AY103" s="13"/>
      <c r="AZ103" s="14"/>
      <c r="BA103" s="9"/>
      <c r="BB103" s="16"/>
      <c r="BC103" s="10"/>
      <c r="BD103" s="10"/>
      <c r="BE103" s="10"/>
      <c r="BF103" s="11"/>
      <c r="BG103" s="12"/>
      <c r="BH103" s="17"/>
      <c r="BI103" s="13"/>
      <c r="BJ103" s="13"/>
      <c r="BK103" s="13"/>
      <c r="BL103" s="14"/>
      <c r="BM103" s="9"/>
      <c r="BN103" s="16"/>
      <c r="BO103" s="10"/>
      <c r="BP103" s="10"/>
      <c r="BQ103" s="10"/>
      <c r="BR103" s="11"/>
      <c r="BS103" s="12"/>
      <c r="BT103" s="17"/>
      <c r="BU103" s="13"/>
      <c r="BV103" s="13"/>
      <c r="BW103" s="13"/>
      <c r="BX103" s="14"/>
      <c r="BY103" s="8">
        <f t="shared" si="18"/>
        <v>294</v>
      </c>
      <c r="BZ103" s="8">
        <f t="shared" si="19"/>
        <v>292</v>
      </c>
      <c r="CA103" s="8">
        <f t="shared" si="20"/>
        <v>222</v>
      </c>
      <c r="CB103" s="8">
        <f t="shared" si="21"/>
        <v>134</v>
      </c>
      <c r="CC103" s="8">
        <f t="shared" si="22"/>
        <v>294</v>
      </c>
      <c r="CD103" s="8">
        <f t="shared" si="23"/>
        <v>222</v>
      </c>
      <c r="CE103" s="15">
        <f t="shared" si="24"/>
        <v>21.794741721800694</v>
      </c>
      <c r="CF103" s="15" t="str">
        <f t="shared" si="27"/>
        <v>OK - No Upgrade</v>
      </c>
      <c r="CG103" s="15" t="str">
        <f t="shared" si="26"/>
        <v>OK - Balanced</v>
      </c>
    </row>
  </sheetData>
  <mergeCells count="93">
    <mergeCell ref="CD1:CD3"/>
    <mergeCell ref="BL2:BL3"/>
    <mergeCell ref="CF1:CF3"/>
    <mergeCell ref="BN2:BN3"/>
    <mergeCell ref="AU1:AZ1"/>
    <mergeCell ref="BR2:BR3"/>
    <mergeCell ref="CC1:CC3"/>
    <mergeCell ref="BK2:BK3"/>
    <mergeCell ref="R2:R3"/>
    <mergeCell ref="AZ2:AZ3"/>
    <mergeCell ref="BB2:BB3"/>
    <mergeCell ref="AL2:AL3"/>
    <mergeCell ref="CA2:CA3"/>
    <mergeCell ref="K2:M2"/>
    <mergeCell ref="F1:F3"/>
    <mergeCell ref="BY1:CB1"/>
    <mergeCell ref="AJ2:AJ3"/>
    <mergeCell ref="AY2:AY3"/>
    <mergeCell ref="J1:J3"/>
    <mergeCell ref="BZ2:BZ3"/>
    <mergeCell ref="BI2:BI3"/>
    <mergeCell ref="AE2:AE3"/>
    <mergeCell ref="AG2:AG3"/>
    <mergeCell ref="Y2:Y3"/>
    <mergeCell ref="AQ2:AQ3"/>
    <mergeCell ref="AS2:AS3"/>
    <mergeCell ref="BV2:BV3"/>
    <mergeCell ref="BX2:BX3"/>
    <mergeCell ref="A1:A3"/>
    <mergeCell ref="BA1:BF1"/>
    <mergeCell ref="AP2:AP3"/>
    <mergeCell ref="H1:H3"/>
    <mergeCell ref="AR2:AR3"/>
    <mergeCell ref="AT2:AT3"/>
    <mergeCell ref="E1:E3"/>
    <mergeCell ref="BF2:BF3"/>
    <mergeCell ref="BC2:BC3"/>
    <mergeCell ref="CE1:CE3"/>
    <mergeCell ref="K1:P1"/>
    <mergeCell ref="BU2:BU3"/>
    <mergeCell ref="CG1:CG3"/>
    <mergeCell ref="BM2:BM3"/>
    <mergeCell ref="BW2:BW3"/>
    <mergeCell ref="BO2:BO3"/>
    <mergeCell ref="BM1:BR1"/>
    <mergeCell ref="W1:AB1"/>
    <mergeCell ref="Q1:V1"/>
    <mergeCell ref="BP2:BP3"/>
    <mergeCell ref="AC1:AH1"/>
    <mergeCell ref="AO1:AT1"/>
    <mergeCell ref="BY2:BY3"/>
    <mergeCell ref="Z2:Z3"/>
    <mergeCell ref="AW2:AW3"/>
    <mergeCell ref="C1:C3"/>
    <mergeCell ref="D1:D2"/>
    <mergeCell ref="S2:S3"/>
    <mergeCell ref="BA2:BA3"/>
    <mergeCell ref="AB2:AB3"/>
    <mergeCell ref="AD2:AD3"/>
    <mergeCell ref="T2:T3"/>
    <mergeCell ref="AN2:AN3"/>
    <mergeCell ref="B1:B3"/>
    <mergeCell ref="AI1:AN1"/>
    <mergeCell ref="V2:V3"/>
    <mergeCell ref="X2:X3"/>
    <mergeCell ref="CB2:CB3"/>
    <mergeCell ref="BG1:BL1"/>
    <mergeCell ref="BD2:BD3"/>
    <mergeCell ref="BS1:BX1"/>
    <mergeCell ref="AV2:AV3"/>
    <mergeCell ref="AX2:AX3"/>
    <mergeCell ref="I1:I3"/>
    <mergeCell ref="BH2:BH3"/>
    <mergeCell ref="BJ2:BJ3"/>
    <mergeCell ref="AF2:AF3"/>
    <mergeCell ref="AH2:AH3"/>
    <mergeCell ref="Q2:Q3"/>
    <mergeCell ref="N2:P2"/>
    <mergeCell ref="G1:G3"/>
    <mergeCell ref="U2:U3"/>
    <mergeCell ref="BT2:BT3"/>
    <mergeCell ref="BE2:BE3"/>
    <mergeCell ref="W2:W3"/>
    <mergeCell ref="BG2:BG3"/>
    <mergeCell ref="BQ2:BQ3"/>
    <mergeCell ref="BS2:BS3"/>
    <mergeCell ref="AA2:AA3"/>
    <mergeCell ref="AC2:AC3"/>
    <mergeCell ref="AM2:AM3"/>
    <mergeCell ref="AO2:AO3"/>
    <mergeCell ref="AI2:AI3"/>
    <mergeCell ref="AK2:AK3"/>
    <mergeCell ref="AU2:AU3"/>
  </mergeCells>
  <dataValidations count="1">
    <dataValidation type="list" allowBlank="1" errorTitle="Invalid value" error="Please choose Cu or Al" promptTitle="Cable Type" prompt="Choose cable material" sqref="R4:R103 BT4:BT103 BN4:BN103 BH4:BH103 BB4:BB103 AV4:AV103 AP4:AP103 AJ4:AJ103 AD4:AD103 X4:X103" xr:uid="{00000000-0002-0000-0900-000000000000}">
      <formula1>"Cu,Al"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Q177"/>
  <sheetViews>
    <sheetView workbookViewId="0"/>
  </sheetViews>
  <sheetFormatPr defaultRowHeight="15" x14ac:dyDescent="0.25"/>
  <cols>
    <col min="1" max="1" width="12.85546875" customWidth="1"/>
    <col min="2" max="2" width="14.85546875" customWidth="1"/>
    <col min="3" max="3" width="9.85546875" customWidth="1"/>
    <col min="4" max="4" width="20.85546875" customWidth="1"/>
    <col min="5" max="5" width="8.85546875" customWidth="1"/>
    <col min="6" max="6" width="10.85546875" customWidth="1"/>
    <col min="7" max="7" width="5.85546875" customWidth="1"/>
    <col min="8" max="8" width="9.85546875" customWidth="1"/>
    <col min="9" max="9" width="10.85546875" customWidth="1"/>
    <col min="10" max="10" width="5.85546875" customWidth="1"/>
    <col min="11" max="11" width="7.85546875" customWidth="1"/>
    <col min="12" max="16" width="6.85546875" customWidth="1"/>
    <col min="17" max="17" width="8.85546875" customWidth="1"/>
    <col min="18" max="21" width="6.85546875" customWidth="1"/>
    <col min="22" max="22" width="8.85546875" customWidth="1"/>
    <col min="23" max="26" width="6.85546875" customWidth="1"/>
    <col min="27" max="27" width="8.85546875" customWidth="1"/>
    <col min="28" max="31" width="6.85546875" customWidth="1"/>
    <col min="32" max="32" width="8.85546875" customWidth="1"/>
    <col min="33" max="36" width="6.85546875" customWidth="1"/>
    <col min="37" max="37" width="8.85546875" customWidth="1"/>
    <col min="38" max="41" width="6.85546875" customWidth="1"/>
    <col min="42" max="42" width="8.85546875" customWidth="1"/>
    <col min="43" max="46" width="6.85546875" customWidth="1"/>
    <col min="47" max="47" width="8.85546875" customWidth="1"/>
    <col min="48" max="51" width="6.85546875" customWidth="1"/>
    <col min="52" max="52" width="8.85546875" customWidth="1"/>
    <col min="53" max="56" width="6.85546875" customWidth="1"/>
    <col min="57" max="57" width="8.85546875" customWidth="1"/>
    <col min="58" max="61" width="6.85546875" customWidth="1"/>
    <col min="62" max="62" width="8.85546875" customWidth="1"/>
    <col min="63" max="66" width="6.85546875" customWidth="1"/>
    <col min="67" max="67" width="8.85546875" customWidth="1"/>
    <col min="68" max="71" width="6.85546875" customWidth="1"/>
    <col min="72" max="72" width="8.85546875" customWidth="1"/>
    <col min="73" max="76" width="6.85546875" customWidth="1"/>
    <col min="77" max="77" width="8.85546875" customWidth="1"/>
    <col min="78" max="81" width="6.85546875" customWidth="1"/>
    <col min="82" max="82" width="8.85546875" customWidth="1"/>
    <col min="83" max="86" width="6.85546875" customWidth="1"/>
    <col min="87" max="87" width="8.85546875" customWidth="1"/>
    <col min="88" max="91" width="6.85546875" customWidth="1"/>
    <col min="92" max="92" width="8.85546875" customWidth="1"/>
    <col min="93" max="100" width="6.85546875" customWidth="1"/>
    <col min="101" max="102" width="7.85546875" customWidth="1"/>
    <col min="103" max="103" width="9.85546875" customWidth="1"/>
    <col min="104" max="105" width="24.85546875" customWidth="1"/>
  </cols>
  <sheetData>
    <row r="1" spans="1:121" ht="19.5" customHeight="1" x14ac:dyDescent="0.25">
      <c r="A1" s="21" t="s">
        <v>0</v>
      </c>
      <c r="B1" s="21" t="s">
        <v>1</v>
      </c>
      <c r="C1" s="21" t="s">
        <v>2</v>
      </c>
      <c r="D1" s="38" t="s">
        <v>3</v>
      </c>
      <c r="E1" s="21" t="s">
        <v>4</v>
      </c>
      <c r="F1" s="40" t="s">
        <v>5</v>
      </c>
      <c r="G1" s="21" t="s">
        <v>6</v>
      </c>
      <c r="H1" s="21" t="s">
        <v>7</v>
      </c>
      <c r="I1" s="21" t="s">
        <v>8</v>
      </c>
      <c r="J1" s="41" t="s">
        <v>9</v>
      </c>
      <c r="K1" s="18" t="s">
        <v>10</v>
      </c>
      <c r="L1" s="19"/>
      <c r="M1" s="19"/>
      <c r="N1" s="19"/>
      <c r="O1" s="19"/>
      <c r="P1" s="20"/>
      <c r="Q1" s="29" t="s">
        <v>11</v>
      </c>
      <c r="R1" s="30"/>
      <c r="S1" s="30"/>
      <c r="T1" s="30"/>
      <c r="U1" s="30"/>
      <c r="V1" s="31"/>
      <c r="W1" s="29" t="s">
        <v>12</v>
      </c>
      <c r="X1" s="30"/>
      <c r="Y1" s="30"/>
      <c r="Z1" s="30"/>
      <c r="AA1" s="30"/>
      <c r="AB1" s="31"/>
      <c r="AC1" s="29" t="s">
        <v>13</v>
      </c>
      <c r="AD1" s="30"/>
      <c r="AE1" s="30"/>
      <c r="AF1" s="30"/>
      <c r="AG1" s="30"/>
      <c r="AH1" s="31"/>
      <c r="AI1" s="29" t="s">
        <v>14</v>
      </c>
      <c r="AJ1" s="30"/>
      <c r="AK1" s="30"/>
      <c r="AL1" s="30"/>
      <c r="AM1" s="30"/>
      <c r="AN1" s="31"/>
      <c r="AO1" s="29" t="s">
        <v>15</v>
      </c>
      <c r="AP1" s="30"/>
      <c r="AQ1" s="30"/>
      <c r="AR1" s="30"/>
      <c r="AS1" s="30"/>
      <c r="AT1" s="31"/>
      <c r="AU1" s="29" t="s">
        <v>16</v>
      </c>
      <c r="AV1" s="30"/>
      <c r="AW1" s="30"/>
      <c r="AX1" s="30"/>
      <c r="AY1" s="30"/>
      <c r="AZ1" s="31"/>
      <c r="BA1" s="29" t="s">
        <v>17</v>
      </c>
      <c r="BB1" s="30"/>
      <c r="BC1" s="30"/>
      <c r="BD1" s="30"/>
      <c r="BE1" s="30"/>
      <c r="BF1" s="31"/>
      <c r="BG1" s="29" t="s">
        <v>18</v>
      </c>
      <c r="BH1" s="30"/>
      <c r="BI1" s="30"/>
      <c r="BJ1" s="30"/>
      <c r="BK1" s="30"/>
      <c r="BL1" s="31"/>
      <c r="BM1" s="29" t="s">
        <v>377</v>
      </c>
      <c r="BN1" s="30"/>
      <c r="BO1" s="30"/>
      <c r="BP1" s="30"/>
      <c r="BQ1" s="30"/>
      <c r="BR1" s="31"/>
      <c r="BS1" s="29" t="s">
        <v>378</v>
      </c>
      <c r="BT1" s="30"/>
      <c r="BU1" s="30"/>
      <c r="BV1" s="30"/>
      <c r="BW1" s="30"/>
      <c r="BX1" s="31"/>
      <c r="BY1" s="29" t="s">
        <v>379</v>
      </c>
      <c r="BZ1" s="30"/>
      <c r="CA1" s="30"/>
      <c r="CB1" s="30"/>
      <c r="CC1" s="30"/>
      <c r="CD1" s="31"/>
      <c r="CE1" s="29" t="s">
        <v>380</v>
      </c>
      <c r="CF1" s="30"/>
      <c r="CG1" s="30"/>
      <c r="CH1" s="30"/>
      <c r="CI1" s="30"/>
      <c r="CJ1" s="31"/>
      <c r="CK1" s="29" t="s">
        <v>381</v>
      </c>
      <c r="CL1" s="30"/>
      <c r="CM1" s="30"/>
      <c r="CN1" s="30"/>
      <c r="CO1" s="30"/>
      <c r="CP1" s="31"/>
      <c r="CQ1" s="29" t="s">
        <v>382</v>
      </c>
      <c r="CR1" s="30"/>
      <c r="CS1" s="30"/>
      <c r="CT1" s="30"/>
      <c r="CU1" s="30"/>
      <c r="CV1" s="31"/>
      <c r="CW1" s="29" t="s">
        <v>383</v>
      </c>
      <c r="CX1" s="30"/>
      <c r="CY1" s="30"/>
      <c r="CZ1" s="30"/>
      <c r="DA1" s="30"/>
      <c r="DB1" s="31"/>
      <c r="DC1" s="29" t="s">
        <v>384</v>
      </c>
      <c r="DD1" s="30"/>
      <c r="DE1" s="30"/>
      <c r="DF1" s="30"/>
      <c r="DG1" s="30"/>
      <c r="DH1" s="31"/>
      <c r="DI1" s="37" t="s">
        <v>19</v>
      </c>
      <c r="DJ1" s="19"/>
      <c r="DK1" s="19"/>
      <c r="DL1" s="20"/>
      <c r="DM1" s="18" t="s">
        <v>20</v>
      </c>
      <c r="DN1" s="18" t="s">
        <v>21</v>
      </c>
      <c r="DO1" s="39" t="s">
        <v>22</v>
      </c>
      <c r="DP1" s="26" t="s">
        <v>23</v>
      </c>
      <c r="DQ1" s="26" t="s">
        <v>24</v>
      </c>
    </row>
    <row r="2" spans="1:121" ht="19.5" customHeight="1" x14ac:dyDescent="0.25">
      <c r="A2" s="22"/>
      <c r="B2" s="22"/>
      <c r="C2" s="22"/>
      <c r="D2" s="23"/>
      <c r="E2" s="22"/>
      <c r="F2" s="22"/>
      <c r="G2" s="22"/>
      <c r="H2" s="22"/>
      <c r="I2" s="22"/>
      <c r="J2" s="22"/>
      <c r="K2" s="18" t="s">
        <v>25</v>
      </c>
      <c r="L2" s="19"/>
      <c r="M2" s="20"/>
      <c r="N2" s="18" t="s">
        <v>26</v>
      </c>
      <c r="O2" s="19"/>
      <c r="P2" s="20"/>
      <c r="Q2" s="27" t="s">
        <v>27</v>
      </c>
      <c r="R2" s="34" t="s">
        <v>5</v>
      </c>
      <c r="S2" s="36" t="s">
        <v>28</v>
      </c>
      <c r="T2" s="35" t="s">
        <v>29</v>
      </c>
      <c r="U2" s="24" t="s">
        <v>30</v>
      </c>
      <c r="V2" s="32" t="s">
        <v>31</v>
      </c>
      <c r="W2" s="27" t="s">
        <v>27</v>
      </c>
      <c r="X2" s="34" t="s">
        <v>5</v>
      </c>
      <c r="Y2" s="36" t="s">
        <v>28</v>
      </c>
      <c r="Z2" s="35" t="s">
        <v>29</v>
      </c>
      <c r="AA2" s="24" t="s">
        <v>30</v>
      </c>
      <c r="AB2" s="32" t="s">
        <v>31</v>
      </c>
      <c r="AC2" s="27" t="s">
        <v>27</v>
      </c>
      <c r="AD2" s="34" t="s">
        <v>5</v>
      </c>
      <c r="AE2" s="36" t="s">
        <v>28</v>
      </c>
      <c r="AF2" s="35" t="s">
        <v>29</v>
      </c>
      <c r="AG2" s="24" t="s">
        <v>30</v>
      </c>
      <c r="AH2" s="32" t="s">
        <v>31</v>
      </c>
      <c r="AI2" s="27" t="s">
        <v>27</v>
      </c>
      <c r="AJ2" s="34" t="s">
        <v>5</v>
      </c>
      <c r="AK2" s="36" t="s">
        <v>28</v>
      </c>
      <c r="AL2" s="35" t="s">
        <v>29</v>
      </c>
      <c r="AM2" s="24" t="s">
        <v>30</v>
      </c>
      <c r="AN2" s="32" t="s">
        <v>31</v>
      </c>
      <c r="AO2" s="27" t="s">
        <v>27</v>
      </c>
      <c r="AP2" s="34" t="s">
        <v>5</v>
      </c>
      <c r="AQ2" s="36" t="s">
        <v>28</v>
      </c>
      <c r="AR2" s="35" t="s">
        <v>29</v>
      </c>
      <c r="AS2" s="24" t="s">
        <v>30</v>
      </c>
      <c r="AT2" s="32" t="s">
        <v>31</v>
      </c>
      <c r="AU2" s="27" t="s">
        <v>27</v>
      </c>
      <c r="AV2" s="34" t="s">
        <v>5</v>
      </c>
      <c r="AW2" s="36" t="s">
        <v>28</v>
      </c>
      <c r="AX2" s="35" t="s">
        <v>29</v>
      </c>
      <c r="AY2" s="24" t="s">
        <v>30</v>
      </c>
      <c r="AZ2" s="32" t="s">
        <v>31</v>
      </c>
      <c r="BA2" s="27" t="s">
        <v>27</v>
      </c>
      <c r="BB2" s="34" t="s">
        <v>5</v>
      </c>
      <c r="BC2" s="36" t="s">
        <v>28</v>
      </c>
      <c r="BD2" s="35" t="s">
        <v>29</v>
      </c>
      <c r="BE2" s="24" t="s">
        <v>30</v>
      </c>
      <c r="BF2" s="32" t="s">
        <v>31</v>
      </c>
      <c r="BG2" s="27" t="s">
        <v>27</v>
      </c>
      <c r="BH2" s="34" t="s">
        <v>5</v>
      </c>
      <c r="BI2" s="36" t="s">
        <v>28</v>
      </c>
      <c r="BJ2" s="35" t="s">
        <v>29</v>
      </c>
      <c r="BK2" s="24" t="s">
        <v>30</v>
      </c>
      <c r="BL2" s="32" t="s">
        <v>31</v>
      </c>
      <c r="BM2" s="27" t="s">
        <v>27</v>
      </c>
      <c r="BN2" s="34" t="s">
        <v>5</v>
      </c>
      <c r="BO2" s="36" t="s">
        <v>28</v>
      </c>
      <c r="BP2" s="35" t="s">
        <v>29</v>
      </c>
      <c r="BQ2" s="24" t="s">
        <v>30</v>
      </c>
      <c r="BR2" s="32" t="s">
        <v>31</v>
      </c>
      <c r="BS2" s="27" t="s">
        <v>27</v>
      </c>
      <c r="BT2" s="34" t="s">
        <v>5</v>
      </c>
      <c r="BU2" s="36" t="s">
        <v>28</v>
      </c>
      <c r="BV2" s="35" t="s">
        <v>29</v>
      </c>
      <c r="BW2" s="24" t="s">
        <v>30</v>
      </c>
      <c r="BX2" s="32" t="s">
        <v>31</v>
      </c>
      <c r="BY2" s="27" t="s">
        <v>27</v>
      </c>
      <c r="BZ2" s="34" t="s">
        <v>5</v>
      </c>
      <c r="CA2" s="36" t="s">
        <v>28</v>
      </c>
      <c r="CB2" s="35" t="s">
        <v>29</v>
      </c>
      <c r="CC2" s="24" t="s">
        <v>30</v>
      </c>
      <c r="CD2" s="32" t="s">
        <v>31</v>
      </c>
      <c r="CE2" s="27" t="s">
        <v>27</v>
      </c>
      <c r="CF2" s="34" t="s">
        <v>5</v>
      </c>
      <c r="CG2" s="36" t="s">
        <v>28</v>
      </c>
      <c r="CH2" s="35" t="s">
        <v>29</v>
      </c>
      <c r="CI2" s="24" t="s">
        <v>30</v>
      </c>
      <c r="CJ2" s="32" t="s">
        <v>31</v>
      </c>
      <c r="CK2" s="27" t="s">
        <v>27</v>
      </c>
      <c r="CL2" s="34" t="s">
        <v>5</v>
      </c>
      <c r="CM2" s="36" t="s">
        <v>28</v>
      </c>
      <c r="CN2" s="35" t="s">
        <v>29</v>
      </c>
      <c r="CO2" s="24" t="s">
        <v>30</v>
      </c>
      <c r="CP2" s="32" t="s">
        <v>31</v>
      </c>
      <c r="CQ2" s="27" t="s">
        <v>27</v>
      </c>
      <c r="CR2" s="34" t="s">
        <v>5</v>
      </c>
      <c r="CS2" s="36" t="s">
        <v>28</v>
      </c>
      <c r="CT2" s="35" t="s">
        <v>29</v>
      </c>
      <c r="CU2" s="24" t="s">
        <v>30</v>
      </c>
      <c r="CV2" s="32" t="s">
        <v>31</v>
      </c>
      <c r="CW2" s="27" t="s">
        <v>27</v>
      </c>
      <c r="CX2" s="34" t="s">
        <v>5</v>
      </c>
      <c r="CY2" s="36" t="s">
        <v>28</v>
      </c>
      <c r="CZ2" s="35" t="s">
        <v>29</v>
      </c>
      <c r="DA2" s="24" t="s">
        <v>30</v>
      </c>
      <c r="DB2" s="32" t="s">
        <v>31</v>
      </c>
      <c r="DC2" s="27" t="s">
        <v>27</v>
      </c>
      <c r="DD2" s="34" t="s">
        <v>5</v>
      </c>
      <c r="DE2" s="36" t="s">
        <v>28</v>
      </c>
      <c r="DF2" s="35" t="s">
        <v>29</v>
      </c>
      <c r="DG2" s="24" t="s">
        <v>30</v>
      </c>
      <c r="DH2" s="32" t="s">
        <v>31</v>
      </c>
      <c r="DI2" s="37" t="s">
        <v>28</v>
      </c>
      <c r="DJ2" s="37" t="s">
        <v>29</v>
      </c>
      <c r="DK2" s="37" t="s">
        <v>30</v>
      </c>
      <c r="DL2" s="37" t="s">
        <v>31</v>
      </c>
      <c r="DM2" s="22"/>
      <c r="DN2" s="22"/>
      <c r="DO2" s="22"/>
      <c r="DP2" s="22"/>
      <c r="DQ2" s="22"/>
    </row>
    <row r="3" spans="1:121" ht="19.5" customHeight="1" x14ac:dyDescent="0.25">
      <c r="A3" s="23"/>
      <c r="B3" s="23"/>
      <c r="C3" s="23"/>
      <c r="D3" s="1"/>
      <c r="E3" s="23"/>
      <c r="F3" s="23"/>
      <c r="G3" s="23"/>
      <c r="H3" s="23"/>
      <c r="I3" s="23"/>
      <c r="J3" s="23"/>
      <c r="K3" s="2" t="s">
        <v>32</v>
      </c>
      <c r="L3" s="3" t="s">
        <v>33</v>
      </c>
      <c r="M3" s="4" t="s">
        <v>34</v>
      </c>
      <c r="N3" s="5" t="s">
        <v>35</v>
      </c>
      <c r="O3" s="6" t="s">
        <v>36</v>
      </c>
      <c r="P3" s="7" t="s">
        <v>37</v>
      </c>
      <c r="Q3" s="28"/>
      <c r="R3" s="25"/>
      <c r="S3" s="25"/>
      <c r="T3" s="25"/>
      <c r="U3" s="25"/>
      <c r="V3" s="33"/>
      <c r="W3" s="28"/>
      <c r="X3" s="25"/>
      <c r="Y3" s="25"/>
      <c r="Z3" s="25"/>
      <c r="AA3" s="25"/>
      <c r="AB3" s="33"/>
      <c r="AC3" s="28"/>
      <c r="AD3" s="25"/>
      <c r="AE3" s="25"/>
      <c r="AF3" s="25"/>
      <c r="AG3" s="25"/>
      <c r="AH3" s="33"/>
      <c r="AI3" s="28"/>
      <c r="AJ3" s="25"/>
      <c r="AK3" s="25"/>
      <c r="AL3" s="25"/>
      <c r="AM3" s="25"/>
      <c r="AN3" s="33"/>
      <c r="AO3" s="28"/>
      <c r="AP3" s="25"/>
      <c r="AQ3" s="25"/>
      <c r="AR3" s="25"/>
      <c r="AS3" s="25"/>
      <c r="AT3" s="33"/>
      <c r="AU3" s="28"/>
      <c r="AV3" s="25"/>
      <c r="AW3" s="25"/>
      <c r="AX3" s="25"/>
      <c r="AY3" s="25"/>
      <c r="AZ3" s="33"/>
      <c r="BA3" s="28"/>
      <c r="BB3" s="25"/>
      <c r="BC3" s="25"/>
      <c r="BD3" s="25"/>
      <c r="BE3" s="25"/>
      <c r="BF3" s="33"/>
      <c r="BG3" s="28"/>
      <c r="BH3" s="25"/>
      <c r="BI3" s="25"/>
      <c r="BJ3" s="25"/>
      <c r="BK3" s="25"/>
      <c r="BL3" s="33"/>
      <c r="BM3" s="28"/>
      <c r="BN3" s="25"/>
      <c r="BO3" s="25"/>
      <c r="BP3" s="25"/>
      <c r="BQ3" s="25"/>
      <c r="BR3" s="33"/>
      <c r="BS3" s="28"/>
      <c r="BT3" s="25"/>
      <c r="BU3" s="25"/>
      <c r="BV3" s="25"/>
      <c r="BW3" s="25"/>
      <c r="BX3" s="33"/>
      <c r="BY3" s="28"/>
      <c r="BZ3" s="25"/>
      <c r="CA3" s="25"/>
      <c r="CB3" s="25"/>
      <c r="CC3" s="25"/>
      <c r="CD3" s="33"/>
      <c r="CE3" s="28"/>
      <c r="CF3" s="25"/>
      <c r="CG3" s="25"/>
      <c r="CH3" s="25"/>
      <c r="CI3" s="25"/>
      <c r="CJ3" s="33"/>
      <c r="CK3" s="28"/>
      <c r="CL3" s="25"/>
      <c r="CM3" s="25"/>
      <c r="CN3" s="25"/>
      <c r="CO3" s="25"/>
      <c r="CP3" s="33"/>
      <c r="CQ3" s="28"/>
      <c r="CR3" s="25"/>
      <c r="CS3" s="25"/>
      <c r="CT3" s="25"/>
      <c r="CU3" s="25"/>
      <c r="CV3" s="33"/>
      <c r="CW3" s="28"/>
      <c r="CX3" s="25"/>
      <c r="CY3" s="25"/>
      <c r="CZ3" s="25"/>
      <c r="DA3" s="25"/>
      <c r="DB3" s="33"/>
      <c r="DC3" s="28"/>
      <c r="DD3" s="25"/>
      <c r="DE3" s="25"/>
      <c r="DF3" s="25"/>
      <c r="DG3" s="25"/>
      <c r="DH3" s="33"/>
      <c r="DI3" s="23"/>
      <c r="DJ3" s="23"/>
      <c r="DK3" s="23"/>
      <c r="DL3" s="23"/>
      <c r="DM3" s="23"/>
      <c r="DN3" s="23"/>
      <c r="DO3" s="23"/>
      <c r="DP3" s="23"/>
      <c r="DQ3" s="23"/>
    </row>
    <row r="4" spans="1:121" ht="15.75" customHeight="1" x14ac:dyDescent="0.25">
      <c r="A4" s="8" t="s">
        <v>1459</v>
      </c>
      <c r="B4" s="8" t="s">
        <v>1713</v>
      </c>
      <c r="C4" s="8" t="s">
        <v>394</v>
      </c>
      <c r="D4" s="8" t="s">
        <v>1714</v>
      </c>
      <c r="E4" s="8" t="s">
        <v>1715</v>
      </c>
      <c r="F4" s="8" t="s">
        <v>43</v>
      </c>
      <c r="G4" s="8" t="s">
        <v>44</v>
      </c>
      <c r="H4" s="8">
        <v>100</v>
      </c>
      <c r="I4" s="8" t="s">
        <v>1716</v>
      </c>
      <c r="J4" s="8">
        <v>1</v>
      </c>
      <c r="K4" s="8">
        <v>229</v>
      </c>
      <c r="L4" s="8">
        <v>232</v>
      </c>
      <c r="M4" s="8">
        <v>230</v>
      </c>
      <c r="N4" s="8">
        <v>396</v>
      </c>
      <c r="O4" s="8">
        <v>400</v>
      </c>
      <c r="P4" s="8">
        <v>399</v>
      </c>
      <c r="Q4" s="9" t="s">
        <v>46</v>
      </c>
      <c r="R4" s="16"/>
      <c r="S4" s="10">
        <v>0</v>
      </c>
      <c r="T4" s="10">
        <v>0</v>
      </c>
      <c r="U4" s="10">
        <v>0</v>
      </c>
      <c r="V4" s="11">
        <v>0</v>
      </c>
      <c r="W4" s="12"/>
      <c r="X4" s="17"/>
      <c r="Y4" s="13"/>
      <c r="Z4" s="13"/>
      <c r="AA4" s="13"/>
      <c r="AB4" s="14"/>
      <c r="AC4" s="9"/>
      <c r="AD4" s="16"/>
      <c r="AE4" s="10"/>
      <c r="AF4" s="10"/>
      <c r="AG4" s="10"/>
      <c r="AH4" s="11"/>
      <c r="AI4" s="12"/>
      <c r="AJ4" s="17"/>
      <c r="AK4" s="13"/>
      <c r="AL4" s="13"/>
      <c r="AM4" s="13"/>
      <c r="AN4" s="14"/>
      <c r="AO4" s="9"/>
      <c r="AP4" s="16"/>
      <c r="AQ4" s="10"/>
      <c r="AR4" s="10"/>
      <c r="AS4" s="10"/>
      <c r="AT4" s="11"/>
      <c r="AU4" s="12"/>
      <c r="AV4" s="17"/>
      <c r="AW4" s="13"/>
      <c r="AX4" s="13"/>
      <c r="AY4" s="13"/>
      <c r="AZ4" s="14"/>
      <c r="BA4" s="9"/>
      <c r="BB4" s="16"/>
      <c r="BC4" s="10"/>
      <c r="BD4" s="10"/>
      <c r="BE4" s="10"/>
      <c r="BF4" s="11"/>
      <c r="BG4" s="12"/>
      <c r="BH4" s="17"/>
      <c r="BI4" s="13"/>
      <c r="BJ4" s="13"/>
      <c r="BK4" s="13"/>
      <c r="BL4" s="14"/>
      <c r="BM4" s="9"/>
      <c r="BN4" s="16"/>
      <c r="BO4" s="10"/>
      <c r="BP4" s="10"/>
      <c r="BQ4" s="10"/>
      <c r="BR4" s="11"/>
      <c r="BS4" s="12"/>
      <c r="BT4" s="17"/>
      <c r="BU4" s="13"/>
      <c r="BV4" s="13"/>
      <c r="BW4" s="13"/>
      <c r="BX4" s="14"/>
      <c r="BY4" s="9"/>
      <c r="BZ4" s="16"/>
      <c r="CA4" s="10"/>
      <c r="CB4" s="10"/>
      <c r="CC4" s="10"/>
      <c r="CD4" s="11"/>
      <c r="CE4" s="12"/>
      <c r="CF4" s="17"/>
      <c r="CG4" s="13"/>
      <c r="CH4" s="13"/>
      <c r="CI4" s="13"/>
      <c r="CJ4" s="14"/>
      <c r="CK4" s="9"/>
      <c r="CL4" s="16"/>
      <c r="CM4" s="10"/>
      <c r="CN4" s="10"/>
      <c r="CO4" s="10"/>
      <c r="CP4" s="11"/>
      <c r="CQ4" s="12"/>
      <c r="CR4" s="17"/>
      <c r="CS4" s="13"/>
      <c r="CT4" s="13"/>
      <c r="CU4" s="13"/>
      <c r="CV4" s="14"/>
      <c r="CW4" s="9"/>
      <c r="CX4" s="16"/>
      <c r="CY4" s="10"/>
      <c r="CZ4" s="10"/>
      <c r="DA4" s="10"/>
      <c r="DB4" s="11"/>
      <c r="DC4" s="12"/>
      <c r="DD4" s="17"/>
      <c r="DE4" s="13"/>
      <c r="DF4" s="13"/>
      <c r="DG4" s="13"/>
      <c r="DH4" s="14"/>
      <c r="DI4" s="8">
        <f t="shared" ref="DI4:DI35" si="0">SUM(S4,Y4,AE4,AK4,AQ4,AW4,BC4,BI4,BO4,BU4,CA4,CG4,CM4,CS4,CY4,DE4)</f>
        <v>0</v>
      </c>
      <c r="DJ4" s="8">
        <f t="shared" ref="DJ4:DJ35" si="1">SUM(T4,Z4,AF4,AL4,AR4,AX4,BD4,BJ4,BP4,BV4,CB4,CH4,CN4,CT4,CZ4,DF4)</f>
        <v>0</v>
      </c>
      <c r="DK4" s="8">
        <f t="shared" ref="DK4:DK35" si="2">SUM(U4,AA4,AG4,AM4,AS4,AY4,BE4,BK4,BQ4,BW4,CC4,CI4,CO4,CU4,DA4,DG4)</f>
        <v>0</v>
      </c>
      <c r="DL4" s="8">
        <f t="shared" ref="DL4:DL35" si="3">SUM(V4,AB4,AH4,AN4,AT4,AZ4,BF4,BL4,BR4,BX4,CD4,CJ4,CP4,CV4,DB4,DH4)</f>
        <v>0</v>
      </c>
      <c r="DM4" s="8">
        <f t="shared" ref="DM4:DM35" si="4">MAX(DI4:DK4)</f>
        <v>0</v>
      </c>
      <c r="DN4" s="8">
        <f t="shared" ref="DN4:DN35" si="5">MIN(DI4:DK4)</f>
        <v>0</v>
      </c>
      <c r="DO4" s="15">
        <f t="shared" ref="DO4:DO35" si="6">IF(H4&gt;0,(DM4*SQRT(3)*IF(N4&gt;0,N4,IF(O4&gt;0,O4,IF(P4&gt;0,P4,415)))/(H4*1000))*100,0)</f>
        <v>0</v>
      </c>
      <c r="DP4" s="15" t="str">
        <f t="shared" ref="DP4:DP35" si="7">IF(DO4&gt;70,"Upgrade","OK - No Upgrade")</f>
        <v>OK - No Upgrade</v>
      </c>
      <c r="DQ4" s="15" t="str">
        <f t="shared" ref="DQ4:DQ35" si="8">IF(IF(AVERAGE(DI4:DK4)&gt;0,((DM4-AVERAGE(DI4:DK4))/AVERAGE(DI4:DK4))*100,0)&gt;10,"Need to Balance","OK - Balanced")</f>
        <v>OK - Balanced</v>
      </c>
    </row>
    <row r="5" spans="1:121" ht="15.75" customHeight="1" x14ac:dyDescent="0.25">
      <c r="A5" s="8" t="s">
        <v>1459</v>
      </c>
      <c r="B5" s="8" t="s">
        <v>1713</v>
      </c>
      <c r="C5" s="8" t="s">
        <v>394</v>
      </c>
      <c r="D5" s="8" t="s">
        <v>1717</v>
      </c>
      <c r="E5" s="8" t="s">
        <v>1718</v>
      </c>
      <c r="F5" s="8" t="s">
        <v>56</v>
      </c>
      <c r="G5" s="8" t="s">
        <v>44</v>
      </c>
      <c r="H5" s="8">
        <v>1000</v>
      </c>
      <c r="I5" s="8" t="s">
        <v>1719</v>
      </c>
      <c r="J5" s="8">
        <v>1</v>
      </c>
      <c r="K5" s="8">
        <v>226</v>
      </c>
      <c r="L5" s="8">
        <v>228</v>
      </c>
      <c r="M5" s="8">
        <v>226</v>
      </c>
      <c r="N5" s="8">
        <v>392</v>
      </c>
      <c r="O5" s="8">
        <v>394</v>
      </c>
      <c r="P5" s="8">
        <v>392</v>
      </c>
      <c r="Q5" s="9" t="s">
        <v>47</v>
      </c>
      <c r="R5" s="16"/>
      <c r="S5" s="10">
        <v>40</v>
      </c>
      <c r="T5" s="10">
        <v>20</v>
      </c>
      <c r="U5" s="10">
        <v>9</v>
      </c>
      <c r="V5" s="11">
        <v>30</v>
      </c>
      <c r="W5" s="12" t="s">
        <v>47</v>
      </c>
      <c r="X5" s="17"/>
      <c r="Y5" s="13">
        <v>95</v>
      </c>
      <c r="Z5" s="13">
        <v>50</v>
      </c>
      <c r="AA5" s="13">
        <v>93</v>
      </c>
      <c r="AB5" s="14">
        <v>45</v>
      </c>
      <c r="AC5" s="9" t="s">
        <v>47</v>
      </c>
      <c r="AD5" s="16"/>
      <c r="AE5" s="10">
        <v>34</v>
      </c>
      <c r="AF5" s="10">
        <v>15</v>
      </c>
      <c r="AG5" s="10">
        <v>22</v>
      </c>
      <c r="AH5" s="11">
        <v>15</v>
      </c>
      <c r="AI5" s="12" t="s">
        <v>47</v>
      </c>
      <c r="AJ5" s="17"/>
      <c r="AK5" s="13">
        <v>17</v>
      </c>
      <c r="AL5" s="13">
        <v>40</v>
      </c>
      <c r="AM5" s="13">
        <v>32</v>
      </c>
      <c r="AN5" s="14">
        <v>25</v>
      </c>
      <c r="AO5" s="9"/>
      <c r="AP5" s="16"/>
      <c r="AQ5" s="10"/>
      <c r="AR5" s="10"/>
      <c r="AS5" s="10"/>
      <c r="AT5" s="11"/>
      <c r="AU5" s="12"/>
      <c r="AV5" s="17"/>
      <c r="AW5" s="13"/>
      <c r="AX5" s="13"/>
      <c r="AY5" s="13"/>
      <c r="AZ5" s="14"/>
      <c r="BA5" s="9"/>
      <c r="BB5" s="16"/>
      <c r="BC5" s="10"/>
      <c r="BD5" s="10"/>
      <c r="BE5" s="10"/>
      <c r="BF5" s="11"/>
      <c r="BG5" s="12"/>
      <c r="BH5" s="17"/>
      <c r="BI5" s="13"/>
      <c r="BJ5" s="13"/>
      <c r="BK5" s="13"/>
      <c r="BL5" s="14"/>
      <c r="BM5" s="9"/>
      <c r="BN5" s="16"/>
      <c r="BO5" s="10"/>
      <c r="BP5" s="10"/>
      <c r="BQ5" s="10"/>
      <c r="BR5" s="11"/>
      <c r="BS5" s="12"/>
      <c r="BT5" s="17"/>
      <c r="BU5" s="13"/>
      <c r="BV5" s="13"/>
      <c r="BW5" s="13"/>
      <c r="BX5" s="14"/>
      <c r="BY5" s="9"/>
      <c r="BZ5" s="16"/>
      <c r="CA5" s="10"/>
      <c r="CB5" s="10"/>
      <c r="CC5" s="10"/>
      <c r="CD5" s="11"/>
      <c r="CE5" s="12"/>
      <c r="CF5" s="17"/>
      <c r="CG5" s="13"/>
      <c r="CH5" s="13"/>
      <c r="CI5" s="13"/>
      <c r="CJ5" s="14"/>
      <c r="CK5" s="9"/>
      <c r="CL5" s="16"/>
      <c r="CM5" s="10"/>
      <c r="CN5" s="10"/>
      <c r="CO5" s="10"/>
      <c r="CP5" s="11"/>
      <c r="CQ5" s="12"/>
      <c r="CR5" s="17"/>
      <c r="CS5" s="13"/>
      <c r="CT5" s="13"/>
      <c r="CU5" s="13"/>
      <c r="CV5" s="14"/>
      <c r="CW5" s="9"/>
      <c r="CX5" s="16"/>
      <c r="CY5" s="10"/>
      <c r="CZ5" s="10"/>
      <c r="DA5" s="10"/>
      <c r="DB5" s="11"/>
      <c r="DC5" s="12"/>
      <c r="DD5" s="17"/>
      <c r="DE5" s="13"/>
      <c r="DF5" s="13"/>
      <c r="DG5" s="13"/>
      <c r="DH5" s="14"/>
      <c r="DI5" s="8">
        <f t="shared" si="0"/>
        <v>186</v>
      </c>
      <c r="DJ5" s="8">
        <f t="shared" si="1"/>
        <v>125</v>
      </c>
      <c r="DK5" s="8">
        <f t="shared" si="2"/>
        <v>156</v>
      </c>
      <c r="DL5" s="8">
        <f t="shared" si="3"/>
        <v>115</v>
      </c>
      <c r="DM5" s="8">
        <f t="shared" si="4"/>
        <v>186</v>
      </c>
      <c r="DN5" s="8">
        <f t="shared" si="5"/>
        <v>125</v>
      </c>
      <c r="DO5" s="15">
        <f t="shared" si="6"/>
        <v>12.628728848146197</v>
      </c>
      <c r="DP5" s="15" t="str">
        <f t="shared" si="7"/>
        <v>OK - No Upgrade</v>
      </c>
      <c r="DQ5" s="15" t="str">
        <f t="shared" si="8"/>
        <v>Need to Balance</v>
      </c>
    </row>
    <row r="6" spans="1:121" ht="15.75" customHeight="1" x14ac:dyDescent="0.25">
      <c r="A6" s="8" t="s">
        <v>1459</v>
      </c>
      <c r="B6" s="8" t="s">
        <v>1713</v>
      </c>
      <c r="C6" s="8" t="s">
        <v>394</v>
      </c>
      <c r="D6" s="8" t="s">
        <v>1720</v>
      </c>
      <c r="E6" s="8" t="s">
        <v>1721</v>
      </c>
      <c r="F6" s="8" t="s">
        <v>43</v>
      </c>
      <c r="G6" s="8" t="s">
        <v>44</v>
      </c>
      <c r="H6" s="8">
        <v>315</v>
      </c>
      <c r="I6" s="8" t="s">
        <v>1722</v>
      </c>
      <c r="J6" s="8">
        <v>1</v>
      </c>
      <c r="K6" s="8">
        <v>236</v>
      </c>
      <c r="L6" s="8">
        <v>240</v>
      </c>
      <c r="M6" s="8">
        <v>236</v>
      </c>
      <c r="N6" s="8">
        <v>405</v>
      </c>
      <c r="O6" s="8">
        <v>415</v>
      </c>
      <c r="P6" s="8">
        <v>411</v>
      </c>
      <c r="Q6" s="9" t="s">
        <v>46</v>
      </c>
      <c r="R6" s="16"/>
      <c r="S6" s="10">
        <v>86</v>
      </c>
      <c r="T6" s="10">
        <v>70</v>
      </c>
      <c r="U6" s="10">
        <v>160</v>
      </c>
      <c r="V6" s="11">
        <v>81</v>
      </c>
      <c r="W6" s="12" t="s">
        <v>46</v>
      </c>
      <c r="X6" s="17"/>
      <c r="Y6" s="13">
        <v>0</v>
      </c>
      <c r="Z6" s="13">
        <v>0</v>
      </c>
      <c r="AA6" s="13">
        <v>0</v>
      </c>
      <c r="AB6" s="14">
        <v>0</v>
      </c>
      <c r="AC6" s="9" t="s">
        <v>47</v>
      </c>
      <c r="AD6" s="16"/>
      <c r="AE6" s="10">
        <v>70</v>
      </c>
      <c r="AF6" s="10">
        <v>35</v>
      </c>
      <c r="AG6" s="10">
        <v>44</v>
      </c>
      <c r="AH6" s="11">
        <v>66</v>
      </c>
      <c r="AI6" s="12"/>
      <c r="AJ6" s="17"/>
      <c r="AK6" s="13"/>
      <c r="AL6" s="13"/>
      <c r="AM6" s="13"/>
      <c r="AN6" s="14"/>
      <c r="AO6" s="9"/>
      <c r="AP6" s="16"/>
      <c r="AQ6" s="10"/>
      <c r="AR6" s="10"/>
      <c r="AS6" s="10"/>
      <c r="AT6" s="11"/>
      <c r="AU6" s="12"/>
      <c r="AV6" s="17"/>
      <c r="AW6" s="13"/>
      <c r="AX6" s="13"/>
      <c r="AY6" s="13"/>
      <c r="AZ6" s="14"/>
      <c r="BA6" s="9"/>
      <c r="BB6" s="16"/>
      <c r="BC6" s="10"/>
      <c r="BD6" s="10"/>
      <c r="BE6" s="10"/>
      <c r="BF6" s="11"/>
      <c r="BG6" s="12"/>
      <c r="BH6" s="17"/>
      <c r="BI6" s="13"/>
      <c r="BJ6" s="13"/>
      <c r="BK6" s="13"/>
      <c r="BL6" s="14"/>
      <c r="BM6" s="9"/>
      <c r="BN6" s="16"/>
      <c r="BO6" s="10"/>
      <c r="BP6" s="10"/>
      <c r="BQ6" s="10"/>
      <c r="BR6" s="11"/>
      <c r="BS6" s="12"/>
      <c r="BT6" s="17"/>
      <c r="BU6" s="13"/>
      <c r="BV6" s="13"/>
      <c r="BW6" s="13"/>
      <c r="BX6" s="14"/>
      <c r="BY6" s="9"/>
      <c r="BZ6" s="16"/>
      <c r="CA6" s="10"/>
      <c r="CB6" s="10"/>
      <c r="CC6" s="10"/>
      <c r="CD6" s="11"/>
      <c r="CE6" s="12"/>
      <c r="CF6" s="17"/>
      <c r="CG6" s="13"/>
      <c r="CH6" s="13"/>
      <c r="CI6" s="13"/>
      <c r="CJ6" s="14"/>
      <c r="CK6" s="9"/>
      <c r="CL6" s="16"/>
      <c r="CM6" s="10"/>
      <c r="CN6" s="10"/>
      <c r="CO6" s="10"/>
      <c r="CP6" s="11"/>
      <c r="CQ6" s="12"/>
      <c r="CR6" s="17"/>
      <c r="CS6" s="13"/>
      <c r="CT6" s="13"/>
      <c r="CU6" s="13"/>
      <c r="CV6" s="14"/>
      <c r="CW6" s="9"/>
      <c r="CX6" s="16"/>
      <c r="CY6" s="10"/>
      <c r="CZ6" s="10"/>
      <c r="DA6" s="10"/>
      <c r="DB6" s="11"/>
      <c r="DC6" s="12"/>
      <c r="DD6" s="17"/>
      <c r="DE6" s="13"/>
      <c r="DF6" s="13"/>
      <c r="DG6" s="13"/>
      <c r="DH6" s="14"/>
      <c r="DI6" s="8">
        <f t="shared" si="0"/>
        <v>156</v>
      </c>
      <c r="DJ6" s="8">
        <f t="shared" si="1"/>
        <v>105</v>
      </c>
      <c r="DK6" s="8">
        <f t="shared" si="2"/>
        <v>204</v>
      </c>
      <c r="DL6" s="8">
        <f t="shared" si="3"/>
        <v>147</v>
      </c>
      <c r="DM6" s="8">
        <f t="shared" si="4"/>
        <v>204</v>
      </c>
      <c r="DN6" s="8">
        <f t="shared" si="5"/>
        <v>105</v>
      </c>
      <c r="DO6" s="15">
        <f t="shared" si="6"/>
        <v>45.429218324235123</v>
      </c>
      <c r="DP6" s="15" t="str">
        <f t="shared" si="7"/>
        <v>OK - No Upgrade</v>
      </c>
      <c r="DQ6" s="15" t="str">
        <f t="shared" si="8"/>
        <v>Need to Balance</v>
      </c>
    </row>
    <row r="7" spans="1:121" ht="15.75" customHeight="1" x14ac:dyDescent="0.25">
      <c r="A7" s="8" t="s">
        <v>1459</v>
      </c>
      <c r="B7" s="8" t="s">
        <v>1713</v>
      </c>
      <c r="C7" s="8" t="s">
        <v>394</v>
      </c>
      <c r="D7" s="8" t="s">
        <v>1723</v>
      </c>
      <c r="E7" s="8" t="s">
        <v>1724</v>
      </c>
      <c r="F7" s="8" t="s">
        <v>56</v>
      </c>
      <c r="G7" s="8" t="s">
        <v>44</v>
      </c>
      <c r="H7" s="8">
        <v>1000</v>
      </c>
      <c r="I7" s="8" t="s">
        <v>672</v>
      </c>
      <c r="J7" s="8">
        <v>1</v>
      </c>
      <c r="K7" s="8">
        <v>226</v>
      </c>
      <c r="L7" s="8">
        <v>230</v>
      </c>
      <c r="M7" s="8">
        <v>227</v>
      </c>
      <c r="N7" s="8">
        <v>392</v>
      </c>
      <c r="O7" s="8">
        <v>395</v>
      </c>
      <c r="P7" s="8">
        <v>394</v>
      </c>
      <c r="Q7" s="9" t="s">
        <v>47</v>
      </c>
      <c r="R7" s="16"/>
      <c r="S7" s="10">
        <v>78</v>
      </c>
      <c r="T7" s="10">
        <v>25</v>
      </c>
      <c r="U7" s="10">
        <v>97</v>
      </c>
      <c r="V7" s="11">
        <v>62</v>
      </c>
      <c r="W7" s="12" t="s">
        <v>47</v>
      </c>
      <c r="X7" s="17"/>
      <c r="Y7" s="13">
        <v>52</v>
      </c>
      <c r="Z7" s="13">
        <v>27</v>
      </c>
      <c r="AA7" s="13">
        <v>34</v>
      </c>
      <c r="AB7" s="14">
        <v>24</v>
      </c>
      <c r="AC7" s="9" t="s">
        <v>47</v>
      </c>
      <c r="AD7" s="16"/>
      <c r="AE7" s="10">
        <v>171</v>
      </c>
      <c r="AF7" s="10">
        <v>81</v>
      </c>
      <c r="AG7" s="10">
        <v>116</v>
      </c>
      <c r="AH7" s="11">
        <v>80</v>
      </c>
      <c r="AI7" s="12"/>
      <c r="AJ7" s="17"/>
      <c r="AK7" s="13"/>
      <c r="AL7" s="13"/>
      <c r="AM7" s="13"/>
      <c r="AN7" s="14"/>
      <c r="AO7" s="9"/>
      <c r="AP7" s="16"/>
      <c r="AQ7" s="10"/>
      <c r="AR7" s="10"/>
      <c r="AS7" s="10"/>
      <c r="AT7" s="11"/>
      <c r="AU7" s="12"/>
      <c r="AV7" s="17"/>
      <c r="AW7" s="13"/>
      <c r="AX7" s="13"/>
      <c r="AY7" s="13"/>
      <c r="AZ7" s="14"/>
      <c r="BA7" s="9"/>
      <c r="BB7" s="16"/>
      <c r="BC7" s="10"/>
      <c r="BD7" s="10"/>
      <c r="BE7" s="10"/>
      <c r="BF7" s="11"/>
      <c r="BG7" s="12"/>
      <c r="BH7" s="17"/>
      <c r="BI7" s="13"/>
      <c r="BJ7" s="13"/>
      <c r="BK7" s="13"/>
      <c r="BL7" s="14"/>
      <c r="BM7" s="9"/>
      <c r="BN7" s="16"/>
      <c r="BO7" s="10"/>
      <c r="BP7" s="10"/>
      <c r="BQ7" s="10"/>
      <c r="BR7" s="11"/>
      <c r="BS7" s="12"/>
      <c r="BT7" s="17"/>
      <c r="BU7" s="13"/>
      <c r="BV7" s="13"/>
      <c r="BW7" s="13"/>
      <c r="BX7" s="14"/>
      <c r="BY7" s="9"/>
      <c r="BZ7" s="16"/>
      <c r="CA7" s="10"/>
      <c r="CB7" s="10"/>
      <c r="CC7" s="10"/>
      <c r="CD7" s="11"/>
      <c r="CE7" s="12"/>
      <c r="CF7" s="17"/>
      <c r="CG7" s="13"/>
      <c r="CH7" s="13"/>
      <c r="CI7" s="13"/>
      <c r="CJ7" s="14"/>
      <c r="CK7" s="9"/>
      <c r="CL7" s="16"/>
      <c r="CM7" s="10"/>
      <c r="CN7" s="10"/>
      <c r="CO7" s="10"/>
      <c r="CP7" s="11"/>
      <c r="CQ7" s="12"/>
      <c r="CR7" s="17"/>
      <c r="CS7" s="13"/>
      <c r="CT7" s="13"/>
      <c r="CU7" s="13"/>
      <c r="CV7" s="14"/>
      <c r="CW7" s="9"/>
      <c r="CX7" s="16"/>
      <c r="CY7" s="10"/>
      <c r="CZ7" s="10"/>
      <c r="DA7" s="10"/>
      <c r="DB7" s="11"/>
      <c r="DC7" s="12"/>
      <c r="DD7" s="17"/>
      <c r="DE7" s="13"/>
      <c r="DF7" s="13"/>
      <c r="DG7" s="13"/>
      <c r="DH7" s="14"/>
      <c r="DI7" s="8">
        <f t="shared" si="0"/>
        <v>301</v>
      </c>
      <c r="DJ7" s="8">
        <f t="shared" si="1"/>
        <v>133</v>
      </c>
      <c r="DK7" s="8">
        <f t="shared" si="2"/>
        <v>247</v>
      </c>
      <c r="DL7" s="8">
        <f t="shared" si="3"/>
        <v>166</v>
      </c>
      <c r="DM7" s="8">
        <f t="shared" si="4"/>
        <v>301</v>
      </c>
      <c r="DN7" s="8">
        <f t="shared" si="5"/>
        <v>133</v>
      </c>
      <c r="DO7" s="15">
        <f t="shared" si="6"/>
        <v>20.436813888666698</v>
      </c>
      <c r="DP7" s="15" t="str">
        <f t="shared" si="7"/>
        <v>OK - No Upgrade</v>
      </c>
      <c r="DQ7" s="15" t="str">
        <f t="shared" si="8"/>
        <v>Need to Balance</v>
      </c>
    </row>
    <row r="8" spans="1:121" ht="15.75" customHeight="1" x14ac:dyDescent="0.25">
      <c r="A8" s="8" t="s">
        <v>1459</v>
      </c>
      <c r="B8" s="8" t="s">
        <v>1713</v>
      </c>
      <c r="C8" s="8" t="s">
        <v>394</v>
      </c>
      <c r="D8" s="8" t="s">
        <v>1725</v>
      </c>
      <c r="E8" s="8" t="s">
        <v>1726</v>
      </c>
      <c r="F8" s="8" t="s">
        <v>56</v>
      </c>
      <c r="G8" s="8" t="s">
        <v>44</v>
      </c>
      <c r="H8" s="8">
        <v>500</v>
      </c>
      <c r="I8" s="8" t="s">
        <v>675</v>
      </c>
      <c r="J8" s="8">
        <v>1</v>
      </c>
      <c r="K8" s="8">
        <v>226</v>
      </c>
      <c r="L8" s="8">
        <v>229</v>
      </c>
      <c r="M8" s="8">
        <v>228</v>
      </c>
      <c r="N8" s="8">
        <v>391</v>
      </c>
      <c r="O8" s="8">
        <v>396</v>
      </c>
      <c r="P8" s="8">
        <v>393</v>
      </c>
      <c r="Q8" s="9"/>
      <c r="R8" s="16"/>
      <c r="S8" s="10"/>
      <c r="T8" s="10"/>
      <c r="U8" s="10"/>
      <c r="V8" s="11"/>
      <c r="W8" s="12"/>
      <c r="X8" s="17"/>
      <c r="Y8" s="13"/>
      <c r="Z8" s="13"/>
      <c r="AA8" s="13"/>
      <c r="AB8" s="14"/>
      <c r="AC8" s="9"/>
      <c r="AD8" s="16"/>
      <c r="AE8" s="10"/>
      <c r="AF8" s="10"/>
      <c r="AG8" s="10"/>
      <c r="AH8" s="11"/>
      <c r="AI8" s="12" t="s">
        <v>47</v>
      </c>
      <c r="AJ8" s="17"/>
      <c r="AK8" s="13">
        <v>80</v>
      </c>
      <c r="AL8" s="13">
        <v>75</v>
      </c>
      <c r="AM8" s="13">
        <v>86</v>
      </c>
      <c r="AN8" s="14">
        <v>51</v>
      </c>
      <c r="AO8" s="9" t="s">
        <v>47</v>
      </c>
      <c r="AP8" s="16"/>
      <c r="AQ8" s="10">
        <v>22</v>
      </c>
      <c r="AR8" s="10">
        <v>31</v>
      </c>
      <c r="AS8" s="10">
        <v>29</v>
      </c>
      <c r="AT8" s="11">
        <v>22</v>
      </c>
      <c r="AU8" s="12" t="s">
        <v>47</v>
      </c>
      <c r="AV8" s="17"/>
      <c r="AW8" s="13">
        <v>128</v>
      </c>
      <c r="AX8" s="13">
        <v>73</v>
      </c>
      <c r="AY8" s="13">
        <v>80</v>
      </c>
      <c r="AZ8" s="14">
        <v>58</v>
      </c>
      <c r="BA8" s="9"/>
      <c r="BB8" s="16"/>
      <c r="BC8" s="10"/>
      <c r="BD8" s="10"/>
      <c r="BE8" s="10"/>
      <c r="BF8" s="11"/>
      <c r="BG8" s="12"/>
      <c r="BH8" s="17"/>
      <c r="BI8" s="13"/>
      <c r="BJ8" s="13"/>
      <c r="BK8" s="13"/>
      <c r="BL8" s="14"/>
      <c r="BM8" s="9"/>
      <c r="BN8" s="16"/>
      <c r="BO8" s="10"/>
      <c r="BP8" s="10"/>
      <c r="BQ8" s="10"/>
      <c r="BR8" s="11"/>
      <c r="BS8" s="12"/>
      <c r="BT8" s="17"/>
      <c r="BU8" s="13"/>
      <c r="BV8" s="13"/>
      <c r="BW8" s="13"/>
      <c r="BX8" s="14"/>
      <c r="BY8" s="9"/>
      <c r="BZ8" s="16"/>
      <c r="CA8" s="10"/>
      <c r="CB8" s="10"/>
      <c r="CC8" s="10"/>
      <c r="CD8" s="11"/>
      <c r="CE8" s="12"/>
      <c r="CF8" s="17"/>
      <c r="CG8" s="13"/>
      <c r="CH8" s="13"/>
      <c r="CI8" s="13"/>
      <c r="CJ8" s="14"/>
      <c r="CK8" s="9"/>
      <c r="CL8" s="16"/>
      <c r="CM8" s="10"/>
      <c r="CN8" s="10"/>
      <c r="CO8" s="10"/>
      <c r="CP8" s="11"/>
      <c r="CQ8" s="12"/>
      <c r="CR8" s="17"/>
      <c r="CS8" s="13"/>
      <c r="CT8" s="13"/>
      <c r="CU8" s="13"/>
      <c r="CV8" s="14"/>
      <c r="CW8" s="9"/>
      <c r="CX8" s="16"/>
      <c r="CY8" s="10"/>
      <c r="CZ8" s="10"/>
      <c r="DA8" s="10"/>
      <c r="DB8" s="11"/>
      <c r="DC8" s="12"/>
      <c r="DD8" s="17"/>
      <c r="DE8" s="13"/>
      <c r="DF8" s="13"/>
      <c r="DG8" s="13"/>
      <c r="DH8" s="14"/>
      <c r="DI8" s="8">
        <f t="shared" si="0"/>
        <v>230</v>
      </c>
      <c r="DJ8" s="8">
        <f t="shared" si="1"/>
        <v>179</v>
      </c>
      <c r="DK8" s="8">
        <f t="shared" si="2"/>
        <v>195</v>
      </c>
      <c r="DL8" s="8">
        <f t="shared" si="3"/>
        <v>131</v>
      </c>
      <c r="DM8" s="8">
        <f t="shared" si="4"/>
        <v>230</v>
      </c>
      <c r="DN8" s="8">
        <f t="shared" si="5"/>
        <v>179</v>
      </c>
      <c r="DO8" s="15">
        <f t="shared" si="6"/>
        <v>31.152665824933827</v>
      </c>
      <c r="DP8" s="15" t="str">
        <f t="shared" si="7"/>
        <v>OK - No Upgrade</v>
      </c>
      <c r="DQ8" s="15" t="str">
        <f t="shared" si="8"/>
        <v>Need to Balance</v>
      </c>
    </row>
    <row r="9" spans="1:121" ht="15.75" customHeight="1" x14ac:dyDescent="0.25">
      <c r="A9" s="8" t="s">
        <v>1459</v>
      </c>
      <c r="B9" s="8" t="s">
        <v>1713</v>
      </c>
      <c r="C9" s="8" t="s">
        <v>394</v>
      </c>
      <c r="D9" s="8" t="s">
        <v>1727</v>
      </c>
      <c r="E9" s="8" t="s">
        <v>1728</v>
      </c>
      <c r="F9" s="8" t="s">
        <v>56</v>
      </c>
      <c r="G9" s="8" t="s">
        <v>1077</v>
      </c>
      <c r="H9" s="8">
        <v>1000</v>
      </c>
      <c r="I9" s="8" t="s">
        <v>1729</v>
      </c>
      <c r="J9" s="8">
        <v>1</v>
      </c>
      <c r="K9" s="8">
        <v>237</v>
      </c>
      <c r="L9" s="8">
        <v>241</v>
      </c>
      <c r="M9" s="8">
        <v>240</v>
      </c>
      <c r="N9" s="8">
        <v>412</v>
      </c>
      <c r="O9" s="8">
        <v>418</v>
      </c>
      <c r="P9" s="8">
        <v>417</v>
      </c>
      <c r="Q9" s="9"/>
      <c r="R9" s="16"/>
      <c r="S9" s="10"/>
      <c r="T9" s="10"/>
      <c r="U9" s="10"/>
      <c r="V9" s="11"/>
      <c r="W9" s="12"/>
      <c r="X9" s="17"/>
      <c r="Y9" s="13"/>
      <c r="Z9" s="13"/>
      <c r="AA9" s="13"/>
      <c r="AB9" s="14"/>
      <c r="AC9" s="9" t="s">
        <v>47</v>
      </c>
      <c r="AD9" s="16"/>
      <c r="AE9" s="10">
        <v>61</v>
      </c>
      <c r="AF9" s="10">
        <v>33</v>
      </c>
      <c r="AG9" s="10">
        <v>115</v>
      </c>
      <c r="AH9" s="11">
        <v>46</v>
      </c>
      <c r="AI9" s="12" t="s">
        <v>47</v>
      </c>
      <c r="AJ9" s="17"/>
      <c r="AK9" s="13">
        <v>25</v>
      </c>
      <c r="AL9" s="13">
        <v>59</v>
      </c>
      <c r="AM9" s="13">
        <v>83</v>
      </c>
      <c r="AN9" s="14">
        <v>40</v>
      </c>
      <c r="AO9" s="9" t="s">
        <v>46</v>
      </c>
      <c r="AP9" s="16"/>
      <c r="AQ9" s="10">
        <v>28</v>
      </c>
      <c r="AR9" s="10">
        <v>36</v>
      </c>
      <c r="AS9" s="10">
        <v>23</v>
      </c>
      <c r="AT9" s="11">
        <v>12</v>
      </c>
      <c r="AU9" s="12" t="s">
        <v>46</v>
      </c>
      <c r="AV9" s="17"/>
      <c r="AW9" s="13">
        <v>210</v>
      </c>
      <c r="AX9" s="13">
        <v>102</v>
      </c>
      <c r="AY9" s="13">
        <v>98</v>
      </c>
      <c r="AZ9" s="14">
        <v>110</v>
      </c>
      <c r="BA9" s="9" t="s">
        <v>47</v>
      </c>
      <c r="BB9" s="16"/>
      <c r="BC9" s="10">
        <v>215</v>
      </c>
      <c r="BD9" s="10">
        <v>166</v>
      </c>
      <c r="BE9" s="10">
        <v>170</v>
      </c>
      <c r="BF9" s="11">
        <v>63</v>
      </c>
      <c r="BG9" s="12" t="s">
        <v>46</v>
      </c>
      <c r="BH9" s="17"/>
      <c r="BI9" s="13">
        <v>65</v>
      </c>
      <c r="BJ9" s="13">
        <v>94</v>
      </c>
      <c r="BK9" s="13">
        <v>28</v>
      </c>
      <c r="BL9" s="14">
        <v>61</v>
      </c>
      <c r="BM9" s="9"/>
      <c r="BN9" s="16"/>
      <c r="BO9" s="10"/>
      <c r="BP9" s="10"/>
      <c r="BQ9" s="10"/>
      <c r="BR9" s="11"/>
      <c r="BS9" s="12"/>
      <c r="BT9" s="17"/>
      <c r="BU9" s="13"/>
      <c r="BV9" s="13"/>
      <c r="BW9" s="13"/>
      <c r="BX9" s="14"/>
      <c r="BY9" s="9"/>
      <c r="BZ9" s="16"/>
      <c r="CA9" s="10"/>
      <c r="CB9" s="10"/>
      <c r="CC9" s="10"/>
      <c r="CD9" s="11"/>
      <c r="CE9" s="12"/>
      <c r="CF9" s="17"/>
      <c r="CG9" s="13"/>
      <c r="CH9" s="13"/>
      <c r="CI9" s="13"/>
      <c r="CJ9" s="14"/>
      <c r="CK9" s="9"/>
      <c r="CL9" s="16"/>
      <c r="CM9" s="10"/>
      <c r="CN9" s="10"/>
      <c r="CO9" s="10"/>
      <c r="CP9" s="11"/>
      <c r="CQ9" s="12"/>
      <c r="CR9" s="17"/>
      <c r="CS9" s="13"/>
      <c r="CT9" s="13"/>
      <c r="CU9" s="13"/>
      <c r="CV9" s="14"/>
      <c r="CW9" s="9"/>
      <c r="CX9" s="16"/>
      <c r="CY9" s="10"/>
      <c r="CZ9" s="10"/>
      <c r="DA9" s="10"/>
      <c r="DB9" s="11"/>
      <c r="DC9" s="12"/>
      <c r="DD9" s="17"/>
      <c r="DE9" s="13"/>
      <c r="DF9" s="13"/>
      <c r="DG9" s="13"/>
      <c r="DH9" s="14"/>
      <c r="DI9" s="8">
        <f t="shared" si="0"/>
        <v>604</v>
      </c>
      <c r="DJ9" s="8">
        <f t="shared" si="1"/>
        <v>490</v>
      </c>
      <c r="DK9" s="8">
        <f t="shared" si="2"/>
        <v>517</v>
      </c>
      <c r="DL9" s="8">
        <f t="shared" si="3"/>
        <v>332</v>
      </c>
      <c r="DM9" s="8">
        <f t="shared" si="4"/>
        <v>604</v>
      </c>
      <c r="DN9" s="8">
        <f t="shared" si="5"/>
        <v>490</v>
      </c>
      <c r="DO9" s="15">
        <f t="shared" si="6"/>
        <v>43.101737936189991</v>
      </c>
      <c r="DP9" s="15" t="str">
        <f t="shared" si="7"/>
        <v>OK - No Upgrade</v>
      </c>
      <c r="DQ9" s="15" t="str">
        <f t="shared" si="8"/>
        <v>Need to Balance</v>
      </c>
    </row>
    <row r="10" spans="1:121" ht="15.75" customHeight="1" x14ac:dyDescent="0.25">
      <c r="A10" s="8" t="s">
        <v>1459</v>
      </c>
      <c r="B10" s="8" t="s">
        <v>1713</v>
      </c>
      <c r="C10" s="8" t="s">
        <v>394</v>
      </c>
      <c r="D10" s="8" t="s">
        <v>1730</v>
      </c>
      <c r="E10" s="8" t="s">
        <v>1731</v>
      </c>
      <c r="F10" s="8" t="s">
        <v>43</v>
      </c>
      <c r="G10" s="8" t="s">
        <v>44</v>
      </c>
      <c r="H10" s="8">
        <v>315</v>
      </c>
      <c r="I10" s="8" t="s">
        <v>1732</v>
      </c>
      <c r="J10" s="8">
        <v>1</v>
      </c>
      <c r="K10" s="8">
        <v>229</v>
      </c>
      <c r="L10" s="8">
        <v>228</v>
      </c>
      <c r="M10" s="8">
        <v>230</v>
      </c>
      <c r="N10" s="8">
        <v>398</v>
      </c>
      <c r="O10" s="8">
        <v>396</v>
      </c>
      <c r="P10" s="8">
        <v>395</v>
      </c>
      <c r="Q10" s="9" t="s">
        <v>47</v>
      </c>
      <c r="R10" s="16"/>
      <c r="S10" s="10">
        <v>58</v>
      </c>
      <c r="T10" s="10">
        <v>56</v>
      </c>
      <c r="U10" s="10">
        <v>87</v>
      </c>
      <c r="V10" s="11">
        <v>23</v>
      </c>
      <c r="W10" s="12" t="s">
        <v>47</v>
      </c>
      <c r="X10" s="17"/>
      <c r="Y10" s="13">
        <v>91</v>
      </c>
      <c r="Z10" s="13">
        <v>55</v>
      </c>
      <c r="AA10" s="13">
        <v>42</v>
      </c>
      <c r="AB10" s="14">
        <v>47</v>
      </c>
      <c r="AC10" s="9"/>
      <c r="AD10" s="16"/>
      <c r="AE10" s="10"/>
      <c r="AF10" s="10"/>
      <c r="AG10" s="10"/>
      <c r="AH10" s="11"/>
      <c r="AI10" s="12"/>
      <c r="AJ10" s="17"/>
      <c r="AK10" s="13"/>
      <c r="AL10" s="13"/>
      <c r="AM10" s="13"/>
      <c r="AN10" s="14"/>
      <c r="AO10" s="9"/>
      <c r="AP10" s="16"/>
      <c r="AQ10" s="10"/>
      <c r="AR10" s="10"/>
      <c r="AS10" s="10"/>
      <c r="AT10" s="11"/>
      <c r="AU10" s="12"/>
      <c r="AV10" s="17"/>
      <c r="AW10" s="13"/>
      <c r="AX10" s="13"/>
      <c r="AY10" s="13"/>
      <c r="AZ10" s="14"/>
      <c r="BA10" s="9"/>
      <c r="BB10" s="16"/>
      <c r="BC10" s="10"/>
      <c r="BD10" s="10"/>
      <c r="BE10" s="10"/>
      <c r="BF10" s="11"/>
      <c r="BG10" s="12"/>
      <c r="BH10" s="17"/>
      <c r="BI10" s="13"/>
      <c r="BJ10" s="13"/>
      <c r="BK10" s="13"/>
      <c r="BL10" s="14"/>
      <c r="BM10" s="9"/>
      <c r="BN10" s="16"/>
      <c r="BO10" s="10"/>
      <c r="BP10" s="10"/>
      <c r="BQ10" s="10"/>
      <c r="BR10" s="11"/>
      <c r="BS10" s="12"/>
      <c r="BT10" s="17"/>
      <c r="BU10" s="13"/>
      <c r="BV10" s="13"/>
      <c r="BW10" s="13"/>
      <c r="BX10" s="14"/>
      <c r="BY10" s="9"/>
      <c r="BZ10" s="16"/>
      <c r="CA10" s="10"/>
      <c r="CB10" s="10"/>
      <c r="CC10" s="10"/>
      <c r="CD10" s="11"/>
      <c r="CE10" s="12"/>
      <c r="CF10" s="17"/>
      <c r="CG10" s="13"/>
      <c r="CH10" s="13"/>
      <c r="CI10" s="13"/>
      <c r="CJ10" s="14"/>
      <c r="CK10" s="9"/>
      <c r="CL10" s="16"/>
      <c r="CM10" s="10"/>
      <c r="CN10" s="10"/>
      <c r="CO10" s="10"/>
      <c r="CP10" s="11"/>
      <c r="CQ10" s="12"/>
      <c r="CR10" s="17"/>
      <c r="CS10" s="13"/>
      <c r="CT10" s="13"/>
      <c r="CU10" s="13"/>
      <c r="CV10" s="14"/>
      <c r="CW10" s="9"/>
      <c r="CX10" s="16"/>
      <c r="CY10" s="10"/>
      <c r="CZ10" s="10"/>
      <c r="DA10" s="10"/>
      <c r="DB10" s="11"/>
      <c r="DC10" s="12"/>
      <c r="DD10" s="17"/>
      <c r="DE10" s="13"/>
      <c r="DF10" s="13"/>
      <c r="DG10" s="13"/>
      <c r="DH10" s="14"/>
      <c r="DI10" s="8">
        <f t="shared" si="0"/>
        <v>149</v>
      </c>
      <c r="DJ10" s="8">
        <f t="shared" si="1"/>
        <v>111</v>
      </c>
      <c r="DK10" s="8">
        <f t="shared" si="2"/>
        <v>129</v>
      </c>
      <c r="DL10" s="8">
        <f t="shared" si="3"/>
        <v>70</v>
      </c>
      <c r="DM10" s="8">
        <f t="shared" si="4"/>
        <v>149</v>
      </c>
      <c r="DN10" s="8">
        <f t="shared" si="5"/>
        <v>111</v>
      </c>
      <c r="DO10" s="15">
        <f t="shared" si="6"/>
        <v>32.607643489031609</v>
      </c>
      <c r="DP10" s="15" t="str">
        <f t="shared" si="7"/>
        <v>OK - No Upgrade</v>
      </c>
      <c r="DQ10" s="15" t="str">
        <f t="shared" si="8"/>
        <v>Need to Balance</v>
      </c>
    </row>
    <row r="11" spans="1:121" ht="15.75" customHeight="1" x14ac:dyDescent="0.25">
      <c r="A11" s="8" t="s">
        <v>1459</v>
      </c>
      <c r="B11" s="8" t="s">
        <v>1713</v>
      </c>
      <c r="C11" s="8" t="s">
        <v>394</v>
      </c>
      <c r="D11" s="8" t="s">
        <v>1733</v>
      </c>
      <c r="E11" s="8" t="s">
        <v>1734</v>
      </c>
      <c r="F11" s="8" t="s">
        <v>43</v>
      </c>
      <c r="G11" s="8" t="s">
        <v>44</v>
      </c>
      <c r="H11" s="8">
        <v>315</v>
      </c>
      <c r="I11" s="8" t="s">
        <v>1735</v>
      </c>
      <c r="J11" s="8">
        <v>1</v>
      </c>
      <c r="K11" s="8">
        <v>224</v>
      </c>
      <c r="L11" s="8">
        <v>227</v>
      </c>
      <c r="M11" s="8">
        <v>226</v>
      </c>
      <c r="N11" s="8">
        <v>389</v>
      </c>
      <c r="O11" s="8">
        <v>394</v>
      </c>
      <c r="P11" s="8">
        <v>389</v>
      </c>
      <c r="Q11" s="9" t="s">
        <v>46</v>
      </c>
      <c r="R11" s="16"/>
      <c r="S11" s="10">
        <v>223</v>
      </c>
      <c r="T11" s="10">
        <v>139</v>
      </c>
      <c r="U11" s="10">
        <v>209</v>
      </c>
      <c r="V11" s="11">
        <v>82</v>
      </c>
      <c r="W11" s="12" t="s">
        <v>46</v>
      </c>
      <c r="X11" s="17"/>
      <c r="Y11" s="13">
        <v>19</v>
      </c>
      <c r="Z11" s="13">
        <v>33</v>
      </c>
      <c r="AA11" s="13">
        <v>55</v>
      </c>
      <c r="AB11" s="14">
        <v>29</v>
      </c>
      <c r="AC11" s="9"/>
      <c r="AD11" s="16"/>
      <c r="AE11" s="10"/>
      <c r="AF11" s="10"/>
      <c r="AG11" s="10"/>
      <c r="AH11" s="11"/>
      <c r="AI11" s="12"/>
      <c r="AJ11" s="17"/>
      <c r="AK11" s="13"/>
      <c r="AL11" s="13"/>
      <c r="AM11" s="13"/>
      <c r="AN11" s="14"/>
      <c r="AO11" s="9"/>
      <c r="AP11" s="16"/>
      <c r="AQ11" s="10"/>
      <c r="AR11" s="10"/>
      <c r="AS11" s="10"/>
      <c r="AT11" s="11"/>
      <c r="AU11" s="12"/>
      <c r="AV11" s="17"/>
      <c r="AW11" s="13"/>
      <c r="AX11" s="13"/>
      <c r="AY11" s="13"/>
      <c r="AZ11" s="14"/>
      <c r="BA11" s="9"/>
      <c r="BB11" s="16"/>
      <c r="BC11" s="10"/>
      <c r="BD11" s="10"/>
      <c r="BE11" s="10"/>
      <c r="BF11" s="11"/>
      <c r="BG11" s="12"/>
      <c r="BH11" s="17"/>
      <c r="BI11" s="13"/>
      <c r="BJ11" s="13"/>
      <c r="BK11" s="13"/>
      <c r="BL11" s="14"/>
      <c r="BM11" s="9"/>
      <c r="BN11" s="16"/>
      <c r="BO11" s="10"/>
      <c r="BP11" s="10"/>
      <c r="BQ11" s="10"/>
      <c r="BR11" s="11"/>
      <c r="BS11" s="12"/>
      <c r="BT11" s="17"/>
      <c r="BU11" s="13"/>
      <c r="BV11" s="13"/>
      <c r="BW11" s="13"/>
      <c r="BX11" s="14"/>
      <c r="BY11" s="9"/>
      <c r="BZ11" s="16"/>
      <c r="CA11" s="10"/>
      <c r="CB11" s="10"/>
      <c r="CC11" s="10"/>
      <c r="CD11" s="11"/>
      <c r="CE11" s="12"/>
      <c r="CF11" s="17"/>
      <c r="CG11" s="13"/>
      <c r="CH11" s="13"/>
      <c r="CI11" s="13"/>
      <c r="CJ11" s="14"/>
      <c r="CK11" s="9"/>
      <c r="CL11" s="16"/>
      <c r="CM11" s="10"/>
      <c r="CN11" s="10"/>
      <c r="CO11" s="10"/>
      <c r="CP11" s="11"/>
      <c r="CQ11" s="12"/>
      <c r="CR11" s="17"/>
      <c r="CS11" s="13"/>
      <c r="CT11" s="13"/>
      <c r="CU11" s="13"/>
      <c r="CV11" s="14"/>
      <c r="CW11" s="9"/>
      <c r="CX11" s="16"/>
      <c r="CY11" s="10"/>
      <c r="CZ11" s="10"/>
      <c r="DA11" s="10"/>
      <c r="DB11" s="11"/>
      <c r="DC11" s="12"/>
      <c r="DD11" s="17"/>
      <c r="DE11" s="13"/>
      <c r="DF11" s="13"/>
      <c r="DG11" s="13"/>
      <c r="DH11" s="14"/>
      <c r="DI11" s="8">
        <f t="shared" si="0"/>
        <v>242</v>
      </c>
      <c r="DJ11" s="8">
        <f t="shared" si="1"/>
        <v>172</v>
      </c>
      <c r="DK11" s="8">
        <f t="shared" si="2"/>
        <v>264</v>
      </c>
      <c r="DL11" s="8">
        <f t="shared" si="3"/>
        <v>111</v>
      </c>
      <c r="DM11" s="8">
        <f t="shared" si="4"/>
        <v>264</v>
      </c>
      <c r="DN11" s="8">
        <f t="shared" si="5"/>
        <v>172</v>
      </c>
      <c r="DO11" s="15">
        <f t="shared" si="6"/>
        <v>56.468155471140768</v>
      </c>
      <c r="DP11" s="15" t="str">
        <f t="shared" si="7"/>
        <v>OK - No Upgrade</v>
      </c>
      <c r="DQ11" s="15" t="str">
        <f t="shared" si="8"/>
        <v>Need to Balance</v>
      </c>
    </row>
    <row r="12" spans="1:121" ht="15.75" customHeight="1" x14ac:dyDescent="0.25">
      <c r="A12" s="8" t="s">
        <v>1459</v>
      </c>
      <c r="B12" s="8" t="s">
        <v>1713</v>
      </c>
      <c r="C12" s="8" t="s">
        <v>394</v>
      </c>
      <c r="D12" s="8" t="s">
        <v>1736</v>
      </c>
      <c r="E12" s="8" t="s">
        <v>1737</v>
      </c>
      <c r="F12" s="8" t="s">
        <v>43</v>
      </c>
      <c r="G12" s="8" t="s">
        <v>44</v>
      </c>
      <c r="H12" s="8">
        <v>315</v>
      </c>
      <c r="I12" s="8" t="s">
        <v>687</v>
      </c>
      <c r="J12" s="8">
        <v>1</v>
      </c>
      <c r="K12" s="8">
        <v>226</v>
      </c>
      <c r="L12" s="8">
        <v>224</v>
      </c>
      <c r="M12" s="8">
        <v>229</v>
      </c>
      <c r="N12" s="8">
        <v>393</v>
      </c>
      <c r="O12" s="8">
        <v>397</v>
      </c>
      <c r="P12" s="8">
        <v>394</v>
      </c>
      <c r="Q12" s="9" t="s">
        <v>46</v>
      </c>
      <c r="R12" s="16"/>
      <c r="S12" s="10">
        <v>27</v>
      </c>
      <c r="T12" s="10">
        <v>18</v>
      </c>
      <c r="U12" s="10">
        <v>75</v>
      </c>
      <c r="V12" s="11">
        <v>67</v>
      </c>
      <c r="W12" s="12" t="s">
        <v>46</v>
      </c>
      <c r="X12" s="17"/>
      <c r="Y12" s="13">
        <v>0</v>
      </c>
      <c r="Z12" s="13">
        <v>0</v>
      </c>
      <c r="AA12" s="13">
        <v>0</v>
      </c>
      <c r="AB12" s="14">
        <v>0</v>
      </c>
      <c r="AC12" s="9" t="s">
        <v>47</v>
      </c>
      <c r="AD12" s="16"/>
      <c r="AE12" s="10">
        <v>143</v>
      </c>
      <c r="AF12" s="10">
        <v>69</v>
      </c>
      <c r="AG12" s="10">
        <v>39</v>
      </c>
      <c r="AH12" s="11">
        <v>82</v>
      </c>
      <c r="AI12" s="12"/>
      <c r="AJ12" s="17"/>
      <c r="AK12" s="13"/>
      <c r="AL12" s="13"/>
      <c r="AM12" s="13"/>
      <c r="AN12" s="14"/>
      <c r="AO12" s="9"/>
      <c r="AP12" s="16"/>
      <c r="AQ12" s="10"/>
      <c r="AR12" s="10"/>
      <c r="AS12" s="10"/>
      <c r="AT12" s="11"/>
      <c r="AU12" s="12"/>
      <c r="AV12" s="17"/>
      <c r="AW12" s="13"/>
      <c r="AX12" s="13"/>
      <c r="AY12" s="13"/>
      <c r="AZ12" s="14"/>
      <c r="BA12" s="9"/>
      <c r="BB12" s="16"/>
      <c r="BC12" s="10"/>
      <c r="BD12" s="10"/>
      <c r="BE12" s="10"/>
      <c r="BF12" s="11"/>
      <c r="BG12" s="12"/>
      <c r="BH12" s="17"/>
      <c r="BI12" s="13"/>
      <c r="BJ12" s="13"/>
      <c r="BK12" s="13"/>
      <c r="BL12" s="14"/>
      <c r="BM12" s="9"/>
      <c r="BN12" s="16"/>
      <c r="BO12" s="10"/>
      <c r="BP12" s="10"/>
      <c r="BQ12" s="10"/>
      <c r="BR12" s="11"/>
      <c r="BS12" s="12"/>
      <c r="BT12" s="17"/>
      <c r="BU12" s="13"/>
      <c r="BV12" s="13"/>
      <c r="BW12" s="13"/>
      <c r="BX12" s="14"/>
      <c r="BY12" s="9"/>
      <c r="BZ12" s="16"/>
      <c r="CA12" s="10"/>
      <c r="CB12" s="10"/>
      <c r="CC12" s="10"/>
      <c r="CD12" s="11"/>
      <c r="CE12" s="12"/>
      <c r="CF12" s="17"/>
      <c r="CG12" s="13"/>
      <c r="CH12" s="13"/>
      <c r="CI12" s="13"/>
      <c r="CJ12" s="14"/>
      <c r="CK12" s="9"/>
      <c r="CL12" s="16"/>
      <c r="CM12" s="10"/>
      <c r="CN12" s="10"/>
      <c r="CO12" s="10"/>
      <c r="CP12" s="11"/>
      <c r="CQ12" s="12"/>
      <c r="CR12" s="17"/>
      <c r="CS12" s="13"/>
      <c r="CT12" s="13"/>
      <c r="CU12" s="13"/>
      <c r="CV12" s="14"/>
      <c r="CW12" s="9"/>
      <c r="CX12" s="16"/>
      <c r="CY12" s="10"/>
      <c r="CZ12" s="10"/>
      <c r="DA12" s="10"/>
      <c r="DB12" s="11"/>
      <c r="DC12" s="12"/>
      <c r="DD12" s="17"/>
      <c r="DE12" s="13"/>
      <c r="DF12" s="13"/>
      <c r="DG12" s="13"/>
      <c r="DH12" s="14"/>
      <c r="DI12" s="8">
        <f t="shared" si="0"/>
        <v>170</v>
      </c>
      <c r="DJ12" s="8">
        <f t="shared" si="1"/>
        <v>87</v>
      </c>
      <c r="DK12" s="8">
        <f t="shared" si="2"/>
        <v>114</v>
      </c>
      <c r="DL12" s="8">
        <f t="shared" si="3"/>
        <v>149</v>
      </c>
      <c r="DM12" s="8">
        <f t="shared" si="4"/>
        <v>170</v>
      </c>
      <c r="DN12" s="8">
        <f t="shared" si="5"/>
        <v>87</v>
      </c>
      <c r="DO12" s="15">
        <f t="shared" si="6"/>
        <v>36.735972842437043</v>
      </c>
      <c r="DP12" s="15" t="str">
        <f t="shared" si="7"/>
        <v>OK - No Upgrade</v>
      </c>
      <c r="DQ12" s="15" t="str">
        <f t="shared" si="8"/>
        <v>Need to Balance</v>
      </c>
    </row>
    <row r="13" spans="1:121" ht="15.75" customHeight="1" x14ac:dyDescent="0.25">
      <c r="A13" s="8" t="s">
        <v>1459</v>
      </c>
      <c r="B13" s="8" t="s">
        <v>1713</v>
      </c>
      <c r="C13" s="8" t="s">
        <v>394</v>
      </c>
      <c r="D13" s="8" t="s">
        <v>1738</v>
      </c>
      <c r="E13" s="8" t="s">
        <v>1739</v>
      </c>
      <c r="F13" s="8" t="s">
        <v>43</v>
      </c>
      <c r="G13" s="8" t="s">
        <v>44</v>
      </c>
      <c r="H13" s="8">
        <v>200</v>
      </c>
      <c r="I13" s="8" t="s">
        <v>1740</v>
      </c>
      <c r="J13" s="8">
        <v>1</v>
      </c>
      <c r="K13" s="8">
        <v>243</v>
      </c>
      <c r="L13" s="8">
        <v>246</v>
      </c>
      <c r="M13" s="8">
        <v>244</v>
      </c>
      <c r="N13" s="8">
        <v>420</v>
      </c>
      <c r="O13" s="8">
        <v>426</v>
      </c>
      <c r="P13" s="8">
        <v>422</v>
      </c>
      <c r="Q13" s="9" t="s">
        <v>46</v>
      </c>
      <c r="R13" s="16"/>
      <c r="S13" s="10">
        <v>6</v>
      </c>
      <c r="T13" s="10">
        <v>3</v>
      </c>
      <c r="U13" s="10">
        <v>39</v>
      </c>
      <c r="V13" s="11">
        <v>26</v>
      </c>
      <c r="W13" s="12" t="s">
        <v>46</v>
      </c>
      <c r="X13" s="17"/>
      <c r="Y13" s="13">
        <v>65</v>
      </c>
      <c r="Z13" s="13">
        <v>7</v>
      </c>
      <c r="AA13" s="13">
        <v>3</v>
      </c>
      <c r="AB13" s="14">
        <v>48</v>
      </c>
      <c r="AC13" s="9"/>
      <c r="AD13" s="16"/>
      <c r="AE13" s="10"/>
      <c r="AF13" s="10"/>
      <c r="AG13" s="10"/>
      <c r="AH13" s="11"/>
      <c r="AI13" s="12"/>
      <c r="AJ13" s="17"/>
      <c r="AK13" s="13"/>
      <c r="AL13" s="13"/>
      <c r="AM13" s="13"/>
      <c r="AN13" s="14"/>
      <c r="AO13" s="9"/>
      <c r="AP13" s="16"/>
      <c r="AQ13" s="10"/>
      <c r="AR13" s="10"/>
      <c r="AS13" s="10"/>
      <c r="AT13" s="11"/>
      <c r="AU13" s="12"/>
      <c r="AV13" s="17"/>
      <c r="AW13" s="13"/>
      <c r="AX13" s="13"/>
      <c r="AY13" s="13"/>
      <c r="AZ13" s="14"/>
      <c r="BA13" s="9"/>
      <c r="BB13" s="16"/>
      <c r="BC13" s="10"/>
      <c r="BD13" s="10"/>
      <c r="BE13" s="10"/>
      <c r="BF13" s="11"/>
      <c r="BG13" s="12"/>
      <c r="BH13" s="17"/>
      <c r="BI13" s="13"/>
      <c r="BJ13" s="13"/>
      <c r="BK13" s="13"/>
      <c r="BL13" s="14"/>
      <c r="BM13" s="9"/>
      <c r="BN13" s="16"/>
      <c r="BO13" s="10"/>
      <c r="BP13" s="10"/>
      <c r="BQ13" s="10"/>
      <c r="BR13" s="11"/>
      <c r="BS13" s="12"/>
      <c r="BT13" s="17"/>
      <c r="BU13" s="13"/>
      <c r="BV13" s="13"/>
      <c r="BW13" s="13"/>
      <c r="BX13" s="14"/>
      <c r="BY13" s="9"/>
      <c r="BZ13" s="16"/>
      <c r="CA13" s="10"/>
      <c r="CB13" s="10"/>
      <c r="CC13" s="10"/>
      <c r="CD13" s="11"/>
      <c r="CE13" s="12"/>
      <c r="CF13" s="17"/>
      <c r="CG13" s="13"/>
      <c r="CH13" s="13"/>
      <c r="CI13" s="13"/>
      <c r="CJ13" s="14"/>
      <c r="CK13" s="9"/>
      <c r="CL13" s="16"/>
      <c r="CM13" s="10"/>
      <c r="CN13" s="10"/>
      <c r="CO13" s="10"/>
      <c r="CP13" s="11"/>
      <c r="CQ13" s="12"/>
      <c r="CR13" s="17"/>
      <c r="CS13" s="13"/>
      <c r="CT13" s="13"/>
      <c r="CU13" s="13"/>
      <c r="CV13" s="14"/>
      <c r="CW13" s="9"/>
      <c r="CX13" s="16"/>
      <c r="CY13" s="10"/>
      <c r="CZ13" s="10"/>
      <c r="DA13" s="10"/>
      <c r="DB13" s="11"/>
      <c r="DC13" s="12"/>
      <c r="DD13" s="17"/>
      <c r="DE13" s="13"/>
      <c r="DF13" s="13"/>
      <c r="DG13" s="13"/>
      <c r="DH13" s="14"/>
      <c r="DI13" s="8">
        <f t="shared" si="0"/>
        <v>71</v>
      </c>
      <c r="DJ13" s="8">
        <f t="shared" si="1"/>
        <v>10</v>
      </c>
      <c r="DK13" s="8">
        <f t="shared" si="2"/>
        <v>42</v>
      </c>
      <c r="DL13" s="8">
        <f t="shared" si="3"/>
        <v>74</v>
      </c>
      <c r="DM13" s="8">
        <f t="shared" si="4"/>
        <v>71</v>
      </c>
      <c r="DN13" s="8">
        <f t="shared" si="5"/>
        <v>10</v>
      </c>
      <c r="DO13" s="15">
        <f t="shared" si="6"/>
        <v>25.824877540851958</v>
      </c>
      <c r="DP13" s="15" t="str">
        <f t="shared" si="7"/>
        <v>OK - No Upgrade</v>
      </c>
      <c r="DQ13" s="15" t="str">
        <f t="shared" si="8"/>
        <v>Need to Balance</v>
      </c>
    </row>
    <row r="14" spans="1:121" ht="15.75" customHeight="1" x14ac:dyDescent="0.25">
      <c r="A14" s="8" t="s">
        <v>1459</v>
      </c>
      <c r="B14" s="8" t="s">
        <v>1713</v>
      </c>
      <c r="C14" s="8" t="s">
        <v>394</v>
      </c>
      <c r="D14" s="8" t="s">
        <v>1741</v>
      </c>
      <c r="E14" s="8" t="s">
        <v>1742</v>
      </c>
      <c r="F14" s="8" t="s">
        <v>43</v>
      </c>
      <c r="G14" s="8" t="s">
        <v>44</v>
      </c>
      <c r="H14" s="8">
        <v>200</v>
      </c>
      <c r="I14" s="8" t="s">
        <v>1743</v>
      </c>
      <c r="J14" s="8">
        <v>1</v>
      </c>
      <c r="K14" s="8">
        <v>233</v>
      </c>
      <c r="L14" s="8">
        <v>235</v>
      </c>
      <c r="M14" s="8">
        <v>235</v>
      </c>
      <c r="N14" s="8">
        <v>405</v>
      </c>
      <c r="O14" s="8">
        <v>406</v>
      </c>
      <c r="P14" s="8">
        <v>404</v>
      </c>
      <c r="Q14" s="9" t="s">
        <v>46</v>
      </c>
      <c r="R14" s="16"/>
      <c r="S14" s="10">
        <v>39</v>
      </c>
      <c r="T14" s="10">
        <v>7</v>
      </c>
      <c r="U14" s="10">
        <v>25</v>
      </c>
      <c r="V14" s="11">
        <v>36</v>
      </c>
      <c r="W14" s="12" t="s">
        <v>46</v>
      </c>
      <c r="X14" s="17"/>
      <c r="Y14" s="13">
        <v>13</v>
      </c>
      <c r="Z14" s="13">
        <v>29</v>
      </c>
      <c r="AA14" s="13">
        <v>5</v>
      </c>
      <c r="AB14" s="14">
        <v>22</v>
      </c>
      <c r="AC14" s="9"/>
      <c r="AD14" s="16"/>
      <c r="AE14" s="10"/>
      <c r="AF14" s="10"/>
      <c r="AG14" s="10"/>
      <c r="AH14" s="11"/>
      <c r="AI14" s="12"/>
      <c r="AJ14" s="17"/>
      <c r="AK14" s="13"/>
      <c r="AL14" s="13"/>
      <c r="AM14" s="13"/>
      <c r="AN14" s="14"/>
      <c r="AO14" s="9"/>
      <c r="AP14" s="16"/>
      <c r="AQ14" s="10"/>
      <c r="AR14" s="10"/>
      <c r="AS14" s="10"/>
      <c r="AT14" s="11"/>
      <c r="AU14" s="12"/>
      <c r="AV14" s="17"/>
      <c r="AW14" s="13"/>
      <c r="AX14" s="13"/>
      <c r="AY14" s="13"/>
      <c r="AZ14" s="14"/>
      <c r="BA14" s="9"/>
      <c r="BB14" s="16"/>
      <c r="BC14" s="10"/>
      <c r="BD14" s="10"/>
      <c r="BE14" s="10"/>
      <c r="BF14" s="11"/>
      <c r="BG14" s="12"/>
      <c r="BH14" s="17"/>
      <c r="BI14" s="13"/>
      <c r="BJ14" s="13"/>
      <c r="BK14" s="13"/>
      <c r="BL14" s="14"/>
      <c r="BM14" s="9"/>
      <c r="BN14" s="16"/>
      <c r="BO14" s="10"/>
      <c r="BP14" s="10"/>
      <c r="BQ14" s="10"/>
      <c r="BR14" s="11"/>
      <c r="BS14" s="12"/>
      <c r="BT14" s="17"/>
      <c r="BU14" s="13"/>
      <c r="BV14" s="13"/>
      <c r="BW14" s="13"/>
      <c r="BX14" s="14"/>
      <c r="BY14" s="9"/>
      <c r="BZ14" s="16"/>
      <c r="CA14" s="10"/>
      <c r="CB14" s="10"/>
      <c r="CC14" s="10"/>
      <c r="CD14" s="11"/>
      <c r="CE14" s="12"/>
      <c r="CF14" s="17"/>
      <c r="CG14" s="13"/>
      <c r="CH14" s="13"/>
      <c r="CI14" s="13"/>
      <c r="CJ14" s="14"/>
      <c r="CK14" s="9"/>
      <c r="CL14" s="16"/>
      <c r="CM14" s="10"/>
      <c r="CN14" s="10"/>
      <c r="CO14" s="10"/>
      <c r="CP14" s="11"/>
      <c r="CQ14" s="12"/>
      <c r="CR14" s="17"/>
      <c r="CS14" s="13"/>
      <c r="CT14" s="13"/>
      <c r="CU14" s="13"/>
      <c r="CV14" s="14"/>
      <c r="CW14" s="9"/>
      <c r="CX14" s="16"/>
      <c r="CY14" s="10"/>
      <c r="CZ14" s="10"/>
      <c r="DA14" s="10"/>
      <c r="DB14" s="11"/>
      <c r="DC14" s="12"/>
      <c r="DD14" s="17"/>
      <c r="DE14" s="13"/>
      <c r="DF14" s="13"/>
      <c r="DG14" s="13"/>
      <c r="DH14" s="14"/>
      <c r="DI14" s="8">
        <f t="shared" si="0"/>
        <v>52</v>
      </c>
      <c r="DJ14" s="8">
        <f t="shared" si="1"/>
        <v>36</v>
      </c>
      <c r="DK14" s="8">
        <f t="shared" si="2"/>
        <v>30</v>
      </c>
      <c r="DL14" s="8">
        <f t="shared" si="3"/>
        <v>58</v>
      </c>
      <c r="DM14" s="8">
        <f t="shared" si="4"/>
        <v>52</v>
      </c>
      <c r="DN14" s="8">
        <f t="shared" si="5"/>
        <v>30</v>
      </c>
      <c r="DO14" s="15">
        <f t="shared" si="6"/>
        <v>18.23849500370028</v>
      </c>
      <c r="DP14" s="15" t="str">
        <f t="shared" si="7"/>
        <v>OK - No Upgrade</v>
      </c>
      <c r="DQ14" s="15" t="str">
        <f t="shared" si="8"/>
        <v>Need to Balance</v>
      </c>
    </row>
    <row r="15" spans="1:121" ht="15.75" customHeight="1" x14ac:dyDescent="0.25">
      <c r="A15" s="8" t="s">
        <v>1459</v>
      </c>
      <c r="B15" s="8" t="s">
        <v>1713</v>
      </c>
      <c r="C15" s="8" t="s">
        <v>394</v>
      </c>
      <c r="D15" s="8" t="s">
        <v>1744</v>
      </c>
      <c r="E15" s="8" t="s">
        <v>1745</v>
      </c>
      <c r="F15" s="8" t="s">
        <v>43</v>
      </c>
      <c r="G15" s="8" t="s">
        <v>44</v>
      </c>
      <c r="H15" s="8">
        <v>315</v>
      </c>
      <c r="I15" s="8" t="s">
        <v>1746</v>
      </c>
      <c r="J15" s="8">
        <v>1</v>
      </c>
      <c r="K15" s="8">
        <v>234</v>
      </c>
      <c r="L15" s="8">
        <v>235</v>
      </c>
      <c r="M15" s="8">
        <v>235</v>
      </c>
      <c r="N15" s="8">
        <v>405</v>
      </c>
      <c r="O15" s="8">
        <v>407</v>
      </c>
      <c r="P15" s="8">
        <v>406</v>
      </c>
      <c r="Q15" s="9" t="s">
        <v>47</v>
      </c>
      <c r="R15" s="16"/>
      <c r="S15" s="10">
        <v>15</v>
      </c>
      <c r="T15" s="10">
        <v>14</v>
      </c>
      <c r="U15" s="10">
        <v>16</v>
      </c>
      <c r="V15" s="11">
        <v>5</v>
      </c>
      <c r="W15" s="12" t="s">
        <v>47</v>
      </c>
      <c r="X15" s="17"/>
      <c r="Y15" s="13">
        <v>3</v>
      </c>
      <c r="Z15" s="13">
        <v>36</v>
      </c>
      <c r="AA15" s="13">
        <v>12</v>
      </c>
      <c r="AB15" s="14">
        <v>28</v>
      </c>
      <c r="AC15" s="9"/>
      <c r="AD15" s="16"/>
      <c r="AE15" s="10"/>
      <c r="AF15" s="10"/>
      <c r="AG15" s="10"/>
      <c r="AH15" s="11"/>
      <c r="AI15" s="12"/>
      <c r="AJ15" s="17"/>
      <c r="AK15" s="13"/>
      <c r="AL15" s="13"/>
      <c r="AM15" s="13"/>
      <c r="AN15" s="14"/>
      <c r="AO15" s="9"/>
      <c r="AP15" s="16"/>
      <c r="AQ15" s="10"/>
      <c r="AR15" s="10"/>
      <c r="AS15" s="10"/>
      <c r="AT15" s="11"/>
      <c r="AU15" s="12"/>
      <c r="AV15" s="17"/>
      <c r="AW15" s="13"/>
      <c r="AX15" s="13"/>
      <c r="AY15" s="13"/>
      <c r="AZ15" s="14"/>
      <c r="BA15" s="9"/>
      <c r="BB15" s="16"/>
      <c r="BC15" s="10"/>
      <c r="BD15" s="10"/>
      <c r="BE15" s="10"/>
      <c r="BF15" s="11"/>
      <c r="BG15" s="12"/>
      <c r="BH15" s="17"/>
      <c r="BI15" s="13"/>
      <c r="BJ15" s="13"/>
      <c r="BK15" s="13"/>
      <c r="BL15" s="14"/>
      <c r="BM15" s="9"/>
      <c r="BN15" s="16"/>
      <c r="BO15" s="10"/>
      <c r="BP15" s="10"/>
      <c r="BQ15" s="10"/>
      <c r="BR15" s="11"/>
      <c r="BS15" s="12"/>
      <c r="BT15" s="17"/>
      <c r="BU15" s="13"/>
      <c r="BV15" s="13"/>
      <c r="BW15" s="13"/>
      <c r="BX15" s="14"/>
      <c r="BY15" s="9"/>
      <c r="BZ15" s="16"/>
      <c r="CA15" s="10"/>
      <c r="CB15" s="10"/>
      <c r="CC15" s="10"/>
      <c r="CD15" s="11"/>
      <c r="CE15" s="12"/>
      <c r="CF15" s="17"/>
      <c r="CG15" s="13"/>
      <c r="CH15" s="13"/>
      <c r="CI15" s="13"/>
      <c r="CJ15" s="14"/>
      <c r="CK15" s="9"/>
      <c r="CL15" s="16"/>
      <c r="CM15" s="10"/>
      <c r="CN15" s="10"/>
      <c r="CO15" s="10"/>
      <c r="CP15" s="11"/>
      <c r="CQ15" s="12"/>
      <c r="CR15" s="17"/>
      <c r="CS15" s="13"/>
      <c r="CT15" s="13"/>
      <c r="CU15" s="13"/>
      <c r="CV15" s="14"/>
      <c r="CW15" s="9"/>
      <c r="CX15" s="16"/>
      <c r="CY15" s="10"/>
      <c r="CZ15" s="10"/>
      <c r="DA15" s="10"/>
      <c r="DB15" s="11"/>
      <c r="DC15" s="12"/>
      <c r="DD15" s="17"/>
      <c r="DE15" s="13"/>
      <c r="DF15" s="13"/>
      <c r="DG15" s="13"/>
      <c r="DH15" s="14"/>
      <c r="DI15" s="8">
        <f t="shared" si="0"/>
        <v>18</v>
      </c>
      <c r="DJ15" s="8">
        <f t="shared" si="1"/>
        <v>50</v>
      </c>
      <c r="DK15" s="8">
        <f t="shared" si="2"/>
        <v>28</v>
      </c>
      <c r="DL15" s="8">
        <f t="shared" si="3"/>
        <v>33</v>
      </c>
      <c r="DM15" s="8">
        <f t="shared" si="4"/>
        <v>50</v>
      </c>
      <c r="DN15" s="8">
        <f t="shared" si="5"/>
        <v>18</v>
      </c>
      <c r="DO15" s="15">
        <f t="shared" si="6"/>
        <v>11.134612334371354</v>
      </c>
      <c r="DP15" s="15" t="str">
        <f t="shared" si="7"/>
        <v>OK - No Upgrade</v>
      </c>
      <c r="DQ15" s="15" t="str">
        <f t="shared" si="8"/>
        <v>Need to Balance</v>
      </c>
    </row>
    <row r="16" spans="1:121" ht="15.75" customHeight="1" x14ac:dyDescent="0.25">
      <c r="A16" s="8" t="s">
        <v>1459</v>
      </c>
      <c r="B16" s="8" t="s">
        <v>1713</v>
      </c>
      <c r="C16" s="8" t="s">
        <v>394</v>
      </c>
      <c r="D16" s="8" t="s">
        <v>1747</v>
      </c>
      <c r="E16" s="8" t="s">
        <v>1748</v>
      </c>
      <c r="F16" s="8" t="s">
        <v>43</v>
      </c>
      <c r="G16" s="8" t="s">
        <v>44</v>
      </c>
      <c r="H16" s="8">
        <v>315</v>
      </c>
      <c r="I16" s="8" t="s">
        <v>1749</v>
      </c>
      <c r="J16" s="8">
        <v>1</v>
      </c>
      <c r="K16" s="8">
        <v>238</v>
      </c>
      <c r="L16" s="8">
        <v>239</v>
      </c>
      <c r="M16" s="8">
        <v>239</v>
      </c>
      <c r="N16" s="8">
        <v>413</v>
      </c>
      <c r="O16" s="8">
        <v>412</v>
      </c>
      <c r="P16" s="8">
        <v>413</v>
      </c>
      <c r="Q16" s="9" t="s">
        <v>46</v>
      </c>
      <c r="R16" s="16"/>
      <c r="S16" s="10">
        <v>0</v>
      </c>
      <c r="T16" s="10">
        <v>3</v>
      </c>
      <c r="U16" s="10">
        <v>0</v>
      </c>
      <c r="V16" s="11">
        <v>1</v>
      </c>
      <c r="W16" s="12"/>
      <c r="X16" s="17"/>
      <c r="Y16" s="13"/>
      <c r="Z16" s="13"/>
      <c r="AA16" s="13"/>
      <c r="AB16" s="14"/>
      <c r="AC16" s="9"/>
      <c r="AD16" s="16"/>
      <c r="AE16" s="10"/>
      <c r="AF16" s="10"/>
      <c r="AG16" s="10"/>
      <c r="AH16" s="11"/>
      <c r="AI16" s="12"/>
      <c r="AJ16" s="17"/>
      <c r="AK16" s="13"/>
      <c r="AL16" s="13"/>
      <c r="AM16" s="13"/>
      <c r="AN16" s="14"/>
      <c r="AO16" s="9"/>
      <c r="AP16" s="16"/>
      <c r="AQ16" s="10"/>
      <c r="AR16" s="10"/>
      <c r="AS16" s="10"/>
      <c r="AT16" s="11"/>
      <c r="AU16" s="12"/>
      <c r="AV16" s="17"/>
      <c r="AW16" s="13"/>
      <c r="AX16" s="13"/>
      <c r="AY16" s="13"/>
      <c r="AZ16" s="14"/>
      <c r="BA16" s="9"/>
      <c r="BB16" s="16"/>
      <c r="BC16" s="10"/>
      <c r="BD16" s="10"/>
      <c r="BE16" s="10"/>
      <c r="BF16" s="11"/>
      <c r="BG16" s="12"/>
      <c r="BH16" s="17"/>
      <c r="BI16" s="13"/>
      <c r="BJ16" s="13"/>
      <c r="BK16" s="13"/>
      <c r="BL16" s="14"/>
      <c r="BM16" s="9"/>
      <c r="BN16" s="16"/>
      <c r="BO16" s="10"/>
      <c r="BP16" s="10"/>
      <c r="BQ16" s="10"/>
      <c r="BR16" s="11"/>
      <c r="BS16" s="12"/>
      <c r="BT16" s="17"/>
      <c r="BU16" s="13"/>
      <c r="BV16" s="13"/>
      <c r="BW16" s="13"/>
      <c r="BX16" s="14"/>
      <c r="BY16" s="9"/>
      <c r="BZ16" s="16"/>
      <c r="CA16" s="10"/>
      <c r="CB16" s="10"/>
      <c r="CC16" s="10"/>
      <c r="CD16" s="11"/>
      <c r="CE16" s="12"/>
      <c r="CF16" s="17"/>
      <c r="CG16" s="13"/>
      <c r="CH16" s="13"/>
      <c r="CI16" s="13"/>
      <c r="CJ16" s="14"/>
      <c r="CK16" s="9"/>
      <c r="CL16" s="16"/>
      <c r="CM16" s="10"/>
      <c r="CN16" s="10"/>
      <c r="CO16" s="10"/>
      <c r="CP16" s="11"/>
      <c r="CQ16" s="12"/>
      <c r="CR16" s="17"/>
      <c r="CS16" s="13"/>
      <c r="CT16" s="13"/>
      <c r="CU16" s="13"/>
      <c r="CV16" s="14"/>
      <c r="CW16" s="9"/>
      <c r="CX16" s="16"/>
      <c r="CY16" s="10"/>
      <c r="CZ16" s="10"/>
      <c r="DA16" s="10"/>
      <c r="DB16" s="11"/>
      <c r="DC16" s="12"/>
      <c r="DD16" s="17"/>
      <c r="DE16" s="13"/>
      <c r="DF16" s="13"/>
      <c r="DG16" s="13"/>
      <c r="DH16" s="14"/>
      <c r="DI16" s="8">
        <f t="shared" si="0"/>
        <v>0</v>
      </c>
      <c r="DJ16" s="8">
        <f t="shared" si="1"/>
        <v>3</v>
      </c>
      <c r="DK16" s="8">
        <f t="shared" si="2"/>
        <v>0</v>
      </c>
      <c r="DL16" s="8">
        <f t="shared" si="3"/>
        <v>1</v>
      </c>
      <c r="DM16" s="8">
        <f t="shared" si="4"/>
        <v>3</v>
      </c>
      <c r="DN16" s="8">
        <f t="shared" si="5"/>
        <v>0</v>
      </c>
      <c r="DO16" s="15">
        <f t="shared" si="6"/>
        <v>0.68127331764375842</v>
      </c>
      <c r="DP16" s="15" t="str">
        <f t="shared" si="7"/>
        <v>OK - No Upgrade</v>
      </c>
      <c r="DQ16" s="15" t="str">
        <f t="shared" si="8"/>
        <v>Need to Balance</v>
      </c>
    </row>
    <row r="17" spans="1:121" ht="15.75" customHeight="1" x14ac:dyDescent="0.25">
      <c r="A17" s="8" t="s">
        <v>1459</v>
      </c>
      <c r="B17" s="8" t="s">
        <v>1713</v>
      </c>
      <c r="C17" s="8" t="s">
        <v>394</v>
      </c>
      <c r="D17" s="8" t="s">
        <v>1750</v>
      </c>
      <c r="E17" s="8" t="s">
        <v>1751</v>
      </c>
      <c r="F17" s="8" t="s">
        <v>43</v>
      </c>
      <c r="G17" s="8" t="s">
        <v>44</v>
      </c>
      <c r="H17" s="8">
        <v>100</v>
      </c>
      <c r="I17" s="8" t="s">
        <v>1752</v>
      </c>
      <c r="J17" s="8">
        <v>1</v>
      </c>
      <c r="K17" s="8">
        <v>235</v>
      </c>
      <c r="L17" s="8">
        <v>236</v>
      </c>
      <c r="M17" s="8">
        <v>237</v>
      </c>
      <c r="N17" s="8">
        <v>411</v>
      </c>
      <c r="O17" s="8">
        <v>409</v>
      </c>
      <c r="P17" s="8">
        <v>408</v>
      </c>
      <c r="Q17" s="9" t="s">
        <v>46</v>
      </c>
      <c r="R17" s="16"/>
      <c r="S17" s="10">
        <v>50</v>
      </c>
      <c r="T17" s="10">
        <v>35</v>
      </c>
      <c r="U17" s="10">
        <v>29</v>
      </c>
      <c r="V17" s="11">
        <v>25</v>
      </c>
      <c r="W17" s="12"/>
      <c r="X17" s="17"/>
      <c r="Y17" s="13"/>
      <c r="Z17" s="13"/>
      <c r="AA17" s="13"/>
      <c r="AB17" s="14"/>
      <c r="AC17" s="9"/>
      <c r="AD17" s="16"/>
      <c r="AE17" s="10"/>
      <c r="AF17" s="10"/>
      <c r="AG17" s="10"/>
      <c r="AH17" s="11"/>
      <c r="AI17" s="12"/>
      <c r="AJ17" s="17"/>
      <c r="AK17" s="13"/>
      <c r="AL17" s="13"/>
      <c r="AM17" s="13"/>
      <c r="AN17" s="14"/>
      <c r="AO17" s="9"/>
      <c r="AP17" s="16"/>
      <c r="AQ17" s="10"/>
      <c r="AR17" s="10"/>
      <c r="AS17" s="10"/>
      <c r="AT17" s="11"/>
      <c r="AU17" s="12"/>
      <c r="AV17" s="17"/>
      <c r="AW17" s="13"/>
      <c r="AX17" s="13"/>
      <c r="AY17" s="13"/>
      <c r="AZ17" s="14"/>
      <c r="BA17" s="9"/>
      <c r="BB17" s="16"/>
      <c r="BC17" s="10"/>
      <c r="BD17" s="10"/>
      <c r="BE17" s="10"/>
      <c r="BF17" s="11"/>
      <c r="BG17" s="12"/>
      <c r="BH17" s="17"/>
      <c r="BI17" s="13"/>
      <c r="BJ17" s="13"/>
      <c r="BK17" s="13"/>
      <c r="BL17" s="14"/>
      <c r="BM17" s="9"/>
      <c r="BN17" s="16"/>
      <c r="BO17" s="10"/>
      <c r="BP17" s="10"/>
      <c r="BQ17" s="10"/>
      <c r="BR17" s="11"/>
      <c r="BS17" s="12"/>
      <c r="BT17" s="17"/>
      <c r="BU17" s="13"/>
      <c r="BV17" s="13"/>
      <c r="BW17" s="13"/>
      <c r="BX17" s="14"/>
      <c r="BY17" s="9"/>
      <c r="BZ17" s="16"/>
      <c r="CA17" s="10"/>
      <c r="CB17" s="10"/>
      <c r="CC17" s="10"/>
      <c r="CD17" s="11"/>
      <c r="CE17" s="12"/>
      <c r="CF17" s="17"/>
      <c r="CG17" s="13"/>
      <c r="CH17" s="13"/>
      <c r="CI17" s="13"/>
      <c r="CJ17" s="14"/>
      <c r="CK17" s="9"/>
      <c r="CL17" s="16"/>
      <c r="CM17" s="10"/>
      <c r="CN17" s="10"/>
      <c r="CO17" s="10"/>
      <c r="CP17" s="11"/>
      <c r="CQ17" s="12"/>
      <c r="CR17" s="17"/>
      <c r="CS17" s="13"/>
      <c r="CT17" s="13"/>
      <c r="CU17" s="13"/>
      <c r="CV17" s="14"/>
      <c r="CW17" s="9"/>
      <c r="CX17" s="16"/>
      <c r="CY17" s="10"/>
      <c r="CZ17" s="10"/>
      <c r="DA17" s="10"/>
      <c r="DB17" s="11"/>
      <c r="DC17" s="12"/>
      <c r="DD17" s="17"/>
      <c r="DE17" s="13"/>
      <c r="DF17" s="13"/>
      <c r="DG17" s="13"/>
      <c r="DH17" s="14"/>
      <c r="DI17" s="8">
        <f t="shared" si="0"/>
        <v>50</v>
      </c>
      <c r="DJ17" s="8">
        <f t="shared" si="1"/>
        <v>35</v>
      </c>
      <c r="DK17" s="8">
        <f t="shared" si="2"/>
        <v>29</v>
      </c>
      <c r="DL17" s="8">
        <f t="shared" si="3"/>
        <v>25</v>
      </c>
      <c r="DM17" s="8">
        <f t="shared" si="4"/>
        <v>50</v>
      </c>
      <c r="DN17" s="8">
        <f t="shared" si="5"/>
        <v>29</v>
      </c>
      <c r="DO17" s="15">
        <f t="shared" si="6"/>
        <v>35.593644095540427</v>
      </c>
      <c r="DP17" s="15" t="str">
        <f t="shared" si="7"/>
        <v>OK - No Upgrade</v>
      </c>
      <c r="DQ17" s="15" t="str">
        <f t="shared" si="8"/>
        <v>Need to Balance</v>
      </c>
    </row>
    <row r="18" spans="1:121" ht="15.75" customHeight="1" x14ac:dyDescent="0.25">
      <c r="A18" s="8" t="s">
        <v>1459</v>
      </c>
      <c r="B18" s="8" t="s">
        <v>1713</v>
      </c>
      <c r="C18" s="8" t="s">
        <v>394</v>
      </c>
      <c r="D18" s="8" t="s">
        <v>1753</v>
      </c>
      <c r="E18" s="8" t="s">
        <v>1754</v>
      </c>
      <c r="F18" s="8" t="s">
        <v>43</v>
      </c>
      <c r="G18" s="8" t="s">
        <v>44</v>
      </c>
      <c r="H18" s="8">
        <v>100</v>
      </c>
      <c r="I18" s="8" t="s">
        <v>1755</v>
      </c>
      <c r="J18" s="8">
        <v>1</v>
      </c>
      <c r="K18" s="8">
        <v>238</v>
      </c>
      <c r="L18" s="8">
        <v>239</v>
      </c>
      <c r="M18" s="8">
        <v>237</v>
      </c>
      <c r="N18" s="8">
        <v>411</v>
      </c>
      <c r="O18" s="8">
        <v>412</v>
      </c>
      <c r="P18" s="8">
        <v>411</v>
      </c>
      <c r="Q18" s="9" t="s">
        <v>334</v>
      </c>
      <c r="R18" s="16"/>
      <c r="S18" s="10">
        <v>0</v>
      </c>
      <c r="T18" s="10">
        <v>0</v>
      </c>
      <c r="U18" s="10">
        <v>0</v>
      </c>
      <c r="V18" s="11">
        <v>0</v>
      </c>
      <c r="W18" s="12"/>
      <c r="X18" s="17"/>
      <c r="Y18" s="13"/>
      <c r="Z18" s="13"/>
      <c r="AA18" s="13"/>
      <c r="AB18" s="14"/>
      <c r="AC18" s="9"/>
      <c r="AD18" s="16"/>
      <c r="AE18" s="10"/>
      <c r="AF18" s="10"/>
      <c r="AG18" s="10"/>
      <c r="AH18" s="11"/>
      <c r="AI18" s="12"/>
      <c r="AJ18" s="17"/>
      <c r="AK18" s="13"/>
      <c r="AL18" s="13"/>
      <c r="AM18" s="13"/>
      <c r="AN18" s="14"/>
      <c r="AO18" s="9"/>
      <c r="AP18" s="16"/>
      <c r="AQ18" s="10"/>
      <c r="AR18" s="10"/>
      <c r="AS18" s="10"/>
      <c r="AT18" s="11"/>
      <c r="AU18" s="12"/>
      <c r="AV18" s="17"/>
      <c r="AW18" s="13"/>
      <c r="AX18" s="13"/>
      <c r="AY18" s="13"/>
      <c r="AZ18" s="14"/>
      <c r="BA18" s="9"/>
      <c r="BB18" s="16"/>
      <c r="BC18" s="10"/>
      <c r="BD18" s="10"/>
      <c r="BE18" s="10"/>
      <c r="BF18" s="11"/>
      <c r="BG18" s="12"/>
      <c r="BH18" s="17"/>
      <c r="BI18" s="13"/>
      <c r="BJ18" s="13"/>
      <c r="BK18" s="13"/>
      <c r="BL18" s="14"/>
      <c r="BM18" s="9"/>
      <c r="BN18" s="16"/>
      <c r="BO18" s="10"/>
      <c r="BP18" s="10"/>
      <c r="BQ18" s="10"/>
      <c r="BR18" s="11"/>
      <c r="BS18" s="12"/>
      <c r="BT18" s="17"/>
      <c r="BU18" s="13"/>
      <c r="BV18" s="13"/>
      <c r="BW18" s="13"/>
      <c r="BX18" s="14"/>
      <c r="BY18" s="9"/>
      <c r="BZ18" s="16"/>
      <c r="CA18" s="10"/>
      <c r="CB18" s="10"/>
      <c r="CC18" s="10"/>
      <c r="CD18" s="11"/>
      <c r="CE18" s="12"/>
      <c r="CF18" s="17"/>
      <c r="CG18" s="13"/>
      <c r="CH18" s="13"/>
      <c r="CI18" s="13"/>
      <c r="CJ18" s="14"/>
      <c r="CK18" s="9"/>
      <c r="CL18" s="16"/>
      <c r="CM18" s="10"/>
      <c r="CN18" s="10"/>
      <c r="CO18" s="10"/>
      <c r="CP18" s="11"/>
      <c r="CQ18" s="12"/>
      <c r="CR18" s="17"/>
      <c r="CS18" s="13"/>
      <c r="CT18" s="13"/>
      <c r="CU18" s="13"/>
      <c r="CV18" s="14"/>
      <c r="CW18" s="9"/>
      <c r="CX18" s="16"/>
      <c r="CY18" s="10"/>
      <c r="CZ18" s="10"/>
      <c r="DA18" s="10"/>
      <c r="DB18" s="11"/>
      <c r="DC18" s="12"/>
      <c r="DD18" s="17"/>
      <c r="DE18" s="13"/>
      <c r="DF18" s="13"/>
      <c r="DG18" s="13"/>
      <c r="DH18" s="14"/>
      <c r="DI18" s="8">
        <f t="shared" si="0"/>
        <v>0</v>
      </c>
      <c r="DJ18" s="8">
        <f t="shared" si="1"/>
        <v>0</v>
      </c>
      <c r="DK18" s="8">
        <f t="shared" si="2"/>
        <v>0</v>
      </c>
      <c r="DL18" s="8">
        <f t="shared" si="3"/>
        <v>0</v>
      </c>
      <c r="DM18" s="8">
        <f t="shared" si="4"/>
        <v>0</v>
      </c>
      <c r="DN18" s="8">
        <f t="shared" si="5"/>
        <v>0</v>
      </c>
      <c r="DO18" s="15">
        <f t="shared" si="6"/>
        <v>0</v>
      </c>
      <c r="DP18" s="15" t="str">
        <f t="shared" si="7"/>
        <v>OK - No Upgrade</v>
      </c>
      <c r="DQ18" s="15" t="str">
        <f t="shared" si="8"/>
        <v>OK - Balanced</v>
      </c>
    </row>
    <row r="19" spans="1:121" ht="15.75" customHeight="1" x14ac:dyDescent="0.25">
      <c r="A19" s="8" t="s">
        <v>1459</v>
      </c>
      <c r="B19" s="8" t="s">
        <v>1713</v>
      </c>
      <c r="C19" s="8" t="s">
        <v>394</v>
      </c>
      <c r="D19" s="8" t="s">
        <v>1756</v>
      </c>
      <c r="E19" s="8" t="s">
        <v>1757</v>
      </c>
      <c r="F19" s="8" t="s">
        <v>56</v>
      </c>
      <c r="G19" s="8" t="s">
        <v>44</v>
      </c>
      <c r="H19" s="8">
        <v>500</v>
      </c>
      <c r="I19" s="8" t="s">
        <v>1758</v>
      </c>
      <c r="J19" s="8">
        <v>1</v>
      </c>
      <c r="K19" s="8">
        <v>240</v>
      </c>
      <c r="L19" s="8">
        <v>241</v>
      </c>
      <c r="M19" s="8">
        <v>241</v>
      </c>
      <c r="N19" s="8">
        <v>418</v>
      </c>
      <c r="O19" s="8">
        <v>417</v>
      </c>
      <c r="P19" s="8">
        <v>417</v>
      </c>
      <c r="Q19" s="9" t="s">
        <v>70</v>
      </c>
      <c r="R19" s="16"/>
      <c r="S19" s="10">
        <v>18</v>
      </c>
      <c r="T19" s="10">
        <v>35</v>
      </c>
      <c r="U19" s="10">
        <v>15</v>
      </c>
      <c r="V19" s="11">
        <v>23</v>
      </c>
      <c r="W19" s="12" t="s">
        <v>70</v>
      </c>
      <c r="X19" s="17"/>
      <c r="Y19" s="13">
        <v>18</v>
      </c>
      <c r="Z19" s="13">
        <v>38</v>
      </c>
      <c r="AA19" s="13">
        <v>35</v>
      </c>
      <c r="AB19" s="14">
        <v>12</v>
      </c>
      <c r="AC19" s="9"/>
      <c r="AD19" s="16"/>
      <c r="AE19" s="10"/>
      <c r="AF19" s="10"/>
      <c r="AG19" s="10"/>
      <c r="AH19" s="11"/>
      <c r="AI19" s="12"/>
      <c r="AJ19" s="17"/>
      <c r="AK19" s="13"/>
      <c r="AL19" s="13"/>
      <c r="AM19" s="13"/>
      <c r="AN19" s="14"/>
      <c r="AO19" s="9" t="s">
        <v>132</v>
      </c>
      <c r="AP19" s="16"/>
      <c r="AQ19" s="10">
        <v>0</v>
      </c>
      <c r="AR19" s="10">
        <v>12</v>
      </c>
      <c r="AS19" s="10">
        <v>11</v>
      </c>
      <c r="AT19" s="11">
        <v>12</v>
      </c>
      <c r="AU19" s="12" t="s">
        <v>132</v>
      </c>
      <c r="AV19" s="17"/>
      <c r="AW19" s="13">
        <v>0</v>
      </c>
      <c r="AX19" s="13">
        <v>0</v>
      </c>
      <c r="AY19" s="13">
        <v>0</v>
      </c>
      <c r="AZ19" s="14">
        <v>0</v>
      </c>
      <c r="BA19" s="9"/>
      <c r="BB19" s="16"/>
      <c r="BC19" s="10"/>
      <c r="BD19" s="10"/>
      <c r="BE19" s="10"/>
      <c r="BF19" s="11"/>
      <c r="BG19" s="12"/>
      <c r="BH19" s="17"/>
      <c r="BI19" s="13"/>
      <c r="BJ19" s="13"/>
      <c r="BK19" s="13"/>
      <c r="BL19" s="14"/>
      <c r="BM19" s="9"/>
      <c r="BN19" s="16"/>
      <c r="BO19" s="10"/>
      <c r="BP19" s="10"/>
      <c r="BQ19" s="10"/>
      <c r="BR19" s="11"/>
      <c r="BS19" s="12"/>
      <c r="BT19" s="17"/>
      <c r="BU19" s="13"/>
      <c r="BV19" s="13"/>
      <c r="BW19" s="13"/>
      <c r="BX19" s="14"/>
      <c r="BY19" s="9"/>
      <c r="BZ19" s="16"/>
      <c r="CA19" s="10"/>
      <c r="CB19" s="10"/>
      <c r="CC19" s="10"/>
      <c r="CD19" s="11"/>
      <c r="CE19" s="12"/>
      <c r="CF19" s="17"/>
      <c r="CG19" s="13"/>
      <c r="CH19" s="13"/>
      <c r="CI19" s="13"/>
      <c r="CJ19" s="14"/>
      <c r="CK19" s="9"/>
      <c r="CL19" s="16"/>
      <c r="CM19" s="10"/>
      <c r="CN19" s="10"/>
      <c r="CO19" s="10"/>
      <c r="CP19" s="11"/>
      <c r="CQ19" s="12"/>
      <c r="CR19" s="17"/>
      <c r="CS19" s="13"/>
      <c r="CT19" s="13"/>
      <c r="CU19" s="13"/>
      <c r="CV19" s="14"/>
      <c r="CW19" s="9"/>
      <c r="CX19" s="16"/>
      <c r="CY19" s="10"/>
      <c r="CZ19" s="10"/>
      <c r="DA19" s="10"/>
      <c r="DB19" s="11"/>
      <c r="DC19" s="12"/>
      <c r="DD19" s="17"/>
      <c r="DE19" s="13"/>
      <c r="DF19" s="13"/>
      <c r="DG19" s="13"/>
      <c r="DH19" s="14"/>
      <c r="DI19" s="8">
        <f t="shared" si="0"/>
        <v>36</v>
      </c>
      <c r="DJ19" s="8">
        <f t="shared" si="1"/>
        <v>85</v>
      </c>
      <c r="DK19" s="8">
        <f t="shared" si="2"/>
        <v>61</v>
      </c>
      <c r="DL19" s="8">
        <f t="shared" si="3"/>
        <v>47</v>
      </c>
      <c r="DM19" s="8">
        <f t="shared" si="4"/>
        <v>85</v>
      </c>
      <c r="DN19" s="8">
        <f t="shared" si="5"/>
        <v>36</v>
      </c>
      <c r="DO19" s="15">
        <f t="shared" si="6"/>
        <v>12.30795303858444</v>
      </c>
      <c r="DP19" s="15" t="str">
        <f t="shared" si="7"/>
        <v>OK - No Upgrade</v>
      </c>
      <c r="DQ19" s="15" t="str">
        <f t="shared" si="8"/>
        <v>Need to Balance</v>
      </c>
    </row>
    <row r="20" spans="1:121" ht="15.75" customHeight="1" x14ac:dyDescent="0.25">
      <c r="A20" s="8" t="s">
        <v>1459</v>
      </c>
      <c r="B20" s="8" t="s">
        <v>1713</v>
      </c>
      <c r="C20" s="8" t="s">
        <v>394</v>
      </c>
      <c r="D20" s="8" t="s">
        <v>1759</v>
      </c>
      <c r="E20" s="8" t="s">
        <v>1760</v>
      </c>
      <c r="F20" s="8" t="s">
        <v>43</v>
      </c>
      <c r="G20" s="8" t="s">
        <v>44</v>
      </c>
      <c r="H20" s="8">
        <v>315</v>
      </c>
      <c r="I20" s="8" t="s">
        <v>1761</v>
      </c>
      <c r="J20" s="8">
        <v>1</v>
      </c>
      <c r="K20" s="8">
        <v>238</v>
      </c>
      <c r="L20" s="8">
        <v>238</v>
      </c>
      <c r="M20" s="8">
        <v>238</v>
      </c>
      <c r="N20" s="8">
        <v>412</v>
      </c>
      <c r="O20" s="8">
        <v>413</v>
      </c>
      <c r="P20" s="8">
        <v>411</v>
      </c>
      <c r="Q20" s="9" t="s">
        <v>47</v>
      </c>
      <c r="R20" s="16"/>
      <c r="S20" s="10">
        <v>0</v>
      </c>
      <c r="T20" s="10">
        <v>0</v>
      </c>
      <c r="U20" s="10">
        <v>0</v>
      </c>
      <c r="V20" s="11">
        <v>0</v>
      </c>
      <c r="W20" s="12" t="s">
        <v>46</v>
      </c>
      <c r="X20" s="17"/>
      <c r="Y20" s="13">
        <v>0</v>
      </c>
      <c r="Z20" s="13">
        <v>0</v>
      </c>
      <c r="AA20" s="13">
        <v>0</v>
      </c>
      <c r="AB20" s="14">
        <v>0</v>
      </c>
      <c r="AC20" s="9" t="s">
        <v>47</v>
      </c>
      <c r="AD20" s="16"/>
      <c r="AE20" s="10">
        <v>10</v>
      </c>
      <c r="AF20" s="10">
        <v>4</v>
      </c>
      <c r="AG20" s="10">
        <v>7</v>
      </c>
      <c r="AH20" s="11">
        <v>3</v>
      </c>
      <c r="AI20" s="12"/>
      <c r="AJ20" s="17"/>
      <c r="AK20" s="13"/>
      <c r="AL20" s="13"/>
      <c r="AM20" s="13"/>
      <c r="AN20" s="14"/>
      <c r="AO20" s="9"/>
      <c r="AP20" s="16"/>
      <c r="AQ20" s="10"/>
      <c r="AR20" s="10"/>
      <c r="AS20" s="10"/>
      <c r="AT20" s="11"/>
      <c r="AU20" s="12"/>
      <c r="AV20" s="17"/>
      <c r="AW20" s="13"/>
      <c r="AX20" s="13"/>
      <c r="AY20" s="13"/>
      <c r="AZ20" s="14"/>
      <c r="BA20" s="9"/>
      <c r="BB20" s="16"/>
      <c r="BC20" s="10"/>
      <c r="BD20" s="10"/>
      <c r="BE20" s="10"/>
      <c r="BF20" s="11"/>
      <c r="BG20" s="12"/>
      <c r="BH20" s="17"/>
      <c r="BI20" s="13"/>
      <c r="BJ20" s="13"/>
      <c r="BK20" s="13"/>
      <c r="BL20" s="14"/>
      <c r="BM20" s="9"/>
      <c r="BN20" s="16"/>
      <c r="BO20" s="10"/>
      <c r="BP20" s="10"/>
      <c r="BQ20" s="10"/>
      <c r="BR20" s="11"/>
      <c r="BS20" s="12"/>
      <c r="BT20" s="17"/>
      <c r="BU20" s="13"/>
      <c r="BV20" s="13"/>
      <c r="BW20" s="13"/>
      <c r="BX20" s="14"/>
      <c r="BY20" s="9"/>
      <c r="BZ20" s="16"/>
      <c r="CA20" s="10"/>
      <c r="CB20" s="10"/>
      <c r="CC20" s="10"/>
      <c r="CD20" s="11"/>
      <c r="CE20" s="12"/>
      <c r="CF20" s="17"/>
      <c r="CG20" s="13"/>
      <c r="CH20" s="13"/>
      <c r="CI20" s="13"/>
      <c r="CJ20" s="14"/>
      <c r="CK20" s="9"/>
      <c r="CL20" s="16"/>
      <c r="CM20" s="10"/>
      <c r="CN20" s="10"/>
      <c r="CO20" s="10"/>
      <c r="CP20" s="11"/>
      <c r="CQ20" s="12"/>
      <c r="CR20" s="17"/>
      <c r="CS20" s="13"/>
      <c r="CT20" s="13"/>
      <c r="CU20" s="13"/>
      <c r="CV20" s="14"/>
      <c r="CW20" s="9"/>
      <c r="CX20" s="16"/>
      <c r="CY20" s="10"/>
      <c r="CZ20" s="10"/>
      <c r="DA20" s="10"/>
      <c r="DB20" s="11"/>
      <c r="DC20" s="12"/>
      <c r="DD20" s="17"/>
      <c r="DE20" s="13"/>
      <c r="DF20" s="13"/>
      <c r="DG20" s="13"/>
      <c r="DH20" s="14"/>
      <c r="DI20" s="8">
        <f t="shared" si="0"/>
        <v>10</v>
      </c>
      <c r="DJ20" s="8">
        <f t="shared" si="1"/>
        <v>4</v>
      </c>
      <c r="DK20" s="8">
        <f t="shared" si="2"/>
        <v>7</v>
      </c>
      <c r="DL20" s="8">
        <f t="shared" si="3"/>
        <v>3</v>
      </c>
      <c r="DM20" s="8">
        <f t="shared" si="4"/>
        <v>10</v>
      </c>
      <c r="DN20" s="8">
        <f t="shared" si="5"/>
        <v>4</v>
      </c>
      <c r="DO20" s="15">
        <f t="shared" si="6"/>
        <v>2.2654124848202457</v>
      </c>
      <c r="DP20" s="15" t="str">
        <f t="shared" si="7"/>
        <v>OK - No Upgrade</v>
      </c>
      <c r="DQ20" s="15" t="str">
        <f t="shared" si="8"/>
        <v>Need to Balance</v>
      </c>
    </row>
    <row r="21" spans="1:121" ht="15.75" customHeight="1" x14ac:dyDescent="0.25">
      <c r="A21" s="8" t="s">
        <v>1459</v>
      </c>
      <c r="B21" s="8" t="s">
        <v>1713</v>
      </c>
      <c r="C21" s="8" t="s">
        <v>394</v>
      </c>
      <c r="D21" s="8" t="s">
        <v>1762</v>
      </c>
      <c r="E21" s="8" t="s">
        <v>1763</v>
      </c>
      <c r="F21" s="8" t="s">
        <v>43</v>
      </c>
      <c r="G21" s="8" t="s">
        <v>44</v>
      </c>
      <c r="H21" s="8">
        <v>100</v>
      </c>
      <c r="I21" s="8" t="s">
        <v>1764</v>
      </c>
      <c r="J21" s="8">
        <v>1</v>
      </c>
      <c r="K21" s="8">
        <v>237</v>
      </c>
      <c r="L21" s="8">
        <v>237</v>
      </c>
      <c r="M21" s="8">
        <v>238</v>
      </c>
      <c r="N21" s="8">
        <v>412</v>
      </c>
      <c r="O21" s="8">
        <v>411</v>
      </c>
      <c r="P21" s="8">
        <v>411</v>
      </c>
      <c r="Q21" s="9" t="s">
        <v>46</v>
      </c>
      <c r="R21" s="16"/>
      <c r="S21" s="10">
        <v>0</v>
      </c>
      <c r="T21" s="10">
        <v>0</v>
      </c>
      <c r="U21" s="10">
        <v>0</v>
      </c>
      <c r="V21" s="11">
        <v>0</v>
      </c>
      <c r="W21" s="12"/>
      <c r="X21" s="17"/>
      <c r="Y21" s="13"/>
      <c r="Z21" s="13"/>
      <c r="AA21" s="13"/>
      <c r="AB21" s="14"/>
      <c r="AC21" s="9"/>
      <c r="AD21" s="16"/>
      <c r="AE21" s="10"/>
      <c r="AF21" s="10"/>
      <c r="AG21" s="10"/>
      <c r="AH21" s="11"/>
      <c r="AI21" s="12"/>
      <c r="AJ21" s="17"/>
      <c r="AK21" s="13"/>
      <c r="AL21" s="13"/>
      <c r="AM21" s="13"/>
      <c r="AN21" s="14"/>
      <c r="AO21" s="9"/>
      <c r="AP21" s="16"/>
      <c r="AQ21" s="10"/>
      <c r="AR21" s="10"/>
      <c r="AS21" s="10"/>
      <c r="AT21" s="11"/>
      <c r="AU21" s="12"/>
      <c r="AV21" s="17"/>
      <c r="AW21" s="13"/>
      <c r="AX21" s="13"/>
      <c r="AY21" s="13"/>
      <c r="AZ21" s="14"/>
      <c r="BA21" s="9"/>
      <c r="BB21" s="16"/>
      <c r="BC21" s="10"/>
      <c r="BD21" s="10"/>
      <c r="BE21" s="10"/>
      <c r="BF21" s="11"/>
      <c r="BG21" s="12"/>
      <c r="BH21" s="17"/>
      <c r="BI21" s="13"/>
      <c r="BJ21" s="13"/>
      <c r="BK21" s="13"/>
      <c r="BL21" s="14"/>
      <c r="BM21" s="9"/>
      <c r="BN21" s="16"/>
      <c r="BO21" s="10"/>
      <c r="BP21" s="10"/>
      <c r="BQ21" s="10"/>
      <c r="BR21" s="11"/>
      <c r="BS21" s="12"/>
      <c r="BT21" s="17"/>
      <c r="BU21" s="13"/>
      <c r="BV21" s="13"/>
      <c r="BW21" s="13"/>
      <c r="BX21" s="14"/>
      <c r="BY21" s="9"/>
      <c r="BZ21" s="16"/>
      <c r="CA21" s="10"/>
      <c r="CB21" s="10"/>
      <c r="CC21" s="10"/>
      <c r="CD21" s="11"/>
      <c r="CE21" s="12"/>
      <c r="CF21" s="17"/>
      <c r="CG21" s="13"/>
      <c r="CH21" s="13"/>
      <c r="CI21" s="13"/>
      <c r="CJ21" s="14"/>
      <c r="CK21" s="9"/>
      <c r="CL21" s="16"/>
      <c r="CM21" s="10"/>
      <c r="CN21" s="10"/>
      <c r="CO21" s="10"/>
      <c r="CP21" s="11"/>
      <c r="CQ21" s="12"/>
      <c r="CR21" s="17"/>
      <c r="CS21" s="13"/>
      <c r="CT21" s="13"/>
      <c r="CU21" s="13"/>
      <c r="CV21" s="14"/>
      <c r="CW21" s="9"/>
      <c r="CX21" s="16"/>
      <c r="CY21" s="10"/>
      <c r="CZ21" s="10"/>
      <c r="DA21" s="10"/>
      <c r="DB21" s="11"/>
      <c r="DC21" s="12"/>
      <c r="DD21" s="17"/>
      <c r="DE21" s="13"/>
      <c r="DF21" s="13"/>
      <c r="DG21" s="13"/>
      <c r="DH21" s="14"/>
      <c r="DI21" s="8">
        <f t="shared" si="0"/>
        <v>0</v>
      </c>
      <c r="DJ21" s="8">
        <f t="shared" si="1"/>
        <v>0</v>
      </c>
      <c r="DK21" s="8">
        <f t="shared" si="2"/>
        <v>0</v>
      </c>
      <c r="DL21" s="8">
        <f t="shared" si="3"/>
        <v>0</v>
      </c>
      <c r="DM21" s="8">
        <f t="shared" si="4"/>
        <v>0</v>
      </c>
      <c r="DN21" s="8">
        <f t="shared" si="5"/>
        <v>0</v>
      </c>
      <c r="DO21" s="15">
        <f t="shared" si="6"/>
        <v>0</v>
      </c>
      <c r="DP21" s="15" t="str">
        <f t="shared" si="7"/>
        <v>OK - No Upgrade</v>
      </c>
      <c r="DQ21" s="15" t="str">
        <f t="shared" si="8"/>
        <v>OK - Balanced</v>
      </c>
    </row>
    <row r="22" spans="1:121" ht="15.75" customHeight="1" x14ac:dyDescent="0.25">
      <c r="A22" s="8" t="s">
        <v>1459</v>
      </c>
      <c r="B22" s="8" t="s">
        <v>1713</v>
      </c>
      <c r="C22" s="8" t="s">
        <v>394</v>
      </c>
      <c r="D22" s="8" t="s">
        <v>1765</v>
      </c>
      <c r="E22" s="8" t="s">
        <v>1766</v>
      </c>
      <c r="F22" s="8" t="s">
        <v>43</v>
      </c>
      <c r="G22" s="8" t="s">
        <v>44</v>
      </c>
      <c r="H22" s="8">
        <v>315</v>
      </c>
      <c r="I22" s="8" t="s">
        <v>1767</v>
      </c>
      <c r="J22" s="8">
        <v>1</v>
      </c>
      <c r="K22" s="8">
        <v>237</v>
      </c>
      <c r="L22" s="8">
        <v>238</v>
      </c>
      <c r="M22" s="8">
        <v>238</v>
      </c>
      <c r="N22" s="8">
        <v>412</v>
      </c>
      <c r="O22" s="8">
        <v>414</v>
      </c>
      <c r="P22" s="8">
        <v>412</v>
      </c>
      <c r="Q22" s="9" t="s">
        <v>46</v>
      </c>
      <c r="R22" s="16"/>
      <c r="S22" s="10">
        <v>57</v>
      </c>
      <c r="T22" s="10">
        <v>7</v>
      </c>
      <c r="U22" s="10">
        <v>48</v>
      </c>
      <c r="V22" s="11">
        <v>43</v>
      </c>
      <c r="W22" s="12"/>
      <c r="X22" s="17"/>
      <c r="Y22" s="13"/>
      <c r="Z22" s="13"/>
      <c r="AA22" s="13"/>
      <c r="AB22" s="14"/>
      <c r="AC22" s="9"/>
      <c r="AD22" s="16"/>
      <c r="AE22" s="10"/>
      <c r="AF22" s="10"/>
      <c r="AG22" s="10"/>
      <c r="AH22" s="11"/>
      <c r="AI22" s="12"/>
      <c r="AJ22" s="17"/>
      <c r="AK22" s="13"/>
      <c r="AL22" s="13"/>
      <c r="AM22" s="13"/>
      <c r="AN22" s="14"/>
      <c r="AO22" s="9"/>
      <c r="AP22" s="16"/>
      <c r="AQ22" s="10"/>
      <c r="AR22" s="10"/>
      <c r="AS22" s="10"/>
      <c r="AT22" s="11"/>
      <c r="AU22" s="12"/>
      <c r="AV22" s="17"/>
      <c r="AW22" s="13"/>
      <c r="AX22" s="13"/>
      <c r="AY22" s="13"/>
      <c r="AZ22" s="14"/>
      <c r="BA22" s="9"/>
      <c r="BB22" s="16"/>
      <c r="BC22" s="10"/>
      <c r="BD22" s="10"/>
      <c r="BE22" s="10"/>
      <c r="BF22" s="11"/>
      <c r="BG22" s="12"/>
      <c r="BH22" s="17"/>
      <c r="BI22" s="13"/>
      <c r="BJ22" s="13"/>
      <c r="BK22" s="13"/>
      <c r="BL22" s="14"/>
      <c r="BM22" s="9"/>
      <c r="BN22" s="16"/>
      <c r="BO22" s="10"/>
      <c r="BP22" s="10"/>
      <c r="BQ22" s="10"/>
      <c r="BR22" s="11"/>
      <c r="BS22" s="12"/>
      <c r="BT22" s="17"/>
      <c r="BU22" s="13"/>
      <c r="BV22" s="13"/>
      <c r="BW22" s="13"/>
      <c r="BX22" s="14"/>
      <c r="BY22" s="9"/>
      <c r="BZ22" s="16"/>
      <c r="CA22" s="10"/>
      <c r="CB22" s="10"/>
      <c r="CC22" s="10"/>
      <c r="CD22" s="11"/>
      <c r="CE22" s="12"/>
      <c r="CF22" s="17"/>
      <c r="CG22" s="13"/>
      <c r="CH22" s="13"/>
      <c r="CI22" s="13"/>
      <c r="CJ22" s="14"/>
      <c r="CK22" s="9"/>
      <c r="CL22" s="16"/>
      <c r="CM22" s="10"/>
      <c r="CN22" s="10"/>
      <c r="CO22" s="10"/>
      <c r="CP22" s="11"/>
      <c r="CQ22" s="12"/>
      <c r="CR22" s="17"/>
      <c r="CS22" s="13"/>
      <c r="CT22" s="13"/>
      <c r="CU22" s="13"/>
      <c r="CV22" s="14"/>
      <c r="CW22" s="9"/>
      <c r="CX22" s="16"/>
      <c r="CY22" s="10"/>
      <c r="CZ22" s="10"/>
      <c r="DA22" s="10"/>
      <c r="DB22" s="11"/>
      <c r="DC22" s="12"/>
      <c r="DD22" s="17"/>
      <c r="DE22" s="13"/>
      <c r="DF22" s="13"/>
      <c r="DG22" s="13"/>
      <c r="DH22" s="14"/>
      <c r="DI22" s="8">
        <f t="shared" si="0"/>
        <v>57</v>
      </c>
      <c r="DJ22" s="8">
        <f t="shared" si="1"/>
        <v>7</v>
      </c>
      <c r="DK22" s="8">
        <f t="shared" si="2"/>
        <v>48</v>
      </c>
      <c r="DL22" s="8">
        <f t="shared" si="3"/>
        <v>43</v>
      </c>
      <c r="DM22" s="8">
        <f t="shared" si="4"/>
        <v>57</v>
      </c>
      <c r="DN22" s="8">
        <f t="shared" si="5"/>
        <v>7</v>
      </c>
      <c r="DO22" s="15">
        <f t="shared" si="6"/>
        <v>12.9128511634754</v>
      </c>
      <c r="DP22" s="15" t="str">
        <f t="shared" si="7"/>
        <v>OK - No Upgrade</v>
      </c>
      <c r="DQ22" s="15" t="str">
        <f t="shared" si="8"/>
        <v>Need to Balance</v>
      </c>
    </row>
    <row r="23" spans="1:121" ht="15.75" customHeight="1" x14ac:dyDescent="0.25">
      <c r="A23" s="8" t="s">
        <v>1459</v>
      </c>
      <c r="B23" s="8" t="s">
        <v>1713</v>
      </c>
      <c r="C23" s="8" t="s">
        <v>394</v>
      </c>
      <c r="D23" s="8" t="s">
        <v>1768</v>
      </c>
      <c r="E23" s="8" t="s">
        <v>1769</v>
      </c>
      <c r="F23" s="8" t="s">
        <v>43</v>
      </c>
      <c r="G23" s="8" t="s">
        <v>44</v>
      </c>
      <c r="H23" s="8">
        <v>315</v>
      </c>
      <c r="I23" s="8" t="s">
        <v>1770</v>
      </c>
      <c r="J23" s="8">
        <v>1</v>
      </c>
      <c r="K23" s="8">
        <v>237</v>
      </c>
      <c r="L23" s="8">
        <v>238</v>
      </c>
      <c r="M23" s="8">
        <v>238</v>
      </c>
      <c r="N23" s="8">
        <v>414</v>
      </c>
      <c r="O23" s="8">
        <v>413</v>
      </c>
      <c r="P23" s="8">
        <v>411</v>
      </c>
      <c r="Q23" s="9" t="s">
        <v>47</v>
      </c>
      <c r="R23" s="16"/>
      <c r="S23" s="10">
        <v>89</v>
      </c>
      <c r="T23" s="10">
        <v>66</v>
      </c>
      <c r="U23" s="10">
        <v>40</v>
      </c>
      <c r="V23" s="11">
        <v>52</v>
      </c>
      <c r="W23" s="12"/>
      <c r="X23" s="17"/>
      <c r="Y23" s="13"/>
      <c r="Z23" s="13"/>
      <c r="AA23" s="13"/>
      <c r="AB23" s="14"/>
      <c r="AC23" s="9"/>
      <c r="AD23" s="16"/>
      <c r="AE23" s="10"/>
      <c r="AF23" s="10"/>
      <c r="AG23" s="10"/>
      <c r="AH23" s="11"/>
      <c r="AI23" s="12"/>
      <c r="AJ23" s="17"/>
      <c r="AK23" s="13"/>
      <c r="AL23" s="13"/>
      <c r="AM23" s="13"/>
      <c r="AN23" s="14"/>
      <c r="AO23" s="9"/>
      <c r="AP23" s="16"/>
      <c r="AQ23" s="10"/>
      <c r="AR23" s="10"/>
      <c r="AS23" s="10"/>
      <c r="AT23" s="11"/>
      <c r="AU23" s="12"/>
      <c r="AV23" s="17"/>
      <c r="AW23" s="13"/>
      <c r="AX23" s="13"/>
      <c r="AY23" s="13"/>
      <c r="AZ23" s="14"/>
      <c r="BA23" s="9"/>
      <c r="BB23" s="16"/>
      <c r="BC23" s="10"/>
      <c r="BD23" s="10"/>
      <c r="BE23" s="10"/>
      <c r="BF23" s="11"/>
      <c r="BG23" s="12"/>
      <c r="BH23" s="17"/>
      <c r="BI23" s="13"/>
      <c r="BJ23" s="13"/>
      <c r="BK23" s="13"/>
      <c r="BL23" s="14"/>
      <c r="BM23" s="9"/>
      <c r="BN23" s="16"/>
      <c r="BO23" s="10"/>
      <c r="BP23" s="10"/>
      <c r="BQ23" s="10"/>
      <c r="BR23" s="11"/>
      <c r="BS23" s="12"/>
      <c r="BT23" s="17"/>
      <c r="BU23" s="13"/>
      <c r="BV23" s="13"/>
      <c r="BW23" s="13"/>
      <c r="BX23" s="14"/>
      <c r="BY23" s="9"/>
      <c r="BZ23" s="16"/>
      <c r="CA23" s="10"/>
      <c r="CB23" s="10"/>
      <c r="CC23" s="10"/>
      <c r="CD23" s="11"/>
      <c r="CE23" s="12"/>
      <c r="CF23" s="17"/>
      <c r="CG23" s="13"/>
      <c r="CH23" s="13"/>
      <c r="CI23" s="13"/>
      <c r="CJ23" s="14"/>
      <c r="CK23" s="9"/>
      <c r="CL23" s="16"/>
      <c r="CM23" s="10"/>
      <c r="CN23" s="10"/>
      <c r="CO23" s="10"/>
      <c r="CP23" s="11"/>
      <c r="CQ23" s="12"/>
      <c r="CR23" s="17"/>
      <c r="CS23" s="13"/>
      <c r="CT23" s="13"/>
      <c r="CU23" s="13"/>
      <c r="CV23" s="14"/>
      <c r="CW23" s="9"/>
      <c r="CX23" s="16"/>
      <c r="CY23" s="10"/>
      <c r="CZ23" s="10"/>
      <c r="DA23" s="10"/>
      <c r="DB23" s="11"/>
      <c r="DC23" s="12"/>
      <c r="DD23" s="17"/>
      <c r="DE23" s="13"/>
      <c r="DF23" s="13"/>
      <c r="DG23" s="13"/>
      <c r="DH23" s="14"/>
      <c r="DI23" s="8">
        <f t="shared" si="0"/>
        <v>89</v>
      </c>
      <c r="DJ23" s="8">
        <f t="shared" si="1"/>
        <v>66</v>
      </c>
      <c r="DK23" s="8">
        <f t="shared" si="2"/>
        <v>40</v>
      </c>
      <c r="DL23" s="8">
        <f t="shared" si="3"/>
        <v>52</v>
      </c>
      <c r="DM23" s="8">
        <f t="shared" si="4"/>
        <v>89</v>
      </c>
      <c r="DN23" s="8">
        <f t="shared" si="5"/>
        <v>40</v>
      </c>
      <c r="DO23" s="15">
        <f t="shared" si="6"/>
        <v>20.260045731962808</v>
      </c>
      <c r="DP23" s="15" t="str">
        <f t="shared" si="7"/>
        <v>OK - No Upgrade</v>
      </c>
      <c r="DQ23" s="15" t="str">
        <f t="shared" si="8"/>
        <v>Need to Balance</v>
      </c>
    </row>
    <row r="24" spans="1:121" ht="15.75" customHeight="1" x14ac:dyDescent="0.25">
      <c r="A24" s="8" t="s">
        <v>1459</v>
      </c>
      <c r="B24" s="8" t="s">
        <v>1713</v>
      </c>
      <c r="C24" s="8" t="s">
        <v>394</v>
      </c>
      <c r="D24" s="8" t="s">
        <v>1771</v>
      </c>
      <c r="E24" s="8" t="s">
        <v>1772</v>
      </c>
      <c r="F24" s="8" t="s">
        <v>43</v>
      </c>
      <c r="G24" s="8" t="s">
        <v>44</v>
      </c>
      <c r="H24" s="8">
        <v>315</v>
      </c>
      <c r="I24" s="8" t="s">
        <v>1773</v>
      </c>
      <c r="J24" s="8">
        <v>1</v>
      </c>
      <c r="K24" s="8">
        <v>237</v>
      </c>
      <c r="L24" s="8">
        <v>238</v>
      </c>
      <c r="M24" s="8">
        <v>238</v>
      </c>
      <c r="N24" s="8">
        <v>411</v>
      </c>
      <c r="O24" s="8">
        <v>413</v>
      </c>
      <c r="P24" s="8">
        <v>410</v>
      </c>
      <c r="Q24" s="9" t="s">
        <v>46</v>
      </c>
      <c r="R24" s="16"/>
      <c r="S24" s="10">
        <v>86</v>
      </c>
      <c r="T24" s="10">
        <v>43</v>
      </c>
      <c r="U24" s="10">
        <v>125</v>
      </c>
      <c r="V24" s="11">
        <v>46</v>
      </c>
      <c r="W24" s="12" t="s">
        <v>46</v>
      </c>
      <c r="X24" s="17"/>
      <c r="Y24" s="13">
        <v>0</v>
      </c>
      <c r="Z24" s="13">
        <v>0</v>
      </c>
      <c r="AA24" s="13">
        <v>0</v>
      </c>
      <c r="AB24" s="14">
        <v>0</v>
      </c>
      <c r="AC24" s="9"/>
      <c r="AD24" s="16"/>
      <c r="AE24" s="10"/>
      <c r="AF24" s="10"/>
      <c r="AG24" s="10"/>
      <c r="AH24" s="11"/>
      <c r="AI24" s="12"/>
      <c r="AJ24" s="17"/>
      <c r="AK24" s="13"/>
      <c r="AL24" s="13"/>
      <c r="AM24" s="13"/>
      <c r="AN24" s="14"/>
      <c r="AO24" s="9"/>
      <c r="AP24" s="16"/>
      <c r="AQ24" s="10"/>
      <c r="AR24" s="10"/>
      <c r="AS24" s="10"/>
      <c r="AT24" s="11"/>
      <c r="AU24" s="12"/>
      <c r="AV24" s="17"/>
      <c r="AW24" s="13"/>
      <c r="AX24" s="13"/>
      <c r="AY24" s="13"/>
      <c r="AZ24" s="14"/>
      <c r="BA24" s="9"/>
      <c r="BB24" s="16"/>
      <c r="BC24" s="10"/>
      <c r="BD24" s="10"/>
      <c r="BE24" s="10"/>
      <c r="BF24" s="11"/>
      <c r="BG24" s="12"/>
      <c r="BH24" s="17"/>
      <c r="BI24" s="13"/>
      <c r="BJ24" s="13"/>
      <c r="BK24" s="13"/>
      <c r="BL24" s="14"/>
      <c r="BM24" s="9"/>
      <c r="BN24" s="16"/>
      <c r="BO24" s="10"/>
      <c r="BP24" s="10"/>
      <c r="BQ24" s="10"/>
      <c r="BR24" s="11"/>
      <c r="BS24" s="12"/>
      <c r="BT24" s="17"/>
      <c r="BU24" s="13"/>
      <c r="BV24" s="13"/>
      <c r="BW24" s="13"/>
      <c r="BX24" s="14"/>
      <c r="BY24" s="9"/>
      <c r="BZ24" s="16"/>
      <c r="CA24" s="10"/>
      <c r="CB24" s="10"/>
      <c r="CC24" s="10"/>
      <c r="CD24" s="11"/>
      <c r="CE24" s="12"/>
      <c r="CF24" s="17"/>
      <c r="CG24" s="13"/>
      <c r="CH24" s="13"/>
      <c r="CI24" s="13"/>
      <c r="CJ24" s="14"/>
      <c r="CK24" s="9"/>
      <c r="CL24" s="16"/>
      <c r="CM24" s="10"/>
      <c r="CN24" s="10"/>
      <c r="CO24" s="10"/>
      <c r="CP24" s="11"/>
      <c r="CQ24" s="12"/>
      <c r="CR24" s="17"/>
      <c r="CS24" s="13"/>
      <c r="CT24" s="13"/>
      <c r="CU24" s="13"/>
      <c r="CV24" s="14"/>
      <c r="CW24" s="9"/>
      <c r="CX24" s="16"/>
      <c r="CY24" s="10"/>
      <c r="CZ24" s="10"/>
      <c r="DA24" s="10"/>
      <c r="DB24" s="11"/>
      <c r="DC24" s="12"/>
      <c r="DD24" s="17"/>
      <c r="DE24" s="13"/>
      <c r="DF24" s="13"/>
      <c r="DG24" s="13"/>
      <c r="DH24" s="14"/>
      <c r="DI24" s="8">
        <f t="shared" si="0"/>
        <v>86</v>
      </c>
      <c r="DJ24" s="8">
        <f t="shared" si="1"/>
        <v>43</v>
      </c>
      <c r="DK24" s="8">
        <f t="shared" si="2"/>
        <v>125</v>
      </c>
      <c r="DL24" s="8">
        <f t="shared" si="3"/>
        <v>46</v>
      </c>
      <c r="DM24" s="8">
        <f t="shared" si="4"/>
        <v>125</v>
      </c>
      <c r="DN24" s="8">
        <f t="shared" si="5"/>
        <v>43</v>
      </c>
      <c r="DO24" s="15">
        <f t="shared" si="6"/>
        <v>28.248923885349541</v>
      </c>
      <c r="DP24" s="15" t="str">
        <f t="shared" si="7"/>
        <v>OK - No Upgrade</v>
      </c>
      <c r="DQ24" s="15" t="str">
        <f t="shared" si="8"/>
        <v>Need to Balance</v>
      </c>
    </row>
    <row r="25" spans="1:121" ht="15.75" customHeight="1" x14ac:dyDescent="0.25">
      <c r="A25" s="8" t="s">
        <v>1459</v>
      </c>
      <c r="B25" s="8" t="s">
        <v>1713</v>
      </c>
      <c r="C25" s="8" t="s">
        <v>389</v>
      </c>
      <c r="D25" s="8" t="s">
        <v>1774</v>
      </c>
      <c r="E25" s="8" t="s">
        <v>1775</v>
      </c>
      <c r="F25" s="8" t="s">
        <v>43</v>
      </c>
      <c r="G25" s="8"/>
      <c r="H25" s="8">
        <v>200</v>
      </c>
      <c r="I25" s="8" t="s">
        <v>1776</v>
      </c>
      <c r="J25" s="8">
        <v>1</v>
      </c>
      <c r="K25" s="8">
        <v>237</v>
      </c>
      <c r="L25" s="8">
        <v>237</v>
      </c>
      <c r="M25" s="8">
        <v>232</v>
      </c>
      <c r="N25" s="8">
        <v>405</v>
      </c>
      <c r="O25" s="8">
        <v>405</v>
      </c>
      <c r="P25" s="8">
        <v>413</v>
      </c>
      <c r="Q25" s="9" t="s">
        <v>47</v>
      </c>
      <c r="R25" s="16"/>
      <c r="S25" s="10">
        <v>48</v>
      </c>
      <c r="T25" s="10">
        <v>22</v>
      </c>
      <c r="U25" s="10">
        <v>26</v>
      </c>
      <c r="V25" s="11">
        <v>19</v>
      </c>
      <c r="W25" s="12" t="s">
        <v>334</v>
      </c>
      <c r="X25" s="17"/>
      <c r="Y25" s="13">
        <v>4</v>
      </c>
      <c r="Z25" s="13">
        <v>0</v>
      </c>
      <c r="AA25" s="13">
        <v>12</v>
      </c>
      <c r="AB25" s="14">
        <v>10</v>
      </c>
      <c r="AC25" s="9"/>
      <c r="AD25" s="16"/>
      <c r="AE25" s="10"/>
      <c r="AF25" s="10"/>
      <c r="AG25" s="10"/>
      <c r="AH25" s="11"/>
      <c r="AI25" s="12"/>
      <c r="AJ25" s="17"/>
      <c r="AK25" s="13"/>
      <c r="AL25" s="13"/>
      <c r="AM25" s="13"/>
      <c r="AN25" s="14"/>
      <c r="AO25" s="9"/>
      <c r="AP25" s="16"/>
      <c r="AQ25" s="10"/>
      <c r="AR25" s="10"/>
      <c r="AS25" s="10"/>
      <c r="AT25" s="11"/>
      <c r="AU25" s="12"/>
      <c r="AV25" s="17"/>
      <c r="AW25" s="13"/>
      <c r="AX25" s="13"/>
      <c r="AY25" s="13"/>
      <c r="AZ25" s="14"/>
      <c r="BA25" s="9"/>
      <c r="BB25" s="16"/>
      <c r="BC25" s="10"/>
      <c r="BD25" s="10"/>
      <c r="BE25" s="10"/>
      <c r="BF25" s="11"/>
      <c r="BG25" s="12"/>
      <c r="BH25" s="17"/>
      <c r="BI25" s="13"/>
      <c r="BJ25" s="13"/>
      <c r="BK25" s="13"/>
      <c r="BL25" s="14"/>
      <c r="BM25" s="9"/>
      <c r="BN25" s="16"/>
      <c r="BO25" s="10"/>
      <c r="BP25" s="10"/>
      <c r="BQ25" s="10"/>
      <c r="BR25" s="11"/>
      <c r="BS25" s="12"/>
      <c r="BT25" s="17"/>
      <c r="BU25" s="13"/>
      <c r="BV25" s="13"/>
      <c r="BW25" s="13"/>
      <c r="BX25" s="14"/>
      <c r="BY25" s="9"/>
      <c r="BZ25" s="16"/>
      <c r="CA25" s="10"/>
      <c r="CB25" s="10"/>
      <c r="CC25" s="10"/>
      <c r="CD25" s="11"/>
      <c r="CE25" s="12"/>
      <c r="CF25" s="17"/>
      <c r="CG25" s="13"/>
      <c r="CH25" s="13"/>
      <c r="CI25" s="13"/>
      <c r="CJ25" s="14"/>
      <c r="CK25" s="9"/>
      <c r="CL25" s="16"/>
      <c r="CM25" s="10"/>
      <c r="CN25" s="10"/>
      <c r="CO25" s="10"/>
      <c r="CP25" s="11"/>
      <c r="CQ25" s="12"/>
      <c r="CR25" s="17"/>
      <c r="CS25" s="13"/>
      <c r="CT25" s="13"/>
      <c r="CU25" s="13"/>
      <c r="CV25" s="14"/>
      <c r="CW25" s="9"/>
      <c r="CX25" s="16"/>
      <c r="CY25" s="10"/>
      <c r="CZ25" s="10"/>
      <c r="DA25" s="10"/>
      <c r="DB25" s="11"/>
      <c r="DC25" s="12"/>
      <c r="DD25" s="17"/>
      <c r="DE25" s="13"/>
      <c r="DF25" s="13"/>
      <c r="DG25" s="13"/>
      <c r="DH25" s="14"/>
      <c r="DI25" s="8">
        <f t="shared" si="0"/>
        <v>52</v>
      </c>
      <c r="DJ25" s="8">
        <f t="shared" si="1"/>
        <v>22</v>
      </c>
      <c r="DK25" s="8">
        <f t="shared" si="2"/>
        <v>38</v>
      </c>
      <c r="DL25" s="8">
        <f t="shared" si="3"/>
        <v>29</v>
      </c>
      <c r="DM25" s="8">
        <f t="shared" si="4"/>
        <v>52</v>
      </c>
      <c r="DN25" s="8">
        <f t="shared" si="5"/>
        <v>22</v>
      </c>
      <c r="DO25" s="15">
        <f t="shared" si="6"/>
        <v>18.23849500370028</v>
      </c>
      <c r="DP25" s="15" t="str">
        <f t="shared" si="7"/>
        <v>OK - No Upgrade</v>
      </c>
      <c r="DQ25" s="15" t="str">
        <f t="shared" si="8"/>
        <v>Need to Balance</v>
      </c>
    </row>
    <row r="26" spans="1:121" ht="15.75" customHeight="1" x14ac:dyDescent="0.25">
      <c r="A26" s="8" t="s">
        <v>1459</v>
      </c>
      <c r="B26" s="8" t="s">
        <v>1713</v>
      </c>
      <c r="C26" s="8" t="s">
        <v>389</v>
      </c>
      <c r="D26" s="8" t="s">
        <v>1777</v>
      </c>
      <c r="E26" s="8" t="s">
        <v>1778</v>
      </c>
      <c r="F26" s="8" t="s">
        <v>43</v>
      </c>
      <c r="G26" s="8"/>
      <c r="H26" s="8">
        <v>100</v>
      </c>
      <c r="I26" s="8" t="s">
        <v>1779</v>
      </c>
      <c r="J26" s="8">
        <v>1</v>
      </c>
      <c r="K26" s="8">
        <v>230</v>
      </c>
      <c r="L26" s="8">
        <v>227</v>
      </c>
      <c r="M26" s="8">
        <v>223</v>
      </c>
      <c r="N26" s="8">
        <v>392</v>
      </c>
      <c r="O26" s="8">
        <v>388</v>
      </c>
      <c r="P26" s="8">
        <v>399</v>
      </c>
      <c r="Q26" s="9" t="s">
        <v>47</v>
      </c>
      <c r="R26" s="16"/>
      <c r="S26" s="10">
        <v>0</v>
      </c>
      <c r="T26" s="10">
        <v>0</v>
      </c>
      <c r="U26" s="10">
        <v>0</v>
      </c>
      <c r="V26" s="11">
        <v>0</v>
      </c>
      <c r="W26" s="12" t="s">
        <v>47</v>
      </c>
      <c r="X26" s="17"/>
      <c r="Y26" s="13">
        <v>0</v>
      </c>
      <c r="Z26" s="13">
        <v>0</v>
      </c>
      <c r="AA26" s="13">
        <v>17</v>
      </c>
      <c r="AB26" s="14">
        <v>14</v>
      </c>
      <c r="AC26" s="9"/>
      <c r="AD26" s="16"/>
      <c r="AE26" s="10"/>
      <c r="AF26" s="10"/>
      <c r="AG26" s="10"/>
      <c r="AH26" s="11"/>
      <c r="AI26" s="12"/>
      <c r="AJ26" s="17"/>
      <c r="AK26" s="13"/>
      <c r="AL26" s="13"/>
      <c r="AM26" s="13"/>
      <c r="AN26" s="14"/>
      <c r="AO26" s="9"/>
      <c r="AP26" s="16"/>
      <c r="AQ26" s="10"/>
      <c r="AR26" s="10"/>
      <c r="AS26" s="10"/>
      <c r="AT26" s="11"/>
      <c r="AU26" s="12"/>
      <c r="AV26" s="17"/>
      <c r="AW26" s="13"/>
      <c r="AX26" s="13"/>
      <c r="AY26" s="13"/>
      <c r="AZ26" s="14"/>
      <c r="BA26" s="9"/>
      <c r="BB26" s="16"/>
      <c r="BC26" s="10"/>
      <c r="BD26" s="10"/>
      <c r="BE26" s="10"/>
      <c r="BF26" s="11"/>
      <c r="BG26" s="12"/>
      <c r="BH26" s="17"/>
      <c r="BI26" s="13"/>
      <c r="BJ26" s="13"/>
      <c r="BK26" s="13"/>
      <c r="BL26" s="14"/>
      <c r="BM26" s="9"/>
      <c r="BN26" s="16"/>
      <c r="BO26" s="10"/>
      <c r="BP26" s="10"/>
      <c r="BQ26" s="10"/>
      <c r="BR26" s="11"/>
      <c r="BS26" s="12"/>
      <c r="BT26" s="17"/>
      <c r="BU26" s="13"/>
      <c r="BV26" s="13"/>
      <c r="BW26" s="13"/>
      <c r="BX26" s="14"/>
      <c r="BY26" s="9"/>
      <c r="BZ26" s="16"/>
      <c r="CA26" s="10"/>
      <c r="CB26" s="10"/>
      <c r="CC26" s="10"/>
      <c r="CD26" s="11"/>
      <c r="CE26" s="12"/>
      <c r="CF26" s="17"/>
      <c r="CG26" s="13"/>
      <c r="CH26" s="13"/>
      <c r="CI26" s="13"/>
      <c r="CJ26" s="14"/>
      <c r="CK26" s="9"/>
      <c r="CL26" s="16"/>
      <c r="CM26" s="10"/>
      <c r="CN26" s="10"/>
      <c r="CO26" s="10"/>
      <c r="CP26" s="11"/>
      <c r="CQ26" s="12"/>
      <c r="CR26" s="17"/>
      <c r="CS26" s="13"/>
      <c r="CT26" s="13"/>
      <c r="CU26" s="13"/>
      <c r="CV26" s="14"/>
      <c r="CW26" s="9"/>
      <c r="CX26" s="16"/>
      <c r="CY26" s="10"/>
      <c r="CZ26" s="10"/>
      <c r="DA26" s="10"/>
      <c r="DB26" s="11"/>
      <c r="DC26" s="12"/>
      <c r="DD26" s="17"/>
      <c r="DE26" s="13"/>
      <c r="DF26" s="13"/>
      <c r="DG26" s="13"/>
      <c r="DH26" s="14"/>
      <c r="DI26" s="8">
        <f t="shared" si="0"/>
        <v>0</v>
      </c>
      <c r="DJ26" s="8">
        <f t="shared" si="1"/>
        <v>0</v>
      </c>
      <c r="DK26" s="8">
        <f t="shared" si="2"/>
        <v>17</v>
      </c>
      <c r="DL26" s="8">
        <f t="shared" si="3"/>
        <v>14</v>
      </c>
      <c r="DM26" s="8">
        <f t="shared" si="4"/>
        <v>17</v>
      </c>
      <c r="DN26" s="8">
        <f t="shared" si="5"/>
        <v>0</v>
      </c>
      <c r="DO26" s="15">
        <f t="shared" si="6"/>
        <v>11.542386581638999</v>
      </c>
      <c r="DP26" s="15" t="str">
        <f t="shared" si="7"/>
        <v>OK - No Upgrade</v>
      </c>
      <c r="DQ26" s="15" t="str">
        <f t="shared" si="8"/>
        <v>Need to Balance</v>
      </c>
    </row>
    <row r="27" spans="1:121" ht="15.75" customHeight="1" x14ac:dyDescent="0.25">
      <c r="A27" s="8" t="s">
        <v>1459</v>
      </c>
      <c r="B27" s="8" t="s">
        <v>1713</v>
      </c>
      <c r="C27" s="8" t="s">
        <v>389</v>
      </c>
      <c r="D27" s="8" t="s">
        <v>1780</v>
      </c>
      <c r="E27" s="8" t="s">
        <v>1781</v>
      </c>
      <c r="F27" s="8" t="s">
        <v>43</v>
      </c>
      <c r="G27" s="8"/>
      <c r="H27" s="8">
        <v>100</v>
      </c>
      <c r="I27" s="8" t="s">
        <v>1782</v>
      </c>
      <c r="J27" s="8">
        <v>1</v>
      </c>
      <c r="K27" s="8">
        <v>232</v>
      </c>
      <c r="L27" s="8">
        <v>229</v>
      </c>
      <c r="M27" s="8">
        <v>224</v>
      </c>
      <c r="N27" s="8">
        <v>394</v>
      </c>
      <c r="O27" s="8">
        <v>398</v>
      </c>
      <c r="P27" s="8">
        <v>399</v>
      </c>
      <c r="Q27" s="9" t="s">
        <v>47</v>
      </c>
      <c r="R27" s="16"/>
      <c r="S27" s="10">
        <v>3</v>
      </c>
      <c r="T27" s="10">
        <v>4</v>
      </c>
      <c r="U27" s="10">
        <v>2</v>
      </c>
      <c r="V27" s="11">
        <v>1</v>
      </c>
      <c r="W27" s="12" t="s">
        <v>47</v>
      </c>
      <c r="X27" s="17"/>
      <c r="Y27" s="13">
        <v>0</v>
      </c>
      <c r="Z27" s="13">
        <v>0</v>
      </c>
      <c r="AA27" s="13">
        <v>0</v>
      </c>
      <c r="AB27" s="14">
        <v>0</v>
      </c>
      <c r="AC27" s="9"/>
      <c r="AD27" s="16"/>
      <c r="AE27" s="10"/>
      <c r="AF27" s="10"/>
      <c r="AG27" s="10"/>
      <c r="AH27" s="11"/>
      <c r="AI27" s="12"/>
      <c r="AJ27" s="17"/>
      <c r="AK27" s="13"/>
      <c r="AL27" s="13"/>
      <c r="AM27" s="13"/>
      <c r="AN27" s="14"/>
      <c r="AO27" s="9"/>
      <c r="AP27" s="16"/>
      <c r="AQ27" s="10"/>
      <c r="AR27" s="10"/>
      <c r="AS27" s="10"/>
      <c r="AT27" s="11"/>
      <c r="AU27" s="12"/>
      <c r="AV27" s="17"/>
      <c r="AW27" s="13"/>
      <c r="AX27" s="13"/>
      <c r="AY27" s="13"/>
      <c r="AZ27" s="14"/>
      <c r="BA27" s="9"/>
      <c r="BB27" s="16"/>
      <c r="BC27" s="10"/>
      <c r="BD27" s="10"/>
      <c r="BE27" s="10"/>
      <c r="BF27" s="11"/>
      <c r="BG27" s="12"/>
      <c r="BH27" s="17"/>
      <c r="BI27" s="13"/>
      <c r="BJ27" s="13"/>
      <c r="BK27" s="13"/>
      <c r="BL27" s="14"/>
      <c r="BM27" s="9"/>
      <c r="BN27" s="16"/>
      <c r="BO27" s="10"/>
      <c r="BP27" s="10"/>
      <c r="BQ27" s="10"/>
      <c r="BR27" s="11"/>
      <c r="BS27" s="12"/>
      <c r="BT27" s="17"/>
      <c r="BU27" s="13"/>
      <c r="BV27" s="13"/>
      <c r="BW27" s="13"/>
      <c r="BX27" s="14"/>
      <c r="BY27" s="9"/>
      <c r="BZ27" s="16"/>
      <c r="CA27" s="10"/>
      <c r="CB27" s="10"/>
      <c r="CC27" s="10"/>
      <c r="CD27" s="11"/>
      <c r="CE27" s="12"/>
      <c r="CF27" s="17"/>
      <c r="CG27" s="13"/>
      <c r="CH27" s="13"/>
      <c r="CI27" s="13"/>
      <c r="CJ27" s="14"/>
      <c r="CK27" s="9"/>
      <c r="CL27" s="16"/>
      <c r="CM27" s="10"/>
      <c r="CN27" s="10"/>
      <c r="CO27" s="10"/>
      <c r="CP27" s="11"/>
      <c r="CQ27" s="12"/>
      <c r="CR27" s="17"/>
      <c r="CS27" s="13"/>
      <c r="CT27" s="13"/>
      <c r="CU27" s="13"/>
      <c r="CV27" s="14"/>
      <c r="CW27" s="9"/>
      <c r="CX27" s="16"/>
      <c r="CY27" s="10"/>
      <c r="CZ27" s="10"/>
      <c r="DA27" s="10"/>
      <c r="DB27" s="11"/>
      <c r="DC27" s="12"/>
      <c r="DD27" s="17"/>
      <c r="DE27" s="13"/>
      <c r="DF27" s="13"/>
      <c r="DG27" s="13"/>
      <c r="DH27" s="14"/>
      <c r="DI27" s="8">
        <f t="shared" si="0"/>
        <v>3</v>
      </c>
      <c r="DJ27" s="8">
        <f t="shared" si="1"/>
        <v>4</v>
      </c>
      <c r="DK27" s="8">
        <f t="shared" si="2"/>
        <v>2</v>
      </c>
      <c r="DL27" s="8">
        <f t="shared" si="3"/>
        <v>1</v>
      </c>
      <c r="DM27" s="8">
        <f t="shared" si="4"/>
        <v>4</v>
      </c>
      <c r="DN27" s="8">
        <f t="shared" si="5"/>
        <v>2</v>
      </c>
      <c r="DO27" s="15">
        <f t="shared" si="6"/>
        <v>2.7297120727285504</v>
      </c>
      <c r="DP27" s="15" t="str">
        <f t="shared" si="7"/>
        <v>OK - No Upgrade</v>
      </c>
      <c r="DQ27" s="15" t="str">
        <f t="shared" si="8"/>
        <v>Need to Balance</v>
      </c>
    </row>
    <row r="28" spans="1:121" ht="15.75" customHeight="1" x14ac:dyDescent="0.25">
      <c r="A28" s="8" t="s">
        <v>1459</v>
      </c>
      <c r="B28" s="8" t="s">
        <v>1713</v>
      </c>
      <c r="C28" s="8" t="s">
        <v>389</v>
      </c>
      <c r="D28" s="8" t="s">
        <v>1783</v>
      </c>
      <c r="E28" s="8" t="s">
        <v>1784</v>
      </c>
      <c r="F28" s="8" t="s">
        <v>43</v>
      </c>
      <c r="G28" s="8"/>
      <c r="H28" s="8">
        <v>100</v>
      </c>
      <c r="I28" s="8" t="s">
        <v>1785</v>
      </c>
      <c r="J28" s="8">
        <v>1</v>
      </c>
      <c r="K28" s="8">
        <v>231</v>
      </c>
      <c r="L28" s="8">
        <v>229</v>
      </c>
      <c r="M28" s="8">
        <v>223</v>
      </c>
      <c r="N28" s="8">
        <v>392</v>
      </c>
      <c r="O28" s="8">
        <v>389</v>
      </c>
      <c r="P28" s="8">
        <v>401</v>
      </c>
      <c r="Q28" s="9" t="s">
        <v>47</v>
      </c>
      <c r="R28" s="16"/>
      <c r="S28" s="10">
        <v>15</v>
      </c>
      <c r="T28" s="10">
        <v>8</v>
      </c>
      <c r="U28" s="10">
        <v>28</v>
      </c>
      <c r="V28" s="11">
        <v>23</v>
      </c>
      <c r="W28" s="12"/>
      <c r="X28" s="17"/>
      <c r="Y28" s="13"/>
      <c r="Z28" s="13"/>
      <c r="AA28" s="13"/>
      <c r="AB28" s="14"/>
      <c r="AC28" s="9"/>
      <c r="AD28" s="16"/>
      <c r="AE28" s="10"/>
      <c r="AF28" s="10"/>
      <c r="AG28" s="10"/>
      <c r="AH28" s="11"/>
      <c r="AI28" s="12"/>
      <c r="AJ28" s="17"/>
      <c r="AK28" s="13"/>
      <c r="AL28" s="13"/>
      <c r="AM28" s="13"/>
      <c r="AN28" s="14"/>
      <c r="AO28" s="9"/>
      <c r="AP28" s="16"/>
      <c r="AQ28" s="10"/>
      <c r="AR28" s="10"/>
      <c r="AS28" s="10"/>
      <c r="AT28" s="11"/>
      <c r="AU28" s="12"/>
      <c r="AV28" s="17"/>
      <c r="AW28" s="13"/>
      <c r="AX28" s="13"/>
      <c r="AY28" s="13"/>
      <c r="AZ28" s="14"/>
      <c r="BA28" s="9"/>
      <c r="BB28" s="16"/>
      <c r="BC28" s="10"/>
      <c r="BD28" s="10"/>
      <c r="BE28" s="10"/>
      <c r="BF28" s="11"/>
      <c r="BG28" s="12"/>
      <c r="BH28" s="17"/>
      <c r="BI28" s="13"/>
      <c r="BJ28" s="13"/>
      <c r="BK28" s="13"/>
      <c r="BL28" s="14"/>
      <c r="BM28" s="9"/>
      <c r="BN28" s="16"/>
      <c r="BO28" s="10"/>
      <c r="BP28" s="10"/>
      <c r="BQ28" s="10"/>
      <c r="BR28" s="11"/>
      <c r="BS28" s="12"/>
      <c r="BT28" s="17"/>
      <c r="BU28" s="13"/>
      <c r="BV28" s="13"/>
      <c r="BW28" s="13"/>
      <c r="BX28" s="14"/>
      <c r="BY28" s="9"/>
      <c r="BZ28" s="16"/>
      <c r="CA28" s="10"/>
      <c r="CB28" s="10"/>
      <c r="CC28" s="10"/>
      <c r="CD28" s="11"/>
      <c r="CE28" s="12"/>
      <c r="CF28" s="17"/>
      <c r="CG28" s="13"/>
      <c r="CH28" s="13"/>
      <c r="CI28" s="13"/>
      <c r="CJ28" s="14"/>
      <c r="CK28" s="9"/>
      <c r="CL28" s="16"/>
      <c r="CM28" s="10"/>
      <c r="CN28" s="10"/>
      <c r="CO28" s="10"/>
      <c r="CP28" s="11"/>
      <c r="CQ28" s="12"/>
      <c r="CR28" s="17"/>
      <c r="CS28" s="13"/>
      <c r="CT28" s="13"/>
      <c r="CU28" s="13"/>
      <c r="CV28" s="14"/>
      <c r="CW28" s="9"/>
      <c r="CX28" s="16"/>
      <c r="CY28" s="10"/>
      <c r="CZ28" s="10"/>
      <c r="DA28" s="10"/>
      <c r="DB28" s="11"/>
      <c r="DC28" s="12"/>
      <c r="DD28" s="17"/>
      <c r="DE28" s="13"/>
      <c r="DF28" s="13"/>
      <c r="DG28" s="13"/>
      <c r="DH28" s="14"/>
      <c r="DI28" s="8">
        <f t="shared" si="0"/>
        <v>15</v>
      </c>
      <c r="DJ28" s="8">
        <f t="shared" si="1"/>
        <v>8</v>
      </c>
      <c r="DK28" s="8">
        <f t="shared" si="2"/>
        <v>28</v>
      </c>
      <c r="DL28" s="8">
        <f t="shared" si="3"/>
        <v>23</v>
      </c>
      <c r="DM28" s="8">
        <f t="shared" si="4"/>
        <v>28</v>
      </c>
      <c r="DN28" s="8">
        <f t="shared" si="5"/>
        <v>8</v>
      </c>
      <c r="DO28" s="15">
        <f t="shared" si="6"/>
        <v>19.010989663875996</v>
      </c>
      <c r="DP28" s="15" t="str">
        <f t="shared" si="7"/>
        <v>OK - No Upgrade</v>
      </c>
      <c r="DQ28" s="15" t="str">
        <f t="shared" si="8"/>
        <v>Need to Balance</v>
      </c>
    </row>
    <row r="29" spans="1:121" ht="15.75" customHeight="1" x14ac:dyDescent="0.25">
      <c r="A29" s="8" t="s">
        <v>1459</v>
      </c>
      <c r="B29" s="8" t="s">
        <v>1713</v>
      </c>
      <c r="C29" s="8" t="s">
        <v>389</v>
      </c>
      <c r="D29" s="8" t="s">
        <v>1786</v>
      </c>
      <c r="E29" s="8" t="s">
        <v>1787</v>
      </c>
      <c r="F29" s="8" t="s">
        <v>43</v>
      </c>
      <c r="G29" s="8"/>
      <c r="H29" s="8">
        <v>50</v>
      </c>
      <c r="I29" s="8" t="s">
        <v>1788</v>
      </c>
      <c r="J29" s="8">
        <v>1</v>
      </c>
      <c r="K29" s="8">
        <v>229</v>
      </c>
      <c r="L29" s="8">
        <v>230</v>
      </c>
      <c r="M29" s="8">
        <v>228</v>
      </c>
      <c r="N29" s="8">
        <v>398</v>
      </c>
      <c r="O29" s="8">
        <v>397</v>
      </c>
      <c r="P29" s="8">
        <v>401</v>
      </c>
      <c r="Q29" s="9" t="s">
        <v>46</v>
      </c>
      <c r="R29" s="16"/>
      <c r="S29" s="10">
        <v>6</v>
      </c>
      <c r="T29" s="10">
        <v>4</v>
      </c>
      <c r="U29" s="10">
        <v>5</v>
      </c>
      <c r="V29" s="11">
        <v>11</v>
      </c>
      <c r="W29" s="12"/>
      <c r="X29" s="17"/>
      <c r="Y29" s="13"/>
      <c r="Z29" s="13"/>
      <c r="AA29" s="13"/>
      <c r="AB29" s="14"/>
      <c r="AC29" s="9"/>
      <c r="AD29" s="16"/>
      <c r="AE29" s="10"/>
      <c r="AF29" s="10"/>
      <c r="AG29" s="10"/>
      <c r="AH29" s="11"/>
      <c r="AI29" s="12"/>
      <c r="AJ29" s="17"/>
      <c r="AK29" s="13"/>
      <c r="AL29" s="13"/>
      <c r="AM29" s="13"/>
      <c r="AN29" s="14"/>
      <c r="AO29" s="9"/>
      <c r="AP29" s="16"/>
      <c r="AQ29" s="10"/>
      <c r="AR29" s="10"/>
      <c r="AS29" s="10"/>
      <c r="AT29" s="11"/>
      <c r="AU29" s="12"/>
      <c r="AV29" s="17"/>
      <c r="AW29" s="13"/>
      <c r="AX29" s="13"/>
      <c r="AY29" s="13"/>
      <c r="AZ29" s="14"/>
      <c r="BA29" s="9"/>
      <c r="BB29" s="16"/>
      <c r="BC29" s="10"/>
      <c r="BD29" s="10"/>
      <c r="BE29" s="10"/>
      <c r="BF29" s="11"/>
      <c r="BG29" s="12"/>
      <c r="BH29" s="17"/>
      <c r="BI29" s="13"/>
      <c r="BJ29" s="13"/>
      <c r="BK29" s="13"/>
      <c r="BL29" s="14"/>
      <c r="BM29" s="9"/>
      <c r="BN29" s="16"/>
      <c r="BO29" s="10"/>
      <c r="BP29" s="10"/>
      <c r="BQ29" s="10"/>
      <c r="BR29" s="11"/>
      <c r="BS29" s="12"/>
      <c r="BT29" s="17"/>
      <c r="BU29" s="13"/>
      <c r="BV29" s="13"/>
      <c r="BW29" s="13"/>
      <c r="BX29" s="14"/>
      <c r="BY29" s="9"/>
      <c r="BZ29" s="16"/>
      <c r="CA29" s="10"/>
      <c r="CB29" s="10"/>
      <c r="CC29" s="10"/>
      <c r="CD29" s="11"/>
      <c r="CE29" s="12"/>
      <c r="CF29" s="17"/>
      <c r="CG29" s="13"/>
      <c r="CH29" s="13"/>
      <c r="CI29" s="13"/>
      <c r="CJ29" s="14"/>
      <c r="CK29" s="9"/>
      <c r="CL29" s="16"/>
      <c r="CM29" s="10"/>
      <c r="CN29" s="10"/>
      <c r="CO29" s="10"/>
      <c r="CP29" s="11"/>
      <c r="CQ29" s="12"/>
      <c r="CR29" s="17"/>
      <c r="CS29" s="13"/>
      <c r="CT29" s="13"/>
      <c r="CU29" s="13"/>
      <c r="CV29" s="14"/>
      <c r="CW29" s="9"/>
      <c r="CX29" s="16"/>
      <c r="CY29" s="10"/>
      <c r="CZ29" s="10"/>
      <c r="DA29" s="10"/>
      <c r="DB29" s="11"/>
      <c r="DC29" s="12"/>
      <c r="DD29" s="17"/>
      <c r="DE29" s="13"/>
      <c r="DF29" s="13"/>
      <c r="DG29" s="13"/>
      <c r="DH29" s="14"/>
      <c r="DI29" s="8">
        <f t="shared" si="0"/>
        <v>6</v>
      </c>
      <c r="DJ29" s="8">
        <f t="shared" si="1"/>
        <v>4</v>
      </c>
      <c r="DK29" s="8">
        <f t="shared" si="2"/>
        <v>5</v>
      </c>
      <c r="DL29" s="8">
        <f t="shared" si="3"/>
        <v>11</v>
      </c>
      <c r="DM29" s="8">
        <f t="shared" si="4"/>
        <v>6</v>
      </c>
      <c r="DN29" s="8">
        <f t="shared" si="5"/>
        <v>4</v>
      </c>
      <c r="DO29" s="15">
        <f t="shared" si="6"/>
        <v>8.2722746569489569</v>
      </c>
      <c r="DP29" s="15" t="str">
        <f t="shared" si="7"/>
        <v>OK - No Upgrade</v>
      </c>
      <c r="DQ29" s="15" t="str">
        <f t="shared" si="8"/>
        <v>Need to Balance</v>
      </c>
    </row>
    <row r="30" spans="1:121" ht="15.75" customHeight="1" x14ac:dyDescent="0.25">
      <c r="A30" s="8" t="s">
        <v>1459</v>
      </c>
      <c r="B30" s="8" t="s">
        <v>1713</v>
      </c>
      <c r="C30" s="8" t="s">
        <v>389</v>
      </c>
      <c r="D30" s="8" t="s">
        <v>1789</v>
      </c>
      <c r="E30" s="8" t="s">
        <v>1784</v>
      </c>
      <c r="F30" s="8" t="s">
        <v>43</v>
      </c>
      <c r="G30" s="8"/>
      <c r="H30" s="8">
        <v>100</v>
      </c>
      <c r="I30" s="8" t="s">
        <v>1790</v>
      </c>
      <c r="J30" s="8">
        <v>1</v>
      </c>
      <c r="K30" s="8">
        <v>227</v>
      </c>
      <c r="L30" s="8">
        <v>222</v>
      </c>
      <c r="M30" s="8">
        <v>219</v>
      </c>
      <c r="N30" s="8">
        <v>387</v>
      </c>
      <c r="O30" s="8">
        <v>388</v>
      </c>
      <c r="P30" s="8">
        <v>390</v>
      </c>
      <c r="Q30" s="9" t="s">
        <v>46</v>
      </c>
      <c r="R30" s="16"/>
      <c r="S30" s="10">
        <v>8</v>
      </c>
      <c r="T30" s="10">
        <v>6</v>
      </c>
      <c r="U30" s="10">
        <v>5</v>
      </c>
      <c r="V30" s="11">
        <v>12</v>
      </c>
      <c r="W30" s="12"/>
      <c r="X30" s="17"/>
      <c r="Y30" s="13"/>
      <c r="Z30" s="13"/>
      <c r="AA30" s="13"/>
      <c r="AB30" s="14"/>
      <c r="AC30" s="9"/>
      <c r="AD30" s="16"/>
      <c r="AE30" s="10"/>
      <c r="AF30" s="10"/>
      <c r="AG30" s="10"/>
      <c r="AH30" s="11"/>
      <c r="AI30" s="12"/>
      <c r="AJ30" s="17"/>
      <c r="AK30" s="13"/>
      <c r="AL30" s="13"/>
      <c r="AM30" s="13"/>
      <c r="AN30" s="14"/>
      <c r="AO30" s="9"/>
      <c r="AP30" s="16"/>
      <c r="AQ30" s="10"/>
      <c r="AR30" s="10"/>
      <c r="AS30" s="10"/>
      <c r="AT30" s="11"/>
      <c r="AU30" s="12"/>
      <c r="AV30" s="17"/>
      <c r="AW30" s="13"/>
      <c r="AX30" s="13"/>
      <c r="AY30" s="13"/>
      <c r="AZ30" s="14"/>
      <c r="BA30" s="9"/>
      <c r="BB30" s="16"/>
      <c r="BC30" s="10"/>
      <c r="BD30" s="10"/>
      <c r="BE30" s="10"/>
      <c r="BF30" s="11"/>
      <c r="BG30" s="12"/>
      <c r="BH30" s="17"/>
      <c r="BI30" s="13"/>
      <c r="BJ30" s="13"/>
      <c r="BK30" s="13"/>
      <c r="BL30" s="14"/>
      <c r="BM30" s="9"/>
      <c r="BN30" s="16"/>
      <c r="BO30" s="10"/>
      <c r="BP30" s="10"/>
      <c r="BQ30" s="10"/>
      <c r="BR30" s="11"/>
      <c r="BS30" s="12"/>
      <c r="BT30" s="17"/>
      <c r="BU30" s="13"/>
      <c r="BV30" s="13"/>
      <c r="BW30" s="13"/>
      <c r="BX30" s="14"/>
      <c r="BY30" s="9"/>
      <c r="BZ30" s="16"/>
      <c r="CA30" s="10"/>
      <c r="CB30" s="10"/>
      <c r="CC30" s="10"/>
      <c r="CD30" s="11"/>
      <c r="CE30" s="12"/>
      <c r="CF30" s="17"/>
      <c r="CG30" s="13"/>
      <c r="CH30" s="13"/>
      <c r="CI30" s="13"/>
      <c r="CJ30" s="14"/>
      <c r="CK30" s="9"/>
      <c r="CL30" s="16"/>
      <c r="CM30" s="10"/>
      <c r="CN30" s="10"/>
      <c r="CO30" s="10"/>
      <c r="CP30" s="11"/>
      <c r="CQ30" s="12"/>
      <c r="CR30" s="17"/>
      <c r="CS30" s="13"/>
      <c r="CT30" s="13"/>
      <c r="CU30" s="13"/>
      <c r="CV30" s="14"/>
      <c r="CW30" s="9"/>
      <c r="CX30" s="16"/>
      <c r="CY30" s="10"/>
      <c r="CZ30" s="10"/>
      <c r="DA30" s="10"/>
      <c r="DB30" s="11"/>
      <c r="DC30" s="12"/>
      <c r="DD30" s="17"/>
      <c r="DE30" s="13"/>
      <c r="DF30" s="13"/>
      <c r="DG30" s="13"/>
      <c r="DH30" s="14"/>
      <c r="DI30" s="8">
        <f t="shared" si="0"/>
        <v>8</v>
      </c>
      <c r="DJ30" s="8">
        <f t="shared" si="1"/>
        <v>6</v>
      </c>
      <c r="DK30" s="8">
        <f t="shared" si="2"/>
        <v>5</v>
      </c>
      <c r="DL30" s="8">
        <f t="shared" si="3"/>
        <v>12</v>
      </c>
      <c r="DM30" s="8">
        <f t="shared" si="4"/>
        <v>8</v>
      </c>
      <c r="DN30" s="8">
        <f t="shared" si="5"/>
        <v>5</v>
      </c>
      <c r="DO30" s="15">
        <f t="shared" si="6"/>
        <v>5.3624293002332433</v>
      </c>
      <c r="DP30" s="15" t="str">
        <f t="shared" si="7"/>
        <v>OK - No Upgrade</v>
      </c>
      <c r="DQ30" s="15" t="str">
        <f t="shared" si="8"/>
        <v>Need to Balance</v>
      </c>
    </row>
    <row r="31" spans="1:121" ht="15.75" customHeight="1" x14ac:dyDescent="0.25">
      <c r="A31" s="8" t="s">
        <v>1459</v>
      </c>
      <c r="B31" s="8" t="s">
        <v>1713</v>
      </c>
      <c r="C31" s="8" t="s">
        <v>389</v>
      </c>
      <c r="D31" s="8" t="s">
        <v>1791</v>
      </c>
      <c r="E31" s="8" t="s">
        <v>1792</v>
      </c>
      <c r="F31" s="8" t="s">
        <v>43</v>
      </c>
      <c r="G31" s="8"/>
      <c r="H31" s="8">
        <v>315</v>
      </c>
      <c r="I31" s="8" t="s">
        <v>1793</v>
      </c>
      <c r="J31" s="8">
        <v>1</v>
      </c>
      <c r="K31" s="8">
        <v>239</v>
      </c>
      <c r="L31" s="8">
        <v>234</v>
      </c>
      <c r="M31" s="8">
        <v>230</v>
      </c>
      <c r="N31" s="8">
        <v>407</v>
      </c>
      <c r="O31" s="8">
        <v>397</v>
      </c>
      <c r="P31" s="8">
        <v>416</v>
      </c>
      <c r="Q31" s="9" t="s">
        <v>47</v>
      </c>
      <c r="R31" s="16"/>
      <c r="S31" s="10">
        <v>91</v>
      </c>
      <c r="T31" s="10">
        <v>141</v>
      </c>
      <c r="U31" s="10">
        <v>114</v>
      </c>
      <c r="V31" s="11">
        <v>39</v>
      </c>
      <c r="W31" s="12" t="s">
        <v>46</v>
      </c>
      <c r="X31" s="17"/>
      <c r="Y31" s="13">
        <v>18</v>
      </c>
      <c r="Z31" s="13">
        <v>9</v>
      </c>
      <c r="AA31" s="13">
        <v>4</v>
      </c>
      <c r="AB31" s="14">
        <v>13</v>
      </c>
      <c r="AC31" s="9"/>
      <c r="AD31" s="16"/>
      <c r="AE31" s="10"/>
      <c r="AF31" s="10"/>
      <c r="AG31" s="10"/>
      <c r="AH31" s="11"/>
      <c r="AI31" s="12"/>
      <c r="AJ31" s="17"/>
      <c r="AK31" s="13"/>
      <c r="AL31" s="13"/>
      <c r="AM31" s="13"/>
      <c r="AN31" s="14"/>
      <c r="AO31" s="9"/>
      <c r="AP31" s="16"/>
      <c r="AQ31" s="10"/>
      <c r="AR31" s="10"/>
      <c r="AS31" s="10"/>
      <c r="AT31" s="11"/>
      <c r="AU31" s="12"/>
      <c r="AV31" s="17"/>
      <c r="AW31" s="13"/>
      <c r="AX31" s="13"/>
      <c r="AY31" s="13"/>
      <c r="AZ31" s="14"/>
      <c r="BA31" s="9"/>
      <c r="BB31" s="16"/>
      <c r="BC31" s="10"/>
      <c r="BD31" s="10"/>
      <c r="BE31" s="10"/>
      <c r="BF31" s="11"/>
      <c r="BG31" s="12"/>
      <c r="BH31" s="17"/>
      <c r="BI31" s="13"/>
      <c r="BJ31" s="13"/>
      <c r="BK31" s="13"/>
      <c r="BL31" s="14"/>
      <c r="BM31" s="9"/>
      <c r="BN31" s="16"/>
      <c r="BO31" s="10"/>
      <c r="BP31" s="10"/>
      <c r="BQ31" s="10"/>
      <c r="BR31" s="11"/>
      <c r="BS31" s="12"/>
      <c r="BT31" s="17"/>
      <c r="BU31" s="13"/>
      <c r="BV31" s="13"/>
      <c r="BW31" s="13"/>
      <c r="BX31" s="14"/>
      <c r="BY31" s="9"/>
      <c r="BZ31" s="16"/>
      <c r="CA31" s="10"/>
      <c r="CB31" s="10"/>
      <c r="CC31" s="10"/>
      <c r="CD31" s="11"/>
      <c r="CE31" s="12"/>
      <c r="CF31" s="17"/>
      <c r="CG31" s="13"/>
      <c r="CH31" s="13"/>
      <c r="CI31" s="13"/>
      <c r="CJ31" s="14"/>
      <c r="CK31" s="9"/>
      <c r="CL31" s="16"/>
      <c r="CM31" s="10"/>
      <c r="CN31" s="10"/>
      <c r="CO31" s="10"/>
      <c r="CP31" s="11"/>
      <c r="CQ31" s="12"/>
      <c r="CR31" s="17"/>
      <c r="CS31" s="13"/>
      <c r="CT31" s="13"/>
      <c r="CU31" s="13"/>
      <c r="CV31" s="14"/>
      <c r="CW31" s="9"/>
      <c r="CX31" s="16"/>
      <c r="CY31" s="10"/>
      <c r="CZ31" s="10"/>
      <c r="DA31" s="10"/>
      <c r="DB31" s="11"/>
      <c r="DC31" s="12"/>
      <c r="DD31" s="17"/>
      <c r="DE31" s="13"/>
      <c r="DF31" s="13"/>
      <c r="DG31" s="13"/>
      <c r="DH31" s="14"/>
      <c r="DI31" s="8">
        <f t="shared" si="0"/>
        <v>109</v>
      </c>
      <c r="DJ31" s="8">
        <f t="shared" si="1"/>
        <v>150</v>
      </c>
      <c r="DK31" s="8">
        <f t="shared" si="2"/>
        <v>118</v>
      </c>
      <c r="DL31" s="8">
        <f t="shared" si="3"/>
        <v>52</v>
      </c>
      <c r="DM31" s="8">
        <f t="shared" si="4"/>
        <v>150</v>
      </c>
      <c r="DN31" s="8">
        <f t="shared" si="5"/>
        <v>109</v>
      </c>
      <c r="DO31" s="15">
        <f t="shared" si="6"/>
        <v>33.568794222882524</v>
      </c>
      <c r="DP31" s="15" t="str">
        <f t="shared" si="7"/>
        <v>OK - No Upgrade</v>
      </c>
      <c r="DQ31" s="15" t="str">
        <f t="shared" si="8"/>
        <v>Need to Balance</v>
      </c>
    </row>
    <row r="32" spans="1:121" ht="15.75" customHeight="1" x14ac:dyDescent="0.25">
      <c r="A32" s="8" t="s">
        <v>1459</v>
      </c>
      <c r="B32" s="8" t="s">
        <v>1713</v>
      </c>
      <c r="C32" s="8" t="s">
        <v>389</v>
      </c>
      <c r="D32" s="8" t="s">
        <v>1794</v>
      </c>
      <c r="E32" s="8" t="s">
        <v>1795</v>
      </c>
      <c r="F32" s="8" t="s">
        <v>43</v>
      </c>
      <c r="G32" s="8"/>
      <c r="H32" s="8">
        <v>100</v>
      </c>
      <c r="I32" s="8" t="s">
        <v>711</v>
      </c>
      <c r="J32" s="8">
        <v>1</v>
      </c>
      <c r="K32" s="8">
        <v>226</v>
      </c>
      <c r="L32" s="8">
        <v>223</v>
      </c>
      <c r="M32" s="8">
        <v>216</v>
      </c>
      <c r="N32" s="8">
        <v>382</v>
      </c>
      <c r="O32" s="8">
        <v>378</v>
      </c>
      <c r="P32" s="8">
        <v>392</v>
      </c>
      <c r="Q32" s="9" t="s">
        <v>46</v>
      </c>
      <c r="R32" s="16"/>
      <c r="S32" s="10">
        <v>65</v>
      </c>
      <c r="T32" s="10">
        <v>40</v>
      </c>
      <c r="U32" s="10">
        <v>59</v>
      </c>
      <c r="V32" s="11">
        <v>21</v>
      </c>
      <c r="W32" s="12"/>
      <c r="X32" s="17"/>
      <c r="Y32" s="13"/>
      <c r="Z32" s="13"/>
      <c r="AA32" s="13"/>
      <c r="AB32" s="14"/>
      <c r="AC32" s="9"/>
      <c r="AD32" s="16"/>
      <c r="AE32" s="10"/>
      <c r="AF32" s="10"/>
      <c r="AG32" s="10"/>
      <c r="AH32" s="11"/>
      <c r="AI32" s="12"/>
      <c r="AJ32" s="17"/>
      <c r="AK32" s="13"/>
      <c r="AL32" s="13"/>
      <c r="AM32" s="13"/>
      <c r="AN32" s="14"/>
      <c r="AO32" s="9"/>
      <c r="AP32" s="16"/>
      <c r="AQ32" s="10"/>
      <c r="AR32" s="10"/>
      <c r="AS32" s="10"/>
      <c r="AT32" s="11"/>
      <c r="AU32" s="12"/>
      <c r="AV32" s="17"/>
      <c r="AW32" s="13"/>
      <c r="AX32" s="13"/>
      <c r="AY32" s="13"/>
      <c r="AZ32" s="14"/>
      <c r="BA32" s="9"/>
      <c r="BB32" s="16"/>
      <c r="BC32" s="10"/>
      <c r="BD32" s="10"/>
      <c r="BE32" s="10"/>
      <c r="BF32" s="11"/>
      <c r="BG32" s="12"/>
      <c r="BH32" s="17"/>
      <c r="BI32" s="13"/>
      <c r="BJ32" s="13"/>
      <c r="BK32" s="13"/>
      <c r="BL32" s="14"/>
      <c r="BM32" s="9"/>
      <c r="BN32" s="16"/>
      <c r="BO32" s="10"/>
      <c r="BP32" s="10"/>
      <c r="BQ32" s="10"/>
      <c r="BR32" s="11"/>
      <c r="BS32" s="12"/>
      <c r="BT32" s="17"/>
      <c r="BU32" s="13"/>
      <c r="BV32" s="13"/>
      <c r="BW32" s="13"/>
      <c r="BX32" s="14"/>
      <c r="BY32" s="9"/>
      <c r="BZ32" s="16"/>
      <c r="CA32" s="10"/>
      <c r="CB32" s="10"/>
      <c r="CC32" s="10"/>
      <c r="CD32" s="11"/>
      <c r="CE32" s="12"/>
      <c r="CF32" s="17"/>
      <c r="CG32" s="13"/>
      <c r="CH32" s="13"/>
      <c r="CI32" s="13"/>
      <c r="CJ32" s="14"/>
      <c r="CK32" s="9"/>
      <c r="CL32" s="16"/>
      <c r="CM32" s="10"/>
      <c r="CN32" s="10"/>
      <c r="CO32" s="10"/>
      <c r="CP32" s="11"/>
      <c r="CQ32" s="12"/>
      <c r="CR32" s="17"/>
      <c r="CS32" s="13"/>
      <c r="CT32" s="13"/>
      <c r="CU32" s="13"/>
      <c r="CV32" s="14"/>
      <c r="CW32" s="9"/>
      <c r="CX32" s="16"/>
      <c r="CY32" s="10"/>
      <c r="CZ32" s="10"/>
      <c r="DA32" s="10"/>
      <c r="DB32" s="11"/>
      <c r="DC32" s="12"/>
      <c r="DD32" s="17"/>
      <c r="DE32" s="13"/>
      <c r="DF32" s="13"/>
      <c r="DG32" s="13"/>
      <c r="DH32" s="14"/>
      <c r="DI32" s="8">
        <f t="shared" si="0"/>
        <v>65</v>
      </c>
      <c r="DJ32" s="8">
        <f t="shared" si="1"/>
        <v>40</v>
      </c>
      <c r="DK32" s="8">
        <f t="shared" si="2"/>
        <v>59</v>
      </c>
      <c r="DL32" s="8">
        <f t="shared" si="3"/>
        <v>21</v>
      </c>
      <c r="DM32" s="8">
        <f t="shared" si="4"/>
        <v>65</v>
      </c>
      <c r="DN32" s="8">
        <f t="shared" si="5"/>
        <v>40</v>
      </c>
      <c r="DO32" s="15">
        <f t="shared" si="6"/>
        <v>43.006821551935225</v>
      </c>
      <c r="DP32" s="15" t="str">
        <f t="shared" si="7"/>
        <v>OK - No Upgrade</v>
      </c>
      <c r="DQ32" s="15" t="str">
        <f t="shared" si="8"/>
        <v>Need to Balance</v>
      </c>
    </row>
    <row r="33" spans="1:121" ht="15.75" customHeight="1" x14ac:dyDescent="0.25">
      <c r="A33" s="8" t="s">
        <v>1459</v>
      </c>
      <c r="B33" s="8" t="s">
        <v>1713</v>
      </c>
      <c r="C33" s="8" t="s">
        <v>389</v>
      </c>
      <c r="D33" s="8" t="s">
        <v>1796</v>
      </c>
      <c r="E33" s="8" t="s">
        <v>1797</v>
      </c>
      <c r="F33" s="8" t="s">
        <v>43</v>
      </c>
      <c r="G33" s="8"/>
      <c r="H33" s="8">
        <v>315</v>
      </c>
      <c r="I33" s="8" t="s">
        <v>1798</v>
      </c>
      <c r="J33" s="8">
        <v>1</v>
      </c>
      <c r="K33" s="8">
        <v>228</v>
      </c>
      <c r="L33" s="8">
        <v>224</v>
      </c>
      <c r="M33" s="8">
        <v>219</v>
      </c>
      <c r="N33" s="8">
        <v>386</v>
      </c>
      <c r="O33" s="8">
        <v>380</v>
      </c>
      <c r="P33" s="8">
        <v>395</v>
      </c>
      <c r="Q33" s="9" t="s">
        <v>47</v>
      </c>
      <c r="R33" s="16"/>
      <c r="S33" s="10">
        <v>3</v>
      </c>
      <c r="T33" s="10">
        <v>1</v>
      </c>
      <c r="U33" s="10">
        <v>8</v>
      </c>
      <c r="V33" s="11">
        <v>6</v>
      </c>
      <c r="W33" s="12"/>
      <c r="X33" s="17"/>
      <c r="Y33" s="13"/>
      <c r="Z33" s="13"/>
      <c r="AA33" s="13"/>
      <c r="AB33" s="14"/>
      <c r="AC33" s="9"/>
      <c r="AD33" s="16"/>
      <c r="AE33" s="10"/>
      <c r="AF33" s="10"/>
      <c r="AG33" s="10"/>
      <c r="AH33" s="11"/>
      <c r="AI33" s="12"/>
      <c r="AJ33" s="17"/>
      <c r="AK33" s="13"/>
      <c r="AL33" s="13"/>
      <c r="AM33" s="13"/>
      <c r="AN33" s="14"/>
      <c r="AO33" s="9"/>
      <c r="AP33" s="16"/>
      <c r="AQ33" s="10"/>
      <c r="AR33" s="10"/>
      <c r="AS33" s="10"/>
      <c r="AT33" s="11"/>
      <c r="AU33" s="12"/>
      <c r="AV33" s="17"/>
      <c r="AW33" s="13"/>
      <c r="AX33" s="13"/>
      <c r="AY33" s="13"/>
      <c r="AZ33" s="14"/>
      <c r="BA33" s="9"/>
      <c r="BB33" s="16"/>
      <c r="BC33" s="10"/>
      <c r="BD33" s="10"/>
      <c r="BE33" s="10"/>
      <c r="BF33" s="11"/>
      <c r="BG33" s="12"/>
      <c r="BH33" s="17"/>
      <c r="BI33" s="13"/>
      <c r="BJ33" s="13"/>
      <c r="BK33" s="13"/>
      <c r="BL33" s="14"/>
      <c r="BM33" s="9"/>
      <c r="BN33" s="16"/>
      <c r="BO33" s="10"/>
      <c r="BP33" s="10"/>
      <c r="BQ33" s="10"/>
      <c r="BR33" s="11"/>
      <c r="BS33" s="12"/>
      <c r="BT33" s="17"/>
      <c r="BU33" s="13"/>
      <c r="BV33" s="13"/>
      <c r="BW33" s="13"/>
      <c r="BX33" s="14"/>
      <c r="BY33" s="9"/>
      <c r="BZ33" s="16"/>
      <c r="CA33" s="10"/>
      <c r="CB33" s="10"/>
      <c r="CC33" s="10"/>
      <c r="CD33" s="11"/>
      <c r="CE33" s="12"/>
      <c r="CF33" s="17"/>
      <c r="CG33" s="13"/>
      <c r="CH33" s="13"/>
      <c r="CI33" s="13"/>
      <c r="CJ33" s="14"/>
      <c r="CK33" s="9"/>
      <c r="CL33" s="16"/>
      <c r="CM33" s="10"/>
      <c r="CN33" s="10"/>
      <c r="CO33" s="10"/>
      <c r="CP33" s="11"/>
      <c r="CQ33" s="12"/>
      <c r="CR33" s="17"/>
      <c r="CS33" s="13"/>
      <c r="CT33" s="13"/>
      <c r="CU33" s="13"/>
      <c r="CV33" s="14"/>
      <c r="CW33" s="9"/>
      <c r="CX33" s="16"/>
      <c r="CY33" s="10"/>
      <c r="CZ33" s="10"/>
      <c r="DA33" s="10"/>
      <c r="DB33" s="11"/>
      <c r="DC33" s="12"/>
      <c r="DD33" s="17"/>
      <c r="DE33" s="13"/>
      <c r="DF33" s="13"/>
      <c r="DG33" s="13"/>
      <c r="DH33" s="14"/>
      <c r="DI33" s="8">
        <f t="shared" si="0"/>
        <v>3</v>
      </c>
      <c r="DJ33" s="8">
        <f t="shared" si="1"/>
        <v>1</v>
      </c>
      <c r="DK33" s="8">
        <f t="shared" si="2"/>
        <v>8</v>
      </c>
      <c r="DL33" s="8">
        <f t="shared" si="3"/>
        <v>6</v>
      </c>
      <c r="DM33" s="8">
        <f t="shared" si="4"/>
        <v>8</v>
      </c>
      <c r="DN33" s="8">
        <f t="shared" si="5"/>
        <v>1</v>
      </c>
      <c r="DO33" s="15">
        <f t="shared" si="6"/>
        <v>1.6979596488167277</v>
      </c>
      <c r="DP33" s="15" t="str">
        <f t="shared" si="7"/>
        <v>OK - No Upgrade</v>
      </c>
      <c r="DQ33" s="15" t="str">
        <f t="shared" si="8"/>
        <v>Need to Balance</v>
      </c>
    </row>
    <row r="34" spans="1:121" ht="15.75" customHeight="1" x14ac:dyDescent="0.25">
      <c r="A34" s="8" t="s">
        <v>1459</v>
      </c>
      <c r="B34" s="8" t="s">
        <v>1713</v>
      </c>
      <c r="C34" s="8" t="s">
        <v>389</v>
      </c>
      <c r="D34" s="8" t="s">
        <v>1799</v>
      </c>
      <c r="E34" s="8" t="s">
        <v>1800</v>
      </c>
      <c r="F34" s="8" t="s">
        <v>43</v>
      </c>
      <c r="G34" s="8"/>
      <c r="H34" s="8">
        <v>100</v>
      </c>
      <c r="I34" s="8" t="s">
        <v>1801</v>
      </c>
      <c r="J34" s="8">
        <v>1</v>
      </c>
      <c r="K34" s="8">
        <v>238</v>
      </c>
      <c r="L34" s="8">
        <v>235</v>
      </c>
      <c r="M34" s="8">
        <v>229</v>
      </c>
      <c r="N34" s="8">
        <v>404</v>
      </c>
      <c r="O34" s="8">
        <v>398</v>
      </c>
      <c r="P34" s="8">
        <v>414</v>
      </c>
      <c r="Q34" s="9" t="s">
        <v>46</v>
      </c>
      <c r="R34" s="16"/>
      <c r="S34" s="10">
        <v>57</v>
      </c>
      <c r="T34" s="10">
        <v>15</v>
      </c>
      <c r="U34" s="10">
        <v>25</v>
      </c>
      <c r="V34" s="11">
        <v>37</v>
      </c>
      <c r="W34" s="12" t="s">
        <v>46</v>
      </c>
      <c r="X34" s="17"/>
      <c r="Y34" s="13">
        <v>18</v>
      </c>
      <c r="Z34" s="13">
        <v>4</v>
      </c>
      <c r="AA34" s="13">
        <v>23</v>
      </c>
      <c r="AB34" s="14">
        <v>15</v>
      </c>
      <c r="AC34" s="9"/>
      <c r="AD34" s="16"/>
      <c r="AE34" s="10"/>
      <c r="AF34" s="10"/>
      <c r="AG34" s="10"/>
      <c r="AH34" s="11"/>
      <c r="AI34" s="12"/>
      <c r="AJ34" s="17"/>
      <c r="AK34" s="13"/>
      <c r="AL34" s="13"/>
      <c r="AM34" s="13"/>
      <c r="AN34" s="14"/>
      <c r="AO34" s="9"/>
      <c r="AP34" s="16"/>
      <c r="AQ34" s="10"/>
      <c r="AR34" s="10"/>
      <c r="AS34" s="10"/>
      <c r="AT34" s="11"/>
      <c r="AU34" s="12"/>
      <c r="AV34" s="17"/>
      <c r="AW34" s="13"/>
      <c r="AX34" s="13"/>
      <c r="AY34" s="13"/>
      <c r="AZ34" s="14"/>
      <c r="BA34" s="9"/>
      <c r="BB34" s="16"/>
      <c r="BC34" s="10"/>
      <c r="BD34" s="10"/>
      <c r="BE34" s="10"/>
      <c r="BF34" s="11"/>
      <c r="BG34" s="12"/>
      <c r="BH34" s="17"/>
      <c r="BI34" s="13"/>
      <c r="BJ34" s="13"/>
      <c r="BK34" s="13"/>
      <c r="BL34" s="14"/>
      <c r="BM34" s="9"/>
      <c r="BN34" s="16"/>
      <c r="BO34" s="10"/>
      <c r="BP34" s="10"/>
      <c r="BQ34" s="10"/>
      <c r="BR34" s="11"/>
      <c r="BS34" s="12"/>
      <c r="BT34" s="17"/>
      <c r="BU34" s="13"/>
      <c r="BV34" s="13"/>
      <c r="BW34" s="13"/>
      <c r="BX34" s="14"/>
      <c r="BY34" s="9"/>
      <c r="BZ34" s="16"/>
      <c r="CA34" s="10"/>
      <c r="CB34" s="10"/>
      <c r="CC34" s="10"/>
      <c r="CD34" s="11"/>
      <c r="CE34" s="12"/>
      <c r="CF34" s="17"/>
      <c r="CG34" s="13"/>
      <c r="CH34" s="13"/>
      <c r="CI34" s="13"/>
      <c r="CJ34" s="14"/>
      <c r="CK34" s="9"/>
      <c r="CL34" s="16"/>
      <c r="CM34" s="10"/>
      <c r="CN34" s="10"/>
      <c r="CO34" s="10"/>
      <c r="CP34" s="11"/>
      <c r="CQ34" s="12"/>
      <c r="CR34" s="17"/>
      <c r="CS34" s="13"/>
      <c r="CT34" s="13"/>
      <c r="CU34" s="13"/>
      <c r="CV34" s="14"/>
      <c r="CW34" s="9"/>
      <c r="CX34" s="16"/>
      <c r="CY34" s="10"/>
      <c r="CZ34" s="10"/>
      <c r="DA34" s="10"/>
      <c r="DB34" s="11"/>
      <c r="DC34" s="12"/>
      <c r="DD34" s="17"/>
      <c r="DE34" s="13"/>
      <c r="DF34" s="13"/>
      <c r="DG34" s="13"/>
      <c r="DH34" s="14"/>
      <c r="DI34" s="8">
        <f t="shared" si="0"/>
        <v>75</v>
      </c>
      <c r="DJ34" s="8">
        <f t="shared" si="1"/>
        <v>19</v>
      </c>
      <c r="DK34" s="8">
        <f t="shared" si="2"/>
        <v>48</v>
      </c>
      <c r="DL34" s="8">
        <f t="shared" si="3"/>
        <v>52</v>
      </c>
      <c r="DM34" s="8">
        <f t="shared" si="4"/>
        <v>75</v>
      </c>
      <c r="DN34" s="8">
        <f t="shared" si="5"/>
        <v>19</v>
      </c>
      <c r="DO34" s="15">
        <f t="shared" si="6"/>
        <v>52.481139469336981</v>
      </c>
      <c r="DP34" s="15" t="str">
        <f t="shared" si="7"/>
        <v>OK - No Upgrade</v>
      </c>
      <c r="DQ34" s="15" t="str">
        <f t="shared" si="8"/>
        <v>Need to Balance</v>
      </c>
    </row>
    <row r="35" spans="1:121" ht="15.75" customHeight="1" x14ac:dyDescent="0.25">
      <c r="A35" s="8" t="s">
        <v>1459</v>
      </c>
      <c r="B35" s="8" t="s">
        <v>1713</v>
      </c>
      <c r="C35" s="8" t="s">
        <v>389</v>
      </c>
      <c r="D35" s="8" t="s">
        <v>1802</v>
      </c>
      <c r="E35" s="8" t="s">
        <v>1803</v>
      </c>
      <c r="F35" s="8" t="s">
        <v>43</v>
      </c>
      <c r="G35" s="8"/>
      <c r="H35" s="8">
        <v>100</v>
      </c>
      <c r="I35" s="8" t="s">
        <v>1804</v>
      </c>
      <c r="J35" s="8">
        <v>1</v>
      </c>
      <c r="K35" s="8">
        <v>227</v>
      </c>
      <c r="L35" s="8">
        <v>222</v>
      </c>
      <c r="M35" s="8">
        <v>219</v>
      </c>
      <c r="N35" s="8">
        <v>387</v>
      </c>
      <c r="O35" s="8">
        <v>378</v>
      </c>
      <c r="P35" s="8">
        <v>392</v>
      </c>
      <c r="Q35" s="9" t="s">
        <v>46</v>
      </c>
      <c r="R35" s="16"/>
      <c r="S35" s="10">
        <v>13</v>
      </c>
      <c r="T35" s="10">
        <v>6</v>
      </c>
      <c r="U35" s="10">
        <v>5</v>
      </c>
      <c r="V35" s="11">
        <v>10</v>
      </c>
      <c r="W35" s="12"/>
      <c r="X35" s="17"/>
      <c r="Y35" s="13"/>
      <c r="Z35" s="13"/>
      <c r="AA35" s="13"/>
      <c r="AB35" s="14"/>
      <c r="AC35" s="9"/>
      <c r="AD35" s="16"/>
      <c r="AE35" s="10"/>
      <c r="AF35" s="10"/>
      <c r="AG35" s="10"/>
      <c r="AH35" s="11"/>
      <c r="AI35" s="12"/>
      <c r="AJ35" s="17"/>
      <c r="AK35" s="13"/>
      <c r="AL35" s="13"/>
      <c r="AM35" s="13"/>
      <c r="AN35" s="14"/>
      <c r="AO35" s="9"/>
      <c r="AP35" s="16"/>
      <c r="AQ35" s="10"/>
      <c r="AR35" s="10"/>
      <c r="AS35" s="10"/>
      <c r="AT35" s="11"/>
      <c r="AU35" s="12"/>
      <c r="AV35" s="17"/>
      <c r="AW35" s="13"/>
      <c r="AX35" s="13"/>
      <c r="AY35" s="13"/>
      <c r="AZ35" s="14"/>
      <c r="BA35" s="9"/>
      <c r="BB35" s="16"/>
      <c r="BC35" s="10"/>
      <c r="BD35" s="10"/>
      <c r="BE35" s="10"/>
      <c r="BF35" s="11"/>
      <c r="BG35" s="12"/>
      <c r="BH35" s="17"/>
      <c r="BI35" s="13"/>
      <c r="BJ35" s="13"/>
      <c r="BK35" s="13"/>
      <c r="BL35" s="14"/>
      <c r="BM35" s="9"/>
      <c r="BN35" s="16"/>
      <c r="BO35" s="10"/>
      <c r="BP35" s="10"/>
      <c r="BQ35" s="10"/>
      <c r="BR35" s="11"/>
      <c r="BS35" s="12"/>
      <c r="BT35" s="17"/>
      <c r="BU35" s="13"/>
      <c r="BV35" s="13"/>
      <c r="BW35" s="13"/>
      <c r="BX35" s="14"/>
      <c r="BY35" s="9"/>
      <c r="BZ35" s="16"/>
      <c r="CA35" s="10"/>
      <c r="CB35" s="10"/>
      <c r="CC35" s="10"/>
      <c r="CD35" s="11"/>
      <c r="CE35" s="12"/>
      <c r="CF35" s="17"/>
      <c r="CG35" s="13"/>
      <c r="CH35" s="13"/>
      <c r="CI35" s="13"/>
      <c r="CJ35" s="14"/>
      <c r="CK35" s="9"/>
      <c r="CL35" s="16"/>
      <c r="CM35" s="10"/>
      <c r="CN35" s="10"/>
      <c r="CO35" s="10"/>
      <c r="CP35" s="11"/>
      <c r="CQ35" s="12"/>
      <c r="CR35" s="17"/>
      <c r="CS35" s="13"/>
      <c r="CT35" s="13"/>
      <c r="CU35" s="13"/>
      <c r="CV35" s="14"/>
      <c r="CW35" s="9"/>
      <c r="CX35" s="16"/>
      <c r="CY35" s="10"/>
      <c r="CZ35" s="10"/>
      <c r="DA35" s="10"/>
      <c r="DB35" s="11"/>
      <c r="DC35" s="12"/>
      <c r="DD35" s="17"/>
      <c r="DE35" s="13"/>
      <c r="DF35" s="13"/>
      <c r="DG35" s="13"/>
      <c r="DH35" s="14"/>
      <c r="DI35" s="8">
        <f t="shared" si="0"/>
        <v>13</v>
      </c>
      <c r="DJ35" s="8">
        <f t="shared" si="1"/>
        <v>6</v>
      </c>
      <c r="DK35" s="8">
        <f t="shared" si="2"/>
        <v>5</v>
      </c>
      <c r="DL35" s="8">
        <f t="shared" si="3"/>
        <v>10</v>
      </c>
      <c r="DM35" s="8">
        <f t="shared" si="4"/>
        <v>13</v>
      </c>
      <c r="DN35" s="8">
        <f t="shared" si="5"/>
        <v>5</v>
      </c>
      <c r="DO35" s="15">
        <f t="shared" si="6"/>
        <v>8.7139476128790214</v>
      </c>
      <c r="DP35" s="15" t="str">
        <f t="shared" si="7"/>
        <v>OK - No Upgrade</v>
      </c>
      <c r="DQ35" s="15" t="str">
        <f t="shared" si="8"/>
        <v>Need to Balance</v>
      </c>
    </row>
    <row r="36" spans="1:121" ht="15.75" customHeight="1" x14ac:dyDescent="0.25">
      <c r="A36" s="8" t="s">
        <v>1459</v>
      </c>
      <c r="B36" s="8" t="s">
        <v>1713</v>
      </c>
      <c r="C36" s="8" t="s">
        <v>389</v>
      </c>
      <c r="D36" s="8" t="s">
        <v>1805</v>
      </c>
      <c r="E36" s="8" t="s">
        <v>1806</v>
      </c>
      <c r="F36" s="8" t="s">
        <v>43</v>
      </c>
      <c r="G36" s="8"/>
      <c r="H36" s="8">
        <v>315</v>
      </c>
      <c r="I36" s="8" t="s">
        <v>1807</v>
      </c>
      <c r="J36" s="8">
        <v>1</v>
      </c>
      <c r="K36" s="8">
        <v>227</v>
      </c>
      <c r="L36" s="8">
        <v>226</v>
      </c>
      <c r="M36" s="8">
        <v>217</v>
      </c>
      <c r="N36" s="8">
        <v>382</v>
      </c>
      <c r="O36" s="8">
        <v>377</v>
      </c>
      <c r="P36" s="8">
        <v>396</v>
      </c>
      <c r="Q36" s="9" t="s">
        <v>47</v>
      </c>
      <c r="R36" s="16"/>
      <c r="S36" s="10">
        <v>12</v>
      </c>
      <c r="T36" s="10">
        <v>62</v>
      </c>
      <c r="U36" s="10">
        <v>74</v>
      </c>
      <c r="V36" s="11">
        <v>57</v>
      </c>
      <c r="W36" s="12" t="s">
        <v>47</v>
      </c>
      <c r="X36" s="17"/>
      <c r="Y36" s="13">
        <v>14</v>
      </c>
      <c r="Z36" s="13">
        <v>20</v>
      </c>
      <c r="AA36" s="13">
        <v>44</v>
      </c>
      <c r="AB36" s="14">
        <v>29</v>
      </c>
      <c r="AC36" s="9"/>
      <c r="AD36" s="16"/>
      <c r="AE36" s="10"/>
      <c r="AF36" s="10"/>
      <c r="AG36" s="10"/>
      <c r="AH36" s="11"/>
      <c r="AI36" s="12"/>
      <c r="AJ36" s="17"/>
      <c r="AK36" s="13"/>
      <c r="AL36" s="13"/>
      <c r="AM36" s="13"/>
      <c r="AN36" s="14"/>
      <c r="AO36" s="9"/>
      <c r="AP36" s="16"/>
      <c r="AQ36" s="10"/>
      <c r="AR36" s="10"/>
      <c r="AS36" s="10"/>
      <c r="AT36" s="11"/>
      <c r="AU36" s="12"/>
      <c r="AV36" s="17"/>
      <c r="AW36" s="13"/>
      <c r="AX36" s="13"/>
      <c r="AY36" s="13"/>
      <c r="AZ36" s="14"/>
      <c r="BA36" s="9"/>
      <c r="BB36" s="16"/>
      <c r="BC36" s="10"/>
      <c r="BD36" s="10"/>
      <c r="BE36" s="10"/>
      <c r="BF36" s="11"/>
      <c r="BG36" s="12"/>
      <c r="BH36" s="17"/>
      <c r="BI36" s="13"/>
      <c r="BJ36" s="13"/>
      <c r="BK36" s="13"/>
      <c r="BL36" s="14"/>
      <c r="BM36" s="9"/>
      <c r="BN36" s="16"/>
      <c r="BO36" s="10"/>
      <c r="BP36" s="10"/>
      <c r="BQ36" s="10"/>
      <c r="BR36" s="11"/>
      <c r="BS36" s="12"/>
      <c r="BT36" s="17"/>
      <c r="BU36" s="13"/>
      <c r="BV36" s="13"/>
      <c r="BW36" s="13"/>
      <c r="BX36" s="14"/>
      <c r="BY36" s="9"/>
      <c r="BZ36" s="16"/>
      <c r="CA36" s="10"/>
      <c r="CB36" s="10"/>
      <c r="CC36" s="10"/>
      <c r="CD36" s="11"/>
      <c r="CE36" s="12"/>
      <c r="CF36" s="17"/>
      <c r="CG36" s="13"/>
      <c r="CH36" s="13"/>
      <c r="CI36" s="13"/>
      <c r="CJ36" s="14"/>
      <c r="CK36" s="9"/>
      <c r="CL36" s="16"/>
      <c r="CM36" s="10"/>
      <c r="CN36" s="10"/>
      <c r="CO36" s="10"/>
      <c r="CP36" s="11"/>
      <c r="CQ36" s="12"/>
      <c r="CR36" s="17"/>
      <c r="CS36" s="13"/>
      <c r="CT36" s="13"/>
      <c r="CU36" s="13"/>
      <c r="CV36" s="14"/>
      <c r="CW36" s="9"/>
      <c r="CX36" s="16"/>
      <c r="CY36" s="10"/>
      <c r="CZ36" s="10"/>
      <c r="DA36" s="10"/>
      <c r="DB36" s="11"/>
      <c r="DC36" s="12"/>
      <c r="DD36" s="17"/>
      <c r="DE36" s="13"/>
      <c r="DF36" s="13"/>
      <c r="DG36" s="13"/>
      <c r="DH36" s="14"/>
      <c r="DI36" s="8">
        <f t="shared" ref="DI36:DI67" si="9">SUM(S36,Y36,AE36,AK36,AQ36,AW36,BC36,BI36,BO36,BU36,CA36,CG36,CM36,CS36,CY36,DE36)</f>
        <v>26</v>
      </c>
      <c r="DJ36" s="8">
        <f t="shared" ref="DJ36:DJ67" si="10">SUM(T36,Z36,AF36,AL36,AR36,AX36,BD36,BJ36,BP36,BV36,CB36,CH36,CN36,CT36,CZ36,DF36)</f>
        <v>82</v>
      </c>
      <c r="DK36" s="8">
        <f t="shared" ref="DK36:DK67" si="11">SUM(U36,AA36,AG36,AM36,AS36,AY36,BE36,BK36,BQ36,BW36,CC36,CI36,CO36,CU36,DA36,DG36)</f>
        <v>118</v>
      </c>
      <c r="DL36" s="8">
        <f t="shared" ref="DL36:DL67" si="12">SUM(V36,AB36,AH36,AN36,AT36,AZ36,BF36,BL36,BR36,BX36,CD36,CJ36,CP36,CV36,DB36,DH36)</f>
        <v>86</v>
      </c>
      <c r="DM36" s="8">
        <f t="shared" ref="DM36:DM67" si="13">MAX(DI36:DK36)</f>
        <v>118</v>
      </c>
      <c r="DN36" s="8">
        <f t="shared" ref="DN36:DN67" si="14">MIN(DI36:DK36)</f>
        <v>26</v>
      </c>
      <c r="DO36" s="15">
        <f t="shared" ref="DO36:DO67" si="15">IF(H36&gt;0,(DM36*SQRT(3)*IF(N36&gt;0,N36,IF(O36&gt;0,O36,IF(P36&gt;0,P36,415)))/(H36*1000))*100,0)</f>
        <v>24.785372127611019</v>
      </c>
      <c r="DP36" s="15" t="str">
        <f t="shared" ref="DP36:DP67" si="16">IF(DO36&gt;70,"Upgrade","OK - No Upgrade")</f>
        <v>OK - No Upgrade</v>
      </c>
      <c r="DQ36" s="15" t="str">
        <f t="shared" ref="DQ36:DQ67" si="17">IF(IF(AVERAGE(DI36:DK36)&gt;0,((DM36-AVERAGE(DI36:DK36))/AVERAGE(DI36:DK36))*100,0)&gt;10,"Need to Balance","OK - Balanced")</f>
        <v>Need to Balance</v>
      </c>
    </row>
    <row r="37" spans="1:121" ht="15.75" customHeight="1" x14ac:dyDescent="0.25">
      <c r="A37" s="8" t="s">
        <v>1459</v>
      </c>
      <c r="B37" s="8" t="s">
        <v>1713</v>
      </c>
      <c r="C37" s="8" t="s">
        <v>389</v>
      </c>
      <c r="D37" s="8" t="s">
        <v>1808</v>
      </c>
      <c r="E37" s="8" t="s">
        <v>1809</v>
      </c>
      <c r="F37" s="8" t="s">
        <v>43</v>
      </c>
      <c r="G37" s="8"/>
      <c r="H37" s="8">
        <v>315</v>
      </c>
      <c r="I37" s="8" t="s">
        <v>1810</v>
      </c>
      <c r="J37" s="8">
        <v>1</v>
      </c>
      <c r="K37" s="8">
        <v>227</v>
      </c>
      <c r="L37" s="8">
        <v>222</v>
      </c>
      <c r="M37" s="8">
        <v>218</v>
      </c>
      <c r="N37" s="8">
        <v>386</v>
      </c>
      <c r="O37" s="8">
        <v>377</v>
      </c>
      <c r="P37" s="8">
        <v>394</v>
      </c>
      <c r="Q37" s="9" t="s">
        <v>47</v>
      </c>
      <c r="R37" s="16"/>
      <c r="S37" s="10">
        <v>20</v>
      </c>
      <c r="T37" s="10">
        <v>12</v>
      </c>
      <c r="U37" s="10">
        <v>17</v>
      </c>
      <c r="V37" s="11">
        <v>7</v>
      </c>
      <c r="W37" s="12"/>
      <c r="X37" s="17"/>
      <c r="Y37" s="13"/>
      <c r="Z37" s="13"/>
      <c r="AA37" s="13"/>
      <c r="AB37" s="14"/>
      <c r="AC37" s="9"/>
      <c r="AD37" s="16"/>
      <c r="AE37" s="10"/>
      <c r="AF37" s="10"/>
      <c r="AG37" s="10"/>
      <c r="AH37" s="11"/>
      <c r="AI37" s="12"/>
      <c r="AJ37" s="17"/>
      <c r="AK37" s="13"/>
      <c r="AL37" s="13"/>
      <c r="AM37" s="13"/>
      <c r="AN37" s="14"/>
      <c r="AO37" s="9"/>
      <c r="AP37" s="16"/>
      <c r="AQ37" s="10"/>
      <c r="AR37" s="10"/>
      <c r="AS37" s="10"/>
      <c r="AT37" s="11"/>
      <c r="AU37" s="12"/>
      <c r="AV37" s="17"/>
      <c r="AW37" s="13"/>
      <c r="AX37" s="13"/>
      <c r="AY37" s="13"/>
      <c r="AZ37" s="14"/>
      <c r="BA37" s="9"/>
      <c r="BB37" s="16"/>
      <c r="BC37" s="10"/>
      <c r="BD37" s="10"/>
      <c r="BE37" s="10"/>
      <c r="BF37" s="11"/>
      <c r="BG37" s="12"/>
      <c r="BH37" s="17"/>
      <c r="BI37" s="13"/>
      <c r="BJ37" s="13"/>
      <c r="BK37" s="13"/>
      <c r="BL37" s="14"/>
      <c r="BM37" s="9"/>
      <c r="BN37" s="16"/>
      <c r="BO37" s="10"/>
      <c r="BP37" s="10"/>
      <c r="BQ37" s="10"/>
      <c r="BR37" s="11"/>
      <c r="BS37" s="12"/>
      <c r="BT37" s="17"/>
      <c r="BU37" s="13"/>
      <c r="BV37" s="13"/>
      <c r="BW37" s="13"/>
      <c r="BX37" s="14"/>
      <c r="BY37" s="9"/>
      <c r="BZ37" s="16"/>
      <c r="CA37" s="10"/>
      <c r="CB37" s="10"/>
      <c r="CC37" s="10"/>
      <c r="CD37" s="11"/>
      <c r="CE37" s="12"/>
      <c r="CF37" s="17"/>
      <c r="CG37" s="13"/>
      <c r="CH37" s="13"/>
      <c r="CI37" s="13"/>
      <c r="CJ37" s="14"/>
      <c r="CK37" s="9"/>
      <c r="CL37" s="16"/>
      <c r="CM37" s="10"/>
      <c r="CN37" s="10"/>
      <c r="CO37" s="10"/>
      <c r="CP37" s="11"/>
      <c r="CQ37" s="12"/>
      <c r="CR37" s="17"/>
      <c r="CS37" s="13"/>
      <c r="CT37" s="13"/>
      <c r="CU37" s="13"/>
      <c r="CV37" s="14"/>
      <c r="CW37" s="9"/>
      <c r="CX37" s="16"/>
      <c r="CY37" s="10"/>
      <c r="CZ37" s="10"/>
      <c r="DA37" s="10"/>
      <c r="DB37" s="11"/>
      <c r="DC37" s="12"/>
      <c r="DD37" s="17"/>
      <c r="DE37" s="13"/>
      <c r="DF37" s="13"/>
      <c r="DG37" s="13"/>
      <c r="DH37" s="14"/>
      <c r="DI37" s="8">
        <f t="shared" si="9"/>
        <v>20</v>
      </c>
      <c r="DJ37" s="8">
        <f t="shared" si="10"/>
        <v>12</v>
      </c>
      <c r="DK37" s="8">
        <f t="shared" si="11"/>
        <v>17</v>
      </c>
      <c r="DL37" s="8">
        <f t="shared" si="12"/>
        <v>7</v>
      </c>
      <c r="DM37" s="8">
        <f t="shared" si="13"/>
        <v>20</v>
      </c>
      <c r="DN37" s="8">
        <f t="shared" si="14"/>
        <v>12</v>
      </c>
      <c r="DO37" s="15">
        <f t="shared" si="15"/>
        <v>4.2448991220418195</v>
      </c>
      <c r="DP37" s="15" t="str">
        <f t="shared" si="16"/>
        <v>OK - No Upgrade</v>
      </c>
      <c r="DQ37" s="15" t="str">
        <f t="shared" si="17"/>
        <v>Need to Balance</v>
      </c>
    </row>
    <row r="38" spans="1:121" ht="15.75" customHeight="1" x14ac:dyDescent="0.25">
      <c r="A38" s="8" t="s">
        <v>1459</v>
      </c>
      <c r="B38" s="8" t="s">
        <v>1713</v>
      </c>
      <c r="C38" s="8" t="s">
        <v>389</v>
      </c>
      <c r="D38" s="8" t="s">
        <v>1811</v>
      </c>
      <c r="E38" s="8" t="s">
        <v>1812</v>
      </c>
      <c r="F38" s="8" t="s">
        <v>43</v>
      </c>
      <c r="G38" s="8"/>
      <c r="H38" s="8">
        <v>315</v>
      </c>
      <c r="I38" s="8" t="s">
        <v>1813</v>
      </c>
      <c r="J38" s="8">
        <v>1</v>
      </c>
      <c r="K38" s="8">
        <v>227</v>
      </c>
      <c r="L38" s="8">
        <v>223</v>
      </c>
      <c r="M38" s="8">
        <v>219</v>
      </c>
      <c r="N38" s="8">
        <v>394</v>
      </c>
      <c r="O38" s="8">
        <v>385</v>
      </c>
      <c r="P38" s="8">
        <v>378</v>
      </c>
      <c r="Q38" s="9" t="s">
        <v>47</v>
      </c>
      <c r="R38" s="16"/>
      <c r="S38" s="10">
        <v>18</v>
      </c>
      <c r="T38" s="10">
        <v>10</v>
      </c>
      <c r="U38" s="10">
        <v>20</v>
      </c>
      <c r="V38" s="11">
        <v>4</v>
      </c>
      <c r="W38" s="12"/>
      <c r="X38" s="17"/>
      <c r="Y38" s="13"/>
      <c r="Z38" s="13"/>
      <c r="AA38" s="13"/>
      <c r="AB38" s="14"/>
      <c r="AC38" s="9"/>
      <c r="AD38" s="16"/>
      <c r="AE38" s="10"/>
      <c r="AF38" s="10"/>
      <c r="AG38" s="10"/>
      <c r="AH38" s="11"/>
      <c r="AI38" s="12"/>
      <c r="AJ38" s="17"/>
      <c r="AK38" s="13"/>
      <c r="AL38" s="13"/>
      <c r="AM38" s="13"/>
      <c r="AN38" s="14"/>
      <c r="AO38" s="9"/>
      <c r="AP38" s="16"/>
      <c r="AQ38" s="10"/>
      <c r="AR38" s="10"/>
      <c r="AS38" s="10"/>
      <c r="AT38" s="11"/>
      <c r="AU38" s="12"/>
      <c r="AV38" s="17"/>
      <c r="AW38" s="13"/>
      <c r="AX38" s="13"/>
      <c r="AY38" s="13"/>
      <c r="AZ38" s="14"/>
      <c r="BA38" s="9"/>
      <c r="BB38" s="16"/>
      <c r="BC38" s="10"/>
      <c r="BD38" s="10"/>
      <c r="BE38" s="10"/>
      <c r="BF38" s="11"/>
      <c r="BG38" s="12"/>
      <c r="BH38" s="17"/>
      <c r="BI38" s="13"/>
      <c r="BJ38" s="13"/>
      <c r="BK38" s="13"/>
      <c r="BL38" s="14"/>
      <c r="BM38" s="9"/>
      <c r="BN38" s="16"/>
      <c r="BO38" s="10"/>
      <c r="BP38" s="10"/>
      <c r="BQ38" s="10"/>
      <c r="BR38" s="11"/>
      <c r="BS38" s="12"/>
      <c r="BT38" s="17"/>
      <c r="BU38" s="13"/>
      <c r="BV38" s="13"/>
      <c r="BW38" s="13"/>
      <c r="BX38" s="14"/>
      <c r="BY38" s="9"/>
      <c r="BZ38" s="16"/>
      <c r="CA38" s="10"/>
      <c r="CB38" s="10"/>
      <c r="CC38" s="10"/>
      <c r="CD38" s="11"/>
      <c r="CE38" s="12"/>
      <c r="CF38" s="17"/>
      <c r="CG38" s="13"/>
      <c r="CH38" s="13"/>
      <c r="CI38" s="13"/>
      <c r="CJ38" s="14"/>
      <c r="CK38" s="9"/>
      <c r="CL38" s="16"/>
      <c r="CM38" s="10"/>
      <c r="CN38" s="10"/>
      <c r="CO38" s="10"/>
      <c r="CP38" s="11"/>
      <c r="CQ38" s="12"/>
      <c r="CR38" s="17"/>
      <c r="CS38" s="13"/>
      <c r="CT38" s="13"/>
      <c r="CU38" s="13"/>
      <c r="CV38" s="14"/>
      <c r="CW38" s="9"/>
      <c r="CX38" s="16"/>
      <c r="CY38" s="10"/>
      <c r="CZ38" s="10"/>
      <c r="DA38" s="10"/>
      <c r="DB38" s="11"/>
      <c r="DC38" s="12"/>
      <c r="DD38" s="17"/>
      <c r="DE38" s="13"/>
      <c r="DF38" s="13"/>
      <c r="DG38" s="13"/>
      <c r="DH38" s="14"/>
      <c r="DI38" s="8">
        <f t="shared" si="9"/>
        <v>18</v>
      </c>
      <c r="DJ38" s="8">
        <f t="shared" si="10"/>
        <v>10</v>
      </c>
      <c r="DK38" s="8">
        <f t="shared" si="11"/>
        <v>20</v>
      </c>
      <c r="DL38" s="8">
        <f t="shared" si="12"/>
        <v>4</v>
      </c>
      <c r="DM38" s="8">
        <f t="shared" si="13"/>
        <v>20</v>
      </c>
      <c r="DN38" s="8">
        <f t="shared" si="14"/>
        <v>10</v>
      </c>
      <c r="DO38" s="15">
        <f t="shared" si="15"/>
        <v>4.3328763059183339</v>
      </c>
      <c r="DP38" s="15" t="str">
        <f t="shared" si="16"/>
        <v>OK - No Upgrade</v>
      </c>
      <c r="DQ38" s="15" t="str">
        <f t="shared" si="17"/>
        <v>Need to Balance</v>
      </c>
    </row>
    <row r="39" spans="1:121" ht="15.75" customHeight="1" x14ac:dyDescent="0.25">
      <c r="A39" s="8" t="s">
        <v>1459</v>
      </c>
      <c r="B39" s="8" t="s">
        <v>1713</v>
      </c>
      <c r="C39" s="8" t="s">
        <v>389</v>
      </c>
      <c r="D39" s="8" t="s">
        <v>1814</v>
      </c>
      <c r="E39" s="8" t="s">
        <v>1815</v>
      </c>
      <c r="F39" s="8" t="s">
        <v>43</v>
      </c>
      <c r="G39" s="8"/>
      <c r="H39" s="8">
        <v>50</v>
      </c>
      <c r="I39" s="8" t="s">
        <v>1816</v>
      </c>
      <c r="J39" s="8">
        <v>1</v>
      </c>
      <c r="K39" s="8">
        <v>228</v>
      </c>
      <c r="L39" s="8">
        <v>230</v>
      </c>
      <c r="M39" s="8">
        <v>231</v>
      </c>
      <c r="N39" s="8">
        <v>398</v>
      </c>
      <c r="O39" s="8">
        <v>396</v>
      </c>
      <c r="P39" s="8">
        <v>399</v>
      </c>
      <c r="Q39" s="9" t="s">
        <v>46</v>
      </c>
      <c r="R39" s="16"/>
      <c r="S39" s="10">
        <v>0</v>
      </c>
      <c r="T39" s="10">
        <v>0</v>
      </c>
      <c r="U39" s="10">
        <v>0</v>
      </c>
      <c r="V39" s="11">
        <v>0</v>
      </c>
      <c r="W39" s="12"/>
      <c r="X39" s="17"/>
      <c r="Y39" s="13"/>
      <c r="Z39" s="13"/>
      <c r="AA39" s="13"/>
      <c r="AB39" s="14"/>
      <c r="AC39" s="9"/>
      <c r="AD39" s="16"/>
      <c r="AE39" s="10"/>
      <c r="AF39" s="10"/>
      <c r="AG39" s="10"/>
      <c r="AH39" s="11"/>
      <c r="AI39" s="12"/>
      <c r="AJ39" s="17"/>
      <c r="AK39" s="13"/>
      <c r="AL39" s="13"/>
      <c r="AM39" s="13"/>
      <c r="AN39" s="14"/>
      <c r="AO39" s="9"/>
      <c r="AP39" s="16"/>
      <c r="AQ39" s="10"/>
      <c r="AR39" s="10"/>
      <c r="AS39" s="10"/>
      <c r="AT39" s="11"/>
      <c r="AU39" s="12"/>
      <c r="AV39" s="17"/>
      <c r="AW39" s="13"/>
      <c r="AX39" s="13"/>
      <c r="AY39" s="13"/>
      <c r="AZ39" s="14"/>
      <c r="BA39" s="9"/>
      <c r="BB39" s="16"/>
      <c r="BC39" s="10"/>
      <c r="BD39" s="10"/>
      <c r="BE39" s="10"/>
      <c r="BF39" s="11"/>
      <c r="BG39" s="12"/>
      <c r="BH39" s="17"/>
      <c r="BI39" s="13"/>
      <c r="BJ39" s="13"/>
      <c r="BK39" s="13"/>
      <c r="BL39" s="14"/>
      <c r="BM39" s="9"/>
      <c r="BN39" s="16"/>
      <c r="BO39" s="10"/>
      <c r="BP39" s="10"/>
      <c r="BQ39" s="10"/>
      <c r="BR39" s="11"/>
      <c r="BS39" s="12"/>
      <c r="BT39" s="17"/>
      <c r="BU39" s="13"/>
      <c r="BV39" s="13"/>
      <c r="BW39" s="13"/>
      <c r="BX39" s="14"/>
      <c r="BY39" s="9"/>
      <c r="BZ39" s="16"/>
      <c r="CA39" s="10"/>
      <c r="CB39" s="10"/>
      <c r="CC39" s="10"/>
      <c r="CD39" s="11"/>
      <c r="CE39" s="12"/>
      <c r="CF39" s="17"/>
      <c r="CG39" s="13"/>
      <c r="CH39" s="13"/>
      <c r="CI39" s="13"/>
      <c r="CJ39" s="14"/>
      <c r="CK39" s="9"/>
      <c r="CL39" s="16"/>
      <c r="CM39" s="10"/>
      <c r="CN39" s="10"/>
      <c r="CO39" s="10"/>
      <c r="CP39" s="11"/>
      <c r="CQ39" s="12"/>
      <c r="CR39" s="17"/>
      <c r="CS39" s="13"/>
      <c r="CT39" s="13"/>
      <c r="CU39" s="13"/>
      <c r="CV39" s="14"/>
      <c r="CW39" s="9"/>
      <c r="CX39" s="16"/>
      <c r="CY39" s="10"/>
      <c r="CZ39" s="10"/>
      <c r="DA39" s="10"/>
      <c r="DB39" s="11"/>
      <c r="DC39" s="12"/>
      <c r="DD39" s="17"/>
      <c r="DE39" s="13"/>
      <c r="DF39" s="13"/>
      <c r="DG39" s="13"/>
      <c r="DH39" s="14"/>
      <c r="DI39" s="8">
        <f t="shared" si="9"/>
        <v>0</v>
      </c>
      <c r="DJ39" s="8">
        <f t="shared" si="10"/>
        <v>0</v>
      </c>
      <c r="DK39" s="8">
        <f t="shared" si="11"/>
        <v>0</v>
      </c>
      <c r="DL39" s="8">
        <f t="shared" si="12"/>
        <v>0</v>
      </c>
      <c r="DM39" s="8">
        <f t="shared" si="13"/>
        <v>0</v>
      </c>
      <c r="DN39" s="8">
        <f t="shared" si="14"/>
        <v>0</v>
      </c>
      <c r="DO39" s="15">
        <f t="shared" si="15"/>
        <v>0</v>
      </c>
      <c r="DP39" s="15" t="str">
        <f t="shared" si="16"/>
        <v>OK - No Upgrade</v>
      </c>
      <c r="DQ39" s="15" t="str">
        <f t="shared" si="17"/>
        <v>OK - Balanced</v>
      </c>
    </row>
    <row r="40" spans="1:121" ht="15.75" customHeight="1" x14ac:dyDescent="0.25">
      <c r="A40" s="8" t="s">
        <v>1459</v>
      </c>
      <c r="B40" s="8" t="s">
        <v>1713</v>
      </c>
      <c r="C40" s="8" t="s">
        <v>389</v>
      </c>
      <c r="D40" s="8"/>
      <c r="E40" s="8" t="s">
        <v>1817</v>
      </c>
      <c r="F40" s="8" t="s">
        <v>43</v>
      </c>
      <c r="G40" s="8"/>
      <c r="H40" s="8">
        <v>100</v>
      </c>
      <c r="I40" s="8" t="s">
        <v>1818</v>
      </c>
      <c r="J40" s="8">
        <v>1</v>
      </c>
      <c r="K40" s="8">
        <v>229</v>
      </c>
      <c r="L40" s="8">
        <v>228</v>
      </c>
      <c r="M40" s="8">
        <v>230</v>
      </c>
      <c r="N40" s="8">
        <v>399</v>
      </c>
      <c r="O40" s="8">
        <v>398</v>
      </c>
      <c r="P40" s="8">
        <v>401</v>
      </c>
      <c r="Q40" s="9" t="s">
        <v>46</v>
      </c>
      <c r="R40" s="16"/>
      <c r="S40" s="10">
        <v>10</v>
      </c>
      <c r="T40" s="10">
        <v>9</v>
      </c>
      <c r="U40" s="10">
        <v>15</v>
      </c>
      <c r="V40" s="11">
        <v>6</v>
      </c>
      <c r="W40" s="12" t="s">
        <v>46</v>
      </c>
      <c r="X40" s="17"/>
      <c r="Y40" s="13">
        <v>11</v>
      </c>
      <c r="Z40" s="13">
        <v>6</v>
      </c>
      <c r="AA40" s="13">
        <v>4</v>
      </c>
      <c r="AB40" s="14">
        <v>9</v>
      </c>
      <c r="AC40" s="9"/>
      <c r="AD40" s="16"/>
      <c r="AE40" s="10"/>
      <c r="AF40" s="10"/>
      <c r="AG40" s="10"/>
      <c r="AH40" s="11"/>
      <c r="AI40" s="12"/>
      <c r="AJ40" s="17"/>
      <c r="AK40" s="13"/>
      <c r="AL40" s="13"/>
      <c r="AM40" s="13"/>
      <c r="AN40" s="14"/>
      <c r="AO40" s="9"/>
      <c r="AP40" s="16"/>
      <c r="AQ40" s="10"/>
      <c r="AR40" s="10"/>
      <c r="AS40" s="10"/>
      <c r="AT40" s="11"/>
      <c r="AU40" s="12"/>
      <c r="AV40" s="17"/>
      <c r="AW40" s="13"/>
      <c r="AX40" s="13"/>
      <c r="AY40" s="13"/>
      <c r="AZ40" s="14"/>
      <c r="BA40" s="9"/>
      <c r="BB40" s="16"/>
      <c r="BC40" s="10"/>
      <c r="BD40" s="10"/>
      <c r="BE40" s="10"/>
      <c r="BF40" s="11"/>
      <c r="BG40" s="12"/>
      <c r="BH40" s="17"/>
      <c r="BI40" s="13"/>
      <c r="BJ40" s="13"/>
      <c r="BK40" s="13"/>
      <c r="BL40" s="14"/>
      <c r="BM40" s="9"/>
      <c r="BN40" s="16"/>
      <c r="BO40" s="10"/>
      <c r="BP40" s="10"/>
      <c r="BQ40" s="10"/>
      <c r="BR40" s="11"/>
      <c r="BS40" s="12"/>
      <c r="BT40" s="17"/>
      <c r="BU40" s="13"/>
      <c r="BV40" s="13"/>
      <c r="BW40" s="13"/>
      <c r="BX40" s="14"/>
      <c r="BY40" s="9"/>
      <c r="BZ40" s="16"/>
      <c r="CA40" s="10"/>
      <c r="CB40" s="10"/>
      <c r="CC40" s="10"/>
      <c r="CD40" s="11"/>
      <c r="CE40" s="12"/>
      <c r="CF40" s="17"/>
      <c r="CG40" s="13"/>
      <c r="CH40" s="13"/>
      <c r="CI40" s="13"/>
      <c r="CJ40" s="14"/>
      <c r="CK40" s="9"/>
      <c r="CL40" s="16"/>
      <c r="CM40" s="10"/>
      <c r="CN40" s="10"/>
      <c r="CO40" s="10"/>
      <c r="CP40" s="11"/>
      <c r="CQ40" s="12"/>
      <c r="CR40" s="17"/>
      <c r="CS40" s="13"/>
      <c r="CT40" s="13"/>
      <c r="CU40" s="13"/>
      <c r="CV40" s="14"/>
      <c r="CW40" s="9"/>
      <c r="CX40" s="16"/>
      <c r="CY40" s="10"/>
      <c r="CZ40" s="10"/>
      <c r="DA40" s="10"/>
      <c r="DB40" s="11"/>
      <c r="DC40" s="12"/>
      <c r="DD40" s="17"/>
      <c r="DE40" s="13"/>
      <c r="DF40" s="13"/>
      <c r="DG40" s="13"/>
      <c r="DH40" s="14"/>
      <c r="DI40" s="8">
        <f t="shared" si="9"/>
        <v>21</v>
      </c>
      <c r="DJ40" s="8">
        <f t="shared" si="10"/>
        <v>15</v>
      </c>
      <c r="DK40" s="8">
        <f t="shared" si="11"/>
        <v>19</v>
      </c>
      <c r="DL40" s="8">
        <f t="shared" si="12"/>
        <v>15</v>
      </c>
      <c r="DM40" s="8">
        <f t="shared" si="13"/>
        <v>21</v>
      </c>
      <c r="DN40" s="8">
        <f t="shared" si="14"/>
        <v>15</v>
      </c>
      <c r="DO40" s="15">
        <f t="shared" si="15"/>
        <v>14.512853716619622</v>
      </c>
      <c r="DP40" s="15" t="str">
        <f t="shared" si="16"/>
        <v>OK - No Upgrade</v>
      </c>
      <c r="DQ40" s="15" t="str">
        <f t="shared" si="17"/>
        <v>Need to Balance</v>
      </c>
    </row>
    <row r="41" spans="1:121" ht="15.75" customHeight="1" x14ac:dyDescent="0.25">
      <c r="A41" s="8" t="s">
        <v>1459</v>
      </c>
      <c r="B41" s="8" t="s">
        <v>1713</v>
      </c>
      <c r="C41" s="8" t="s">
        <v>389</v>
      </c>
      <c r="D41" s="8" t="s">
        <v>1819</v>
      </c>
      <c r="E41" s="8" t="s">
        <v>1820</v>
      </c>
      <c r="F41" s="8" t="s">
        <v>43</v>
      </c>
      <c r="G41" s="8"/>
      <c r="H41" s="8">
        <v>100</v>
      </c>
      <c r="I41" s="8" t="s">
        <v>1821</v>
      </c>
      <c r="J41" s="8">
        <v>1</v>
      </c>
      <c r="K41" s="8">
        <v>229</v>
      </c>
      <c r="L41" s="8">
        <v>227</v>
      </c>
      <c r="M41" s="8">
        <v>223</v>
      </c>
      <c r="N41" s="8">
        <v>399</v>
      </c>
      <c r="O41" s="8">
        <v>388</v>
      </c>
      <c r="P41" s="8">
        <v>391</v>
      </c>
      <c r="Q41" s="9" t="s">
        <v>46</v>
      </c>
      <c r="R41" s="16"/>
      <c r="S41" s="10">
        <v>0</v>
      </c>
      <c r="T41" s="10">
        <v>0</v>
      </c>
      <c r="U41" s="10">
        <v>0</v>
      </c>
      <c r="V41" s="11">
        <v>0</v>
      </c>
      <c r="W41" s="12"/>
      <c r="X41" s="17"/>
      <c r="Y41" s="13"/>
      <c r="Z41" s="13"/>
      <c r="AA41" s="13"/>
      <c r="AB41" s="14"/>
      <c r="AC41" s="9"/>
      <c r="AD41" s="16"/>
      <c r="AE41" s="10"/>
      <c r="AF41" s="10"/>
      <c r="AG41" s="10"/>
      <c r="AH41" s="11"/>
      <c r="AI41" s="12"/>
      <c r="AJ41" s="17"/>
      <c r="AK41" s="13"/>
      <c r="AL41" s="13"/>
      <c r="AM41" s="13"/>
      <c r="AN41" s="14"/>
      <c r="AO41" s="9"/>
      <c r="AP41" s="16"/>
      <c r="AQ41" s="10"/>
      <c r="AR41" s="10"/>
      <c r="AS41" s="10"/>
      <c r="AT41" s="11"/>
      <c r="AU41" s="12"/>
      <c r="AV41" s="17"/>
      <c r="AW41" s="13"/>
      <c r="AX41" s="13"/>
      <c r="AY41" s="13"/>
      <c r="AZ41" s="14"/>
      <c r="BA41" s="9"/>
      <c r="BB41" s="16"/>
      <c r="BC41" s="10"/>
      <c r="BD41" s="10"/>
      <c r="BE41" s="10"/>
      <c r="BF41" s="11"/>
      <c r="BG41" s="12"/>
      <c r="BH41" s="17"/>
      <c r="BI41" s="13"/>
      <c r="BJ41" s="13"/>
      <c r="BK41" s="13"/>
      <c r="BL41" s="14"/>
      <c r="BM41" s="9"/>
      <c r="BN41" s="16"/>
      <c r="BO41" s="10"/>
      <c r="BP41" s="10"/>
      <c r="BQ41" s="10"/>
      <c r="BR41" s="11"/>
      <c r="BS41" s="12"/>
      <c r="BT41" s="17"/>
      <c r="BU41" s="13"/>
      <c r="BV41" s="13"/>
      <c r="BW41" s="13"/>
      <c r="BX41" s="14"/>
      <c r="BY41" s="9"/>
      <c r="BZ41" s="16"/>
      <c r="CA41" s="10"/>
      <c r="CB41" s="10"/>
      <c r="CC41" s="10"/>
      <c r="CD41" s="11"/>
      <c r="CE41" s="12"/>
      <c r="CF41" s="17"/>
      <c r="CG41" s="13"/>
      <c r="CH41" s="13"/>
      <c r="CI41" s="13"/>
      <c r="CJ41" s="14"/>
      <c r="CK41" s="9"/>
      <c r="CL41" s="16"/>
      <c r="CM41" s="10"/>
      <c r="CN41" s="10"/>
      <c r="CO41" s="10"/>
      <c r="CP41" s="11"/>
      <c r="CQ41" s="12"/>
      <c r="CR41" s="17"/>
      <c r="CS41" s="13"/>
      <c r="CT41" s="13"/>
      <c r="CU41" s="13"/>
      <c r="CV41" s="14"/>
      <c r="CW41" s="9"/>
      <c r="CX41" s="16"/>
      <c r="CY41" s="10"/>
      <c r="CZ41" s="10"/>
      <c r="DA41" s="10"/>
      <c r="DB41" s="11"/>
      <c r="DC41" s="12"/>
      <c r="DD41" s="17"/>
      <c r="DE41" s="13"/>
      <c r="DF41" s="13"/>
      <c r="DG41" s="13"/>
      <c r="DH41" s="14"/>
      <c r="DI41" s="8">
        <f t="shared" si="9"/>
        <v>0</v>
      </c>
      <c r="DJ41" s="8">
        <f t="shared" si="10"/>
        <v>0</v>
      </c>
      <c r="DK41" s="8">
        <f t="shared" si="11"/>
        <v>0</v>
      </c>
      <c r="DL41" s="8">
        <f t="shared" si="12"/>
        <v>0</v>
      </c>
      <c r="DM41" s="8">
        <f t="shared" si="13"/>
        <v>0</v>
      </c>
      <c r="DN41" s="8">
        <f t="shared" si="14"/>
        <v>0</v>
      </c>
      <c r="DO41" s="15">
        <f t="shared" si="15"/>
        <v>0</v>
      </c>
      <c r="DP41" s="15" t="str">
        <f t="shared" si="16"/>
        <v>OK - No Upgrade</v>
      </c>
      <c r="DQ41" s="15" t="str">
        <f t="shared" si="17"/>
        <v>OK - Balanced</v>
      </c>
    </row>
    <row r="42" spans="1:121" ht="15.75" customHeight="1" x14ac:dyDescent="0.25">
      <c r="A42" s="8" t="s">
        <v>1459</v>
      </c>
      <c r="B42" s="8" t="s">
        <v>1713</v>
      </c>
      <c r="C42" s="8" t="s">
        <v>389</v>
      </c>
      <c r="D42" s="8" t="s">
        <v>1822</v>
      </c>
      <c r="E42" s="8" t="s">
        <v>1823</v>
      </c>
      <c r="F42" s="8" t="s">
        <v>43</v>
      </c>
      <c r="G42" s="8"/>
      <c r="H42" s="8">
        <v>315</v>
      </c>
      <c r="I42" s="8" t="s">
        <v>1824</v>
      </c>
      <c r="J42" s="8">
        <v>1</v>
      </c>
      <c r="K42" s="8">
        <v>232</v>
      </c>
      <c r="L42" s="8">
        <v>230</v>
      </c>
      <c r="M42" s="8">
        <v>227</v>
      </c>
      <c r="N42" s="8">
        <v>404</v>
      </c>
      <c r="O42" s="8">
        <v>639</v>
      </c>
      <c r="P42" s="8">
        <v>392</v>
      </c>
      <c r="Q42" s="9" t="s">
        <v>46</v>
      </c>
      <c r="R42" s="16"/>
      <c r="S42" s="10">
        <v>67</v>
      </c>
      <c r="T42" s="10">
        <v>66</v>
      </c>
      <c r="U42" s="10">
        <v>121</v>
      </c>
      <c r="V42" s="11">
        <v>63</v>
      </c>
      <c r="W42" s="12" t="s">
        <v>46</v>
      </c>
      <c r="X42" s="17"/>
      <c r="Y42" s="13">
        <v>118</v>
      </c>
      <c r="Z42" s="13">
        <v>107</v>
      </c>
      <c r="AA42" s="13">
        <v>92</v>
      </c>
      <c r="AB42" s="14">
        <v>16</v>
      </c>
      <c r="AC42" s="9"/>
      <c r="AD42" s="16"/>
      <c r="AE42" s="10"/>
      <c r="AF42" s="10"/>
      <c r="AG42" s="10"/>
      <c r="AH42" s="11"/>
      <c r="AI42" s="12"/>
      <c r="AJ42" s="17"/>
      <c r="AK42" s="13"/>
      <c r="AL42" s="13"/>
      <c r="AM42" s="13"/>
      <c r="AN42" s="14"/>
      <c r="AO42" s="9"/>
      <c r="AP42" s="16"/>
      <c r="AQ42" s="10"/>
      <c r="AR42" s="10"/>
      <c r="AS42" s="10"/>
      <c r="AT42" s="11"/>
      <c r="AU42" s="12"/>
      <c r="AV42" s="17"/>
      <c r="AW42" s="13"/>
      <c r="AX42" s="13"/>
      <c r="AY42" s="13"/>
      <c r="AZ42" s="14"/>
      <c r="BA42" s="9"/>
      <c r="BB42" s="16"/>
      <c r="BC42" s="10"/>
      <c r="BD42" s="10"/>
      <c r="BE42" s="10"/>
      <c r="BF42" s="11"/>
      <c r="BG42" s="12"/>
      <c r="BH42" s="17"/>
      <c r="BI42" s="13"/>
      <c r="BJ42" s="13"/>
      <c r="BK42" s="13"/>
      <c r="BL42" s="14"/>
      <c r="BM42" s="9"/>
      <c r="BN42" s="16"/>
      <c r="BO42" s="10"/>
      <c r="BP42" s="10"/>
      <c r="BQ42" s="10"/>
      <c r="BR42" s="11"/>
      <c r="BS42" s="12"/>
      <c r="BT42" s="17"/>
      <c r="BU42" s="13"/>
      <c r="BV42" s="13"/>
      <c r="BW42" s="13"/>
      <c r="BX42" s="14"/>
      <c r="BY42" s="9"/>
      <c r="BZ42" s="16"/>
      <c r="CA42" s="10"/>
      <c r="CB42" s="10"/>
      <c r="CC42" s="10"/>
      <c r="CD42" s="11"/>
      <c r="CE42" s="12"/>
      <c r="CF42" s="17"/>
      <c r="CG42" s="13"/>
      <c r="CH42" s="13"/>
      <c r="CI42" s="13"/>
      <c r="CJ42" s="14"/>
      <c r="CK42" s="9"/>
      <c r="CL42" s="16"/>
      <c r="CM42" s="10"/>
      <c r="CN42" s="10"/>
      <c r="CO42" s="10"/>
      <c r="CP42" s="11"/>
      <c r="CQ42" s="12"/>
      <c r="CR42" s="17"/>
      <c r="CS42" s="13"/>
      <c r="CT42" s="13"/>
      <c r="CU42" s="13"/>
      <c r="CV42" s="14"/>
      <c r="CW42" s="9"/>
      <c r="CX42" s="16"/>
      <c r="CY42" s="10"/>
      <c r="CZ42" s="10"/>
      <c r="DA42" s="10"/>
      <c r="DB42" s="11"/>
      <c r="DC42" s="12"/>
      <c r="DD42" s="17"/>
      <c r="DE42" s="13"/>
      <c r="DF42" s="13"/>
      <c r="DG42" s="13"/>
      <c r="DH42" s="14"/>
      <c r="DI42" s="8">
        <f t="shared" si="9"/>
        <v>185</v>
      </c>
      <c r="DJ42" s="8">
        <f t="shared" si="10"/>
        <v>173</v>
      </c>
      <c r="DK42" s="8">
        <f t="shared" si="11"/>
        <v>213</v>
      </c>
      <c r="DL42" s="8">
        <f t="shared" si="12"/>
        <v>79</v>
      </c>
      <c r="DM42" s="8">
        <f t="shared" si="13"/>
        <v>213</v>
      </c>
      <c r="DN42" s="8">
        <f t="shared" si="14"/>
        <v>173</v>
      </c>
      <c r="DO42" s="15">
        <f t="shared" si="15"/>
        <v>47.316328918386361</v>
      </c>
      <c r="DP42" s="15" t="str">
        <f t="shared" si="16"/>
        <v>OK - No Upgrade</v>
      </c>
      <c r="DQ42" s="15" t="str">
        <f t="shared" si="17"/>
        <v>Need to Balance</v>
      </c>
    </row>
    <row r="43" spans="1:121" ht="15.75" customHeight="1" x14ac:dyDescent="0.25">
      <c r="A43" s="8" t="s">
        <v>1459</v>
      </c>
      <c r="B43" s="8" t="s">
        <v>1713</v>
      </c>
      <c r="C43" s="8" t="s">
        <v>389</v>
      </c>
      <c r="D43" s="8" t="s">
        <v>1825</v>
      </c>
      <c r="E43" s="8" t="s">
        <v>1826</v>
      </c>
      <c r="F43" s="8" t="s">
        <v>43</v>
      </c>
      <c r="G43" s="8"/>
      <c r="H43" s="8">
        <v>100</v>
      </c>
      <c r="I43" s="8" t="s">
        <v>1827</v>
      </c>
      <c r="J43" s="8">
        <v>1</v>
      </c>
      <c r="K43" s="8">
        <v>224</v>
      </c>
      <c r="L43" s="8">
        <v>222</v>
      </c>
      <c r="M43" s="8">
        <v>218</v>
      </c>
      <c r="N43" s="8">
        <v>383</v>
      </c>
      <c r="O43" s="8">
        <v>377</v>
      </c>
      <c r="P43" s="8">
        <v>388</v>
      </c>
      <c r="Q43" s="9" t="s">
        <v>47</v>
      </c>
      <c r="R43" s="16"/>
      <c r="S43" s="10">
        <v>23</v>
      </c>
      <c r="T43" s="10">
        <v>22</v>
      </c>
      <c r="U43" s="10">
        <v>18</v>
      </c>
      <c r="V43" s="11">
        <v>6</v>
      </c>
      <c r="W43" s="12" t="s">
        <v>47</v>
      </c>
      <c r="X43" s="17"/>
      <c r="Y43" s="13">
        <v>28</v>
      </c>
      <c r="Z43" s="13">
        <v>14</v>
      </c>
      <c r="AA43" s="13">
        <v>11</v>
      </c>
      <c r="AB43" s="14">
        <v>12</v>
      </c>
      <c r="AC43" s="9"/>
      <c r="AD43" s="16"/>
      <c r="AE43" s="10"/>
      <c r="AF43" s="10"/>
      <c r="AG43" s="10"/>
      <c r="AH43" s="11"/>
      <c r="AI43" s="12"/>
      <c r="AJ43" s="17"/>
      <c r="AK43" s="13"/>
      <c r="AL43" s="13"/>
      <c r="AM43" s="13"/>
      <c r="AN43" s="14"/>
      <c r="AO43" s="9"/>
      <c r="AP43" s="16"/>
      <c r="AQ43" s="10"/>
      <c r="AR43" s="10"/>
      <c r="AS43" s="10"/>
      <c r="AT43" s="11"/>
      <c r="AU43" s="12"/>
      <c r="AV43" s="17"/>
      <c r="AW43" s="13"/>
      <c r="AX43" s="13"/>
      <c r="AY43" s="13"/>
      <c r="AZ43" s="14"/>
      <c r="BA43" s="9"/>
      <c r="BB43" s="16"/>
      <c r="BC43" s="10"/>
      <c r="BD43" s="10"/>
      <c r="BE43" s="10"/>
      <c r="BF43" s="11"/>
      <c r="BG43" s="12"/>
      <c r="BH43" s="17"/>
      <c r="BI43" s="13"/>
      <c r="BJ43" s="13"/>
      <c r="BK43" s="13"/>
      <c r="BL43" s="14"/>
      <c r="BM43" s="9"/>
      <c r="BN43" s="16"/>
      <c r="BO43" s="10"/>
      <c r="BP43" s="10"/>
      <c r="BQ43" s="10"/>
      <c r="BR43" s="11"/>
      <c r="BS43" s="12"/>
      <c r="BT43" s="17"/>
      <c r="BU43" s="13"/>
      <c r="BV43" s="13"/>
      <c r="BW43" s="13"/>
      <c r="BX43" s="14"/>
      <c r="BY43" s="9"/>
      <c r="BZ43" s="16"/>
      <c r="CA43" s="10"/>
      <c r="CB43" s="10"/>
      <c r="CC43" s="10"/>
      <c r="CD43" s="11"/>
      <c r="CE43" s="12"/>
      <c r="CF43" s="17"/>
      <c r="CG43" s="13"/>
      <c r="CH43" s="13"/>
      <c r="CI43" s="13"/>
      <c r="CJ43" s="14"/>
      <c r="CK43" s="9"/>
      <c r="CL43" s="16"/>
      <c r="CM43" s="10"/>
      <c r="CN43" s="10"/>
      <c r="CO43" s="10"/>
      <c r="CP43" s="11"/>
      <c r="CQ43" s="12"/>
      <c r="CR43" s="17"/>
      <c r="CS43" s="13"/>
      <c r="CT43" s="13"/>
      <c r="CU43" s="13"/>
      <c r="CV43" s="14"/>
      <c r="CW43" s="9"/>
      <c r="CX43" s="16"/>
      <c r="CY43" s="10"/>
      <c r="CZ43" s="10"/>
      <c r="DA43" s="10"/>
      <c r="DB43" s="11"/>
      <c r="DC43" s="12"/>
      <c r="DD43" s="17"/>
      <c r="DE43" s="13"/>
      <c r="DF43" s="13"/>
      <c r="DG43" s="13"/>
      <c r="DH43" s="14"/>
      <c r="DI43" s="8">
        <f t="shared" si="9"/>
        <v>51</v>
      </c>
      <c r="DJ43" s="8">
        <f t="shared" si="10"/>
        <v>36</v>
      </c>
      <c r="DK43" s="8">
        <f t="shared" si="11"/>
        <v>29</v>
      </c>
      <c r="DL43" s="8">
        <f t="shared" si="12"/>
        <v>18</v>
      </c>
      <c r="DM43" s="8">
        <f t="shared" si="13"/>
        <v>51</v>
      </c>
      <c r="DN43" s="8">
        <f t="shared" si="14"/>
        <v>29</v>
      </c>
      <c r="DO43" s="15">
        <f t="shared" si="15"/>
        <v>33.832148424242881</v>
      </c>
      <c r="DP43" s="15" t="str">
        <f t="shared" si="16"/>
        <v>OK - No Upgrade</v>
      </c>
      <c r="DQ43" s="15" t="str">
        <f t="shared" si="17"/>
        <v>Need to Balance</v>
      </c>
    </row>
    <row r="44" spans="1:121" ht="15.75" customHeight="1" x14ac:dyDescent="0.25">
      <c r="A44" s="8" t="s">
        <v>1459</v>
      </c>
      <c r="B44" s="8" t="s">
        <v>1713</v>
      </c>
      <c r="C44" s="8" t="s">
        <v>389</v>
      </c>
      <c r="D44" s="8" t="s">
        <v>1828</v>
      </c>
      <c r="E44" s="8" t="s">
        <v>1829</v>
      </c>
      <c r="F44" s="8" t="s">
        <v>43</v>
      </c>
      <c r="G44" s="8"/>
      <c r="H44" s="8">
        <v>100</v>
      </c>
      <c r="I44" s="8" t="s">
        <v>1830</v>
      </c>
      <c r="J44" s="8">
        <v>1</v>
      </c>
      <c r="K44" s="8">
        <v>224</v>
      </c>
      <c r="L44" s="8">
        <v>222</v>
      </c>
      <c r="M44" s="8">
        <v>217</v>
      </c>
      <c r="N44" s="8">
        <v>383</v>
      </c>
      <c r="O44" s="8">
        <v>377</v>
      </c>
      <c r="P44" s="8">
        <v>388</v>
      </c>
      <c r="Q44" s="9" t="s">
        <v>47</v>
      </c>
      <c r="R44" s="16"/>
      <c r="S44" s="10">
        <v>62</v>
      </c>
      <c r="T44" s="10">
        <v>29</v>
      </c>
      <c r="U44" s="10">
        <v>47</v>
      </c>
      <c r="V44" s="11">
        <v>24</v>
      </c>
      <c r="W44" s="12" t="s">
        <v>47</v>
      </c>
      <c r="X44" s="17"/>
      <c r="Y44" s="13">
        <v>8</v>
      </c>
      <c r="Z44" s="13">
        <v>10</v>
      </c>
      <c r="AA44" s="13">
        <v>15</v>
      </c>
      <c r="AB44" s="14">
        <v>5</v>
      </c>
      <c r="AC44" s="9"/>
      <c r="AD44" s="16"/>
      <c r="AE44" s="10"/>
      <c r="AF44" s="10"/>
      <c r="AG44" s="10"/>
      <c r="AH44" s="11"/>
      <c r="AI44" s="12"/>
      <c r="AJ44" s="17"/>
      <c r="AK44" s="13"/>
      <c r="AL44" s="13"/>
      <c r="AM44" s="13"/>
      <c r="AN44" s="14"/>
      <c r="AO44" s="9"/>
      <c r="AP44" s="16"/>
      <c r="AQ44" s="10"/>
      <c r="AR44" s="10"/>
      <c r="AS44" s="10"/>
      <c r="AT44" s="11"/>
      <c r="AU44" s="12"/>
      <c r="AV44" s="17"/>
      <c r="AW44" s="13"/>
      <c r="AX44" s="13"/>
      <c r="AY44" s="13"/>
      <c r="AZ44" s="14"/>
      <c r="BA44" s="9"/>
      <c r="BB44" s="16"/>
      <c r="BC44" s="10"/>
      <c r="BD44" s="10"/>
      <c r="BE44" s="10"/>
      <c r="BF44" s="11"/>
      <c r="BG44" s="12"/>
      <c r="BH44" s="17"/>
      <c r="BI44" s="13"/>
      <c r="BJ44" s="13"/>
      <c r="BK44" s="13"/>
      <c r="BL44" s="14"/>
      <c r="BM44" s="9"/>
      <c r="BN44" s="16"/>
      <c r="BO44" s="10"/>
      <c r="BP44" s="10"/>
      <c r="BQ44" s="10"/>
      <c r="BR44" s="11"/>
      <c r="BS44" s="12"/>
      <c r="BT44" s="17"/>
      <c r="BU44" s="13"/>
      <c r="BV44" s="13"/>
      <c r="BW44" s="13"/>
      <c r="BX44" s="14"/>
      <c r="BY44" s="9"/>
      <c r="BZ44" s="16"/>
      <c r="CA44" s="10"/>
      <c r="CB44" s="10"/>
      <c r="CC44" s="10"/>
      <c r="CD44" s="11"/>
      <c r="CE44" s="12"/>
      <c r="CF44" s="17"/>
      <c r="CG44" s="13"/>
      <c r="CH44" s="13"/>
      <c r="CI44" s="13"/>
      <c r="CJ44" s="14"/>
      <c r="CK44" s="9"/>
      <c r="CL44" s="16"/>
      <c r="CM44" s="10"/>
      <c r="CN44" s="10"/>
      <c r="CO44" s="10"/>
      <c r="CP44" s="11"/>
      <c r="CQ44" s="12"/>
      <c r="CR44" s="17"/>
      <c r="CS44" s="13"/>
      <c r="CT44" s="13"/>
      <c r="CU44" s="13"/>
      <c r="CV44" s="14"/>
      <c r="CW44" s="9"/>
      <c r="CX44" s="16"/>
      <c r="CY44" s="10"/>
      <c r="CZ44" s="10"/>
      <c r="DA44" s="10"/>
      <c r="DB44" s="11"/>
      <c r="DC44" s="12"/>
      <c r="DD44" s="17"/>
      <c r="DE44" s="13"/>
      <c r="DF44" s="13"/>
      <c r="DG44" s="13"/>
      <c r="DH44" s="14"/>
      <c r="DI44" s="8">
        <f t="shared" si="9"/>
        <v>70</v>
      </c>
      <c r="DJ44" s="8">
        <f t="shared" si="10"/>
        <v>39</v>
      </c>
      <c r="DK44" s="8">
        <f t="shared" si="11"/>
        <v>62</v>
      </c>
      <c r="DL44" s="8">
        <f t="shared" si="12"/>
        <v>29</v>
      </c>
      <c r="DM44" s="8">
        <f t="shared" si="13"/>
        <v>70</v>
      </c>
      <c r="DN44" s="8">
        <f t="shared" si="14"/>
        <v>39</v>
      </c>
      <c r="DO44" s="15">
        <f t="shared" si="15"/>
        <v>46.436282150921599</v>
      </c>
      <c r="DP44" s="15" t="str">
        <f t="shared" si="16"/>
        <v>OK - No Upgrade</v>
      </c>
      <c r="DQ44" s="15" t="str">
        <f t="shared" si="17"/>
        <v>Need to Balance</v>
      </c>
    </row>
    <row r="45" spans="1:121" ht="15.75" customHeight="1" x14ac:dyDescent="0.25">
      <c r="A45" s="8" t="s">
        <v>1459</v>
      </c>
      <c r="B45" s="8" t="s">
        <v>1713</v>
      </c>
      <c r="C45" s="8" t="s">
        <v>389</v>
      </c>
      <c r="D45" s="8"/>
      <c r="E45" s="8" t="s">
        <v>1829</v>
      </c>
      <c r="F45" s="8" t="s">
        <v>43</v>
      </c>
      <c r="G45" s="8"/>
      <c r="H45" s="8">
        <v>100</v>
      </c>
      <c r="I45" s="8"/>
      <c r="J45" s="8">
        <v>1</v>
      </c>
      <c r="K45" s="8"/>
      <c r="L45" s="8"/>
      <c r="M45" s="8"/>
      <c r="N45" s="8"/>
      <c r="O45" s="8"/>
      <c r="P45" s="8"/>
      <c r="Q45" s="9"/>
      <c r="R45" s="16"/>
      <c r="S45" s="10"/>
      <c r="T45" s="10"/>
      <c r="U45" s="10"/>
      <c r="V45" s="11"/>
      <c r="W45" s="12"/>
      <c r="X45" s="17"/>
      <c r="Y45" s="13"/>
      <c r="Z45" s="13"/>
      <c r="AA45" s="13"/>
      <c r="AB45" s="14"/>
      <c r="AC45" s="9"/>
      <c r="AD45" s="16"/>
      <c r="AE45" s="10"/>
      <c r="AF45" s="10"/>
      <c r="AG45" s="10"/>
      <c r="AH45" s="11"/>
      <c r="AI45" s="12"/>
      <c r="AJ45" s="17"/>
      <c r="AK45" s="13"/>
      <c r="AL45" s="13"/>
      <c r="AM45" s="13"/>
      <c r="AN45" s="14"/>
      <c r="AO45" s="9"/>
      <c r="AP45" s="16"/>
      <c r="AQ45" s="10"/>
      <c r="AR45" s="10"/>
      <c r="AS45" s="10"/>
      <c r="AT45" s="11"/>
      <c r="AU45" s="12"/>
      <c r="AV45" s="17"/>
      <c r="AW45" s="13"/>
      <c r="AX45" s="13"/>
      <c r="AY45" s="13"/>
      <c r="AZ45" s="14"/>
      <c r="BA45" s="9"/>
      <c r="BB45" s="16"/>
      <c r="BC45" s="10"/>
      <c r="BD45" s="10"/>
      <c r="BE45" s="10"/>
      <c r="BF45" s="11"/>
      <c r="BG45" s="12"/>
      <c r="BH45" s="17"/>
      <c r="BI45" s="13"/>
      <c r="BJ45" s="13"/>
      <c r="BK45" s="13"/>
      <c r="BL45" s="14"/>
      <c r="BM45" s="9"/>
      <c r="BN45" s="16"/>
      <c r="BO45" s="10"/>
      <c r="BP45" s="10"/>
      <c r="BQ45" s="10"/>
      <c r="BR45" s="11"/>
      <c r="BS45" s="12"/>
      <c r="BT45" s="17"/>
      <c r="BU45" s="13"/>
      <c r="BV45" s="13"/>
      <c r="BW45" s="13"/>
      <c r="BX45" s="14"/>
      <c r="BY45" s="9"/>
      <c r="BZ45" s="16"/>
      <c r="CA45" s="10"/>
      <c r="CB45" s="10"/>
      <c r="CC45" s="10"/>
      <c r="CD45" s="11"/>
      <c r="CE45" s="12"/>
      <c r="CF45" s="17"/>
      <c r="CG45" s="13"/>
      <c r="CH45" s="13"/>
      <c r="CI45" s="13"/>
      <c r="CJ45" s="14"/>
      <c r="CK45" s="9"/>
      <c r="CL45" s="16"/>
      <c r="CM45" s="10"/>
      <c r="CN45" s="10"/>
      <c r="CO45" s="10"/>
      <c r="CP45" s="11"/>
      <c r="CQ45" s="12"/>
      <c r="CR45" s="17"/>
      <c r="CS45" s="13"/>
      <c r="CT45" s="13"/>
      <c r="CU45" s="13"/>
      <c r="CV45" s="14"/>
      <c r="CW45" s="9"/>
      <c r="CX45" s="16"/>
      <c r="CY45" s="10"/>
      <c r="CZ45" s="10"/>
      <c r="DA45" s="10"/>
      <c r="DB45" s="11"/>
      <c r="DC45" s="12"/>
      <c r="DD45" s="17"/>
      <c r="DE45" s="13"/>
      <c r="DF45" s="13"/>
      <c r="DG45" s="13"/>
      <c r="DH45" s="14"/>
      <c r="DI45" s="8">
        <f t="shared" si="9"/>
        <v>0</v>
      </c>
      <c r="DJ45" s="8">
        <f t="shared" si="10"/>
        <v>0</v>
      </c>
      <c r="DK45" s="8">
        <f t="shared" si="11"/>
        <v>0</v>
      </c>
      <c r="DL45" s="8">
        <f t="shared" si="12"/>
        <v>0</v>
      </c>
      <c r="DM45" s="8">
        <f t="shared" si="13"/>
        <v>0</v>
      </c>
      <c r="DN45" s="8">
        <f t="shared" si="14"/>
        <v>0</v>
      </c>
      <c r="DO45" s="15">
        <f t="shared" si="15"/>
        <v>0</v>
      </c>
      <c r="DP45" s="15" t="str">
        <f t="shared" si="16"/>
        <v>OK - No Upgrade</v>
      </c>
      <c r="DQ45" s="15" t="str">
        <f t="shared" si="17"/>
        <v>OK - Balanced</v>
      </c>
    </row>
    <row r="46" spans="1:121" ht="15.75" customHeight="1" x14ac:dyDescent="0.25">
      <c r="A46" s="8" t="s">
        <v>1459</v>
      </c>
      <c r="B46" s="8" t="s">
        <v>1713</v>
      </c>
      <c r="C46" s="8" t="s">
        <v>389</v>
      </c>
      <c r="D46" s="8" t="s">
        <v>1831</v>
      </c>
      <c r="E46" s="8" t="s">
        <v>1832</v>
      </c>
      <c r="F46" s="8" t="s">
        <v>43</v>
      </c>
      <c r="G46" s="8"/>
      <c r="H46" s="8">
        <v>315</v>
      </c>
      <c r="I46" s="8" t="s">
        <v>792</v>
      </c>
      <c r="J46" s="8">
        <v>1</v>
      </c>
      <c r="K46" s="8">
        <v>230</v>
      </c>
      <c r="L46" s="8">
        <v>225</v>
      </c>
      <c r="M46" s="8">
        <v>222</v>
      </c>
      <c r="N46" s="8">
        <v>392</v>
      </c>
      <c r="O46" s="8">
        <v>385</v>
      </c>
      <c r="P46" s="8">
        <v>398</v>
      </c>
      <c r="Q46" s="9" t="s">
        <v>47</v>
      </c>
      <c r="R46" s="16"/>
      <c r="S46" s="10">
        <v>51</v>
      </c>
      <c r="T46" s="10">
        <v>22</v>
      </c>
      <c r="U46" s="10">
        <v>38</v>
      </c>
      <c r="V46" s="11">
        <v>27</v>
      </c>
      <c r="W46" s="12" t="s">
        <v>47</v>
      </c>
      <c r="X46" s="17"/>
      <c r="Y46" s="13">
        <v>15</v>
      </c>
      <c r="Z46" s="13">
        <v>29</v>
      </c>
      <c r="AA46" s="13">
        <v>30</v>
      </c>
      <c r="AB46" s="14">
        <v>10</v>
      </c>
      <c r="AC46" s="9"/>
      <c r="AD46" s="16"/>
      <c r="AE46" s="10"/>
      <c r="AF46" s="10"/>
      <c r="AG46" s="10"/>
      <c r="AH46" s="11"/>
      <c r="AI46" s="12"/>
      <c r="AJ46" s="17"/>
      <c r="AK46" s="13"/>
      <c r="AL46" s="13"/>
      <c r="AM46" s="13"/>
      <c r="AN46" s="14"/>
      <c r="AO46" s="9"/>
      <c r="AP46" s="16"/>
      <c r="AQ46" s="10"/>
      <c r="AR46" s="10"/>
      <c r="AS46" s="10"/>
      <c r="AT46" s="11"/>
      <c r="AU46" s="12"/>
      <c r="AV46" s="17"/>
      <c r="AW46" s="13"/>
      <c r="AX46" s="13"/>
      <c r="AY46" s="13"/>
      <c r="AZ46" s="14"/>
      <c r="BA46" s="9"/>
      <c r="BB46" s="16"/>
      <c r="BC46" s="10"/>
      <c r="BD46" s="10"/>
      <c r="BE46" s="10"/>
      <c r="BF46" s="11"/>
      <c r="BG46" s="12"/>
      <c r="BH46" s="17"/>
      <c r="BI46" s="13"/>
      <c r="BJ46" s="13"/>
      <c r="BK46" s="13"/>
      <c r="BL46" s="14"/>
      <c r="BM46" s="9"/>
      <c r="BN46" s="16"/>
      <c r="BO46" s="10"/>
      <c r="BP46" s="10"/>
      <c r="BQ46" s="10"/>
      <c r="BR46" s="11"/>
      <c r="BS46" s="12"/>
      <c r="BT46" s="17"/>
      <c r="BU46" s="13"/>
      <c r="BV46" s="13"/>
      <c r="BW46" s="13"/>
      <c r="BX46" s="14"/>
      <c r="BY46" s="9"/>
      <c r="BZ46" s="16"/>
      <c r="CA46" s="10"/>
      <c r="CB46" s="10"/>
      <c r="CC46" s="10"/>
      <c r="CD46" s="11"/>
      <c r="CE46" s="12"/>
      <c r="CF46" s="17"/>
      <c r="CG46" s="13"/>
      <c r="CH46" s="13"/>
      <c r="CI46" s="13"/>
      <c r="CJ46" s="14"/>
      <c r="CK46" s="9"/>
      <c r="CL46" s="16"/>
      <c r="CM46" s="10"/>
      <c r="CN46" s="10"/>
      <c r="CO46" s="10"/>
      <c r="CP46" s="11"/>
      <c r="CQ46" s="12"/>
      <c r="CR46" s="17"/>
      <c r="CS46" s="13"/>
      <c r="CT46" s="13"/>
      <c r="CU46" s="13"/>
      <c r="CV46" s="14"/>
      <c r="CW46" s="9"/>
      <c r="CX46" s="16"/>
      <c r="CY46" s="10"/>
      <c r="CZ46" s="10"/>
      <c r="DA46" s="10"/>
      <c r="DB46" s="11"/>
      <c r="DC46" s="12"/>
      <c r="DD46" s="17"/>
      <c r="DE46" s="13"/>
      <c r="DF46" s="13"/>
      <c r="DG46" s="13"/>
      <c r="DH46" s="14"/>
      <c r="DI46" s="8">
        <f t="shared" si="9"/>
        <v>66</v>
      </c>
      <c r="DJ46" s="8">
        <f t="shared" si="10"/>
        <v>51</v>
      </c>
      <c r="DK46" s="8">
        <f t="shared" si="11"/>
        <v>68</v>
      </c>
      <c r="DL46" s="8">
        <f t="shared" si="12"/>
        <v>37</v>
      </c>
      <c r="DM46" s="8">
        <f t="shared" si="13"/>
        <v>68</v>
      </c>
      <c r="DN46" s="8">
        <f t="shared" si="14"/>
        <v>51</v>
      </c>
      <c r="DO46" s="15">
        <f t="shared" si="15"/>
        <v>14.6569988338273</v>
      </c>
      <c r="DP46" s="15" t="str">
        <f t="shared" si="16"/>
        <v>OK - No Upgrade</v>
      </c>
      <c r="DQ46" s="15" t="str">
        <f t="shared" si="17"/>
        <v>Need to Balance</v>
      </c>
    </row>
    <row r="47" spans="1:121" ht="15.75" customHeight="1" x14ac:dyDescent="0.25">
      <c r="A47" s="8" t="s">
        <v>1459</v>
      </c>
      <c r="B47" s="8" t="s">
        <v>1713</v>
      </c>
      <c r="C47" s="8" t="s">
        <v>389</v>
      </c>
      <c r="D47" s="8" t="s">
        <v>1833</v>
      </c>
      <c r="E47" s="8" t="s">
        <v>1834</v>
      </c>
      <c r="F47" s="8" t="s">
        <v>43</v>
      </c>
      <c r="G47" s="8"/>
      <c r="H47" s="8">
        <v>315</v>
      </c>
      <c r="I47" s="8" t="s">
        <v>1835</v>
      </c>
      <c r="J47" s="8">
        <v>1</v>
      </c>
      <c r="K47" s="8">
        <v>227</v>
      </c>
      <c r="L47" s="8">
        <v>224</v>
      </c>
      <c r="M47" s="8">
        <v>221</v>
      </c>
      <c r="N47" s="8">
        <v>390</v>
      </c>
      <c r="O47" s="8">
        <v>382</v>
      </c>
      <c r="P47" s="8">
        <v>393</v>
      </c>
      <c r="Q47" s="9" t="s">
        <v>47</v>
      </c>
      <c r="R47" s="16"/>
      <c r="S47" s="10">
        <v>56</v>
      </c>
      <c r="T47" s="10">
        <v>30</v>
      </c>
      <c r="U47" s="10">
        <v>60</v>
      </c>
      <c r="V47" s="11">
        <v>29</v>
      </c>
      <c r="W47" s="12" t="s">
        <v>46</v>
      </c>
      <c r="X47" s="17"/>
      <c r="Y47" s="13">
        <v>108</v>
      </c>
      <c r="Z47" s="13">
        <v>80</v>
      </c>
      <c r="AA47" s="13">
        <v>39</v>
      </c>
      <c r="AB47" s="14">
        <v>53</v>
      </c>
      <c r="AC47" s="9"/>
      <c r="AD47" s="16"/>
      <c r="AE47" s="10"/>
      <c r="AF47" s="10"/>
      <c r="AG47" s="10"/>
      <c r="AH47" s="11"/>
      <c r="AI47" s="12"/>
      <c r="AJ47" s="17"/>
      <c r="AK47" s="13"/>
      <c r="AL47" s="13"/>
      <c r="AM47" s="13"/>
      <c r="AN47" s="14"/>
      <c r="AO47" s="9"/>
      <c r="AP47" s="16"/>
      <c r="AQ47" s="10"/>
      <c r="AR47" s="10"/>
      <c r="AS47" s="10"/>
      <c r="AT47" s="11"/>
      <c r="AU47" s="12"/>
      <c r="AV47" s="17"/>
      <c r="AW47" s="13"/>
      <c r="AX47" s="13"/>
      <c r="AY47" s="13"/>
      <c r="AZ47" s="14"/>
      <c r="BA47" s="9"/>
      <c r="BB47" s="16"/>
      <c r="BC47" s="10"/>
      <c r="BD47" s="10"/>
      <c r="BE47" s="10"/>
      <c r="BF47" s="11"/>
      <c r="BG47" s="12"/>
      <c r="BH47" s="17"/>
      <c r="BI47" s="13"/>
      <c r="BJ47" s="13"/>
      <c r="BK47" s="13"/>
      <c r="BL47" s="14"/>
      <c r="BM47" s="9"/>
      <c r="BN47" s="16"/>
      <c r="BO47" s="10"/>
      <c r="BP47" s="10"/>
      <c r="BQ47" s="10"/>
      <c r="BR47" s="11"/>
      <c r="BS47" s="12"/>
      <c r="BT47" s="17"/>
      <c r="BU47" s="13"/>
      <c r="BV47" s="13"/>
      <c r="BW47" s="13"/>
      <c r="BX47" s="14"/>
      <c r="BY47" s="9"/>
      <c r="BZ47" s="16"/>
      <c r="CA47" s="10"/>
      <c r="CB47" s="10"/>
      <c r="CC47" s="10"/>
      <c r="CD47" s="11"/>
      <c r="CE47" s="12"/>
      <c r="CF47" s="17"/>
      <c r="CG47" s="13"/>
      <c r="CH47" s="13"/>
      <c r="CI47" s="13"/>
      <c r="CJ47" s="14"/>
      <c r="CK47" s="9"/>
      <c r="CL47" s="16"/>
      <c r="CM47" s="10"/>
      <c r="CN47" s="10"/>
      <c r="CO47" s="10"/>
      <c r="CP47" s="11"/>
      <c r="CQ47" s="12"/>
      <c r="CR47" s="17"/>
      <c r="CS47" s="13"/>
      <c r="CT47" s="13"/>
      <c r="CU47" s="13"/>
      <c r="CV47" s="14"/>
      <c r="CW47" s="9"/>
      <c r="CX47" s="16"/>
      <c r="CY47" s="10"/>
      <c r="CZ47" s="10"/>
      <c r="DA47" s="10"/>
      <c r="DB47" s="11"/>
      <c r="DC47" s="12"/>
      <c r="DD47" s="17"/>
      <c r="DE47" s="13"/>
      <c r="DF47" s="13"/>
      <c r="DG47" s="13"/>
      <c r="DH47" s="14"/>
      <c r="DI47" s="8">
        <f t="shared" si="9"/>
        <v>164</v>
      </c>
      <c r="DJ47" s="8">
        <f t="shared" si="10"/>
        <v>110</v>
      </c>
      <c r="DK47" s="8">
        <f t="shared" si="11"/>
        <v>99</v>
      </c>
      <c r="DL47" s="8">
        <f t="shared" si="12"/>
        <v>82</v>
      </c>
      <c r="DM47" s="8">
        <f t="shared" si="13"/>
        <v>164</v>
      </c>
      <c r="DN47" s="8">
        <f t="shared" si="14"/>
        <v>99</v>
      </c>
      <c r="DO47" s="15">
        <f t="shared" si="15"/>
        <v>35.168879254636629</v>
      </c>
      <c r="DP47" s="15" t="str">
        <f t="shared" si="16"/>
        <v>OK - No Upgrade</v>
      </c>
      <c r="DQ47" s="15" t="str">
        <f t="shared" si="17"/>
        <v>Need to Balance</v>
      </c>
    </row>
    <row r="48" spans="1:121" ht="15.75" customHeight="1" x14ac:dyDescent="0.25">
      <c r="A48" s="8" t="s">
        <v>1459</v>
      </c>
      <c r="B48" s="8" t="s">
        <v>1713</v>
      </c>
      <c r="C48" s="8" t="s">
        <v>389</v>
      </c>
      <c r="D48" s="8" t="s">
        <v>1836</v>
      </c>
      <c r="E48" s="8" t="s">
        <v>1837</v>
      </c>
      <c r="F48" s="8" t="s">
        <v>43</v>
      </c>
      <c r="G48" s="8"/>
      <c r="H48" s="8">
        <v>100</v>
      </c>
      <c r="I48" s="8" t="s">
        <v>1838</v>
      </c>
      <c r="J48" s="8">
        <v>1</v>
      </c>
      <c r="K48" s="8">
        <v>222</v>
      </c>
      <c r="L48" s="8">
        <v>220</v>
      </c>
      <c r="M48" s="8">
        <v>214</v>
      </c>
      <c r="N48" s="8">
        <v>377</v>
      </c>
      <c r="O48" s="8">
        <v>359</v>
      </c>
      <c r="P48" s="8">
        <v>382</v>
      </c>
      <c r="Q48" s="9" t="s">
        <v>46</v>
      </c>
      <c r="R48" s="16"/>
      <c r="S48" s="10">
        <v>17</v>
      </c>
      <c r="T48" s="10">
        <v>19</v>
      </c>
      <c r="U48" s="10">
        <v>26</v>
      </c>
      <c r="V48" s="11">
        <v>14</v>
      </c>
      <c r="W48" s="12"/>
      <c r="X48" s="17"/>
      <c r="Y48" s="13"/>
      <c r="Z48" s="13"/>
      <c r="AA48" s="13"/>
      <c r="AB48" s="14"/>
      <c r="AC48" s="9"/>
      <c r="AD48" s="16"/>
      <c r="AE48" s="10"/>
      <c r="AF48" s="10"/>
      <c r="AG48" s="10"/>
      <c r="AH48" s="11"/>
      <c r="AI48" s="12"/>
      <c r="AJ48" s="17"/>
      <c r="AK48" s="13"/>
      <c r="AL48" s="13"/>
      <c r="AM48" s="13"/>
      <c r="AN48" s="14"/>
      <c r="AO48" s="9"/>
      <c r="AP48" s="16"/>
      <c r="AQ48" s="10"/>
      <c r="AR48" s="10"/>
      <c r="AS48" s="10"/>
      <c r="AT48" s="11"/>
      <c r="AU48" s="12"/>
      <c r="AV48" s="17"/>
      <c r="AW48" s="13"/>
      <c r="AX48" s="13"/>
      <c r="AY48" s="13"/>
      <c r="AZ48" s="14"/>
      <c r="BA48" s="9"/>
      <c r="BB48" s="16"/>
      <c r="BC48" s="10"/>
      <c r="BD48" s="10"/>
      <c r="BE48" s="10"/>
      <c r="BF48" s="11"/>
      <c r="BG48" s="12"/>
      <c r="BH48" s="17"/>
      <c r="BI48" s="13"/>
      <c r="BJ48" s="13"/>
      <c r="BK48" s="13"/>
      <c r="BL48" s="14"/>
      <c r="BM48" s="9"/>
      <c r="BN48" s="16"/>
      <c r="BO48" s="10"/>
      <c r="BP48" s="10"/>
      <c r="BQ48" s="10"/>
      <c r="BR48" s="11"/>
      <c r="BS48" s="12"/>
      <c r="BT48" s="17"/>
      <c r="BU48" s="13"/>
      <c r="BV48" s="13"/>
      <c r="BW48" s="13"/>
      <c r="BX48" s="14"/>
      <c r="BY48" s="9"/>
      <c r="BZ48" s="16"/>
      <c r="CA48" s="10"/>
      <c r="CB48" s="10"/>
      <c r="CC48" s="10"/>
      <c r="CD48" s="11"/>
      <c r="CE48" s="12"/>
      <c r="CF48" s="17"/>
      <c r="CG48" s="13"/>
      <c r="CH48" s="13"/>
      <c r="CI48" s="13"/>
      <c r="CJ48" s="14"/>
      <c r="CK48" s="9"/>
      <c r="CL48" s="16"/>
      <c r="CM48" s="10"/>
      <c r="CN48" s="10"/>
      <c r="CO48" s="10"/>
      <c r="CP48" s="11"/>
      <c r="CQ48" s="12"/>
      <c r="CR48" s="17"/>
      <c r="CS48" s="13"/>
      <c r="CT48" s="13"/>
      <c r="CU48" s="13"/>
      <c r="CV48" s="14"/>
      <c r="CW48" s="9"/>
      <c r="CX48" s="16"/>
      <c r="CY48" s="10"/>
      <c r="CZ48" s="10"/>
      <c r="DA48" s="10"/>
      <c r="DB48" s="11"/>
      <c r="DC48" s="12"/>
      <c r="DD48" s="17"/>
      <c r="DE48" s="13"/>
      <c r="DF48" s="13"/>
      <c r="DG48" s="13"/>
      <c r="DH48" s="14"/>
      <c r="DI48" s="8">
        <f t="shared" si="9"/>
        <v>17</v>
      </c>
      <c r="DJ48" s="8">
        <f t="shared" si="10"/>
        <v>19</v>
      </c>
      <c r="DK48" s="8">
        <f t="shared" si="11"/>
        <v>26</v>
      </c>
      <c r="DL48" s="8">
        <f t="shared" si="12"/>
        <v>14</v>
      </c>
      <c r="DM48" s="8">
        <f t="shared" si="13"/>
        <v>26</v>
      </c>
      <c r="DN48" s="8">
        <f t="shared" si="14"/>
        <v>17</v>
      </c>
      <c r="DO48" s="15">
        <f t="shared" si="15"/>
        <v>16.977562015790131</v>
      </c>
      <c r="DP48" s="15" t="str">
        <f t="shared" si="16"/>
        <v>OK - No Upgrade</v>
      </c>
      <c r="DQ48" s="15" t="str">
        <f t="shared" si="17"/>
        <v>Need to Balance</v>
      </c>
    </row>
    <row r="49" spans="1:121" ht="15.75" customHeight="1" x14ac:dyDescent="0.25">
      <c r="A49" s="8" t="s">
        <v>1459</v>
      </c>
      <c r="B49" s="8" t="s">
        <v>1713</v>
      </c>
      <c r="C49" s="8" t="s">
        <v>389</v>
      </c>
      <c r="D49" s="8" t="s">
        <v>1839</v>
      </c>
      <c r="E49" s="8" t="s">
        <v>1840</v>
      </c>
      <c r="F49" s="8" t="s">
        <v>43</v>
      </c>
      <c r="G49" s="8"/>
      <c r="H49" s="8">
        <v>100</v>
      </c>
      <c r="I49" s="8" t="s">
        <v>1841</v>
      </c>
      <c r="J49" s="8">
        <v>1</v>
      </c>
      <c r="K49" s="8">
        <v>224</v>
      </c>
      <c r="L49" s="8">
        <v>220</v>
      </c>
      <c r="M49" s="8">
        <v>220</v>
      </c>
      <c r="N49" s="8">
        <v>383</v>
      </c>
      <c r="O49" s="8">
        <v>374</v>
      </c>
      <c r="P49" s="8">
        <v>387</v>
      </c>
      <c r="Q49" s="9" t="s">
        <v>46</v>
      </c>
      <c r="R49" s="16"/>
      <c r="S49" s="10">
        <v>23</v>
      </c>
      <c r="T49" s="10">
        <v>17</v>
      </c>
      <c r="U49" s="10">
        <v>27</v>
      </c>
      <c r="V49" s="11">
        <v>11</v>
      </c>
      <c r="W49" s="12" t="s">
        <v>46</v>
      </c>
      <c r="X49" s="17"/>
      <c r="Y49" s="13">
        <v>20</v>
      </c>
      <c r="Z49" s="13">
        <v>28</v>
      </c>
      <c r="AA49" s="13">
        <v>6</v>
      </c>
      <c r="AB49" s="14">
        <v>16</v>
      </c>
      <c r="AC49" s="9"/>
      <c r="AD49" s="16"/>
      <c r="AE49" s="10"/>
      <c r="AF49" s="10"/>
      <c r="AG49" s="10"/>
      <c r="AH49" s="11"/>
      <c r="AI49" s="12"/>
      <c r="AJ49" s="17"/>
      <c r="AK49" s="13"/>
      <c r="AL49" s="13"/>
      <c r="AM49" s="13"/>
      <c r="AN49" s="14"/>
      <c r="AO49" s="9"/>
      <c r="AP49" s="16"/>
      <c r="AQ49" s="10"/>
      <c r="AR49" s="10"/>
      <c r="AS49" s="10"/>
      <c r="AT49" s="11"/>
      <c r="AU49" s="12"/>
      <c r="AV49" s="17"/>
      <c r="AW49" s="13"/>
      <c r="AX49" s="13"/>
      <c r="AY49" s="13"/>
      <c r="AZ49" s="14"/>
      <c r="BA49" s="9"/>
      <c r="BB49" s="16"/>
      <c r="BC49" s="10"/>
      <c r="BD49" s="10"/>
      <c r="BE49" s="10"/>
      <c r="BF49" s="11"/>
      <c r="BG49" s="12"/>
      <c r="BH49" s="17"/>
      <c r="BI49" s="13"/>
      <c r="BJ49" s="13"/>
      <c r="BK49" s="13"/>
      <c r="BL49" s="14"/>
      <c r="BM49" s="9"/>
      <c r="BN49" s="16"/>
      <c r="BO49" s="10"/>
      <c r="BP49" s="10"/>
      <c r="BQ49" s="10"/>
      <c r="BR49" s="11"/>
      <c r="BS49" s="12"/>
      <c r="BT49" s="17"/>
      <c r="BU49" s="13"/>
      <c r="BV49" s="13"/>
      <c r="BW49" s="13"/>
      <c r="BX49" s="14"/>
      <c r="BY49" s="9"/>
      <c r="BZ49" s="16"/>
      <c r="CA49" s="10"/>
      <c r="CB49" s="10"/>
      <c r="CC49" s="10"/>
      <c r="CD49" s="11"/>
      <c r="CE49" s="12"/>
      <c r="CF49" s="17"/>
      <c r="CG49" s="13"/>
      <c r="CH49" s="13"/>
      <c r="CI49" s="13"/>
      <c r="CJ49" s="14"/>
      <c r="CK49" s="9"/>
      <c r="CL49" s="16"/>
      <c r="CM49" s="10"/>
      <c r="CN49" s="10"/>
      <c r="CO49" s="10"/>
      <c r="CP49" s="11"/>
      <c r="CQ49" s="12"/>
      <c r="CR49" s="17"/>
      <c r="CS49" s="13"/>
      <c r="CT49" s="13"/>
      <c r="CU49" s="13"/>
      <c r="CV49" s="14"/>
      <c r="CW49" s="9"/>
      <c r="CX49" s="16"/>
      <c r="CY49" s="10"/>
      <c r="CZ49" s="10"/>
      <c r="DA49" s="10"/>
      <c r="DB49" s="11"/>
      <c r="DC49" s="12"/>
      <c r="DD49" s="17"/>
      <c r="DE49" s="13"/>
      <c r="DF49" s="13"/>
      <c r="DG49" s="13"/>
      <c r="DH49" s="14"/>
      <c r="DI49" s="8">
        <f t="shared" si="9"/>
        <v>43</v>
      </c>
      <c r="DJ49" s="8">
        <f t="shared" si="10"/>
        <v>45</v>
      </c>
      <c r="DK49" s="8">
        <f t="shared" si="11"/>
        <v>33</v>
      </c>
      <c r="DL49" s="8">
        <f t="shared" si="12"/>
        <v>27</v>
      </c>
      <c r="DM49" s="8">
        <f t="shared" si="13"/>
        <v>45</v>
      </c>
      <c r="DN49" s="8">
        <f t="shared" si="14"/>
        <v>33</v>
      </c>
      <c r="DO49" s="15">
        <f t="shared" si="15"/>
        <v>29.8518956684496</v>
      </c>
      <c r="DP49" s="15" t="str">
        <f t="shared" si="16"/>
        <v>OK - No Upgrade</v>
      </c>
      <c r="DQ49" s="15" t="str">
        <f t="shared" si="17"/>
        <v>Need to Balance</v>
      </c>
    </row>
    <row r="50" spans="1:121" ht="15.75" customHeight="1" x14ac:dyDescent="0.25">
      <c r="A50" s="8" t="s">
        <v>1459</v>
      </c>
      <c r="B50" s="8" t="s">
        <v>1713</v>
      </c>
      <c r="C50" s="8" t="s">
        <v>389</v>
      </c>
      <c r="D50" s="8" t="s">
        <v>1842</v>
      </c>
      <c r="E50" s="8" t="s">
        <v>1843</v>
      </c>
      <c r="F50" s="8" t="s">
        <v>43</v>
      </c>
      <c r="G50" s="8"/>
      <c r="H50" s="8">
        <v>315</v>
      </c>
      <c r="I50" s="8" t="s">
        <v>1844</v>
      </c>
      <c r="J50" s="8">
        <v>1</v>
      </c>
      <c r="K50" s="8">
        <v>226</v>
      </c>
      <c r="L50" s="8">
        <v>222</v>
      </c>
      <c r="M50" s="8">
        <v>219</v>
      </c>
      <c r="N50" s="8">
        <v>385</v>
      </c>
      <c r="O50" s="8">
        <v>380</v>
      </c>
      <c r="P50" s="8">
        <v>392</v>
      </c>
      <c r="Q50" s="9" t="s">
        <v>47</v>
      </c>
      <c r="R50" s="16"/>
      <c r="S50" s="10">
        <v>63</v>
      </c>
      <c r="T50" s="10">
        <v>46</v>
      </c>
      <c r="U50" s="10">
        <v>77</v>
      </c>
      <c r="V50" s="11">
        <v>19</v>
      </c>
      <c r="W50" s="12"/>
      <c r="X50" s="17"/>
      <c r="Y50" s="13"/>
      <c r="Z50" s="13"/>
      <c r="AA50" s="13"/>
      <c r="AB50" s="14"/>
      <c r="AC50" s="9"/>
      <c r="AD50" s="16"/>
      <c r="AE50" s="10"/>
      <c r="AF50" s="10"/>
      <c r="AG50" s="10"/>
      <c r="AH50" s="11"/>
      <c r="AI50" s="12"/>
      <c r="AJ50" s="17"/>
      <c r="AK50" s="13"/>
      <c r="AL50" s="13"/>
      <c r="AM50" s="13"/>
      <c r="AN50" s="14"/>
      <c r="AO50" s="9"/>
      <c r="AP50" s="16"/>
      <c r="AQ50" s="10"/>
      <c r="AR50" s="10"/>
      <c r="AS50" s="10"/>
      <c r="AT50" s="11"/>
      <c r="AU50" s="12"/>
      <c r="AV50" s="17"/>
      <c r="AW50" s="13"/>
      <c r="AX50" s="13"/>
      <c r="AY50" s="13"/>
      <c r="AZ50" s="14"/>
      <c r="BA50" s="9"/>
      <c r="BB50" s="16"/>
      <c r="BC50" s="10"/>
      <c r="BD50" s="10"/>
      <c r="BE50" s="10"/>
      <c r="BF50" s="11"/>
      <c r="BG50" s="12"/>
      <c r="BH50" s="17"/>
      <c r="BI50" s="13"/>
      <c r="BJ50" s="13"/>
      <c r="BK50" s="13"/>
      <c r="BL50" s="14"/>
      <c r="BM50" s="9"/>
      <c r="BN50" s="16"/>
      <c r="BO50" s="10"/>
      <c r="BP50" s="10"/>
      <c r="BQ50" s="10"/>
      <c r="BR50" s="11"/>
      <c r="BS50" s="12"/>
      <c r="BT50" s="17"/>
      <c r="BU50" s="13"/>
      <c r="BV50" s="13"/>
      <c r="BW50" s="13"/>
      <c r="BX50" s="14"/>
      <c r="BY50" s="9"/>
      <c r="BZ50" s="16"/>
      <c r="CA50" s="10"/>
      <c r="CB50" s="10"/>
      <c r="CC50" s="10"/>
      <c r="CD50" s="11"/>
      <c r="CE50" s="12"/>
      <c r="CF50" s="17"/>
      <c r="CG50" s="13"/>
      <c r="CH50" s="13"/>
      <c r="CI50" s="13"/>
      <c r="CJ50" s="14"/>
      <c r="CK50" s="9"/>
      <c r="CL50" s="16"/>
      <c r="CM50" s="10"/>
      <c r="CN50" s="10"/>
      <c r="CO50" s="10"/>
      <c r="CP50" s="11"/>
      <c r="CQ50" s="12"/>
      <c r="CR50" s="17"/>
      <c r="CS50" s="13"/>
      <c r="CT50" s="13"/>
      <c r="CU50" s="13"/>
      <c r="CV50" s="14"/>
      <c r="CW50" s="9"/>
      <c r="CX50" s="16"/>
      <c r="CY50" s="10"/>
      <c r="CZ50" s="10"/>
      <c r="DA50" s="10"/>
      <c r="DB50" s="11"/>
      <c r="DC50" s="12"/>
      <c r="DD50" s="17"/>
      <c r="DE50" s="13"/>
      <c r="DF50" s="13"/>
      <c r="DG50" s="13"/>
      <c r="DH50" s="14"/>
      <c r="DI50" s="8">
        <f t="shared" si="9"/>
        <v>63</v>
      </c>
      <c r="DJ50" s="8">
        <f t="shared" si="10"/>
        <v>46</v>
      </c>
      <c r="DK50" s="8">
        <f t="shared" si="11"/>
        <v>77</v>
      </c>
      <c r="DL50" s="8">
        <f t="shared" si="12"/>
        <v>19</v>
      </c>
      <c r="DM50" s="8">
        <f t="shared" si="13"/>
        <v>77</v>
      </c>
      <c r="DN50" s="8">
        <f t="shared" si="14"/>
        <v>46</v>
      </c>
      <c r="DO50" s="15">
        <f t="shared" si="15"/>
        <v>16.300522600120431</v>
      </c>
      <c r="DP50" s="15" t="str">
        <f t="shared" si="16"/>
        <v>OK - No Upgrade</v>
      </c>
      <c r="DQ50" s="15" t="str">
        <f t="shared" si="17"/>
        <v>Need to Balance</v>
      </c>
    </row>
    <row r="51" spans="1:121" ht="15.75" customHeight="1" x14ac:dyDescent="0.25">
      <c r="A51" s="8" t="s">
        <v>1459</v>
      </c>
      <c r="B51" s="8" t="s">
        <v>1713</v>
      </c>
      <c r="C51" s="8" t="s">
        <v>389</v>
      </c>
      <c r="D51" s="8" t="s">
        <v>1845</v>
      </c>
      <c r="E51" s="8" t="s">
        <v>1846</v>
      </c>
      <c r="F51" s="8" t="s">
        <v>43</v>
      </c>
      <c r="G51" s="8"/>
      <c r="H51" s="8">
        <v>100</v>
      </c>
      <c r="I51" s="8" t="s">
        <v>1847</v>
      </c>
      <c r="J51" s="8">
        <v>1</v>
      </c>
      <c r="K51" s="8">
        <v>226</v>
      </c>
      <c r="L51" s="8">
        <v>221</v>
      </c>
      <c r="M51" s="8">
        <v>219</v>
      </c>
      <c r="N51" s="8">
        <v>386</v>
      </c>
      <c r="O51" s="8">
        <v>378</v>
      </c>
      <c r="P51" s="8">
        <v>389</v>
      </c>
      <c r="Q51" s="9" t="s">
        <v>46</v>
      </c>
      <c r="R51" s="16"/>
      <c r="S51" s="10">
        <v>12</v>
      </c>
      <c r="T51" s="10">
        <v>9</v>
      </c>
      <c r="U51" s="10">
        <v>8</v>
      </c>
      <c r="V51" s="11">
        <v>3</v>
      </c>
      <c r="W51" s="12" t="s">
        <v>47</v>
      </c>
      <c r="X51" s="17"/>
      <c r="Y51" s="13">
        <v>26</v>
      </c>
      <c r="Z51" s="13">
        <v>18</v>
      </c>
      <c r="AA51" s="13">
        <v>12</v>
      </c>
      <c r="AB51" s="14">
        <v>6</v>
      </c>
      <c r="AC51" s="9"/>
      <c r="AD51" s="16"/>
      <c r="AE51" s="10"/>
      <c r="AF51" s="10"/>
      <c r="AG51" s="10"/>
      <c r="AH51" s="11"/>
      <c r="AI51" s="12"/>
      <c r="AJ51" s="17"/>
      <c r="AK51" s="13"/>
      <c r="AL51" s="13"/>
      <c r="AM51" s="13"/>
      <c r="AN51" s="14"/>
      <c r="AO51" s="9"/>
      <c r="AP51" s="16"/>
      <c r="AQ51" s="10"/>
      <c r="AR51" s="10"/>
      <c r="AS51" s="10"/>
      <c r="AT51" s="11"/>
      <c r="AU51" s="12"/>
      <c r="AV51" s="17"/>
      <c r="AW51" s="13"/>
      <c r="AX51" s="13"/>
      <c r="AY51" s="13"/>
      <c r="AZ51" s="14"/>
      <c r="BA51" s="9"/>
      <c r="BB51" s="16"/>
      <c r="BC51" s="10"/>
      <c r="BD51" s="10"/>
      <c r="BE51" s="10"/>
      <c r="BF51" s="11"/>
      <c r="BG51" s="12"/>
      <c r="BH51" s="17"/>
      <c r="BI51" s="13"/>
      <c r="BJ51" s="13"/>
      <c r="BK51" s="13"/>
      <c r="BL51" s="14"/>
      <c r="BM51" s="9"/>
      <c r="BN51" s="16"/>
      <c r="BO51" s="10"/>
      <c r="BP51" s="10"/>
      <c r="BQ51" s="10"/>
      <c r="BR51" s="11"/>
      <c r="BS51" s="12"/>
      <c r="BT51" s="17"/>
      <c r="BU51" s="13"/>
      <c r="BV51" s="13"/>
      <c r="BW51" s="13"/>
      <c r="BX51" s="14"/>
      <c r="BY51" s="9"/>
      <c r="BZ51" s="16"/>
      <c r="CA51" s="10"/>
      <c r="CB51" s="10"/>
      <c r="CC51" s="10"/>
      <c r="CD51" s="11"/>
      <c r="CE51" s="12"/>
      <c r="CF51" s="17"/>
      <c r="CG51" s="13"/>
      <c r="CH51" s="13"/>
      <c r="CI51" s="13"/>
      <c r="CJ51" s="14"/>
      <c r="CK51" s="9"/>
      <c r="CL51" s="16"/>
      <c r="CM51" s="10"/>
      <c r="CN51" s="10"/>
      <c r="CO51" s="10"/>
      <c r="CP51" s="11"/>
      <c r="CQ51" s="12"/>
      <c r="CR51" s="17"/>
      <c r="CS51" s="13"/>
      <c r="CT51" s="13"/>
      <c r="CU51" s="13"/>
      <c r="CV51" s="14"/>
      <c r="CW51" s="9"/>
      <c r="CX51" s="16"/>
      <c r="CY51" s="10"/>
      <c r="CZ51" s="10"/>
      <c r="DA51" s="10"/>
      <c r="DB51" s="11"/>
      <c r="DC51" s="12"/>
      <c r="DD51" s="17"/>
      <c r="DE51" s="13"/>
      <c r="DF51" s="13"/>
      <c r="DG51" s="13"/>
      <c r="DH51" s="14"/>
      <c r="DI51" s="8">
        <f t="shared" si="9"/>
        <v>38</v>
      </c>
      <c r="DJ51" s="8">
        <f t="shared" si="10"/>
        <v>27</v>
      </c>
      <c r="DK51" s="8">
        <f t="shared" si="11"/>
        <v>20</v>
      </c>
      <c r="DL51" s="8">
        <f t="shared" si="12"/>
        <v>9</v>
      </c>
      <c r="DM51" s="8">
        <f t="shared" si="13"/>
        <v>38</v>
      </c>
      <c r="DN51" s="8">
        <f t="shared" si="14"/>
        <v>20</v>
      </c>
      <c r="DO51" s="15">
        <f t="shared" si="15"/>
        <v>25.405721245420292</v>
      </c>
      <c r="DP51" s="15" t="str">
        <f t="shared" si="16"/>
        <v>OK - No Upgrade</v>
      </c>
      <c r="DQ51" s="15" t="str">
        <f t="shared" si="17"/>
        <v>Need to Balance</v>
      </c>
    </row>
    <row r="52" spans="1:121" ht="15.75" customHeight="1" x14ac:dyDescent="0.25">
      <c r="A52" s="8" t="s">
        <v>1459</v>
      </c>
      <c r="B52" s="8" t="s">
        <v>1713</v>
      </c>
      <c r="C52" s="8" t="s">
        <v>389</v>
      </c>
      <c r="D52" s="8" t="s">
        <v>1848</v>
      </c>
      <c r="E52" s="8" t="s">
        <v>1849</v>
      </c>
      <c r="F52" s="8" t="s">
        <v>56</v>
      </c>
      <c r="G52" s="8"/>
      <c r="H52" s="8">
        <v>500</v>
      </c>
      <c r="I52" s="8" t="s">
        <v>1850</v>
      </c>
      <c r="J52" s="8">
        <v>1</v>
      </c>
      <c r="K52" s="8">
        <v>226</v>
      </c>
      <c r="L52" s="8">
        <v>223</v>
      </c>
      <c r="M52" s="8">
        <v>220</v>
      </c>
      <c r="N52" s="8">
        <v>387</v>
      </c>
      <c r="O52" s="8">
        <v>380</v>
      </c>
      <c r="P52" s="8">
        <v>393</v>
      </c>
      <c r="Q52" s="9" t="s">
        <v>47</v>
      </c>
      <c r="R52" s="16"/>
      <c r="S52" s="10">
        <v>44</v>
      </c>
      <c r="T52" s="10">
        <v>56</v>
      </c>
      <c r="U52" s="10">
        <v>65</v>
      </c>
      <c r="V52" s="11">
        <v>16</v>
      </c>
      <c r="W52" s="12" t="s">
        <v>47</v>
      </c>
      <c r="X52" s="17"/>
      <c r="Y52" s="13">
        <v>138</v>
      </c>
      <c r="Z52" s="13">
        <v>114</v>
      </c>
      <c r="AA52" s="13">
        <v>101</v>
      </c>
      <c r="AB52" s="14">
        <v>25</v>
      </c>
      <c r="AC52" s="9" t="s">
        <v>47</v>
      </c>
      <c r="AD52" s="16"/>
      <c r="AE52" s="10">
        <v>20</v>
      </c>
      <c r="AF52" s="10">
        <v>28</v>
      </c>
      <c r="AG52" s="10">
        <v>44</v>
      </c>
      <c r="AH52" s="11">
        <v>38</v>
      </c>
      <c r="AI52" s="12" t="s">
        <v>47</v>
      </c>
      <c r="AJ52" s="17"/>
      <c r="AK52" s="13">
        <v>46</v>
      </c>
      <c r="AL52" s="13">
        <v>24</v>
      </c>
      <c r="AM52" s="13">
        <v>48</v>
      </c>
      <c r="AN52" s="14">
        <v>18</v>
      </c>
      <c r="AO52" s="9"/>
      <c r="AP52" s="16"/>
      <c r="AQ52" s="10"/>
      <c r="AR52" s="10"/>
      <c r="AS52" s="10"/>
      <c r="AT52" s="11"/>
      <c r="AU52" s="12"/>
      <c r="AV52" s="17"/>
      <c r="AW52" s="13"/>
      <c r="AX52" s="13"/>
      <c r="AY52" s="13"/>
      <c r="AZ52" s="14"/>
      <c r="BA52" s="9"/>
      <c r="BB52" s="16"/>
      <c r="BC52" s="10"/>
      <c r="BD52" s="10"/>
      <c r="BE52" s="10"/>
      <c r="BF52" s="11"/>
      <c r="BG52" s="12"/>
      <c r="BH52" s="17"/>
      <c r="BI52" s="13"/>
      <c r="BJ52" s="13"/>
      <c r="BK52" s="13"/>
      <c r="BL52" s="14"/>
      <c r="BM52" s="9"/>
      <c r="BN52" s="16"/>
      <c r="BO52" s="10"/>
      <c r="BP52" s="10"/>
      <c r="BQ52" s="10"/>
      <c r="BR52" s="11"/>
      <c r="BS52" s="12"/>
      <c r="BT52" s="17"/>
      <c r="BU52" s="13"/>
      <c r="BV52" s="13"/>
      <c r="BW52" s="13"/>
      <c r="BX52" s="14"/>
      <c r="BY52" s="9"/>
      <c r="BZ52" s="16"/>
      <c r="CA52" s="10"/>
      <c r="CB52" s="10"/>
      <c r="CC52" s="10"/>
      <c r="CD52" s="11"/>
      <c r="CE52" s="12"/>
      <c r="CF52" s="17"/>
      <c r="CG52" s="13"/>
      <c r="CH52" s="13"/>
      <c r="CI52" s="13"/>
      <c r="CJ52" s="14"/>
      <c r="CK52" s="9"/>
      <c r="CL52" s="16"/>
      <c r="CM52" s="10"/>
      <c r="CN52" s="10"/>
      <c r="CO52" s="10"/>
      <c r="CP52" s="11"/>
      <c r="CQ52" s="12"/>
      <c r="CR52" s="17"/>
      <c r="CS52" s="13"/>
      <c r="CT52" s="13"/>
      <c r="CU52" s="13"/>
      <c r="CV52" s="14"/>
      <c r="CW52" s="9"/>
      <c r="CX52" s="16"/>
      <c r="CY52" s="10"/>
      <c r="CZ52" s="10"/>
      <c r="DA52" s="10"/>
      <c r="DB52" s="11"/>
      <c r="DC52" s="12"/>
      <c r="DD52" s="17"/>
      <c r="DE52" s="13"/>
      <c r="DF52" s="13"/>
      <c r="DG52" s="13"/>
      <c r="DH52" s="14"/>
      <c r="DI52" s="8">
        <f t="shared" si="9"/>
        <v>248</v>
      </c>
      <c r="DJ52" s="8">
        <f t="shared" si="10"/>
        <v>222</v>
      </c>
      <c r="DK52" s="8">
        <f t="shared" si="11"/>
        <v>258</v>
      </c>
      <c r="DL52" s="8">
        <f t="shared" si="12"/>
        <v>97</v>
      </c>
      <c r="DM52" s="8">
        <f t="shared" si="13"/>
        <v>258</v>
      </c>
      <c r="DN52" s="8">
        <f t="shared" si="14"/>
        <v>222</v>
      </c>
      <c r="DO52" s="15">
        <f t="shared" si="15"/>
        <v>34.587668986504418</v>
      </c>
      <c r="DP52" s="15" t="str">
        <f t="shared" si="16"/>
        <v>OK - No Upgrade</v>
      </c>
      <c r="DQ52" s="15" t="str">
        <f t="shared" si="17"/>
        <v>OK - Balanced</v>
      </c>
    </row>
    <row r="53" spans="1:121" ht="15.75" customHeight="1" x14ac:dyDescent="0.25">
      <c r="A53" s="8" t="s">
        <v>1459</v>
      </c>
      <c r="B53" s="8" t="s">
        <v>1713</v>
      </c>
      <c r="C53" s="8" t="s">
        <v>389</v>
      </c>
      <c r="D53" s="8" t="s">
        <v>1851</v>
      </c>
      <c r="E53" s="8" t="s">
        <v>1852</v>
      </c>
      <c r="F53" s="8" t="s">
        <v>43</v>
      </c>
      <c r="G53" s="8"/>
      <c r="H53" s="8">
        <v>315</v>
      </c>
      <c r="I53" s="8" t="s">
        <v>1573</v>
      </c>
      <c r="J53" s="8">
        <v>1</v>
      </c>
      <c r="K53" s="8">
        <v>214</v>
      </c>
      <c r="L53" s="8">
        <v>210</v>
      </c>
      <c r="M53" s="8">
        <v>207</v>
      </c>
      <c r="N53" s="8">
        <v>364</v>
      </c>
      <c r="O53" s="8">
        <v>258</v>
      </c>
      <c r="P53" s="8">
        <v>370</v>
      </c>
      <c r="Q53" s="9" t="s">
        <v>70</v>
      </c>
      <c r="R53" s="16"/>
      <c r="S53" s="10">
        <v>18</v>
      </c>
      <c r="T53" s="10">
        <v>4</v>
      </c>
      <c r="U53" s="10">
        <v>35</v>
      </c>
      <c r="V53" s="11">
        <v>52</v>
      </c>
      <c r="W53" s="12" t="s">
        <v>70</v>
      </c>
      <c r="X53" s="17"/>
      <c r="Y53" s="13">
        <v>26</v>
      </c>
      <c r="Z53" s="13">
        <v>39</v>
      </c>
      <c r="AA53" s="13">
        <v>24</v>
      </c>
      <c r="AB53" s="14">
        <v>12</v>
      </c>
      <c r="AC53" s="9" t="s">
        <v>46</v>
      </c>
      <c r="AD53" s="16"/>
      <c r="AE53" s="10">
        <v>118</v>
      </c>
      <c r="AF53" s="10">
        <v>111</v>
      </c>
      <c r="AG53" s="10">
        <v>149</v>
      </c>
      <c r="AH53" s="11">
        <v>28</v>
      </c>
      <c r="AI53" s="12"/>
      <c r="AJ53" s="17"/>
      <c r="AK53" s="13"/>
      <c r="AL53" s="13"/>
      <c r="AM53" s="13"/>
      <c r="AN53" s="14"/>
      <c r="AO53" s="9"/>
      <c r="AP53" s="16"/>
      <c r="AQ53" s="10"/>
      <c r="AR53" s="10"/>
      <c r="AS53" s="10"/>
      <c r="AT53" s="11"/>
      <c r="AU53" s="12"/>
      <c r="AV53" s="17"/>
      <c r="AW53" s="13"/>
      <c r="AX53" s="13"/>
      <c r="AY53" s="13"/>
      <c r="AZ53" s="14"/>
      <c r="BA53" s="9"/>
      <c r="BB53" s="16"/>
      <c r="BC53" s="10"/>
      <c r="BD53" s="10"/>
      <c r="BE53" s="10"/>
      <c r="BF53" s="11"/>
      <c r="BG53" s="12"/>
      <c r="BH53" s="17"/>
      <c r="BI53" s="13"/>
      <c r="BJ53" s="13"/>
      <c r="BK53" s="13"/>
      <c r="BL53" s="14"/>
      <c r="BM53" s="9"/>
      <c r="BN53" s="16"/>
      <c r="BO53" s="10"/>
      <c r="BP53" s="10"/>
      <c r="BQ53" s="10"/>
      <c r="BR53" s="11"/>
      <c r="BS53" s="12"/>
      <c r="BT53" s="17"/>
      <c r="BU53" s="13"/>
      <c r="BV53" s="13"/>
      <c r="BW53" s="13"/>
      <c r="BX53" s="14"/>
      <c r="BY53" s="9"/>
      <c r="BZ53" s="16"/>
      <c r="CA53" s="10"/>
      <c r="CB53" s="10"/>
      <c r="CC53" s="10"/>
      <c r="CD53" s="11"/>
      <c r="CE53" s="12"/>
      <c r="CF53" s="17"/>
      <c r="CG53" s="13"/>
      <c r="CH53" s="13"/>
      <c r="CI53" s="13"/>
      <c r="CJ53" s="14"/>
      <c r="CK53" s="9"/>
      <c r="CL53" s="16"/>
      <c r="CM53" s="10"/>
      <c r="CN53" s="10"/>
      <c r="CO53" s="10"/>
      <c r="CP53" s="11"/>
      <c r="CQ53" s="12"/>
      <c r="CR53" s="17"/>
      <c r="CS53" s="13"/>
      <c r="CT53" s="13"/>
      <c r="CU53" s="13"/>
      <c r="CV53" s="14"/>
      <c r="CW53" s="9"/>
      <c r="CX53" s="16"/>
      <c r="CY53" s="10"/>
      <c r="CZ53" s="10"/>
      <c r="DA53" s="10"/>
      <c r="DB53" s="11"/>
      <c r="DC53" s="12"/>
      <c r="DD53" s="17"/>
      <c r="DE53" s="13"/>
      <c r="DF53" s="13"/>
      <c r="DG53" s="13"/>
      <c r="DH53" s="14"/>
      <c r="DI53" s="8">
        <f t="shared" si="9"/>
        <v>162</v>
      </c>
      <c r="DJ53" s="8">
        <f t="shared" si="10"/>
        <v>154</v>
      </c>
      <c r="DK53" s="8">
        <f t="shared" si="11"/>
        <v>208</v>
      </c>
      <c r="DL53" s="8">
        <f t="shared" si="12"/>
        <v>92</v>
      </c>
      <c r="DM53" s="8">
        <f t="shared" si="13"/>
        <v>208</v>
      </c>
      <c r="DN53" s="8">
        <f t="shared" si="14"/>
        <v>154</v>
      </c>
      <c r="DO53" s="15">
        <f t="shared" si="15"/>
        <v>41.630803410366617</v>
      </c>
      <c r="DP53" s="15" t="str">
        <f t="shared" si="16"/>
        <v>OK - No Upgrade</v>
      </c>
      <c r="DQ53" s="15" t="str">
        <f t="shared" si="17"/>
        <v>Need to Balance</v>
      </c>
    </row>
    <row r="54" spans="1:121" ht="15.75" customHeight="1" x14ac:dyDescent="0.25">
      <c r="A54" s="8" t="s">
        <v>1459</v>
      </c>
      <c r="B54" s="8" t="s">
        <v>1713</v>
      </c>
      <c r="C54" s="8" t="s">
        <v>389</v>
      </c>
      <c r="D54" s="8" t="s">
        <v>1853</v>
      </c>
      <c r="E54" s="8" t="s">
        <v>1854</v>
      </c>
      <c r="F54" s="8" t="s">
        <v>43</v>
      </c>
      <c r="G54" s="8"/>
      <c r="H54" s="8">
        <v>200</v>
      </c>
      <c r="I54" s="8" t="s">
        <v>1855</v>
      </c>
      <c r="J54" s="8">
        <v>1</v>
      </c>
      <c r="K54" s="8">
        <v>223</v>
      </c>
      <c r="L54" s="8">
        <v>220</v>
      </c>
      <c r="M54" s="8">
        <v>217</v>
      </c>
      <c r="N54" s="8">
        <v>381</v>
      </c>
      <c r="O54" s="8">
        <v>374</v>
      </c>
      <c r="P54" s="8">
        <v>386</v>
      </c>
      <c r="Q54" s="9" t="s">
        <v>46</v>
      </c>
      <c r="R54" s="16"/>
      <c r="S54" s="10">
        <v>208</v>
      </c>
      <c r="T54" s="10">
        <v>179</v>
      </c>
      <c r="U54" s="10">
        <v>146</v>
      </c>
      <c r="V54" s="11">
        <v>43</v>
      </c>
      <c r="W54" s="12"/>
      <c r="X54" s="17"/>
      <c r="Y54" s="13"/>
      <c r="Z54" s="13"/>
      <c r="AA54" s="13"/>
      <c r="AB54" s="14"/>
      <c r="AC54" s="9"/>
      <c r="AD54" s="16"/>
      <c r="AE54" s="10"/>
      <c r="AF54" s="10"/>
      <c r="AG54" s="10"/>
      <c r="AH54" s="11"/>
      <c r="AI54" s="12"/>
      <c r="AJ54" s="17"/>
      <c r="AK54" s="13"/>
      <c r="AL54" s="13"/>
      <c r="AM54" s="13"/>
      <c r="AN54" s="14"/>
      <c r="AO54" s="9"/>
      <c r="AP54" s="16"/>
      <c r="AQ54" s="10"/>
      <c r="AR54" s="10"/>
      <c r="AS54" s="10"/>
      <c r="AT54" s="11"/>
      <c r="AU54" s="12"/>
      <c r="AV54" s="17"/>
      <c r="AW54" s="13"/>
      <c r="AX54" s="13"/>
      <c r="AY54" s="13"/>
      <c r="AZ54" s="14"/>
      <c r="BA54" s="9"/>
      <c r="BB54" s="16"/>
      <c r="BC54" s="10"/>
      <c r="BD54" s="10"/>
      <c r="BE54" s="10"/>
      <c r="BF54" s="11"/>
      <c r="BG54" s="12"/>
      <c r="BH54" s="17"/>
      <c r="BI54" s="13"/>
      <c r="BJ54" s="13"/>
      <c r="BK54" s="13"/>
      <c r="BL54" s="14"/>
      <c r="BM54" s="9"/>
      <c r="BN54" s="16"/>
      <c r="BO54" s="10"/>
      <c r="BP54" s="10"/>
      <c r="BQ54" s="10"/>
      <c r="BR54" s="11"/>
      <c r="BS54" s="12"/>
      <c r="BT54" s="17"/>
      <c r="BU54" s="13"/>
      <c r="BV54" s="13"/>
      <c r="BW54" s="13"/>
      <c r="BX54" s="14"/>
      <c r="BY54" s="9"/>
      <c r="BZ54" s="16"/>
      <c r="CA54" s="10"/>
      <c r="CB54" s="10"/>
      <c r="CC54" s="10"/>
      <c r="CD54" s="11"/>
      <c r="CE54" s="12"/>
      <c r="CF54" s="17"/>
      <c r="CG54" s="13"/>
      <c r="CH54" s="13"/>
      <c r="CI54" s="13"/>
      <c r="CJ54" s="14"/>
      <c r="CK54" s="9"/>
      <c r="CL54" s="16"/>
      <c r="CM54" s="10"/>
      <c r="CN54" s="10"/>
      <c r="CO54" s="10"/>
      <c r="CP54" s="11"/>
      <c r="CQ54" s="12"/>
      <c r="CR54" s="17"/>
      <c r="CS54" s="13"/>
      <c r="CT54" s="13"/>
      <c r="CU54" s="13"/>
      <c r="CV54" s="14"/>
      <c r="CW54" s="9"/>
      <c r="CX54" s="16"/>
      <c r="CY54" s="10"/>
      <c r="CZ54" s="10"/>
      <c r="DA54" s="10"/>
      <c r="DB54" s="11"/>
      <c r="DC54" s="12"/>
      <c r="DD54" s="17"/>
      <c r="DE54" s="13"/>
      <c r="DF54" s="13"/>
      <c r="DG54" s="13"/>
      <c r="DH54" s="14"/>
      <c r="DI54" s="8">
        <f t="shared" si="9"/>
        <v>208</v>
      </c>
      <c r="DJ54" s="8">
        <f t="shared" si="10"/>
        <v>179</v>
      </c>
      <c r="DK54" s="8">
        <f t="shared" si="11"/>
        <v>146</v>
      </c>
      <c r="DL54" s="8">
        <f t="shared" si="12"/>
        <v>43</v>
      </c>
      <c r="DM54" s="8">
        <f t="shared" si="13"/>
        <v>208</v>
      </c>
      <c r="DN54" s="8">
        <f t="shared" si="14"/>
        <v>146</v>
      </c>
      <c r="DO54" s="15">
        <f t="shared" si="15"/>
        <v>68.630781199109194</v>
      </c>
      <c r="DP54" s="15" t="str">
        <f t="shared" si="16"/>
        <v>OK - No Upgrade</v>
      </c>
      <c r="DQ54" s="15" t="str">
        <f t="shared" si="17"/>
        <v>Need to Balance</v>
      </c>
    </row>
    <row r="55" spans="1:121" ht="15.75" customHeight="1" x14ac:dyDescent="0.25">
      <c r="A55" s="8" t="s">
        <v>1459</v>
      </c>
      <c r="B55" s="8" t="s">
        <v>1713</v>
      </c>
      <c r="C55" s="8" t="s">
        <v>389</v>
      </c>
      <c r="D55" s="8" t="s">
        <v>1856</v>
      </c>
      <c r="E55" s="8" t="s">
        <v>1857</v>
      </c>
      <c r="F55" s="8" t="s">
        <v>43</v>
      </c>
      <c r="G55" s="8"/>
      <c r="H55" s="8">
        <v>100</v>
      </c>
      <c r="I55" s="8" t="s">
        <v>1858</v>
      </c>
      <c r="J55" s="8">
        <v>1</v>
      </c>
      <c r="K55" s="8">
        <v>226</v>
      </c>
      <c r="L55" s="8">
        <v>223</v>
      </c>
      <c r="M55" s="8">
        <v>219</v>
      </c>
      <c r="N55" s="8">
        <v>385</v>
      </c>
      <c r="O55" s="8">
        <v>378</v>
      </c>
      <c r="P55" s="8">
        <v>393</v>
      </c>
      <c r="Q55" s="9" t="s">
        <v>132</v>
      </c>
      <c r="R55" s="16"/>
      <c r="S55" s="10">
        <v>17</v>
      </c>
      <c r="T55" s="10">
        <v>19</v>
      </c>
      <c r="U55" s="10">
        <v>18</v>
      </c>
      <c r="V55" s="11">
        <v>4</v>
      </c>
      <c r="W55" s="12" t="s">
        <v>46</v>
      </c>
      <c r="X55" s="17"/>
      <c r="Y55" s="13">
        <v>22</v>
      </c>
      <c r="Z55" s="13">
        <v>19</v>
      </c>
      <c r="AA55" s="13">
        <v>4</v>
      </c>
      <c r="AB55" s="14">
        <v>17</v>
      </c>
      <c r="AC55" s="9"/>
      <c r="AD55" s="16"/>
      <c r="AE55" s="10"/>
      <c r="AF55" s="10"/>
      <c r="AG55" s="10"/>
      <c r="AH55" s="11"/>
      <c r="AI55" s="12"/>
      <c r="AJ55" s="17"/>
      <c r="AK55" s="13"/>
      <c r="AL55" s="13"/>
      <c r="AM55" s="13"/>
      <c r="AN55" s="14"/>
      <c r="AO55" s="9"/>
      <c r="AP55" s="16"/>
      <c r="AQ55" s="10"/>
      <c r="AR55" s="10"/>
      <c r="AS55" s="10"/>
      <c r="AT55" s="11"/>
      <c r="AU55" s="12"/>
      <c r="AV55" s="17"/>
      <c r="AW55" s="13"/>
      <c r="AX55" s="13"/>
      <c r="AY55" s="13"/>
      <c r="AZ55" s="14"/>
      <c r="BA55" s="9"/>
      <c r="BB55" s="16"/>
      <c r="BC55" s="10"/>
      <c r="BD55" s="10"/>
      <c r="BE55" s="10"/>
      <c r="BF55" s="11"/>
      <c r="BG55" s="12"/>
      <c r="BH55" s="17"/>
      <c r="BI55" s="13"/>
      <c r="BJ55" s="13"/>
      <c r="BK55" s="13"/>
      <c r="BL55" s="14"/>
      <c r="BM55" s="9"/>
      <c r="BN55" s="16"/>
      <c r="BO55" s="10"/>
      <c r="BP55" s="10"/>
      <c r="BQ55" s="10"/>
      <c r="BR55" s="11"/>
      <c r="BS55" s="12"/>
      <c r="BT55" s="17"/>
      <c r="BU55" s="13"/>
      <c r="BV55" s="13"/>
      <c r="BW55" s="13"/>
      <c r="BX55" s="14"/>
      <c r="BY55" s="9"/>
      <c r="BZ55" s="16"/>
      <c r="CA55" s="10"/>
      <c r="CB55" s="10"/>
      <c r="CC55" s="10"/>
      <c r="CD55" s="11"/>
      <c r="CE55" s="12"/>
      <c r="CF55" s="17"/>
      <c r="CG55" s="13"/>
      <c r="CH55" s="13"/>
      <c r="CI55" s="13"/>
      <c r="CJ55" s="14"/>
      <c r="CK55" s="9"/>
      <c r="CL55" s="16"/>
      <c r="CM55" s="10"/>
      <c r="CN55" s="10"/>
      <c r="CO55" s="10"/>
      <c r="CP55" s="11"/>
      <c r="CQ55" s="12"/>
      <c r="CR55" s="17"/>
      <c r="CS55" s="13"/>
      <c r="CT55" s="13"/>
      <c r="CU55" s="13"/>
      <c r="CV55" s="14"/>
      <c r="CW55" s="9"/>
      <c r="CX55" s="16"/>
      <c r="CY55" s="10"/>
      <c r="CZ55" s="10"/>
      <c r="DA55" s="10"/>
      <c r="DB55" s="11"/>
      <c r="DC55" s="12"/>
      <c r="DD55" s="17"/>
      <c r="DE55" s="13"/>
      <c r="DF55" s="13"/>
      <c r="DG55" s="13"/>
      <c r="DH55" s="14"/>
      <c r="DI55" s="8">
        <f t="shared" si="9"/>
        <v>39</v>
      </c>
      <c r="DJ55" s="8">
        <f t="shared" si="10"/>
        <v>38</v>
      </c>
      <c r="DK55" s="8">
        <f t="shared" si="11"/>
        <v>22</v>
      </c>
      <c r="DL55" s="8">
        <f t="shared" si="12"/>
        <v>21</v>
      </c>
      <c r="DM55" s="8">
        <f t="shared" si="13"/>
        <v>39</v>
      </c>
      <c r="DN55" s="8">
        <f t="shared" si="14"/>
        <v>22</v>
      </c>
      <c r="DO55" s="15">
        <f t="shared" si="15"/>
        <v>26.006742875646694</v>
      </c>
      <c r="DP55" s="15" t="str">
        <f t="shared" si="16"/>
        <v>OK - No Upgrade</v>
      </c>
      <c r="DQ55" s="15" t="str">
        <f t="shared" si="17"/>
        <v>Need to Balance</v>
      </c>
    </row>
    <row r="56" spans="1:121" ht="15.75" customHeight="1" x14ac:dyDescent="0.25">
      <c r="A56" s="8" t="s">
        <v>1459</v>
      </c>
      <c r="B56" s="8" t="s">
        <v>1713</v>
      </c>
      <c r="C56" s="8" t="s">
        <v>389</v>
      </c>
      <c r="D56" s="8" t="s">
        <v>1859</v>
      </c>
      <c r="E56" s="8" t="s">
        <v>1860</v>
      </c>
      <c r="F56" s="8" t="s">
        <v>43</v>
      </c>
      <c r="G56" s="8"/>
      <c r="H56" s="8">
        <v>100</v>
      </c>
      <c r="I56" s="8" t="s">
        <v>1861</v>
      </c>
      <c r="J56" s="8">
        <v>1</v>
      </c>
      <c r="K56" s="8">
        <v>222</v>
      </c>
      <c r="L56" s="8">
        <v>220</v>
      </c>
      <c r="M56" s="8">
        <v>218</v>
      </c>
      <c r="N56" s="8">
        <v>382</v>
      </c>
      <c r="O56" s="8">
        <v>375</v>
      </c>
      <c r="P56" s="8">
        <v>383</v>
      </c>
      <c r="Q56" s="9" t="s">
        <v>46</v>
      </c>
      <c r="R56" s="16"/>
      <c r="S56" s="10">
        <v>160</v>
      </c>
      <c r="T56" s="10">
        <v>71</v>
      </c>
      <c r="U56" s="10">
        <v>53</v>
      </c>
      <c r="V56" s="11">
        <v>24</v>
      </c>
      <c r="W56" s="12"/>
      <c r="X56" s="17"/>
      <c r="Y56" s="13"/>
      <c r="Z56" s="13"/>
      <c r="AA56" s="13"/>
      <c r="AB56" s="14"/>
      <c r="AC56" s="9"/>
      <c r="AD56" s="16"/>
      <c r="AE56" s="10"/>
      <c r="AF56" s="10"/>
      <c r="AG56" s="10"/>
      <c r="AH56" s="11"/>
      <c r="AI56" s="12"/>
      <c r="AJ56" s="17"/>
      <c r="AK56" s="13"/>
      <c r="AL56" s="13"/>
      <c r="AM56" s="13"/>
      <c r="AN56" s="14"/>
      <c r="AO56" s="9"/>
      <c r="AP56" s="16"/>
      <c r="AQ56" s="10"/>
      <c r="AR56" s="10"/>
      <c r="AS56" s="10"/>
      <c r="AT56" s="11"/>
      <c r="AU56" s="12"/>
      <c r="AV56" s="17"/>
      <c r="AW56" s="13"/>
      <c r="AX56" s="13"/>
      <c r="AY56" s="13"/>
      <c r="AZ56" s="14"/>
      <c r="BA56" s="9"/>
      <c r="BB56" s="16"/>
      <c r="BC56" s="10"/>
      <c r="BD56" s="10"/>
      <c r="BE56" s="10"/>
      <c r="BF56" s="11"/>
      <c r="BG56" s="12"/>
      <c r="BH56" s="17"/>
      <c r="BI56" s="13"/>
      <c r="BJ56" s="13"/>
      <c r="BK56" s="13"/>
      <c r="BL56" s="14"/>
      <c r="BM56" s="9"/>
      <c r="BN56" s="16"/>
      <c r="BO56" s="10"/>
      <c r="BP56" s="10"/>
      <c r="BQ56" s="10"/>
      <c r="BR56" s="11"/>
      <c r="BS56" s="12"/>
      <c r="BT56" s="17"/>
      <c r="BU56" s="13"/>
      <c r="BV56" s="13"/>
      <c r="BW56" s="13"/>
      <c r="BX56" s="14"/>
      <c r="BY56" s="9"/>
      <c r="BZ56" s="16"/>
      <c r="CA56" s="10"/>
      <c r="CB56" s="10"/>
      <c r="CC56" s="10"/>
      <c r="CD56" s="11"/>
      <c r="CE56" s="12"/>
      <c r="CF56" s="17"/>
      <c r="CG56" s="13"/>
      <c r="CH56" s="13"/>
      <c r="CI56" s="13"/>
      <c r="CJ56" s="14"/>
      <c r="CK56" s="9"/>
      <c r="CL56" s="16"/>
      <c r="CM56" s="10"/>
      <c r="CN56" s="10"/>
      <c r="CO56" s="10"/>
      <c r="CP56" s="11"/>
      <c r="CQ56" s="12"/>
      <c r="CR56" s="17"/>
      <c r="CS56" s="13"/>
      <c r="CT56" s="13"/>
      <c r="CU56" s="13"/>
      <c r="CV56" s="14"/>
      <c r="CW56" s="9"/>
      <c r="CX56" s="16"/>
      <c r="CY56" s="10"/>
      <c r="CZ56" s="10"/>
      <c r="DA56" s="10"/>
      <c r="DB56" s="11"/>
      <c r="DC56" s="12"/>
      <c r="DD56" s="17"/>
      <c r="DE56" s="13"/>
      <c r="DF56" s="13"/>
      <c r="DG56" s="13"/>
      <c r="DH56" s="14"/>
      <c r="DI56" s="8">
        <f t="shared" si="9"/>
        <v>160</v>
      </c>
      <c r="DJ56" s="8">
        <f t="shared" si="10"/>
        <v>71</v>
      </c>
      <c r="DK56" s="8">
        <f t="shared" si="11"/>
        <v>53</v>
      </c>
      <c r="DL56" s="8">
        <f t="shared" si="12"/>
        <v>24</v>
      </c>
      <c r="DM56" s="8">
        <f t="shared" si="13"/>
        <v>160</v>
      </c>
      <c r="DN56" s="8">
        <f t="shared" si="14"/>
        <v>53</v>
      </c>
      <c r="DO56" s="15">
        <f t="shared" si="15"/>
        <v>105.86294535860976</v>
      </c>
      <c r="DP56" s="15" t="str">
        <f t="shared" si="16"/>
        <v>Upgrade</v>
      </c>
      <c r="DQ56" s="15" t="str">
        <f t="shared" si="17"/>
        <v>Need to Balance</v>
      </c>
    </row>
    <row r="57" spans="1:121" ht="15.75" customHeight="1" x14ac:dyDescent="0.25">
      <c r="A57" s="8" t="s">
        <v>1459</v>
      </c>
      <c r="B57" s="8" t="s">
        <v>1713</v>
      </c>
      <c r="C57" s="8" t="s">
        <v>389</v>
      </c>
      <c r="D57" s="8" t="s">
        <v>1862</v>
      </c>
      <c r="E57" s="8" t="s">
        <v>1863</v>
      </c>
      <c r="F57" s="8" t="s">
        <v>43</v>
      </c>
      <c r="G57" s="8"/>
      <c r="H57" s="8">
        <v>315</v>
      </c>
      <c r="I57" s="8" t="s">
        <v>1864</v>
      </c>
      <c r="J57" s="8">
        <v>1</v>
      </c>
      <c r="K57" s="8">
        <v>227</v>
      </c>
      <c r="L57" s="8">
        <v>224</v>
      </c>
      <c r="M57" s="8">
        <v>221</v>
      </c>
      <c r="N57" s="8">
        <v>388</v>
      </c>
      <c r="O57" s="8">
        <v>382</v>
      </c>
      <c r="P57" s="8">
        <v>393</v>
      </c>
      <c r="Q57" s="9" t="s">
        <v>47</v>
      </c>
      <c r="R57" s="16"/>
      <c r="S57" s="10">
        <v>4</v>
      </c>
      <c r="T57" s="10">
        <v>14</v>
      </c>
      <c r="U57" s="10">
        <v>11</v>
      </c>
      <c r="V57" s="11">
        <v>8</v>
      </c>
      <c r="W57" s="12"/>
      <c r="X57" s="17"/>
      <c r="Y57" s="13"/>
      <c r="Z57" s="13"/>
      <c r="AA57" s="13"/>
      <c r="AB57" s="14"/>
      <c r="AC57" s="9"/>
      <c r="AD57" s="16"/>
      <c r="AE57" s="10"/>
      <c r="AF57" s="10"/>
      <c r="AG57" s="10"/>
      <c r="AH57" s="11"/>
      <c r="AI57" s="12"/>
      <c r="AJ57" s="17"/>
      <c r="AK57" s="13"/>
      <c r="AL57" s="13"/>
      <c r="AM57" s="13"/>
      <c r="AN57" s="14"/>
      <c r="AO57" s="9"/>
      <c r="AP57" s="16"/>
      <c r="AQ57" s="10"/>
      <c r="AR57" s="10"/>
      <c r="AS57" s="10"/>
      <c r="AT57" s="11"/>
      <c r="AU57" s="12"/>
      <c r="AV57" s="17"/>
      <c r="AW57" s="13"/>
      <c r="AX57" s="13"/>
      <c r="AY57" s="13"/>
      <c r="AZ57" s="14"/>
      <c r="BA57" s="9"/>
      <c r="BB57" s="16"/>
      <c r="BC57" s="10"/>
      <c r="BD57" s="10"/>
      <c r="BE57" s="10"/>
      <c r="BF57" s="11"/>
      <c r="BG57" s="12"/>
      <c r="BH57" s="17"/>
      <c r="BI57" s="13"/>
      <c r="BJ57" s="13"/>
      <c r="BK57" s="13"/>
      <c r="BL57" s="14"/>
      <c r="BM57" s="9"/>
      <c r="BN57" s="16"/>
      <c r="BO57" s="10"/>
      <c r="BP57" s="10"/>
      <c r="BQ57" s="10"/>
      <c r="BR57" s="11"/>
      <c r="BS57" s="12"/>
      <c r="BT57" s="17"/>
      <c r="BU57" s="13"/>
      <c r="BV57" s="13"/>
      <c r="BW57" s="13"/>
      <c r="BX57" s="14"/>
      <c r="BY57" s="9"/>
      <c r="BZ57" s="16"/>
      <c r="CA57" s="10"/>
      <c r="CB57" s="10"/>
      <c r="CC57" s="10"/>
      <c r="CD57" s="11"/>
      <c r="CE57" s="12"/>
      <c r="CF57" s="17"/>
      <c r="CG57" s="13"/>
      <c r="CH57" s="13"/>
      <c r="CI57" s="13"/>
      <c r="CJ57" s="14"/>
      <c r="CK57" s="9"/>
      <c r="CL57" s="16"/>
      <c r="CM57" s="10"/>
      <c r="CN57" s="10"/>
      <c r="CO57" s="10"/>
      <c r="CP57" s="11"/>
      <c r="CQ57" s="12"/>
      <c r="CR57" s="17"/>
      <c r="CS57" s="13"/>
      <c r="CT57" s="13"/>
      <c r="CU57" s="13"/>
      <c r="CV57" s="14"/>
      <c r="CW57" s="9"/>
      <c r="CX57" s="16"/>
      <c r="CY57" s="10"/>
      <c r="CZ57" s="10"/>
      <c r="DA57" s="10"/>
      <c r="DB57" s="11"/>
      <c r="DC57" s="12"/>
      <c r="DD57" s="17"/>
      <c r="DE57" s="13"/>
      <c r="DF57" s="13"/>
      <c r="DG57" s="13"/>
      <c r="DH57" s="14"/>
      <c r="DI57" s="8">
        <f t="shared" si="9"/>
        <v>4</v>
      </c>
      <c r="DJ57" s="8">
        <f t="shared" si="10"/>
        <v>14</v>
      </c>
      <c r="DK57" s="8">
        <f t="shared" si="11"/>
        <v>11</v>
      </c>
      <c r="DL57" s="8">
        <f t="shared" si="12"/>
        <v>8</v>
      </c>
      <c r="DM57" s="8">
        <f t="shared" si="13"/>
        <v>14</v>
      </c>
      <c r="DN57" s="8">
        <f t="shared" si="14"/>
        <v>4</v>
      </c>
      <c r="DO57" s="15">
        <f t="shared" si="15"/>
        <v>2.9868253926076638</v>
      </c>
      <c r="DP57" s="15" t="str">
        <f t="shared" si="16"/>
        <v>OK - No Upgrade</v>
      </c>
      <c r="DQ57" s="15" t="str">
        <f t="shared" si="17"/>
        <v>Need to Balance</v>
      </c>
    </row>
    <row r="58" spans="1:121" ht="15.75" customHeight="1" x14ac:dyDescent="0.25">
      <c r="A58" s="8" t="s">
        <v>1459</v>
      </c>
      <c r="B58" s="8" t="s">
        <v>1713</v>
      </c>
      <c r="C58" s="8" t="s">
        <v>389</v>
      </c>
      <c r="D58" s="8" t="s">
        <v>1865</v>
      </c>
      <c r="E58" s="8" t="s">
        <v>1866</v>
      </c>
      <c r="F58" s="8" t="s">
        <v>43</v>
      </c>
      <c r="G58" s="8"/>
      <c r="H58" s="8">
        <v>315</v>
      </c>
      <c r="I58" s="8" t="s">
        <v>1867</v>
      </c>
      <c r="J58" s="8">
        <v>1</v>
      </c>
      <c r="K58" s="8">
        <v>234</v>
      </c>
      <c r="L58" s="8">
        <v>230</v>
      </c>
      <c r="M58" s="8">
        <v>227</v>
      </c>
      <c r="N58" s="8">
        <v>396</v>
      </c>
      <c r="O58" s="8">
        <v>392</v>
      </c>
      <c r="P58" s="8">
        <v>406</v>
      </c>
      <c r="Q58" s="9" t="s">
        <v>46</v>
      </c>
      <c r="R58" s="16"/>
      <c r="S58" s="10">
        <v>187</v>
      </c>
      <c r="T58" s="10">
        <v>157</v>
      </c>
      <c r="U58" s="10">
        <v>210</v>
      </c>
      <c r="V58" s="11">
        <v>44</v>
      </c>
      <c r="W58" s="12" t="s">
        <v>46</v>
      </c>
      <c r="X58" s="17"/>
      <c r="Y58" s="13">
        <v>220</v>
      </c>
      <c r="Z58" s="13">
        <v>235</v>
      </c>
      <c r="AA58" s="13">
        <v>205</v>
      </c>
      <c r="AB58" s="14">
        <v>47</v>
      </c>
      <c r="AC58" s="9"/>
      <c r="AD58" s="16"/>
      <c r="AE58" s="10"/>
      <c r="AF58" s="10"/>
      <c r="AG58" s="10"/>
      <c r="AH58" s="11"/>
      <c r="AI58" s="12"/>
      <c r="AJ58" s="17"/>
      <c r="AK58" s="13"/>
      <c r="AL58" s="13"/>
      <c r="AM58" s="13"/>
      <c r="AN58" s="14"/>
      <c r="AO58" s="9"/>
      <c r="AP58" s="16"/>
      <c r="AQ58" s="10"/>
      <c r="AR58" s="10"/>
      <c r="AS58" s="10"/>
      <c r="AT58" s="11"/>
      <c r="AU58" s="12"/>
      <c r="AV58" s="17"/>
      <c r="AW58" s="13"/>
      <c r="AX58" s="13"/>
      <c r="AY58" s="13"/>
      <c r="AZ58" s="14"/>
      <c r="BA58" s="9"/>
      <c r="BB58" s="16"/>
      <c r="BC58" s="10"/>
      <c r="BD58" s="10"/>
      <c r="BE58" s="10"/>
      <c r="BF58" s="11"/>
      <c r="BG58" s="12"/>
      <c r="BH58" s="17"/>
      <c r="BI58" s="13"/>
      <c r="BJ58" s="13"/>
      <c r="BK58" s="13"/>
      <c r="BL58" s="14"/>
      <c r="BM58" s="9"/>
      <c r="BN58" s="16"/>
      <c r="BO58" s="10"/>
      <c r="BP58" s="10"/>
      <c r="BQ58" s="10"/>
      <c r="BR58" s="11"/>
      <c r="BS58" s="12"/>
      <c r="BT58" s="17"/>
      <c r="BU58" s="13"/>
      <c r="BV58" s="13"/>
      <c r="BW58" s="13"/>
      <c r="BX58" s="14"/>
      <c r="BY58" s="9"/>
      <c r="BZ58" s="16"/>
      <c r="CA58" s="10"/>
      <c r="CB58" s="10"/>
      <c r="CC58" s="10"/>
      <c r="CD58" s="11"/>
      <c r="CE58" s="12"/>
      <c r="CF58" s="17"/>
      <c r="CG58" s="13"/>
      <c r="CH58" s="13"/>
      <c r="CI58" s="13"/>
      <c r="CJ58" s="14"/>
      <c r="CK58" s="9"/>
      <c r="CL58" s="16"/>
      <c r="CM58" s="10"/>
      <c r="CN58" s="10"/>
      <c r="CO58" s="10"/>
      <c r="CP58" s="11"/>
      <c r="CQ58" s="12"/>
      <c r="CR58" s="17"/>
      <c r="CS58" s="13"/>
      <c r="CT58" s="13"/>
      <c r="CU58" s="13"/>
      <c r="CV58" s="14"/>
      <c r="CW58" s="9"/>
      <c r="CX58" s="16"/>
      <c r="CY58" s="10"/>
      <c r="CZ58" s="10"/>
      <c r="DA58" s="10"/>
      <c r="DB58" s="11"/>
      <c r="DC58" s="12"/>
      <c r="DD58" s="17"/>
      <c r="DE58" s="13"/>
      <c r="DF58" s="13"/>
      <c r="DG58" s="13"/>
      <c r="DH58" s="14"/>
      <c r="DI58" s="8">
        <f t="shared" si="9"/>
        <v>407</v>
      </c>
      <c r="DJ58" s="8">
        <f t="shared" si="10"/>
        <v>392</v>
      </c>
      <c r="DK58" s="8">
        <f t="shared" si="11"/>
        <v>415</v>
      </c>
      <c r="DL58" s="8">
        <f t="shared" si="12"/>
        <v>91</v>
      </c>
      <c r="DM58" s="8">
        <f t="shared" si="13"/>
        <v>415</v>
      </c>
      <c r="DN58" s="8">
        <f t="shared" si="14"/>
        <v>392</v>
      </c>
      <c r="DO58" s="15">
        <f t="shared" si="15"/>
        <v>90.363564989164857</v>
      </c>
      <c r="DP58" s="15" t="str">
        <f t="shared" si="16"/>
        <v>Upgrade</v>
      </c>
      <c r="DQ58" s="15" t="str">
        <f t="shared" si="17"/>
        <v>OK - Balanced</v>
      </c>
    </row>
    <row r="59" spans="1:121" ht="15.75" customHeight="1" x14ac:dyDescent="0.25">
      <c r="A59" s="8" t="s">
        <v>1459</v>
      </c>
      <c r="B59" s="8" t="s">
        <v>1713</v>
      </c>
      <c r="C59" s="8" t="s">
        <v>389</v>
      </c>
      <c r="D59" s="8" t="s">
        <v>1868</v>
      </c>
      <c r="E59" s="8" t="s">
        <v>1869</v>
      </c>
      <c r="F59" s="8" t="s">
        <v>43</v>
      </c>
      <c r="G59" s="8"/>
      <c r="H59" s="8">
        <v>315</v>
      </c>
      <c r="I59" s="8" t="s">
        <v>822</v>
      </c>
      <c r="J59" s="8">
        <v>1</v>
      </c>
      <c r="K59" s="8">
        <v>229</v>
      </c>
      <c r="L59" s="8">
        <v>223</v>
      </c>
      <c r="M59" s="8">
        <v>221</v>
      </c>
      <c r="N59" s="8">
        <v>388</v>
      </c>
      <c r="O59" s="8">
        <v>381</v>
      </c>
      <c r="P59" s="8">
        <v>393</v>
      </c>
      <c r="Q59" s="9" t="s">
        <v>47</v>
      </c>
      <c r="R59" s="16"/>
      <c r="S59" s="10">
        <v>125</v>
      </c>
      <c r="T59" s="10">
        <v>133</v>
      </c>
      <c r="U59" s="10">
        <v>82</v>
      </c>
      <c r="V59" s="11">
        <v>57</v>
      </c>
      <c r="W59" s="12"/>
      <c r="X59" s="17"/>
      <c r="Y59" s="13"/>
      <c r="Z59" s="13"/>
      <c r="AA59" s="13"/>
      <c r="AB59" s="14"/>
      <c r="AC59" s="9"/>
      <c r="AD59" s="16"/>
      <c r="AE59" s="10"/>
      <c r="AF59" s="10"/>
      <c r="AG59" s="10"/>
      <c r="AH59" s="11"/>
      <c r="AI59" s="12"/>
      <c r="AJ59" s="17"/>
      <c r="AK59" s="13"/>
      <c r="AL59" s="13"/>
      <c r="AM59" s="13"/>
      <c r="AN59" s="14"/>
      <c r="AO59" s="9"/>
      <c r="AP59" s="16"/>
      <c r="AQ59" s="10"/>
      <c r="AR59" s="10"/>
      <c r="AS59" s="10"/>
      <c r="AT59" s="11"/>
      <c r="AU59" s="12"/>
      <c r="AV59" s="17"/>
      <c r="AW59" s="13"/>
      <c r="AX59" s="13"/>
      <c r="AY59" s="13"/>
      <c r="AZ59" s="14"/>
      <c r="BA59" s="9"/>
      <c r="BB59" s="16"/>
      <c r="BC59" s="10"/>
      <c r="BD59" s="10"/>
      <c r="BE59" s="10"/>
      <c r="BF59" s="11"/>
      <c r="BG59" s="12"/>
      <c r="BH59" s="17"/>
      <c r="BI59" s="13"/>
      <c r="BJ59" s="13"/>
      <c r="BK59" s="13"/>
      <c r="BL59" s="14"/>
      <c r="BM59" s="9"/>
      <c r="BN59" s="16"/>
      <c r="BO59" s="10"/>
      <c r="BP59" s="10"/>
      <c r="BQ59" s="10"/>
      <c r="BR59" s="11"/>
      <c r="BS59" s="12"/>
      <c r="BT59" s="17"/>
      <c r="BU59" s="13"/>
      <c r="BV59" s="13"/>
      <c r="BW59" s="13"/>
      <c r="BX59" s="14"/>
      <c r="BY59" s="9"/>
      <c r="BZ59" s="16"/>
      <c r="CA59" s="10"/>
      <c r="CB59" s="10"/>
      <c r="CC59" s="10"/>
      <c r="CD59" s="11"/>
      <c r="CE59" s="12"/>
      <c r="CF59" s="17"/>
      <c r="CG59" s="13"/>
      <c r="CH59" s="13"/>
      <c r="CI59" s="13"/>
      <c r="CJ59" s="14"/>
      <c r="CK59" s="9"/>
      <c r="CL59" s="16"/>
      <c r="CM59" s="10"/>
      <c r="CN59" s="10"/>
      <c r="CO59" s="10"/>
      <c r="CP59" s="11"/>
      <c r="CQ59" s="12"/>
      <c r="CR59" s="17"/>
      <c r="CS59" s="13"/>
      <c r="CT59" s="13"/>
      <c r="CU59" s="13"/>
      <c r="CV59" s="14"/>
      <c r="CW59" s="9"/>
      <c r="CX59" s="16"/>
      <c r="CY59" s="10"/>
      <c r="CZ59" s="10"/>
      <c r="DA59" s="10"/>
      <c r="DB59" s="11"/>
      <c r="DC59" s="12"/>
      <c r="DD59" s="17"/>
      <c r="DE59" s="13"/>
      <c r="DF59" s="13"/>
      <c r="DG59" s="13"/>
      <c r="DH59" s="14"/>
      <c r="DI59" s="8">
        <f t="shared" si="9"/>
        <v>125</v>
      </c>
      <c r="DJ59" s="8">
        <f t="shared" si="10"/>
        <v>133</v>
      </c>
      <c r="DK59" s="8">
        <f t="shared" si="11"/>
        <v>82</v>
      </c>
      <c r="DL59" s="8">
        <f t="shared" si="12"/>
        <v>57</v>
      </c>
      <c r="DM59" s="8">
        <f t="shared" si="13"/>
        <v>133</v>
      </c>
      <c r="DN59" s="8">
        <f t="shared" si="14"/>
        <v>82</v>
      </c>
      <c r="DO59" s="15">
        <f t="shared" si="15"/>
        <v>28.374841229772805</v>
      </c>
      <c r="DP59" s="15" t="str">
        <f t="shared" si="16"/>
        <v>OK - No Upgrade</v>
      </c>
      <c r="DQ59" s="15" t="str">
        <f t="shared" si="17"/>
        <v>Need to Balance</v>
      </c>
    </row>
    <row r="60" spans="1:121" ht="15.75" customHeight="1" x14ac:dyDescent="0.25">
      <c r="A60" s="8" t="s">
        <v>1459</v>
      </c>
      <c r="B60" s="8" t="s">
        <v>1713</v>
      </c>
      <c r="C60" s="8" t="s">
        <v>389</v>
      </c>
      <c r="D60" s="8" t="s">
        <v>1870</v>
      </c>
      <c r="E60" s="8" t="s">
        <v>1871</v>
      </c>
      <c r="F60" s="8" t="s">
        <v>43</v>
      </c>
      <c r="G60" s="8"/>
      <c r="H60" s="8">
        <v>315</v>
      </c>
      <c r="I60" s="8" t="s">
        <v>1595</v>
      </c>
      <c r="J60" s="8">
        <v>1</v>
      </c>
      <c r="K60" s="8">
        <v>229</v>
      </c>
      <c r="L60" s="8">
        <v>228</v>
      </c>
      <c r="M60" s="8">
        <v>223</v>
      </c>
      <c r="N60" s="8">
        <v>391</v>
      </c>
      <c r="O60" s="8">
        <v>389</v>
      </c>
      <c r="P60" s="8">
        <v>396</v>
      </c>
      <c r="Q60" s="9" t="s">
        <v>47</v>
      </c>
      <c r="R60" s="16"/>
      <c r="S60" s="10">
        <v>15</v>
      </c>
      <c r="T60" s="10">
        <v>12</v>
      </c>
      <c r="U60" s="10">
        <v>42</v>
      </c>
      <c r="V60" s="11">
        <v>26</v>
      </c>
      <c r="W60" s="12" t="s">
        <v>47</v>
      </c>
      <c r="X60" s="17"/>
      <c r="Y60" s="13">
        <v>16</v>
      </c>
      <c r="Z60" s="13">
        <v>6</v>
      </c>
      <c r="AA60" s="13">
        <v>12</v>
      </c>
      <c r="AB60" s="14">
        <v>15</v>
      </c>
      <c r="AC60" s="9"/>
      <c r="AD60" s="16"/>
      <c r="AE60" s="10"/>
      <c r="AF60" s="10"/>
      <c r="AG60" s="10"/>
      <c r="AH60" s="11"/>
      <c r="AI60" s="12"/>
      <c r="AJ60" s="17"/>
      <c r="AK60" s="13"/>
      <c r="AL60" s="13"/>
      <c r="AM60" s="13"/>
      <c r="AN60" s="14"/>
      <c r="AO60" s="9"/>
      <c r="AP60" s="16"/>
      <c r="AQ60" s="10"/>
      <c r="AR60" s="10"/>
      <c r="AS60" s="10"/>
      <c r="AT60" s="11"/>
      <c r="AU60" s="12"/>
      <c r="AV60" s="17"/>
      <c r="AW60" s="13"/>
      <c r="AX60" s="13"/>
      <c r="AY60" s="13"/>
      <c r="AZ60" s="14"/>
      <c r="BA60" s="9"/>
      <c r="BB60" s="16"/>
      <c r="BC60" s="10"/>
      <c r="BD60" s="10"/>
      <c r="BE60" s="10"/>
      <c r="BF60" s="11"/>
      <c r="BG60" s="12"/>
      <c r="BH60" s="17"/>
      <c r="BI60" s="13"/>
      <c r="BJ60" s="13"/>
      <c r="BK60" s="13"/>
      <c r="BL60" s="14"/>
      <c r="BM60" s="9"/>
      <c r="BN60" s="16"/>
      <c r="BO60" s="10"/>
      <c r="BP60" s="10"/>
      <c r="BQ60" s="10"/>
      <c r="BR60" s="11"/>
      <c r="BS60" s="12"/>
      <c r="BT60" s="17"/>
      <c r="BU60" s="13"/>
      <c r="BV60" s="13"/>
      <c r="BW60" s="13"/>
      <c r="BX60" s="14"/>
      <c r="BY60" s="9"/>
      <c r="BZ60" s="16"/>
      <c r="CA60" s="10"/>
      <c r="CB60" s="10"/>
      <c r="CC60" s="10"/>
      <c r="CD60" s="11"/>
      <c r="CE60" s="12"/>
      <c r="CF60" s="17"/>
      <c r="CG60" s="13"/>
      <c r="CH60" s="13"/>
      <c r="CI60" s="13"/>
      <c r="CJ60" s="14"/>
      <c r="CK60" s="9"/>
      <c r="CL60" s="16"/>
      <c r="CM60" s="10"/>
      <c r="CN60" s="10"/>
      <c r="CO60" s="10"/>
      <c r="CP60" s="11"/>
      <c r="CQ60" s="12"/>
      <c r="CR60" s="17"/>
      <c r="CS60" s="13"/>
      <c r="CT60" s="13"/>
      <c r="CU60" s="13"/>
      <c r="CV60" s="14"/>
      <c r="CW60" s="9"/>
      <c r="CX60" s="16"/>
      <c r="CY60" s="10"/>
      <c r="CZ60" s="10"/>
      <c r="DA60" s="10"/>
      <c r="DB60" s="11"/>
      <c r="DC60" s="12"/>
      <c r="DD60" s="17"/>
      <c r="DE60" s="13"/>
      <c r="DF60" s="13"/>
      <c r="DG60" s="13"/>
      <c r="DH60" s="14"/>
      <c r="DI60" s="8">
        <f t="shared" si="9"/>
        <v>31</v>
      </c>
      <c r="DJ60" s="8">
        <f t="shared" si="10"/>
        <v>18</v>
      </c>
      <c r="DK60" s="8">
        <f t="shared" si="11"/>
        <v>54</v>
      </c>
      <c r="DL60" s="8">
        <f t="shared" si="12"/>
        <v>41</v>
      </c>
      <c r="DM60" s="8">
        <f t="shared" si="13"/>
        <v>54</v>
      </c>
      <c r="DN60" s="8">
        <f t="shared" si="14"/>
        <v>18</v>
      </c>
      <c r="DO60" s="15">
        <f t="shared" si="15"/>
        <v>11.609689127304531</v>
      </c>
      <c r="DP60" s="15" t="str">
        <f t="shared" si="16"/>
        <v>OK - No Upgrade</v>
      </c>
      <c r="DQ60" s="15" t="str">
        <f t="shared" si="17"/>
        <v>Need to Balance</v>
      </c>
    </row>
    <row r="61" spans="1:121" ht="15.75" customHeight="1" x14ac:dyDescent="0.25">
      <c r="A61" s="8" t="s">
        <v>1459</v>
      </c>
      <c r="B61" s="8" t="s">
        <v>1713</v>
      </c>
      <c r="C61" s="8" t="s">
        <v>389</v>
      </c>
      <c r="D61" s="8" t="s">
        <v>1872</v>
      </c>
      <c r="E61" s="8" t="s">
        <v>1873</v>
      </c>
      <c r="F61" s="8" t="s">
        <v>43</v>
      </c>
      <c r="G61" s="8"/>
      <c r="H61" s="8">
        <v>315</v>
      </c>
      <c r="I61" s="8" t="s">
        <v>1874</v>
      </c>
      <c r="J61" s="8">
        <v>1</v>
      </c>
      <c r="K61" s="8">
        <v>231</v>
      </c>
      <c r="L61" s="8">
        <v>229</v>
      </c>
      <c r="M61" s="8">
        <v>225</v>
      </c>
      <c r="N61" s="8">
        <v>394</v>
      </c>
      <c r="O61" s="8">
        <v>390</v>
      </c>
      <c r="P61" s="8">
        <v>401</v>
      </c>
      <c r="Q61" s="9" t="s">
        <v>46</v>
      </c>
      <c r="R61" s="16"/>
      <c r="S61" s="10">
        <v>39</v>
      </c>
      <c r="T61" s="10">
        <v>67</v>
      </c>
      <c r="U61" s="10">
        <v>68</v>
      </c>
      <c r="V61" s="11">
        <v>25</v>
      </c>
      <c r="W61" s="12" t="s">
        <v>46</v>
      </c>
      <c r="X61" s="17"/>
      <c r="Y61" s="13">
        <v>92</v>
      </c>
      <c r="Z61" s="13">
        <v>65</v>
      </c>
      <c r="AA61" s="13">
        <v>93</v>
      </c>
      <c r="AB61" s="14">
        <v>22</v>
      </c>
      <c r="AC61" s="9"/>
      <c r="AD61" s="16"/>
      <c r="AE61" s="10"/>
      <c r="AF61" s="10"/>
      <c r="AG61" s="10"/>
      <c r="AH61" s="11"/>
      <c r="AI61" s="12"/>
      <c r="AJ61" s="17"/>
      <c r="AK61" s="13"/>
      <c r="AL61" s="13"/>
      <c r="AM61" s="13"/>
      <c r="AN61" s="14"/>
      <c r="AO61" s="9"/>
      <c r="AP61" s="16"/>
      <c r="AQ61" s="10"/>
      <c r="AR61" s="10"/>
      <c r="AS61" s="10"/>
      <c r="AT61" s="11"/>
      <c r="AU61" s="12"/>
      <c r="AV61" s="17"/>
      <c r="AW61" s="13"/>
      <c r="AX61" s="13"/>
      <c r="AY61" s="13"/>
      <c r="AZ61" s="14"/>
      <c r="BA61" s="9"/>
      <c r="BB61" s="16"/>
      <c r="BC61" s="10"/>
      <c r="BD61" s="10"/>
      <c r="BE61" s="10"/>
      <c r="BF61" s="11"/>
      <c r="BG61" s="12"/>
      <c r="BH61" s="17"/>
      <c r="BI61" s="13"/>
      <c r="BJ61" s="13"/>
      <c r="BK61" s="13"/>
      <c r="BL61" s="14"/>
      <c r="BM61" s="9"/>
      <c r="BN61" s="16"/>
      <c r="BO61" s="10"/>
      <c r="BP61" s="10"/>
      <c r="BQ61" s="10"/>
      <c r="BR61" s="11"/>
      <c r="BS61" s="12"/>
      <c r="BT61" s="17"/>
      <c r="BU61" s="13"/>
      <c r="BV61" s="13"/>
      <c r="BW61" s="13"/>
      <c r="BX61" s="14"/>
      <c r="BY61" s="9"/>
      <c r="BZ61" s="16"/>
      <c r="CA61" s="10"/>
      <c r="CB61" s="10"/>
      <c r="CC61" s="10"/>
      <c r="CD61" s="11"/>
      <c r="CE61" s="12"/>
      <c r="CF61" s="17"/>
      <c r="CG61" s="13"/>
      <c r="CH61" s="13"/>
      <c r="CI61" s="13"/>
      <c r="CJ61" s="14"/>
      <c r="CK61" s="9"/>
      <c r="CL61" s="16"/>
      <c r="CM61" s="10"/>
      <c r="CN61" s="10"/>
      <c r="CO61" s="10"/>
      <c r="CP61" s="11"/>
      <c r="CQ61" s="12"/>
      <c r="CR61" s="17"/>
      <c r="CS61" s="13"/>
      <c r="CT61" s="13"/>
      <c r="CU61" s="13"/>
      <c r="CV61" s="14"/>
      <c r="CW61" s="9"/>
      <c r="CX61" s="16"/>
      <c r="CY61" s="10"/>
      <c r="CZ61" s="10"/>
      <c r="DA61" s="10"/>
      <c r="DB61" s="11"/>
      <c r="DC61" s="12"/>
      <c r="DD61" s="17"/>
      <c r="DE61" s="13"/>
      <c r="DF61" s="13"/>
      <c r="DG61" s="13"/>
      <c r="DH61" s="14"/>
      <c r="DI61" s="8">
        <f t="shared" si="9"/>
        <v>131</v>
      </c>
      <c r="DJ61" s="8">
        <f t="shared" si="10"/>
        <v>132</v>
      </c>
      <c r="DK61" s="8">
        <f t="shared" si="11"/>
        <v>161</v>
      </c>
      <c r="DL61" s="8">
        <f t="shared" si="12"/>
        <v>47</v>
      </c>
      <c r="DM61" s="8">
        <f t="shared" si="13"/>
        <v>161</v>
      </c>
      <c r="DN61" s="8">
        <f t="shared" si="14"/>
        <v>131</v>
      </c>
      <c r="DO61" s="15">
        <f t="shared" si="15"/>
        <v>34.879654262642589</v>
      </c>
      <c r="DP61" s="15" t="str">
        <f t="shared" si="16"/>
        <v>OK - No Upgrade</v>
      </c>
      <c r="DQ61" s="15" t="str">
        <f t="shared" si="17"/>
        <v>Need to Balance</v>
      </c>
    </row>
    <row r="62" spans="1:121" ht="15.75" customHeight="1" x14ac:dyDescent="0.25">
      <c r="A62" s="8" t="s">
        <v>1459</v>
      </c>
      <c r="B62" s="8" t="s">
        <v>1713</v>
      </c>
      <c r="C62" s="8" t="s">
        <v>389</v>
      </c>
      <c r="D62" s="8" t="s">
        <v>1875</v>
      </c>
      <c r="E62" s="8" t="s">
        <v>1876</v>
      </c>
      <c r="F62" s="8" t="s">
        <v>56</v>
      </c>
      <c r="G62" s="8"/>
      <c r="H62" s="8">
        <v>1000</v>
      </c>
      <c r="I62" s="8" t="s">
        <v>1877</v>
      </c>
      <c r="J62" s="8">
        <v>1</v>
      </c>
      <c r="K62" s="8">
        <v>223</v>
      </c>
      <c r="L62" s="8">
        <v>229</v>
      </c>
      <c r="M62" s="8">
        <v>227</v>
      </c>
      <c r="N62" s="8">
        <v>387</v>
      </c>
      <c r="O62" s="8">
        <v>399</v>
      </c>
      <c r="P62" s="8">
        <v>387</v>
      </c>
      <c r="Q62" s="9"/>
      <c r="R62" s="16"/>
      <c r="S62" s="10"/>
      <c r="T62" s="10"/>
      <c r="U62" s="10"/>
      <c r="V62" s="11"/>
      <c r="W62" s="12" t="s">
        <v>47</v>
      </c>
      <c r="X62" s="17"/>
      <c r="Y62" s="13">
        <v>123</v>
      </c>
      <c r="Z62" s="13">
        <v>35</v>
      </c>
      <c r="AA62" s="13">
        <v>50</v>
      </c>
      <c r="AB62" s="14">
        <v>89</v>
      </c>
      <c r="AC62" s="9" t="s">
        <v>47</v>
      </c>
      <c r="AD62" s="16"/>
      <c r="AE62" s="10">
        <v>14</v>
      </c>
      <c r="AF62" s="10">
        <v>16</v>
      </c>
      <c r="AG62" s="10">
        <v>26</v>
      </c>
      <c r="AH62" s="11">
        <v>11</v>
      </c>
      <c r="AI62" s="12" t="s">
        <v>47</v>
      </c>
      <c r="AJ62" s="17"/>
      <c r="AK62" s="13">
        <v>134</v>
      </c>
      <c r="AL62" s="13">
        <v>95</v>
      </c>
      <c r="AM62" s="13">
        <v>146</v>
      </c>
      <c r="AN62" s="14">
        <v>11</v>
      </c>
      <c r="AO62" s="9" t="s">
        <v>47</v>
      </c>
      <c r="AP62" s="16"/>
      <c r="AQ62" s="10">
        <v>66</v>
      </c>
      <c r="AR62" s="10">
        <v>25</v>
      </c>
      <c r="AS62" s="10">
        <v>86</v>
      </c>
      <c r="AT62" s="11">
        <v>62</v>
      </c>
      <c r="AU62" s="12" t="s">
        <v>47</v>
      </c>
      <c r="AV62" s="17"/>
      <c r="AW62" s="13">
        <v>76</v>
      </c>
      <c r="AX62" s="13">
        <v>48</v>
      </c>
      <c r="AY62" s="13">
        <v>88</v>
      </c>
      <c r="AZ62" s="14">
        <v>42</v>
      </c>
      <c r="BA62" s="9" t="s">
        <v>47</v>
      </c>
      <c r="BB62" s="16"/>
      <c r="BC62" s="10">
        <v>69</v>
      </c>
      <c r="BD62" s="10">
        <v>35</v>
      </c>
      <c r="BE62" s="10">
        <v>49</v>
      </c>
      <c r="BF62" s="11">
        <v>16</v>
      </c>
      <c r="BG62" s="12"/>
      <c r="BH62" s="17"/>
      <c r="BI62" s="13"/>
      <c r="BJ62" s="13"/>
      <c r="BK62" s="13"/>
      <c r="BL62" s="14"/>
      <c r="BM62" s="9"/>
      <c r="BN62" s="16"/>
      <c r="BO62" s="10"/>
      <c r="BP62" s="10"/>
      <c r="BQ62" s="10"/>
      <c r="BR62" s="11"/>
      <c r="BS62" s="12"/>
      <c r="BT62" s="17"/>
      <c r="BU62" s="13"/>
      <c r="BV62" s="13"/>
      <c r="BW62" s="13"/>
      <c r="BX62" s="14"/>
      <c r="BY62" s="9"/>
      <c r="BZ62" s="16"/>
      <c r="CA62" s="10"/>
      <c r="CB62" s="10"/>
      <c r="CC62" s="10"/>
      <c r="CD62" s="11"/>
      <c r="CE62" s="12"/>
      <c r="CF62" s="17"/>
      <c r="CG62" s="13"/>
      <c r="CH62" s="13"/>
      <c r="CI62" s="13"/>
      <c r="CJ62" s="14"/>
      <c r="CK62" s="9"/>
      <c r="CL62" s="16"/>
      <c r="CM62" s="10"/>
      <c r="CN62" s="10"/>
      <c r="CO62" s="10"/>
      <c r="CP62" s="11"/>
      <c r="CQ62" s="12"/>
      <c r="CR62" s="17"/>
      <c r="CS62" s="13"/>
      <c r="CT62" s="13"/>
      <c r="CU62" s="13"/>
      <c r="CV62" s="14"/>
      <c r="CW62" s="9"/>
      <c r="CX62" s="16"/>
      <c r="CY62" s="10"/>
      <c r="CZ62" s="10"/>
      <c r="DA62" s="10"/>
      <c r="DB62" s="11"/>
      <c r="DC62" s="12"/>
      <c r="DD62" s="17"/>
      <c r="DE62" s="13"/>
      <c r="DF62" s="13"/>
      <c r="DG62" s="13"/>
      <c r="DH62" s="14"/>
      <c r="DI62" s="8">
        <f t="shared" si="9"/>
        <v>482</v>
      </c>
      <c r="DJ62" s="8">
        <f t="shared" si="10"/>
        <v>254</v>
      </c>
      <c r="DK62" s="8">
        <f t="shared" si="11"/>
        <v>445</v>
      </c>
      <c r="DL62" s="8">
        <f t="shared" si="12"/>
        <v>231</v>
      </c>
      <c r="DM62" s="8">
        <f t="shared" si="13"/>
        <v>482</v>
      </c>
      <c r="DN62" s="8">
        <f t="shared" si="14"/>
        <v>254</v>
      </c>
      <c r="DO62" s="15">
        <f t="shared" si="15"/>
        <v>32.308636533905293</v>
      </c>
      <c r="DP62" s="15" t="str">
        <f t="shared" si="16"/>
        <v>OK - No Upgrade</v>
      </c>
      <c r="DQ62" s="15" t="str">
        <f t="shared" si="17"/>
        <v>Need to Balance</v>
      </c>
    </row>
    <row r="63" spans="1:121" ht="15.75" customHeight="1" x14ac:dyDescent="0.25">
      <c r="A63" s="8" t="s">
        <v>1459</v>
      </c>
      <c r="B63" s="8" t="s">
        <v>1713</v>
      </c>
      <c r="C63" s="8" t="s">
        <v>389</v>
      </c>
      <c r="D63" s="8" t="s">
        <v>1878</v>
      </c>
      <c r="E63" s="8" t="s">
        <v>1879</v>
      </c>
      <c r="F63" s="8" t="s">
        <v>43</v>
      </c>
      <c r="G63" s="8"/>
      <c r="H63" s="8">
        <v>200</v>
      </c>
      <c r="I63" s="8" t="s">
        <v>1880</v>
      </c>
      <c r="J63" s="8">
        <v>1</v>
      </c>
      <c r="K63" s="8">
        <v>229</v>
      </c>
      <c r="L63" s="8">
        <v>229</v>
      </c>
      <c r="M63" s="8">
        <v>224</v>
      </c>
      <c r="N63" s="8">
        <v>392</v>
      </c>
      <c r="O63" s="8">
        <v>390</v>
      </c>
      <c r="P63" s="8">
        <v>401</v>
      </c>
      <c r="Q63" s="9" t="s">
        <v>46</v>
      </c>
      <c r="R63" s="16"/>
      <c r="S63" s="10">
        <v>6</v>
      </c>
      <c r="T63" s="10">
        <v>10</v>
      </c>
      <c r="U63" s="10">
        <v>4</v>
      </c>
      <c r="V63" s="11">
        <v>8</v>
      </c>
      <c r="W63" s="12" t="s">
        <v>46</v>
      </c>
      <c r="X63" s="17"/>
      <c r="Y63" s="13">
        <v>82</v>
      </c>
      <c r="Z63" s="13">
        <v>60</v>
      </c>
      <c r="AA63" s="13">
        <v>76</v>
      </c>
      <c r="AB63" s="14">
        <v>52</v>
      </c>
      <c r="AC63" s="9"/>
      <c r="AD63" s="16"/>
      <c r="AE63" s="10"/>
      <c r="AF63" s="10"/>
      <c r="AG63" s="10"/>
      <c r="AH63" s="11"/>
      <c r="AI63" s="12"/>
      <c r="AJ63" s="17"/>
      <c r="AK63" s="13"/>
      <c r="AL63" s="13"/>
      <c r="AM63" s="13"/>
      <c r="AN63" s="14"/>
      <c r="AO63" s="9"/>
      <c r="AP63" s="16"/>
      <c r="AQ63" s="10"/>
      <c r="AR63" s="10"/>
      <c r="AS63" s="10"/>
      <c r="AT63" s="11"/>
      <c r="AU63" s="12"/>
      <c r="AV63" s="17"/>
      <c r="AW63" s="13"/>
      <c r="AX63" s="13"/>
      <c r="AY63" s="13"/>
      <c r="AZ63" s="14"/>
      <c r="BA63" s="9"/>
      <c r="BB63" s="16"/>
      <c r="BC63" s="10"/>
      <c r="BD63" s="10"/>
      <c r="BE63" s="10"/>
      <c r="BF63" s="11"/>
      <c r="BG63" s="12"/>
      <c r="BH63" s="17"/>
      <c r="BI63" s="13"/>
      <c r="BJ63" s="13"/>
      <c r="BK63" s="13"/>
      <c r="BL63" s="14"/>
      <c r="BM63" s="9"/>
      <c r="BN63" s="16"/>
      <c r="BO63" s="10"/>
      <c r="BP63" s="10"/>
      <c r="BQ63" s="10"/>
      <c r="BR63" s="11"/>
      <c r="BS63" s="12"/>
      <c r="BT63" s="17"/>
      <c r="BU63" s="13"/>
      <c r="BV63" s="13"/>
      <c r="BW63" s="13"/>
      <c r="BX63" s="14"/>
      <c r="BY63" s="9"/>
      <c r="BZ63" s="16"/>
      <c r="CA63" s="10"/>
      <c r="CB63" s="10"/>
      <c r="CC63" s="10"/>
      <c r="CD63" s="11"/>
      <c r="CE63" s="12"/>
      <c r="CF63" s="17"/>
      <c r="CG63" s="13"/>
      <c r="CH63" s="13"/>
      <c r="CI63" s="13"/>
      <c r="CJ63" s="14"/>
      <c r="CK63" s="9"/>
      <c r="CL63" s="16"/>
      <c r="CM63" s="10"/>
      <c r="CN63" s="10"/>
      <c r="CO63" s="10"/>
      <c r="CP63" s="11"/>
      <c r="CQ63" s="12"/>
      <c r="CR63" s="17"/>
      <c r="CS63" s="13"/>
      <c r="CT63" s="13"/>
      <c r="CU63" s="13"/>
      <c r="CV63" s="14"/>
      <c r="CW63" s="9"/>
      <c r="CX63" s="16"/>
      <c r="CY63" s="10"/>
      <c r="CZ63" s="10"/>
      <c r="DA63" s="10"/>
      <c r="DB63" s="11"/>
      <c r="DC63" s="12"/>
      <c r="DD63" s="17"/>
      <c r="DE63" s="13"/>
      <c r="DF63" s="13"/>
      <c r="DG63" s="13"/>
      <c r="DH63" s="14"/>
      <c r="DI63" s="8">
        <f t="shared" si="9"/>
        <v>88</v>
      </c>
      <c r="DJ63" s="8">
        <f t="shared" si="10"/>
        <v>70</v>
      </c>
      <c r="DK63" s="8">
        <f t="shared" si="11"/>
        <v>80</v>
      </c>
      <c r="DL63" s="8">
        <f t="shared" si="12"/>
        <v>60</v>
      </c>
      <c r="DM63" s="8">
        <f t="shared" si="13"/>
        <v>88</v>
      </c>
      <c r="DN63" s="8">
        <f t="shared" si="14"/>
        <v>70</v>
      </c>
      <c r="DO63" s="15">
        <f t="shared" si="15"/>
        <v>29.87441232894799</v>
      </c>
      <c r="DP63" s="15" t="str">
        <f t="shared" si="16"/>
        <v>OK - No Upgrade</v>
      </c>
      <c r="DQ63" s="15" t="str">
        <f t="shared" si="17"/>
        <v>Need to Balance</v>
      </c>
    </row>
    <row r="64" spans="1:121" ht="15.75" customHeight="1" x14ac:dyDescent="0.25">
      <c r="A64" s="8" t="s">
        <v>1459</v>
      </c>
      <c r="B64" s="8" t="s">
        <v>1713</v>
      </c>
      <c r="C64" s="8" t="s">
        <v>389</v>
      </c>
      <c r="D64" s="8" t="s">
        <v>1881</v>
      </c>
      <c r="E64" s="8" t="s">
        <v>1882</v>
      </c>
      <c r="F64" s="8" t="s">
        <v>43</v>
      </c>
      <c r="G64" s="8"/>
      <c r="H64" s="8">
        <v>315</v>
      </c>
      <c r="I64" s="8" t="s">
        <v>840</v>
      </c>
      <c r="J64" s="8">
        <v>1</v>
      </c>
      <c r="K64" s="8">
        <v>228</v>
      </c>
      <c r="L64" s="8">
        <v>229</v>
      </c>
      <c r="M64" s="8">
        <v>232</v>
      </c>
      <c r="N64" s="8">
        <v>395</v>
      </c>
      <c r="O64" s="8">
        <v>399</v>
      </c>
      <c r="P64" s="8">
        <v>396</v>
      </c>
      <c r="Q64" s="9" t="s">
        <v>47</v>
      </c>
      <c r="R64" s="16"/>
      <c r="S64" s="10">
        <v>23</v>
      </c>
      <c r="T64" s="10">
        <v>118</v>
      </c>
      <c r="U64" s="10">
        <v>44</v>
      </c>
      <c r="V64" s="11">
        <v>77</v>
      </c>
      <c r="W64" s="12" t="s">
        <v>47</v>
      </c>
      <c r="X64" s="17"/>
      <c r="Y64" s="13">
        <v>45</v>
      </c>
      <c r="Z64" s="13">
        <v>73</v>
      </c>
      <c r="AA64" s="13">
        <v>34</v>
      </c>
      <c r="AB64" s="14">
        <v>38</v>
      </c>
      <c r="AC64" s="9"/>
      <c r="AD64" s="16"/>
      <c r="AE64" s="10"/>
      <c r="AF64" s="10"/>
      <c r="AG64" s="10"/>
      <c r="AH64" s="11"/>
      <c r="AI64" s="12"/>
      <c r="AJ64" s="17"/>
      <c r="AK64" s="13"/>
      <c r="AL64" s="13"/>
      <c r="AM64" s="13"/>
      <c r="AN64" s="14"/>
      <c r="AO64" s="9"/>
      <c r="AP64" s="16"/>
      <c r="AQ64" s="10"/>
      <c r="AR64" s="10"/>
      <c r="AS64" s="10"/>
      <c r="AT64" s="11"/>
      <c r="AU64" s="12"/>
      <c r="AV64" s="17"/>
      <c r="AW64" s="13"/>
      <c r="AX64" s="13"/>
      <c r="AY64" s="13"/>
      <c r="AZ64" s="14"/>
      <c r="BA64" s="9"/>
      <c r="BB64" s="16"/>
      <c r="BC64" s="10"/>
      <c r="BD64" s="10"/>
      <c r="BE64" s="10"/>
      <c r="BF64" s="11"/>
      <c r="BG64" s="12"/>
      <c r="BH64" s="17"/>
      <c r="BI64" s="13"/>
      <c r="BJ64" s="13"/>
      <c r="BK64" s="13"/>
      <c r="BL64" s="14"/>
      <c r="BM64" s="9"/>
      <c r="BN64" s="16"/>
      <c r="BO64" s="10"/>
      <c r="BP64" s="10"/>
      <c r="BQ64" s="10"/>
      <c r="BR64" s="11"/>
      <c r="BS64" s="12"/>
      <c r="BT64" s="17"/>
      <c r="BU64" s="13"/>
      <c r="BV64" s="13"/>
      <c r="BW64" s="13"/>
      <c r="BX64" s="14"/>
      <c r="BY64" s="9"/>
      <c r="BZ64" s="16"/>
      <c r="CA64" s="10"/>
      <c r="CB64" s="10"/>
      <c r="CC64" s="10"/>
      <c r="CD64" s="11"/>
      <c r="CE64" s="12"/>
      <c r="CF64" s="17"/>
      <c r="CG64" s="13"/>
      <c r="CH64" s="13"/>
      <c r="CI64" s="13"/>
      <c r="CJ64" s="14"/>
      <c r="CK64" s="9"/>
      <c r="CL64" s="16"/>
      <c r="CM64" s="10"/>
      <c r="CN64" s="10"/>
      <c r="CO64" s="10"/>
      <c r="CP64" s="11"/>
      <c r="CQ64" s="12"/>
      <c r="CR64" s="17"/>
      <c r="CS64" s="13"/>
      <c r="CT64" s="13"/>
      <c r="CU64" s="13"/>
      <c r="CV64" s="14"/>
      <c r="CW64" s="9"/>
      <c r="CX64" s="16"/>
      <c r="CY64" s="10"/>
      <c r="CZ64" s="10"/>
      <c r="DA64" s="10"/>
      <c r="DB64" s="11"/>
      <c r="DC64" s="12"/>
      <c r="DD64" s="17"/>
      <c r="DE64" s="13"/>
      <c r="DF64" s="13"/>
      <c r="DG64" s="13"/>
      <c r="DH64" s="14"/>
      <c r="DI64" s="8">
        <f t="shared" si="9"/>
        <v>68</v>
      </c>
      <c r="DJ64" s="8">
        <f t="shared" si="10"/>
        <v>191</v>
      </c>
      <c r="DK64" s="8">
        <f t="shared" si="11"/>
        <v>78</v>
      </c>
      <c r="DL64" s="8">
        <f t="shared" si="12"/>
        <v>115</v>
      </c>
      <c r="DM64" s="8">
        <f t="shared" si="13"/>
        <v>191</v>
      </c>
      <c r="DN64" s="8">
        <f t="shared" si="14"/>
        <v>68</v>
      </c>
      <c r="DO64" s="15">
        <f t="shared" si="15"/>
        <v>41.48399148477268</v>
      </c>
      <c r="DP64" s="15" t="str">
        <f t="shared" si="16"/>
        <v>OK - No Upgrade</v>
      </c>
      <c r="DQ64" s="15" t="str">
        <f t="shared" si="17"/>
        <v>Need to Balance</v>
      </c>
    </row>
    <row r="65" spans="1:121" ht="15.75" customHeight="1" x14ac:dyDescent="0.25">
      <c r="A65" s="8" t="s">
        <v>1459</v>
      </c>
      <c r="B65" s="8" t="s">
        <v>1713</v>
      </c>
      <c r="C65" s="8" t="s">
        <v>389</v>
      </c>
      <c r="D65" s="8" t="s">
        <v>1883</v>
      </c>
      <c r="E65" s="8" t="s">
        <v>87</v>
      </c>
      <c r="F65" s="8" t="s">
        <v>43</v>
      </c>
      <c r="G65" s="8"/>
      <c r="H65" s="8">
        <v>315</v>
      </c>
      <c r="I65" s="8" t="s">
        <v>1884</v>
      </c>
      <c r="J65" s="8">
        <v>1</v>
      </c>
      <c r="K65" s="8">
        <v>225</v>
      </c>
      <c r="L65" s="8">
        <v>232</v>
      </c>
      <c r="M65" s="8">
        <v>230</v>
      </c>
      <c r="N65" s="8">
        <v>401</v>
      </c>
      <c r="O65" s="8">
        <v>404</v>
      </c>
      <c r="P65" s="8">
        <v>398</v>
      </c>
      <c r="Q65" s="9" t="s">
        <v>46</v>
      </c>
      <c r="R65" s="16"/>
      <c r="S65" s="10">
        <v>121</v>
      </c>
      <c r="T65" s="10">
        <v>107</v>
      </c>
      <c r="U65" s="10">
        <v>123</v>
      </c>
      <c r="V65" s="11">
        <v>22</v>
      </c>
      <c r="W65" s="12" t="s">
        <v>46</v>
      </c>
      <c r="X65" s="17"/>
      <c r="Y65" s="13">
        <v>51</v>
      </c>
      <c r="Z65" s="13">
        <v>14</v>
      </c>
      <c r="AA65" s="13">
        <v>30</v>
      </c>
      <c r="AB65" s="14">
        <v>28</v>
      </c>
      <c r="AC65" s="9"/>
      <c r="AD65" s="16"/>
      <c r="AE65" s="10"/>
      <c r="AF65" s="10"/>
      <c r="AG65" s="10"/>
      <c r="AH65" s="11"/>
      <c r="AI65" s="12"/>
      <c r="AJ65" s="17"/>
      <c r="AK65" s="13"/>
      <c r="AL65" s="13"/>
      <c r="AM65" s="13"/>
      <c r="AN65" s="14"/>
      <c r="AO65" s="9"/>
      <c r="AP65" s="16"/>
      <c r="AQ65" s="10"/>
      <c r="AR65" s="10"/>
      <c r="AS65" s="10"/>
      <c r="AT65" s="11"/>
      <c r="AU65" s="12"/>
      <c r="AV65" s="17"/>
      <c r="AW65" s="13"/>
      <c r="AX65" s="13"/>
      <c r="AY65" s="13"/>
      <c r="AZ65" s="14"/>
      <c r="BA65" s="9"/>
      <c r="BB65" s="16"/>
      <c r="BC65" s="10"/>
      <c r="BD65" s="10"/>
      <c r="BE65" s="10"/>
      <c r="BF65" s="11"/>
      <c r="BG65" s="12"/>
      <c r="BH65" s="17"/>
      <c r="BI65" s="13"/>
      <c r="BJ65" s="13"/>
      <c r="BK65" s="13"/>
      <c r="BL65" s="14"/>
      <c r="BM65" s="9"/>
      <c r="BN65" s="16"/>
      <c r="BO65" s="10"/>
      <c r="BP65" s="10"/>
      <c r="BQ65" s="10"/>
      <c r="BR65" s="11"/>
      <c r="BS65" s="12"/>
      <c r="BT65" s="17"/>
      <c r="BU65" s="13"/>
      <c r="BV65" s="13"/>
      <c r="BW65" s="13"/>
      <c r="BX65" s="14"/>
      <c r="BY65" s="9"/>
      <c r="BZ65" s="16"/>
      <c r="CA65" s="10"/>
      <c r="CB65" s="10"/>
      <c r="CC65" s="10"/>
      <c r="CD65" s="11"/>
      <c r="CE65" s="12"/>
      <c r="CF65" s="17"/>
      <c r="CG65" s="13"/>
      <c r="CH65" s="13"/>
      <c r="CI65" s="13"/>
      <c r="CJ65" s="14"/>
      <c r="CK65" s="9"/>
      <c r="CL65" s="16"/>
      <c r="CM65" s="10"/>
      <c r="CN65" s="10"/>
      <c r="CO65" s="10"/>
      <c r="CP65" s="11"/>
      <c r="CQ65" s="12"/>
      <c r="CR65" s="17"/>
      <c r="CS65" s="13"/>
      <c r="CT65" s="13"/>
      <c r="CU65" s="13"/>
      <c r="CV65" s="14"/>
      <c r="CW65" s="9"/>
      <c r="CX65" s="16"/>
      <c r="CY65" s="10"/>
      <c r="CZ65" s="10"/>
      <c r="DA65" s="10"/>
      <c r="DB65" s="11"/>
      <c r="DC65" s="12"/>
      <c r="DD65" s="17"/>
      <c r="DE65" s="13"/>
      <c r="DF65" s="13"/>
      <c r="DG65" s="13"/>
      <c r="DH65" s="14"/>
      <c r="DI65" s="8">
        <f t="shared" si="9"/>
        <v>172</v>
      </c>
      <c r="DJ65" s="8">
        <f t="shared" si="10"/>
        <v>121</v>
      </c>
      <c r="DK65" s="8">
        <f t="shared" si="11"/>
        <v>153</v>
      </c>
      <c r="DL65" s="8">
        <f t="shared" si="12"/>
        <v>50</v>
      </c>
      <c r="DM65" s="8">
        <f t="shared" si="13"/>
        <v>172</v>
      </c>
      <c r="DN65" s="8">
        <f t="shared" si="14"/>
        <v>121</v>
      </c>
      <c r="DO65" s="15">
        <f t="shared" si="15"/>
        <v>37.924764539568443</v>
      </c>
      <c r="DP65" s="15" t="str">
        <f t="shared" si="16"/>
        <v>OK - No Upgrade</v>
      </c>
      <c r="DQ65" s="15" t="str">
        <f t="shared" si="17"/>
        <v>Need to Balance</v>
      </c>
    </row>
    <row r="66" spans="1:121" ht="15.75" customHeight="1" x14ac:dyDescent="0.25">
      <c r="A66" s="8" t="s">
        <v>1459</v>
      </c>
      <c r="B66" s="8" t="s">
        <v>1713</v>
      </c>
      <c r="C66" s="8" t="s">
        <v>389</v>
      </c>
      <c r="D66" s="8" t="s">
        <v>1885</v>
      </c>
      <c r="E66" s="8" t="s">
        <v>1886</v>
      </c>
      <c r="F66" s="8" t="s">
        <v>43</v>
      </c>
      <c r="G66" s="8"/>
      <c r="H66" s="8">
        <v>100</v>
      </c>
      <c r="I66" s="8" t="s">
        <v>1887</v>
      </c>
      <c r="J66" s="8">
        <v>1</v>
      </c>
      <c r="K66" s="8">
        <v>229</v>
      </c>
      <c r="L66" s="8">
        <v>233</v>
      </c>
      <c r="M66" s="8">
        <v>233</v>
      </c>
      <c r="N66" s="8">
        <v>401</v>
      </c>
      <c r="O66" s="8">
        <v>407</v>
      </c>
      <c r="P66" s="8">
        <v>399</v>
      </c>
      <c r="Q66" s="9" t="s">
        <v>46</v>
      </c>
      <c r="R66" s="16"/>
      <c r="S66" s="10">
        <v>12</v>
      </c>
      <c r="T66" s="10">
        <v>16</v>
      </c>
      <c r="U66" s="10">
        <v>6</v>
      </c>
      <c r="V66" s="11">
        <v>9</v>
      </c>
      <c r="W66" s="12"/>
      <c r="X66" s="17"/>
      <c r="Y66" s="13"/>
      <c r="Z66" s="13"/>
      <c r="AA66" s="13"/>
      <c r="AB66" s="14"/>
      <c r="AC66" s="9"/>
      <c r="AD66" s="16"/>
      <c r="AE66" s="10"/>
      <c r="AF66" s="10"/>
      <c r="AG66" s="10"/>
      <c r="AH66" s="11"/>
      <c r="AI66" s="12"/>
      <c r="AJ66" s="17"/>
      <c r="AK66" s="13"/>
      <c r="AL66" s="13"/>
      <c r="AM66" s="13"/>
      <c r="AN66" s="14"/>
      <c r="AO66" s="9"/>
      <c r="AP66" s="16"/>
      <c r="AQ66" s="10"/>
      <c r="AR66" s="10"/>
      <c r="AS66" s="10"/>
      <c r="AT66" s="11"/>
      <c r="AU66" s="12"/>
      <c r="AV66" s="17"/>
      <c r="AW66" s="13"/>
      <c r="AX66" s="13"/>
      <c r="AY66" s="13"/>
      <c r="AZ66" s="14"/>
      <c r="BA66" s="9"/>
      <c r="BB66" s="16"/>
      <c r="BC66" s="10"/>
      <c r="BD66" s="10"/>
      <c r="BE66" s="10"/>
      <c r="BF66" s="11"/>
      <c r="BG66" s="12"/>
      <c r="BH66" s="17"/>
      <c r="BI66" s="13"/>
      <c r="BJ66" s="13"/>
      <c r="BK66" s="13"/>
      <c r="BL66" s="14"/>
      <c r="BM66" s="9"/>
      <c r="BN66" s="16"/>
      <c r="BO66" s="10"/>
      <c r="BP66" s="10"/>
      <c r="BQ66" s="10"/>
      <c r="BR66" s="11"/>
      <c r="BS66" s="12"/>
      <c r="BT66" s="17"/>
      <c r="BU66" s="13"/>
      <c r="BV66" s="13"/>
      <c r="BW66" s="13"/>
      <c r="BX66" s="14"/>
      <c r="BY66" s="9"/>
      <c r="BZ66" s="16"/>
      <c r="CA66" s="10"/>
      <c r="CB66" s="10"/>
      <c r="CC66" s="10"/>
      <c r="CD66" s="11"/>
      <c r="CE66" s="12"/>
      <c r="CF66" s="17"/>
      <c r="CG66" s="13"/>
      <c r="CH66" s="13"/>
      <c r="CI66" s="13"/>
      <c r="CJ66" s="14"/>
      <c r="CK66" s="9"/>
      <c r="CL66" s="16"/>
      <c r="CM66" s="10"/>
      <c r="CN66" s="10"/>
      <c r="CO66" s="10"/>
      <c r="CP66" s="11"/>
      <c r="CQ66" s="12"/>
      <c r="CR66" s="17"/>
      <c r="CS66" s="13"/>
      <c r="CT66" s="13"/>
      <c r="CU66" s="13"/>
      <c r="CV66" s="14"/>
      <c r="CW66" s="9"/>
      <c r="CX66" s="16"/>
      <c r="CY66" s="10"/>
      <c r="CZ66" s="10"/>
      <c r="DA66" s="10"/>
      <c r="DB66" s="11"/>
      <c r="DC66" s="12"/>
      <c r="DD66" s="17"/>
      <c r="DE66" s="13"/>
      <c r="DF66" s="13"/>
      <c r="DG66" s="13"/>
      <c r="DH66" s="14"/>
      <c r="DI66" s="8">
        <f t="shared" si="9"/>
        <v>12</v>
      </c>
      <c r="DJ66" s="8">
        <f t="shared" si="10"/>
        <v>16</v>
      </c>
      <c r="DK66" s="8">
        <f t="shared" si="11"/>
        <v>6</v>
      </c>
      <c r="DL66" s="8">
        <f t="shared" si="12"/>
        <v>9</v>
      </c>
      <c r="DM66" s="8">
        <f t="shared" si="13"/>
        <v>16</v>
      </c>
      <c r="DN66" s="8">
        <f t="shared" si="14"/>
        <v>6</v>
      </c>
      <c r="DO66" s="15">
        <f t="shared" si="15"/>
        <v>11.112837981361915</v>
      </c>
      <c r="DP66" s="15" t="str">
        <f t="shared" si="16"/>
        <v>OK - No Upgrade</v>
      </c>
      <c r="DQ66" s="15" t="str">
        <f t="shared" si="17"/>
        <v>Need to Balance</v>
      </c>
    </row>
    <row r="67" spans="1:121" ht="15.75" customHeight="1" x14ac:dyDescent="0.25">
      <c r="A67" s="8" t="s">
        <v>1459</v>
      </c>
      <c r="B67" s="8" t="s">
        <v>1713</v>
      </c>
      <c r="C67" s="8" t="s">
        <v>389</v>
      </c>
      <c r="D67" s="8" t="s">
        <v>1888</v>
      </c>
      <c r="E67" s="8" t="s">
        <v>1889</v>
      </c>
      <c r="F67" s="8" t="s">
        <v>43</v>
      </c>
      <c r="G67" s="8"/>
      <c r="H67" s="8">
        <v>315</v>
      </c>
      <c r="I67" s="8" t="s">
        <v>1890</v>
      </c>
      <c r="J67" s="8">
        <v>1</v>
      </c>
      <c r="K67" s="8">
        <v>229</v>
      </c>
      <c r="L67" s="8">
        <v>234</v>
      </c>
      <c r="M67" s="8">
        <v>234</v>
      </c>
      <c r="N67" s="8">
        <v>401</v>
      </c>
      <c r="O67" s="8">
        <v>409</v>
      </c>
      <c r="P67" s="8">
        <v>399</v>
      </c>
      <c r="Q67" s="9" t="s">
        <v>46</v>
      </c>
      <c r="R67" s="16"/>
      <c r="S67" s="10">
        <v>118</v>
      </c>
      <c r="T67" s="10">
        <v>74</v>
      </c>
      <c r="U67" s="10">
        <v>50</v>
      </c>
      <c r="V67" s="11">
        <v>48</v>
      </c>
      <c r="W67" s="12" t="s">
        <v>47</v>
      </c>
      <c r="X67" s="17"/>
      <c r="Y67" s="13">
        <v>12</v>
      </c>
      <c r="Z67" s="13">
        <v>14</v>
      </c>
      <c r="AA67" s="13">
        <v>6</v>
      </c>
      <c r="AB67" s="14">
        <v>12</v>
      </c>
      <c r="AC67" s="9"/>
      <c r="AD67" s="16"/>
      <c r="AE67" s="10"/>
      <c r="AF67" s="10"/>
      <c r="AG67" s="10"/>
      <c r="AH67" s="11"/>
      <c r="AI67" s="12"/>
      <c r="AJ67" s="17"/>
      <c r="AK67" s="13"/>
      <c r="AL67" s="13"/>
      <c r="AM67" s="13"/>
      <c r="AN67" s="14"/>
      <c r="AO67" s="9"/>
      <c r="AP67" s="16"/>
      <c r="AQ67" s="10"/>
      <c r="AR67" s="10"/>
      <c r="AS67" s="10"/>
      <c r="AT67" s="11"/>
      <c r="AU67" s="12"/>
      <c r="AV67" s="17"/>
      <c r="AW67" s="13"/>
      <c r="AX67" s="13"/>
      <c r="AY67" s="13"/>
      <c r="AZ67" s="14"/>
      <c r="BA67" s="9"/>
      <c r="BB67" s="16"/>
      <c r="BC67" s="10"/>
      <c r="BD67" s="10"/>
      <c r="BE67" s="10"/>
      <c r="BF67" s="11"/>
      <c r="BG67" s="12"/>
      <c r="BH67" s="17"/>
      <c r="BI67" s="13"/>
      <c r="BJ67" s="13"/>
      <c r="BK67" s="13"/>
      <c r="BL67" s="14"/>
      <c r="BM67" s="9"/>
      <c r="BN67" s="16"/>
      <c r="BO67" s="10"/>
      <c r="BP67" s="10"/>
      <c r="BQ67" s="10"/>
      <c r="BR67" s="11"/>
      <c r="BS67" s="12"/>
      <c r="BT67" s="17"/>
      <c r="BU67" s="13"/>
      <c r="BV67" s="13"/>
      <c r="BW67" s="13"/>
      <c r="BX67" s="14"/>
      <c r="BY67" s="9"/>
      <c r="BZ67" s="16"/>
      <c r="CA67" s="10"/>
      <c r="CB67" s="10"/>
      <c r="CC67" s="10"/>
      <c r="CD67" s="11"/>
      <c r="CE67" s="12"/>
      <c r="CF67" s="17"/>
      <c r="CG67" s="13"/>
      <c r="CH67" s="13"/>
      <c r="CI67" s="13"/>
      <c r="CJ67" s="14"/>
      <c r="CK67" s="9"/>
      <c r="CL67" s="16"/>
      <c r="CM67" s="10"/>
      <c r="CN67" s="10"/>
      <c r="CO67" s="10"/>
      <c r="CP67" s="11"/>
      <c r="CQ67" s="12"/>
      <c r="CR67" s="17"/>
      <c r="CS67" s="13"/>
      <c r="CT67" s="13"/>
      <c r="CU67" s="13"/>
      <c r="CV67" s="14"/>
      <c r="CW67" s="9"/>
      <c r="CX67" s="16"/>
      <c r="CY67" s="10"/>
      <c r="CZ67" s="10"/>
      <c r="DA67" s="10"/>
      <c r="DB67" s="11"/>
      <c r="DC67" s="12"/>
      <c r="DD67" s="17"/>
      <c r="DE67" s="13"/>
      <c r="DF67" s="13"/>
      <c r="DG67" s="13"/>
      <c r="DH67" s="14"/>
      <c r="DI67" s="8">
        <f t="shared" si="9"/>
        <v>130</v>
      </c>
      <c r="DJ67" s="8">
        <f t="shared" si="10"/>
        <v>88</v>
      </c>
      <c r="DK67" s="8">
        <f t="shared" si="11"/>
        <v>56</v>
      </c>
      <c r="DL67" s="8">
        <f t="shared" si="12"/>
        <v>60</v>
      </c>
      <c r="DM67" s="8">
        <f t="shared" si="13"/>
        <v>130</v>
      </c>
      <c r="DN67" s="8">
        <f t="shared" si="14"/>
        <v>56</v>
      </c>
      <c r="DO67" s="15">
        <f t="shared" si="15"/>
        <v>28.664066221766848</v>
      </c>
      <c r="DP67" s="15" t="str">
        <f t="shared" si="16"/>
        <v>OK - No Upgrade</v>
      </c>
      <c r="DQ67" s="15" t="str">
        <f t="shared" si="17"/>
        <v>Need to Balance</v>
      </c>
    </row>
    <row r="68" spans="1:121" ht="15.75" customHeight="1" x14ac:dyDescent="0.25">
      <c r="A68" s="8" t="s">
        <v>1459</v>
      </c>
      <c r="B68" s="8" t="s">
        <v>1713</v>
      </c>
      <c r="C68" s="8" t="s">
        <v>389</v>
      </c>
      <c r="D68" s="8" t="s">
        <v>1891</v>
      </c>
      <c r="E68" s="8" t="s">
        <v>1892</v>
      </c>
      <c r="F68" s="8" t="s">
        <v>43</v>
      </c>
      <c r="G68" s="8"/>
      <c r="H68" s="8">
        <v>100</v>
      </c>
      <c r="I68" s="8" t="s">
        <v>1893</v>
      </c>
      <c r="J68" s="8">
        <v>1</v>
      </c>
      <c r="K68" s="8">
        <v>221</v>
      </c>
      <c r="L68" s="8">
        <v>225</v>
      </c>
      <c r="M68" s="8">
        <v>224</v>
      </c>
      <c r="N68" s="8">
        <v>384</v>
      </c>
      <c r="O68" s="8">
        <v>394</v>
      </c>
      <c r="P68" s="8">
        <v>385</v>
      </c>
      <c r="Q68" s="9" t="s">
        <v>46</v>
      </c>
      <c r="R68" s="16"/>
      <c r="S68" s="10">
        <v>6</v>
      </c>
      <c r="T68" s="10">
        <v>8</v>
      </c>
      <c r="U68" s="10">
        <v>14</v>
      </c>
      <c r="V68" s="11">
        <v>10</v>
      </c>
      <c r="W68" s="12"/>
      <c r="X68" s="17"/>
      <c r="Y68" s="13"/>
      <c r="Z68" s="13"/>
      <c r="AA68" s="13"/>
      <c r="AB68" s="14"/>
      <c r="AC68" s="9"/>
      <c r="AD68" s="16"/>
      <c r="AE68" s="10"/>
      <c r="AF68" s="10"/>
      <c r="AG68" s="10"/>
      <c r="AH68" s="11"/>
      <c r="AI68" s="12"/>
      <c r="AJ68" s="17"/>
      <c r="AK68" s="13"/>
      <c r="AL68" s="13"/>
      <c r="AM68" s="13"/>
      <c r="AN68" s="14"/>
      <c r="AO68" s="9"/>
      <c r="AP68" s="16"/>
      <c r="AQ68" s="10"/>
      <c r="AR68" s="10"/>
      <c r="AS68" s="10"/>
      <c r="AT68" s="11"/>
      <c r="AU68" s="12"/>
      <c r="AV68" s="17"/>
      <c r="AW68" s="13"/>
      <c r="AX68" s="13"/>
      <c r="AY68" s="13"/>
      <c r="AZ68" s="14"/>
      <c r="BA68" s="9"/>
      <c r="BB68" s="16"/>
      <c r="BC68" s="10"/>
      <c r="BD68" s="10"/>
      <c r="BE68" s="10"/>
      <c r="BF68" s="11"/>
      <c r="BG68" s="12"/>
      <c r="BH68" s="17"/>
      <c r="BI68" s="13"/>
      <c r="BJ68" s="13"/>
      <c r="BK68" s="13"/>
      <c r="BL68" s="14"/>
      <c r="BM68" s="9"/>
      <c r="BN68" s="16"/>
      <c r="BO68" s="10"/>
      <c r="BP68" s="10"/>
      <c r="BQ68" s="10"/>
      <c r="BR68" s="11"/>
      <c r="BS68" s="12"/>
      <c r="BT68" s="17"/>
      <c r="BU68" s="13"/>
      <c r="BV68" s="13"/>
      <c r="BW68" s="13"/>
      <c r="BX68" s="14"/>
      <c r="BY68" s="9"/>
      <c r="BZ68" s="16"/>
      <c r="CA68" s="10"/>
      <c r="CB68" s="10"/>
      <c r="CC68" s="10"/>
      <c r="CD68" s="11"/>
      <c r="CE68" s="12"/>
      <c r="CF68" s="17"/>
      <c r="CG68" s="13"/>
      <c r="CH68" s="13"/>
      <c r="CI68" s="13"/>
      <c r="CJ68" s="14"/>
      <c r="CK68" s="9"/>
      <c r="CL68" s="16"/>
      <c r="CM68" s="10"/>
      <c r="CN68" s="10"/>
      <c r="CO68" s="10"/>
      <c r="CP68" s="11"/>
      <c r="CQ68" s="12"/>
      <c r="CR68" s="17"/>
      <c r="CS68" s="13"/>
      <c r="CT68" s="13"/>
      <c r="CU68" s="13"/>
      <c r="CV68" s="14"/>
      <c r="CW68" s="9"/>
      <c r="CX68" s="16"/>
      <c r="CY68" s="10"/>
      <c r="CZ68" s="10"/>
      <c r="DA68" s="10"/>
      <c r="DB68" s="11"/>
      <c r="DC68" s="12"/>
      <c r="DD68" s="17"/>
      <c r="DE68" s="13"/>
      <c r="DF68" s="13"/>
      <c r="DG68" s="13"/>
      <c r="DH68" s="14"/>
      <c r="DI68" s="8">
        <f t="shared" ref="DI68:DI99" si="18">SUM(S68,Y68,AE68,AK68,AQ68,AW68,BC68,BI68,BO68,BU68,CA68,CG68,CM68,CS68,CY68,DE68)</f>
        <v>6</v>
      </c>
      <c r="DJ68" s="8">
        <f t="shared" ref="DJ68:DJ99" si="19">SUM(T68,Z68,AF68,AL68,AR68,AX68,BD68,BJ68,BP68,BV68,CB68,CH68,CN68,CT68,CZ68,DF68)</f>
        <v>8</v>
      </c>
      <c r="DK68" s="8">
        <f t="shared" ref="DK68:DK99" si="20">SUM(U68,AA68,AG68,AM68,AS68,AY68,BE68,BK68,BQ68,BW68,CC68,CI68,CO68,CU68,DA68,DG68)</f>
        <v>14</v>
      </c>
      <c r="DL68" s="8">
        <f t="shared" ref="DL68:DL99" si="21">SUM(V68,AB68,AH68,AN68,AT68,AZ68,BF68,BL68,BR68,BX68,CD68,CJ68,CP68,CV68,DB68,DH68)</f>
        <v>10</v>
      </c>
      <c r="DM68" s="8">
        <f t="shared" ref="DM68:DM99" si="22">MAX(DI68:DK68)</f>
        <v>14</v>
      </c>
      <c r="DN68" s="8">
        <f t="shared" ref="DN68:DN99" si="23">MIN(DI68:DK68)</f>
        <v>6</v>
      </c>
      <c r="DO68" s="15">
        <f t="shared" ref="DO68:DO99" si="24">IF(H68&gt;0,(DM68*SQRT(3)*IF(N68&gt;0,N68,IF(O68&gt;0,O68,IF(P68&gt;0,P68,415)))/(H68*1000))*100,0)</f>
        <v>9.3115051414902847</v>
      </c>
      <c r="DP68" s="15" t="str">
        <f t="shared" ref="DP68:DP99" si="25">IF(DO68&gt;70,"Upgrade","OK - No Upgrade")</f>
        <v>OK - No Upgrade</v>
      </c>
      <c r="DQ68" s="15" t="str">
        <f t="shared" ref="DQ68:DQ99" si="26">IF(IF(AVERAGE(DI68:DK68)&gt;0,((DM68-AVERAGE(DI68:DK68))/AVERAGE(DI68:DK68))*100,0)&gt;10,"Need to Balance","OK - Balanced")</f>
        <v>Need to Balance</v>
      </c>
    </row>
    <row r="69" spans="1:121" ht="15.75" customHeight="1" x14ac:dyDescent="0.25">
      <c r="A69" s="8" t="s">
        <v>1459</v>
      </c>
      <c r="B69" s="8" t="s">
        <v>1713</v>
      </c>
      <c r="C69" s="8" t="s">
        <v>40</v>
      </c>
      <c r="D69" s="8" t="s">
        <v>1894</v>
      </c>
      <c r="E69" s="8" t="s">
        <v>1895</v>
      </c>
      <c r="F69" s="8" t="s">
        <v>56</v>
      </c>
      <c r="G69" s="8"/>
      <c r="H69" s="8">
        <v>2000</v>
      </c>
      <c r="I69" s="8" t="s">
        <v>1896</v>
      </c>
      <c r="J69" s="8">
        <v>1</v>
      </c>
      <c r="K69" s="8">
        <v>238</v>
      </c>
      <c r="L69" s="8">
        <v>240</v>
      </c>
      <c r="M69" s="8">
        <v>238</v>
      </c>
      <c r="N69" s="8">
        <v>413</v>
      </c>
      <c r="O69" s="8">
        <v>418</v>
      </c>
      <c r="P69" s="8">
        <v>414</v>
      </c>
      <c r="Q69" s="9" t="s">
        <v>46</v>
      </c>
      <c r="R69" s="16"/>
      <c r="S69" s="10">
        <v>64</v>
      </c>
      <c r="T69" s="10">
        <v>23</v>
      </c>
      <c r="U69" s="10">
        <v>28</v>
      </c>
      <c r="V69" s="11">
        <v>37</v>
      </c>
      <c r="W69" s="12" t="s">
        <v>46</v>
      </c>
      <c r="X69" s="17"/>
      <c r="Y69" s="13">
        <v>27</v>
      </c>
      <c r="Z69" s="13">
        <v>38</v>
      </c>
      <c r="AA69" s="13">
        <v>63</v>
      </c>
      <c r="AB69" s="14">
        <v>27</v>
      </c>
      <c r="AC69" s="9" t="s">
        <v>46</v>
      </c>
      <c r="AD69" s="16"/>
      <c r="AE69" s="10">
        <v>147</v>
      </c>
      <c r="AF69" s="10">
        <v>75</v>
      </c>
      <c r="AG69" s="10">
        <v>155</v>
      </c>
      <c r="AH69" s="11">
        <v>74</v>
      </c>
      <c r="AI69" s="12" t="s">
        <v>46</v>
      </c>
      <c r="AJ69" s="17"/>
      <c r="AK69" s="13">
        <v>34</v>
      </c>
      <c r="AL69" s="13">
        <v>14</v>
      </c>
      <c r="AM69" s="13">
        <v>113</v>
      </c>
      <c r="AN69" s="14">
        <v>87</v>
      </c>
      <c r="AO69" s="9" t="s">
        <v>46</v>
      </c>
      <c r="AP69" s="16"/>
      <c r="AQ69" s="10">
        <v>159</v>
      </c>
      <c r="AR69" s="10">
        <v>126</v>
      </c>
      <c r="AS69" s="10">
        <v>124</v>
      </c>
      <c r="AT69" s="11">
        <v>36</v>
      </c>
      <c r="AU69" s="12" t="s">
        <v>46</v>
      </c>
      <c r="AV69" s="17"/>
      <c r="AW69" s="13">
        <v>0</v>
      </c>
      <c r="AX69" s="13">
        <v>0</v>
      </c>
      <c r="AY69" s="13">
        <v>0</v>
      </c>
      <c r="AZ69" s="14">
        <v>0</v>
      </c>
      <c r="BA69" s="9" t="s">
        <v>47</v>
      </c>
      <c r="BB69" s="16"/>
      <c r="BC69" s="10">
        <v>96</v>
      </c>
      <c r="BD69" s="10">
        <v>113</v>
      </c>
      <c r="BE69" s="10">
        <v>87</v>
      </c>
      <c r="BF69" s="11">
        <v>15</v>
      </c>
      <c r="BG69" s="12"/>
      <c r="BH69" s="17"/>
      <c r="BI69" s="13"/>
      <c r="BJ69" s="13"/>
      <c r="BK69" s="13"/>
      <c r="BL69" s="14"/>
      <c r="BM69" s="9"/>
      <c r="BN69" s="16"/>
      <c r="BO69" s="10"/>
      <c r="BP69" s="10"/>
      <c r="BQ69" s="10"/>
      <c r="BR69" s="11"/>
      <c r="BS69" s="12"/>
      <c r="BT69" s="17"/>
      <c r="BU69" s="13"/>
      <c r="BV69" s="13"/>
      <c r="BW69" s="13"/>
      <c r="BX69" s="14"/>
      <c r="BY69" s="9"/>
      <c r="BZ69" s="16"/>
      <c r="CA69" s="10"/>
      <c r="CB69" s="10"/>
      <c r="CC69" s="10"/>
      <c r="CD69" s="11"/>
      <c r="CE69" s="12"/>
      <c r="CF69" s="17"/>
      <c r="CG69" s="13"/>
      <c r="CH69" s="13"/>
      <c r="CI69" s="13"/>
      <c r="CJ69" s="14"/>
      <c r="CK69" s="9"/>
      <c r="CL69" s="16"/>
      <c r="CM69" s="10"/>
      <c r="CN69" s="10"/>
      <c r="CO69" s="10"/>
      <c r="CP69" s="11"/>
      <c r="CQ69" s="12"/>
      <c r="CR69" s="17"/>
      <c r="CS69" s="13"/>
      <c r="CT69" s="13"/>
      <c r="CU69" s="13"/>
      <c r="CV69" s="14"/>
      <c r="CW69" s="9"/>
      <c r="CX69" s="16"/>
      <c r="CY69" s="10"/>
      <c r="CZ69" s="10"/>
      <c r="DA69" s="10"/>
      <c r="DB69" s="11"/>
      <c r="DC69" s="12"/>
      <c r="DD69" s="17"/>
      <c r="DE69" s="13"/>
      <c r="DF69" s="13"/>
      <c r="DG69" s="13"/>
      <c r="DH69" s="14"/>
      <c r="DI69" s="8">
        <f t="shared" si="18"/>
        <v>527</v>
      </c>
      <c r="DJ69" s="8">
        <f t="shared" si="19"/>
        <v>389</v>
      </c>
      <c r="DK69" s="8">
        <f t="shared" si="20"/>
        <v>570</v>
      </c>
      <c r="DL69" s="8">
        <f t="shared" si="21"/>
        <v>276</v>
      </c>
      <c r="DM69" s="8">
        <f t="shared" si="22"/>
        <v>570</v>
      </c>
      <c r="DN69" s="8">
        <f t="shared" si="23"/>
        <v>389</v>
      </c>
      <c r="DO69" s="15">
        <f t="shared" si="24"/>
        <v>20.387104030489468</v>
      </c>
      <c r="DP69" s="15" t="str">
        <f t="shared" si="25"/>
        <v>OK - No Upgrade</v>
      </c>
      <c r="DQ69" s="15" t="str">
        <f t="shared" si="26"/>
        <v>Need to Balance</v>
      </c>
    </row>
    <row r="70" spans="1:121" ht="15.75" customHeight="1" x14ac:dyDescent="0.25">
      <c r="A70" s="8" t="s">
        <v>1459</v>
      </c>
      <c r="B70" s="8" t="s">
        <v>1713</v>
      </c>
      <c r="C70" s="8" t="s">
        <v>40</v>
      </c>
      <c r="D70" s="8" t="s">
        <v>1897</v>
      </c>
      <c r="E70" s="8" t="s">
        <v>1898</v>
      </c>
      <c r="F70" s="8" t="s">
        <v>43</v>
      </c>
      <c r="G70" s="8"/>
      <c r="H70" s="8">
        <v>315</v>
      </c>
      <c r="I70" s="8" t="s">
        <v>1899</v>
      </c>
      <c r="J70" s="8">
        <v>1</v>
      </c>
      <c r="K70" s="8">
        <v>234</v>
      </c>
      <c r="L70" s="8">
        <v>235</v>
      </c>
      <c r="M70" s="8">
        <v>235</v>
      </c>
      <c r="N70" s="8">
        <v>407</v>
      </c>
      <c r="O70" s="8">
        <v>407</v>
      </c>
      <c r="P70" s="8">
        <v>408</v>
      </c>
      <c r="Q70" s="9" t="s">
        <v>46</v>
      </c>
      <c r="R70" s="16"/>
      <c r="S70" s="10">
        <v>103</v>
      </c>
      <c r="T70" s="10">
        <v>63</v>
      </c>
      <c r="U70" s="10">
        <v>37</v>
      </c>
      <c r="V70" s="11">
        <v>38</v>
      </c>
      <c r="W70" s="12" t="s">
        <v>47</v>
      </c>
      <c r="X70" s="17"/>
      <c r="Y70" s="13">
        <v>38</v>
      </c>
      <c r="Z70" s="13">
        <v>137</v>
      </c>
      <c r="AA70" s="13">
        <v>100</v>
      </c>
      <c r="AB70" s="14">
        <v>60</v>
      </c>
      <c r="AC70" s="9"/>
      <c r="AD70" s="16"/>
      <c r="AE70" s="10"/>
      <c r="AF70" s="10"/>
      <c r="AG70" s="10"/>
      <c r="AH70" s="11"/>
      <c r="AI70" s="12"/>
      <c r="AJ70" s="17"/>
      <c r="AK70" s="13"/>
      <c r="AL70" s="13"/>
      <c r="AM70" s="13"/>
      <c r="AN70" s="14"/>
      <c r="AO70" s="9"/>
      <c r="AP70" s="16"/>
      <c r="AQ70" s="10"/>
      <c r="AR70" s="10"/>
      <c r="AS70" s="10"/>
      <c r="AT70" s="11"/>
      <c r="AU70" s="12"/>
      <c r="AV70" s="17"/>
      <c r="AW70" s="13"/>
      <c r="AX70" s="13"/>
      <c r="AY70" s="13"/>
      <c r="AZ70" s="14"/>
      <c r="BA70" s="9"/>
      <c r="BB70" s="16"/>
      <c r="BC70" s="10"/>
      <c r="BD70" s="10"/>
      <c r="BE70" s="10"/>
      <c r="BF70" s="11"/>
      <c r="BG70" s="12"/>
      <c r="BH70" s="17"/>
      <c r="BI70" s="13"/>
      <c r="BJ70" s="13"/>
      <c r="BK70" s="13"/>
      <c r="BL70" s="14"/>
      <c r="BM70" s="9"/>
      <c r="BN70" s="16"/>
      <c r="BO70" s="10"/>
      <c r="BP70" s="10"/>
      <c r="BQ70" s="10"/>
      <c r="BR70" s="11"/>
      <c r="BS70" s="12"/>
      <c r="BT70" s="17"/>
      <c r="BU70" s="13"/>
      <c r="BV70" s="13"/>
      <c r="BW70" s="13"/>
      <c r="BX70" s="14"/>
      <c r="BY70" s="9"/>
      <c r="BZ70" s="16"/>
      <c r="CA70" s="10"/>
      <c r="CB70" s="10"/>
      <c r="CC70" s="10"/>
      <c r="CD70" s="11"/>
      <c r="CE70" s="12"/>
      <c r="CF70" s="17"/>
      <c r="CG70" s="13"/>
      <c r="CH70" s="13"/>
      <c r="CI70" s="13"/>
      <c r="CJ70" s="14"/>
      <c r="CK70" s="9"/>
      <c r="CL70" s="16"/>
      <c r="CM70" s="10"/>
      <c r="CN70" s="10"/>
      <c r="CO70" s="10"/>
      <c r="CP70" s="11"/>
      <c r="CQ70" s="12"/>
      <c r="CR70" s="17"/>
      <c r="CS70" s="13"/>
      <c r="CT70" s="13"/>
      <c r="CU70" s="13"/>
      <c r="CV70" s="14"/>
      <c r="CW70" s="9"/>
      <c r="CX70" s="16"/>
      <c r="CY70" s="10"/>
      <c r="CZ70" s="10"/>
      <c r="DA70" s="10"/>
      <c r="DB70" s="11"/>
      <c r="DC70" s="12"/>
      <c r="DD70" s="17"/>
      <c r="DE70" s="13"/>
      <c r="DF70" s="13"/>
      <c r="DG70" s="13"/>
      <c r="DH70" s="14"/>
      <c r="DI70" s="8">
        <f t="shared" si="18"/>
        <v>141</v>
      </c>
      <c r="DJ70" s="8">
        <f t="shared" si="19"/>
        <v>200</v>
      </c>
      <c r="DK70" s="8">
        <f t="shared" si="20"/>
        <v>137</v>
      </c>
      <c r="DL70" s="8">
        <f t="shared" si="21"/>
        <v>98</v>
      </c>
      <c r="DM70" s="8">
        <f t="shared" si="22"/>
        <v>200</v>
      </c>
      <c r="DN70" s="8">
        <f t="shared" si="23"/>
        <v>137</v>
      </c>
      <c r="DO70" s="15">
        <f t="shared" si="24"/>
        <v>44.758392297176705</v>
      </c>
      <c r="DP70" s="15" t="str">
        <f t="shared" si="25"/>
        <v>OK - No Upgrade</v>
      </c>
      <c r="DQ70" s="15" t="str">
        <f t="shared" si="26"/>
        <v>Need to Balance</v>
      </c>
    </row>
    <row r="71" spans="1:121" ht="15.75" customHeight="1" x14ac:dyDescent="0.25">
      <c r="A71" s="8" t="s">
        <v>1459</v>
      </c>
      <c r="B71" s="8" t="s">
        <v>1713</v>
      </c>
      <c r="C71" s="8" t="s">
        <v>40</v>
      </c>
      <c r="D71" s="8" t="s">
        <v>1900</v>
      </c>
      <c r="E71" s="8" t="s">
        <v>1901</v>
      </c>
      <c r="F71" s="8" t="s">
        <v>43</v>
      </c>
      <c r="G71" s="8"/>
      <c r="H71" s="8">
        <v>100</v>
      </c>
      <c r="I71" s="8" t="s">
        <v>1902</v>
      </c>
      <c r="J71" s="8">
        <v>1</v>
      </c>
      <c r="K71" s="8">
        <v>236</v>
      </c>
      <c r="L71" s="8">
        <v>238</v>
      </c>
      <c r="M71" s="8">
        <v>237</v>
      </c>
      <c r="N71" s="8">
        <v>411</v>
      </c>
      <c r="O71" s="8">
        <v>412</v>
      </c>
      <c r="P71" s="8">
        <v>410</v>
      </c>
      <c r="Q71" s="9" t="s">
        <v>47</v>
      </c>
      <c r="R71" s="16"/>
      <c r="S71" s="10">
        <v>0</v>
      </c>
      <c r="T71" s="10">
        <v>0</v>
      </c>
      <c r="U71" s="10">
        <v>0</v>
      </c>
      <c r="V71" s="11">
        <v>0</v>
      </c>
      <c r="W71" s="12"/>
      <c r="X71" s="17"/>
      <c r="Y71" s="13"/>
      <c r="Z71" s="13"/>
      <c r="AA71" s="13"/>
      <c r="AB71" s="14"/>
      <c r="AC71" s="9"/>
      <c r="AD71" s="16"/>
      <c r="AE71" s="10"/>
      <c r="AF71" s="10"/>
      <c r="AG71" s="10"/>
      <c r="AH71" s="11"/>
      <c r="AI71" s="12"/>
      <c r="AJ71" s="17"/>
      <c r="AK71" s="13"/>
      <c r="AL71" s="13"/>
      <c r="AM71" s="13"/>
      <c r="AN71" s="14"/>
      <c r="AO71" s="9"/>
      <c r="AP71" s="16"/>
      <c r="AQ71" s="10"/>
      <c r="AR71" s="10"/>
      <c r="AS71" s="10"/>
      <c r="AT71" s="11"/>
      <c r="AU71" s="12"/>
      <c r="AV71" s="17"/>
      <c r="AW71" s="13"/>
      <c r="AX71" s="13"/>
      <c r="AY71" s="13"/>
      <c r="AZ71" s="14"/>
      <c r="BA71" s="9"/>
      <c r="BB71" s="16"/>
      <c r="BC71" s="10"/>
      <c r="BD71" s="10"/>
      <c r="BE71" s="10"/>
      <c r="BF71" s="11"/>
      <c r="BG71" s="12"/>
      <c r="BH71" s="17"/>
      <c r="BI71" s="13"/>
      <c r="BJ71" s="13"/>
      <c r="BK71" s="13"/>
      <c r="BL71" s="14"/>
      <c r="BM71" s="9"/>
      <c r="BN71" s="16"/>
      <c r="BO71" s="10"/>
      <c r="BP71" s="10"/>
      <c r="BQ71" s="10"/>
      <c r="BR71" s="11"/>
      <c r="BS71" s="12"/>
      <c r="BT71" s="17"/>
      <c r="BU71" s="13"/>
      <c r="BV71" s="13"/>
      <c r="BW71" s="13"/>
      <c r="BX71" s="14"/>
      <c r="BY71" s="9"/>
      <c r="BZ71" s="16"/>
      <c r="CA71" s="10"/>
      <c r="CB71" s="10"/>
      <c r="CC71" s="10"/>
      <c r="CD71" s="11"/>
      <c r="CE71" s="12"/>
      <c r="CF71" s="17"/>
      <c r="CG71" s="13"/>
      <c r="CH71" s="13"/>
      <c r="CI71" s="13"/>
      <c r="CJ71" s="14"/>
      <c r="CK71" s="9"/>
      <c r="CL71" s="16"/>
      <c r="CM71" s="10"/>
      <c r="CN71" s="10"/>
      <c r="CO71" s="10"/>
      <c r="CP71" s="11"/>
      <c r="CQ71" s="12"/>
      <c r="CR71" s="17"/>
      <c r="CS71" s="13"/>
      <c r="CT71" s="13"/>
      <c r="CU71" s="13"/>
      <c r="CV71" s="14"/>
      <c r="CW71" s="9"/>
      <c r="CX71" s="16"/>
      <c r="CY71" s="10"/>
      <c r="CZ71" s="10"/>
      <c r="DA71" s="10"/>
      <c r="DB71" s="11"/>
      <c r="DC71" s="12"/>
      <c r="DD71" s="17"/>
      <c r="DE71" s="13"/>
      <c r="DF71" s="13"/>
      <c r="DG71" s="13"/>
      <c r="DH71" s="14"/>
      <c r="DI71" s="8">
        <f t="shared" si="18"/>
        <v>0</v>
      </c>
      <c r="DJ71" s="8">
        <f t="shared" si="19"/>
        <v>0</v>
      </c>
      <c r="DK71" s="8">
        <f t="shared" si="20"/>
        <v>0</v>
      </c>
      <c r="DL71" s="8">
        <f t="shared" si="21"/>
        <v>0</v>
      </c>
      <c r="DM71" s="8">
        <f t="shared" si="22"/>
        <v>0</v>
      </c>
      <c r="DN71" s="8">
        <f t="shared" si="23"/>
        <v>0</v>
      </c>
      <c r="DO71" s="15">
        <f t="shared" si="24"/>
        <v>0</v>
      </c>
      <c r="DP71" s="15" t="str">
        <f t="shared" si="25"/>
        <v>OK - No Upgrade</v>
      </c>
      <c r="DQ71" s="15" t="str">
        <f t="shared" si="26"/>
        <v>OK - Balanced</v>
      </c>
    </row>
    <row r="72" spans="1:121" ht="15.75" customHeight="1" x14ac:dyDescent="0.25">
      <c r="A72" s="8" t="s">
        <v>1459</v>
      </c>
      <c r="B72" s="8" t="s">
        <v>1713</v>
      </c>
      <c r="C72" s="8" t="s">
        <v>40</v>
      </c>
      <c r="D72" s="8" t="s">
        <v>1903</v>
      </c>
      <c r="E72" s="8" t="s">
        <v>1904</v>
      </c>
      <c r="F72" s="8" t="s">
        <v>43</v>
      </c>
      <c r="G72" s="8"/>
      <c r="H72" s="8">
        <v>315</v>
      </c>
      <c r="I72" s="8" t="s">
        <v>1905</v>
      </c>
      <c r="J72" s="8">
        <v>1</v>
      </c>
      <c r="K72" s="8">
        <v>232</v>
      </c>
      <c r="L72" s="8">
        <v>234</v>
      </c>
      <c r="M72" s="8">
        <v>234</v>
      </c>
      <c r="N72" s="8">
        <v>402</v>
      </c>
      <c r="O72" s="8">
        <v>408</v>
      </c>
      <c r="P72" s="8">
        <v>405</v>
      </c>
      <c r="Q72" s="9" t="s">
        <v>47</v>
      </c>
      <c r="R72" s="16"/>
      <c r="S72" s="10">
        <v>105</v>
      </c>
      <c r="T72" s="10">
        <v>95</v>
      </c>
      <c r="U72" s="10">
        <v>90</v>
      </c>
      <c r="V72" s="11">
        <v>18</v>
      </c>
      <c r="W72" s="12" t="s">
        <v>47</v>
      </c>
      <c r="X72" s="17"/>
      <c r="Y72" s="13">
        <v>157</v>
      </c>
      <c r="Z72" s="13">
        <v>137</v>
      </c>
      <c r="AA72" s="13">
        <v>182</v>
      </c>
      <c r="AB72" s="14">
        <v>43</v>
      </c>
      <c r="AC72" s="9"/>
      <c r="AD72" s="16"/>
      <c r="AE72" s="10"/>
      <c r="AF72" s="10"/>
      <c r="AG72" s="10"/>
      <c r="AH72" s="11"/>
      <c r="AI72" s="12"/>
      <c r="AJ72" s="17"/>
      <c r="AK72" s="13"/>
      <c r="AL72" s="13"/>
      <c r="AM72" s="13"/>
      <c r="AN72" s="14"/>
      <c r="AO72" s="9"/>
      <c r="AP72" s="16"/>
      <c r="AQ72" s="10"/>
      <c r="AR72" s="10"/>
      <c r="AS72" s="10"/>
      <c r="AT72" s="11"/>
      <c r="AU72" s="12"/>
      <c r="AV72" s="17"/>
      <c r="AW72" s="13"/>
      <c r="AX72" s="13"/>
      <c r="AY72" s="13"/>
      <c r="AZ72" s="14"/>
      <c r="BA72" s="9"/>
      <c r="BB72" s="16"/>
      <c r="BC72" s="10"/>
      <c r="BD72" s="10"/>
      <c r="BE72" s="10"/>
      <c r="BF72" s="11"/>
      <c r="BG72" s="12"/>
      <c r="BH72" s="17"/>
      <c r="BI72" s="13"/>
      <c r="BJ72" s="13"/>
      <c r="BK72" s="13"/>
      <c r="BL72" s="14"/>
      <c r="BM72" s="9"/>
      <c r="BN72" s="16"/>
      <c r="BO72" s="10"/>
      <c r="BP72" s="10"/>
      <c r="BQ72" s="10"/>
      <c r="BR72" s="11"/>
      <c r="BS72" s="12"/>
      <c r="BT72" s="17"/>
      <c r="BU72" s="13"/>
      <c r="BV72" s="13"/>
      <c r="BW72" s="13"/>
      <c r="BX72" s="14"/>
      <c r="BY72" s="9"/>
      <c r="BZ72" s="16"/>
      <c r="CA72" s="10"/>
      <c r="CB72" s="10"/>
      <c r="CC72" s="10"/>
      <c r="CD72" s="11"/>
      <c r="CE72" s="12"/>
      <c r="CF72" s="17"/>
      <c r="CG72" s="13"/>
      <c r="CH72" s="13"/>
      <c r="CI72" s="13"/>
      <c r="CJ72" s="14"/>
      <c r="CK72" s="9"/>
      <c r="CL72" s="16"/>
      <c r="CM72" s="10"/>
      <c r="CN72" s="10"/>
      <c r="CO72" s="10"/>
      <c r="CP72" s="11"/>
      <c r="CQ72" s="12"/>
      <c r="CR72" s="17"/>
      <c r="CS72" s="13"/>
      <c r="CT72" s="13"/>
      <c r="CU72" s="13"/>
      <c r="CV72" s="14"/>
      <c r="CW72" s="9"/>
      <c r="CX72" s="16"/>
      <c r="CY72" s="10"/>
      <c r="CZ72" s="10"/>
      <c r="DA72" s="10"/>
      <c r="DB72" s="11"/>
      <c r="DC72" s="12"/>
      <c r="DD72" s="17"/>
      <c r="DE72" s="13"/>
      <c r="DF72" s="13"/>
      <c r="DG72" s="13"/>
      <c r="DH72" s="14"/>
      <c r="DI72" s="8">
        <f t="shared" si="18"/>
        <v>262</v>
      </c>
      <c r="DJ72" s="8">
        <f t="shared" si="19"/>
        <v>232</v>
      </c>
      <c r="DK72" s="8">
        <f t="shared" si="20"/>
        <v>272</v>
      </c>
      <c r="DL72" s="8">
        <f t="shared" si="21"/>
        <v>61</v>
      </c>
      <c r="DM72" s="8">
        <f t="shared" si="22"/>
        <v>272</v>
      </c>
      <c r="DN72" s="8">
        <f t="shared" si="23"/>
        <v>232</v>
      </c>
      <c r="DO72" s="15">
        <f t="shared" si="24"/>
        <v>60.123607461209936</v>
      </c>
      <c r="DP72" s="15" t="str">
        <f t="shared" si="25"/>
        <v>OK - No Upgrade</v>
      </c>
      <c r="DQ72" s="15" t="str">
        <f t="shared" si="26"/>
        <v>OK - Balanced</v>
      </c>
    </row>
    <row r="73" spans="1:121" ht="15.75" customHeight="1" x14ac:dyDescent="0.25">
      <c r="A73" s="8" t="s">
        <v>1459</v>
      </c>
      <c r="B73" s="8" t="s">
        <v>1713</v>
      </c>
      <c r="C73" s="8" t="s">
        <v>40</v>
      </c>
      <c r="D73" s="8" t="s">
        <v>1906</v>
      </c>
      <c r="E73" s="8" t="s">
        <v>1907</v>
      </c>
      <c r="F73" s="8" t="s">
        <v>43</v>
      </c>
      <c r="G73" s="8"/>
      <c r="H73" s="8">
        <v>315</v>
      </c>
      <c r="I73" s="8" t="s">
        <v>1908</v>
      </c>
      <c r="J73" s="8">
        <v>1</v>
      </c>
      <c r="K73" s="8">
        <v>240</v>
      </c>
      <c r="L73" s="8">
        <v>243</v>
      </c>
      <c r="M73" s="8">
        <v>242</v>
      </c>
      <c r="N73" s="8">
        <v>418</v>
      </c>
      <c r="O73" s="8">
        <v>422</v>
      </c>
      <c r="P73" s="8">
        <v>417</v>
      </c>
      <c r="Q73" s="9" t="s">
        <v>46</v>
      </c>
      <c r="R73" s="16"/>
      <c r="S73" s="10">
        <v>128</v>
      </c>
      <c r="T73" s="10">
        <v>78</v>
      </c>
      <c r="U73" s="10">
        <v>116</v>
      </c>
      <c r="V73" s="11">
        <v>62</v>
      </c>
      <c r="W73" s="12" t="s">
        <v>46</v>
      </c>
      <c r="X73" s="17"/>
      <c r="Y73" s="13">
        <v>0</v>
      </c>
      <c r="Z73" s="13">
        <v>0</v>
      </c>
      <c r="AA73" s="13">
        <v>0</v>
      </c>
      <c r="AB73" s="14">
        <v>0</v>
      </c>
      <c r="AC73" s="9"/>
      <c r="AD73" s="16"/>
      <c r="AE73" s="10"/>
      <c r="AF73" s="10"/>
      <c r="AG73" s="10"/>
      <c r="AH73" s="11"/>
      <c r="AI73" s="12"/>
      <c r="AJ73" s="17"/>
      <c r="AK73" s="13"/>
      <c r="AL73" s="13"/>
      <c r="AM73" s="13"/>
      <c r="AN73" s="14"/>
      <c r="AO73" s="9"/>
      <c r="AP73" s="16"/>
      <c r="AQ73" s="10"/>
      <c r="AR73" s="10"/>
      <c r="AS73" s="10"/>
      <c r="AT73" s="11"/>
      <c r="AU73" s="12"/>
      <c r="AV73" s="17"/>
      <c r="AW73" s="13"/>
      <c r="AX73" s="13"/>
      <c r="AY73" s="13"/>
      <c r="AZ73" s="14"/>
      <c r="BA73" s="9"/>
      <c r="BB73" s="16"/>
      <c r="BC73" s="10"/>
      <c r="BD73" s="10"/>
      <c r="BE73" s="10"/>
      <c r="BF73" s="11"/>
      <c r="BG73" s="12"/>
      <c r="BH73" s="17"/>
      <c r="BI73" s="13"/>
      <c r="BJ73" s="13"/>
      <c r="BK73" s="13"/>
      <c r="BL73" s="14"/>
      <c r="BM73" s="9"/>
      <c r="BN73" s="16"/>
      <c r="BO73" s="10"/>
      <c r="BP73" s="10"/>
      <c r="BQ73" s="10"/>
      <c r="BR73" s="11"/>
      <c r="BS73" s="12"/>
      <c r="BT73" s="17"/>
      <c r="BU73" s="13"/>
      <c r="BV73" s="13"/>
      <c r="BW73" s="13"/>
      <c r="BX73" s="14"/>
      <c r="BY73" s="9"/>
      <c r="BZ73" s="16"/>
      <c r="CA73" s="10"/>
      <c r="CB73" s="10"/>
      <c r="CC73" s="10"/>
      <c r="CD73" s="11"/>
      <c r="CE73" s="12"/>
      <c r="CF73" s="17"/>
      <c r="CG73" s="13"/>
      <c r="CH73" s="13"/>
      <c r="CI73" s="13"/>
      <c r="CJ73" s="14"/>
      <c r="CK73" s="9"/>
      <c r="CL73" s="16"/>
      <c r="CM73" s="10"/>
      <c r="CN73" s="10"/>
      <c r="CO73" s="10"/>
      <c r="CP73" s="11"/>
      <c r="CQ73" s="12"/>
      <c r="CR73" s="17"/>
      <c r="CS73" s="13"/>
      <c r="CT73" s="13"/>
      <c r="CU73" s="13"/>
      <c r="CV73" s="14"/>
      <c r="CW73" s="9"/>
      <c r="CX73" s="16"/>
      <c r="CY73" s="10"/>
      <c r="CZ73" s="10"/>
      <c r="DA73" s="10"/>
      <c r="DB73" s="11"/>
      <c r="DC73" s="12"/>
      <c r="DD73" s="17"/>
      <c r="DE73" s="13"/>
      <c r="DF73" s="13"/>
      <c r="DG73" s="13"/>
      <c r="DH73" s="14"/>
      <c r="DI73" s="8">
        <f t="shared" si="18"/>
        <v>128</v>
      </c>
      <c r="DJ73" s="8">
        <f t="shared" si="19"/>
        <v>78</v>
      </c>
      <c r="DK73" s="8">
        <f t="shared" si="20"/>
        <v>116</v>
      </c>
      <c r="DL73" s="8">
        <f t="shared" si="21"/>
        <v>62</v>
      </c>
      <c r="DM73" s="8">
        <f t="shared" si="22"/>
        <v>128</v>
      </c>
      <c r="DN73" s="8">
        <f t="shared" si="23"/>
        <v>78</v>
      </c>
      <c r="DO73" s="15">
        <f t="shared" si="24"/>
        <v>29.419570288306417</v>
      </c>
      <c r="DP73" s="15" t="str">
        <f t="shared" si="25"/>
        <v>OK - No Upgrade</v>
      </c>
      <c r="DQ73" s="15" t="str">
        <f t="shared" si="26"/>
        <v>Need to Balance</v>
      </c>
    </row>
    <row r="74" spans="1:121" ht="15.75" customHeight="1" x14ac:dyDescent="0.25">
      <c r="A74" s="8" t="s">
        <v>1459</v>
      </c>
      <c r="B74" s="8" t="s">
        <v>1713</v>
      </c>
      <c r="C74" s="8" t="s">
        <v>40</v>
      </c>
      <c r="D74" s="8" t="s">
        <v>1909</v>
      </c>
      <c r="E74" s="8" t="s">
        <v>1910</v>
      </c>
      <c r="F74" s="8" t="s">
        <v>56</v>
      </c>
      <c r="G74" s="8"/>
      <c r="H74" s="8">
        <v>1000</v>
      </c>
      <c r="I74" s="8" t="s">
        <v>1911</v>
      </c>
      <c r="J74" s="8">
        <v>1</v>
      </c>
      <c r="K74" s="8">
        <v>234</v>
      </c>
      <c r="L74" s="8">
        <v>235</v>
      </c>
      <c r="M74" s="8">
        <v>234</v>
      </c>
      <c r="N74" s="8">
        <v>406</v>
      </c>
      <c r="O74" s="8">
        <v>409</v>
      </c>
      <c r="P74" s="8">
        <v>407</v>
      </c>
      <c r="Q74" s="9"/>
      <c r="R74" s="16"/>
      <c r="S74" s="10"/>
      <c r="T74" s="10"/>
      <c r="U74" s="10"/>
      <c r="V74" s="11"/>
      <c r="W74" s="12"/>
      <c r="X74" s="17"/>
      <c r="Y74" s="13"/>
      <c r="Z74" s="13"/>
      <c r="AA74" s="13"/>
      <c r="AB74" s="14"/>
      <c r="AC74" s="9" t="s">
        <v>47</v>
      </c>
      <c r="AD74" s="16"/>
      <c r="AE74" s="10">
        <v>77</v>
      </c>
      <c r="AF74" s="10">
        <v>55</v>
      </c>
      <c r="AG74" s="10">
        <v>108</v>
      </c>
      <c r="AH74" s="11">
        <v>40</v>
      </c>
      <c r="AI74" s="12" t="s">
        <v>47</v>
      </c>
      <c r="AJ74" s="17"/>
      <c r="AK74" s="13">
        <v>72</v>
      </c>
      <c r="AL74" s="13">
        <v>86</v>
      </c>
      <c r="AM74" s="13">
        <v>77</v>
      </c>
      <c r="AN74" s="14">
        <v>35</v>
      </c>
      <c r="AO74" s="9" t="s">
        <v>46</v>
      </c>
      <c r="AP74" s="16"/>
      <c r="AQ74" s="10">
        <v>87</v>
      </c>
      <c r="AR74" s="10">
        <v>143</v>
      </c>
      <c r="AS74" s="10">
        <v>132</v>
      </c>
      <c r="AT74" s="11">
        <v>48</v>
      </c>
      <c r="AU74" s="12" t="s">
        <v>46</v>
      </c>
      <c r="AV74" s="17"/>
      <c r="AW74" s="13">
        <v>134</v>
      </c>
      <c r="AX74" s="13">
        <v>128</v>
      </c>
      <c r="AY74" s="13">
        <v>61</v>
      </c>
      <c r="AZ74" s="14">
        <v>69</v>
      </c>
      <c r="BA74" s="9" t="s">
        <v>46</v>
      </c>
      <c r="BB74" s="16"/>
      <c r="BC74" s="10">
        <v>73</v>
      </c>
      <c r="BD74" s="10">
        <v>78</v>
      </c>
      <c r="BE74" s="10">
        <v>86</v>
      </c>
      <c r="BF74" s="11">
        <v>26</v>
      </c>
      <c r="BG74" s="12" t="s">
        <v>46</v>
      </c>
      <c r="BH74" s="17"/>
      <c r="BI74" s="13">
        <v>261</v>
      </c>
      <c r="BJ74" s="13">
        <v>265</v>
      </c>
      <c r="BK74" s="13">
        <v>311</v>
      </c>
      <c r="BL74" s="14">
        <v>31</v>
      </c>
      <c r="BM74" s="9"/>
      <c r="BN74" s="16"/>
      <c r="BO74" s="10"/>
      <c r="BP74" s="10"/>
      <c r="BQ74" s="10"/>
      <c r="BR74" s="11"/>
      <c r="BS74" s="12"/>
      <c r="BT74" s="17"/>
      <c r="BU74" s="13"/>
      <c r="BV74" s="13"/>
      <c r="BW74" s="13"/>
      <c r="BX74" s="14"/>
      <c r="BY74" s="9"/>
      <c r="BZ74" s="16"/>
      <c r="CA74" s="10"/>
      <c r="CB74" s="10"/>
      <c r="CC74" s="10"/>
      <c r="CD74" s="11"/>
      <c r="CE74" s="12"/>
      <c r="CF74" s="17"/>
      <c r="CG74" s="13"/>
      <c r="CH74" s="13"/>
      <c r="CI74" s="13"/>
      <c r="CJ74" s="14"/>
      <c r="CK74" s="9"/>
      <c r="CL74" s="16"/>
      <c r="CM74" s="10"/>
      <c r="CN74" s="10"/>
      <c r="CO74" s="10"/>
      <c r="CP74" s="11"/>
      <c r="CQ74" s="12"/>
      <c r="CR74" s="17"/>
      <c r="CS74" s="13"/>
      <c r="CT74" s="13"/>
      <c r="CU74" s="13"/>
      <c r="CV74" s="14"/>
      <c r="CW74" s="9"/>
      <c r="CX74" s="16"/>
      <c r="CY74" s="10"/>
      <c r="CZ74" s="10"/>
      <c r="DA74" s="10"/>
      <c r="DB74" s="11"/>
      <c r="DC74" s="12"/>
      <c r="DD74" s="17"/>
      <c r="DE74" s="13"/>
      <c r="DF74" s="13"/>
      <c r="DG74" s="13"/>
      <c r="DH74" s="14"/>
      <c r="DI74" s="8">
        <f t="shared" si="18"/>
        <v>704</v>
      </c>
      <c r="DJ74" s="8">
        <f t="shared" si="19"/>
        <v>755</v>
      </c>
      <c r="DK74" s="8">
        <f t="shared" si="20"/>
        <v>775</v>
      </c>
      <c r="DL74" s="8">
        <f t="shared" si="21"/>
        <v>249</v>
      </c>
      <c r="DM74" s="8">
        <f t="shared" si="22"/>
        <v>775</v>
      </c>
      <c r="DN74" s="8">
        <f t="shared" si="23"/>
        <v>704</v>
      </c>
      <c r="DO74" s="15">
        <f t="shared" si="24"/>
        <v>54.498978660154727</v>
      </c>
      <c r="DP74" s="15" t="str">
        <f t="shared" si="25"/>
        <v>OK - No Upgrade</v>
      </c>
      <c r="DQ74" s="15" t="str">
        <f t="shared" si="26"/>
        <v>OK - Balanced</v>
      </c>
    </row>
    <row r="75" spans="1:121" ht="15.75" customHeight="1" x14ac:dyDescent="0.25">
      <c r="A75" s="8" t="s">
        <v>1459</v>
      </c>
      <c r="B75" s="8" t="s">
        <v>1713</v>
      </c>
      <c r="C75" s="8" t="s">
        <v>389</v>
      </c>
      <c r="D75" s="8" t="s">
        <v>1912</v>
      </c>
      <c r="E75" s="8" t="s">
        <v>1913</v>
      </c>
      <c r="F75" s="8" t="s">
        <v>43</v>
      </c>
      <c r="G75" s="8"/>
      <c r="H75" s="8">
        <v>200</v>
      </c>
      <c r="I75" s="8" t="s">
        <v>1914</v>
      </c>
      <c r="J75" s="8">
        <v>1</v>
      </c>
      <c r="K75" s="8">
        <v>212</v>
      </c>
      <c r="L75" s="8">
        <v>222</v>
      </c>
      <c r="M75" s="8">
        <v>219</v>
      </c>
      <c r="N75" s="8">
        <v>376</v>
      </c>
      <c r="O75" s="8">
        <v>368</v>
      </c>
      <c r="P75" s="8">
        <v>385</v>
      </c>
      <c r="Q75" s="9" t="s">
        <v>47</v>
      </c>
      <c r="R75" s="16"/>
      <c r="S75" s="10">
        <v>117</v>
      </c>
      <c r="T75" s="10">
        <v>57</v>
      </c>
      <c r="U75" s="10">
        <v>119</v>
      </c>
      <c r="V75" s="11">
        <v>49</v>
      </c>
      <c r="W75" s="12" t="s">
        <v>46</v>
      </c>
      <c r="X75" s="17"/>
      <c r="Y75" s="13">
        <v>36</v>
      </c>
      <c r="Z75" s="13">
        <v>37</v>
      </c>
      <c r="AA75" s="13">
        <v>40</v>
      </c>
      <c r="AB75" s="14">
        <v>14</v>
      </c>
      <c r="AC75" s="9"/>
      <c r="AD75" s="16"/>
      <c r="AE75" s="10"/>
      <c r="AF75" s="10"/>
      <c r="AG75" s="10"/>
      <c r="AH75" s="11"/>
      <c r="AI75" s="12"/>
      <c r="AJ75" s="17"/>
      <c r="AK75" s="13"/>
      <c r="AL75" s="13"/>
      <c r="AM75" s="13"/>
      <c r="AN75" s="14"/>
      <c r="AO75" s="9"/>
      <c r="AP75" s="16"/>
      <c r="AQ75" s="10"/>
      <c r="AR75" s="10"/>
      <c r="AS75" s="10"/>
      <c r="AT75" s="11"/>
      <c r="AU75" s="12"/>
      <c r="AV75" s="17"/>
      <c r="AW75" s="13"/>
      <c r="AX75" s="13"/>
      <c r="AY75" s="13"/>
      <c r="AZ75" s="14"/>
      <c r="BA75" s="9"/>
      <c r="BB75" s="16"/>
      <c r="BC75" s="10"/>
      <c r="BD75" s="10"/>
      <c r="BE75" s="10"/>
      <c r="BF75" s="11"/>
      <c r="BG75" s="12"/>
      <c r="BH75" s="17"/>
      <c r="BI75" s="13"/>
      <c r="BJ75" s="13"/>
      <c r="BK75" s="13"/>
      <c r="BL75" s="14"/>
      <c r="BM75" s="9"/>
      <c r="BN75" s="16"/>
      <c r="BO75" s="10"/>
      <c r="BP75" s="10"/>
      <c r="BQ75" s="10"/>
      <c r="BR75" s="11"/>
      <c r="BS75" s="12"/>
      <c r="BT75" s="17"/>
      <c r="BU75" s="13"/>
      <c r="BV75" s="13"/>
      <c r="BW75" s="13"/>
      <c r="BX75" s="14"/>
      <c r="BY75" s="9"/>
      <c r="BZ75" s="16"/>
      <c r="CA75" s="10"/>
      <c r="CB75" s="10"/>
      <c r="CC75" s="10"/>
      <c r="CD75" s="11"/>
      <c r="CE75" s="12"/>
      <c r="CF75" s="17"/>
      <c r="CG75" s="13"/>
      <c r="CH75" s="13"/>
      <c r="CI75" s="13"/>
      <c r="CJ75" s="14"/>
      <c r="CK75" s="9"/>
      <c r="CL75" s="16"/>
      <c r="CM75" s="10"/>
      <c r="CN75" s="10"/>
      <c r="CO75" s="10"/>
      <c r="CP75" s="11"/>
      <c r="CQ75" s="12"/>
      <c r="CR75" s="17"/>
      <c r="CS75" s="13"/>
      <c r="CT75" s="13"/>
      <c r="CU75" s="13"/>
      <c r="CV75" s="14"/>
      <c r="CW75" s="9"/>
      <c r="CX75" s="16"/>
      <c r="CY75" s="10"/>
      <c r="CZ75" s="10"/>
      <c r="DA75" s="10"/>
      <c r="DB75" s="11"/>
      <c r="DC75" s="12"/>
      <c r="DD75" s="17"/>
      <c r="DE75" s="13"/>
      <c r="DF75" s="13"/>
      <c r="DG75" s="13"/>
      <c r="DH75" s="14"/>
      <c r="DI75" s="8">
        <f t="shared" si="18"/>
        <v>153</v>
      </c>
      <c r="DJ75" s="8">
        <f t="shared" si="19"/>
        <v>94</v>
      </c>
      <c r="DK75" s="8">
        <f t="shared" si="20"/>
        <v>159</v>
      </c>
      <c r="DL75" s="8">
        <f t="shared" si="21"/>
        <v>63</v>
      </c>
      <c r="DM75" s="8">
        <f t="shared" si="22"/>
        <v>159</v>
      </c>
      <c r="DN75" s="8">
        <f t="shared" si="23"/>
        <v>94</v>
      </c>
      <c r="DO75" s="15">
        <f t="shared" si="24"/>
        <v>51.774462739848879</v>
      </c>
      <c r="DP75" s="15" t="str">
        <f t="shared" si="25"/>
        <v>OK - No Upgrade</v>
      </c>
      <c r="DQ75" s="15" t="str">
        <f t="shared" si="26"/>
        <v>Need to Balance</v>
      </c>
    </row>
    <row r="76" spans="1:121" ht="15.75" customHeight="1" x14ac:dyDescent="0.25">
      <c r="A76" s="8" t="s">
        <v>1459</v>
      </c>
      <c r="B76" s="8" t="s">
        <v>1713</v>
      </c>
      <c r="C76" s="8" t="s">
        <v>40</v>
      </c>
      <c r="D76" s="8" t="s">
        <v>1915</v>
      </c>
      <c r="E76" s="8" t="s">
        <v>1916</v>
      </c>
      <c r="F76" s="8" t="s">
        <v>43</v>
      </c>
      <c r="G76" s="8"/>
      <c r="H76" s="8">
        <v>315</v>
      </c>
      <c r="I76" s="8" t="s">
        <v>1917</v>
      </c>
      <c r="J76" s="8">
        <v>1</v>
      </c>
      <c r="K76" s="8">
        <v>236</v>
      </c>
      <c r="L76" s="8">
        <v>238</v>
      </c>
      <c r="M76" s="8">
        <v>238</v>
      </c>
      <c r="N76" s="8">
        <v>413</v>
      </c>
      <c r="O76" s="8">
        <v>413</v>
      </c>
      <c r="P76" s="8">
        <v>410</v>
      </c>
      <c r="Q76" s="9" t="s">
        <v>47</v>
      </c>
      <c r="R76" s="16"/>
      <c r="S76" s="10">
        <v>141</v>
      </c>
      <c r="T76" s="10">
        <v>37</v>
      </c>
      <c r="U76" s="10">
        <v>42</v>
      </c>
      <c r="V76" s="11">
        <v>89</v>
      </c>
      <c r="W76" s="12"/>
      <c r="X76" s="17"/>
      <c r="Y76" s="13"/>
      <c r="Z76" s="13"/>
      <c r="AA76" s="13"/>
      <c r="AB76" s="14"/>
      <c r="AC76" s="9"/>
      <c r="AD76" s="16"/>
      <c r="AE76" s="10"/>
      <c r="AF76" s="10"/>
      <c r="AG76" s="10"/>
      <c r="AH76" s="11"/>
      <c r="AI76" s="12"/>
      <c r="AJ76" s="17"/>
      <c r="AK76" s="13"/>
      <c r="AL76" s="13"/>
      <c r="AM76" s="13"/>
      <c r="AN76" s="14"/>
      <c r="AO76" s="9"/>
      <c r="AP76" s="16"/>
      <c r="AQ76" s="10"/>
      <c r="AR76" s="10"/>
      <c r="AS76" s="10"/>
      <c r="AT76" s="11"/>
      <c r="AU76" s="12"/>
      <c r="AV76" s="17"/>
      <c r="AW76" s="13"/>
      <c r="AX76" s="13"/>
      <c r="AY76" s="13"/>
      <c r="AZ76" s="14"/>
      <c r="BA76" s="9"/>
      <c r="BB76" s="16"/>
      <c r="BC76" s="10"/>
      <c r="BD76" s="10"/>
      <c r="BE76" s="10"/>
      <c r="BF76" s="11"/>
      <c r="BG76" s="12"/>
      <c r="BH76" s="17"/>
      <c r="BI76" s="13"/>
      <c r="BJ76" s="13"/>
      <c r="BK76" s="13"/>
      <c r="BL76" s="14"/>
      <c r="BM76" s="9"/>
      <c r="BN76" s="16"/>
      <c r="BO76" s="10"/>
      <c r="BP76" s="10"/>
      <c r="BQ76" s="10"/>
      <c r="BR76" s="11"/>
      <c r="BS76" s="12"/>
      <c r="BT76" s="17"/>
      <c r="BU76" s="13"/>
      <c r="BV76" s="13"/>
      <c r="BW76" s="13"/>
      <c r="BX76" s="14"/>
      <c r="BY76" s="9"/>
      <c r="BZ76" s="16"/>
      <c r="CA76" s="10"/>
      <c r="CB76" s="10"/>
      <c r="CC76" s="10"/>
      <c r="CD76" s="11"/>
      <c r="CE76" s="12"/>
      <c r="CF76" s="17"/>
      <c r="CG76" s="13"/>
      <c r="CH76" s="13"/>
      <c r="CI76" s="13"/>
      <c r="CJ76" s="14"/>
      <c r="CK76" s="9"/>
      <c r="CL76" s="16"/>
      <c r="CM76" s="10"/>
      <c r="CN76" s="10"/>
      <c r="CO76" s="10"/>
      <c r="CP76" s="11"/>
      <c r="CQ76" s="12"/>
      <c r="CR76" s="17"/>
      <c r="CS76" s="13"/>
      <c r="CT76" s="13"/>
      <c r="CU76" s="13"/>
      <c r="CV76" s="14"/>
      <c r="CW76" s="9"/>
      <c r="CX76" s="16"/>
      <c r="CY76" s="10"/>
      <c r="CZ76" s="10"/>
      <c r="DA76" s="10"/>
      <c r="DB76" s="11"/>
      <c r="DC76" s="12"/>
      <c r="DD76" s="17"/>
      <c r="DE76" s="13"/>
      <c r="DF76" s="13"/>
      <c r="DG76" s="13"/>
      <c r="DH76" s="14"/>
      <c r="DI76" s="8">
        <f t="shared" si="18"/>
        <v>141</v>
      </c>
      <c r="DJ76" s="8">
        <f t="shared" si="19"/>
        <v>37</v>
      </c>
      <c r="DK76" s="8">
        <f t="shared" si="20"/>
        <v>42</v>
      </c>
      <c r="DL76" s="8">
        <f t="shared" si="21"/>
        <v>89</v>
      </c>
      <c r="DM76" s="8">
        <f t="shared" si="22"/>
        <v>141</v>
      </c>
      <c r="DN76" s="8">
        <f t="shared" si="23"/>
        <v>37</v>
      </c>
      <c r="DO76" s="15">
        <f t="shared" si="24"/>
        <v>32.01984592925664</v>
      </c>
      <c r="DP76" s="15" t="str">
        <f t="shared" si="25"/>
        <v>OK - No Upgrade</v>
      </c>
      <c r="DQ76" s="15" t="str">
        <f t="shared" si="26"/>
        <v>Need to Balance</v>
      </c>
    </row>
    <row r="77" spans="1:121" ht="15.75" customHeight="1" x14ac:dyDescent="0.25">
      <c r="A77" s="8" t="s">
        <v>1459</v>
      </c>
      <c r="B77" s="8" t="s">
        <v>1713</v>
      </c>
      <c r="C77" s="8" t="s">
        <v>389</v>
      </c>
      <c r="D77" s="8" t="s">
        <v>1918</v>
      </c>
      <c r="E77" s="8" t="s">
        <v>1919</v>
      </c>
      <c r="F77" s="8" t="s">
        <v>43</v>
      </c>
      <c r="G77" s="8"/>
      <c r="H77" s="8">
        <v>315</v>
      </c>
      <c r="I77" s="8" t="s">
        <v>1917</v>
      </c>
      <c r="J77" s="8">
        <v>1</v>
      </c>
      <c r="K77" s="8">
        <v>204</v>
      </c>
      <c r="L77" s="8">
        <v>213</v>
      </c>
      <c r="M77" s="8">
        <v>210</v>
      </c>
      <c r="N77" s="8">
        <v>360</v>
      </c>
      <c r="O77" s="8">
        <v>355</v>
      </c>
      <c r="P77" s="8">
        <v>371</v>
      </c>
      <c r="Q77" s="9" t="s">
        <v>46</v>
      </c>
      <c r="R77" s="16"/>
      <c r="S77" s="10">
        <v>13</v>
      </c>
      <c r="T77" s="10">
        <v>17</v>
      </c>
      <c r="U77" s="10">
        <v>20</v>
      </c>
      <c r="V77" s="11">
        <v>11</v>
      </c>
      <c r="W77" s="12" t="s">
        <v>47</v>
      </c>
      <c r="X77" s="17"/>
      <c r="Y77" s="13">
        <v>24</v>
      </c>
      <c r="Z77" s="13">
        <v>15</v>
      </c>
      <c r="AA77" s="13">
        <v>16</v>
      </c>
      <c r="AB77" s="14">
        <v>10</v>
      </c>
      <c r="AC77" s="9"/>
      <c r="AD77" s="16"/>
      <c r="AE77" s="10"/>
      <c r="AF77" s="10"/>
      <c r="AG77" s="10"/>
      <c r="AH77" s="11"/>
      <c r="AI77" s="12"/>
      <c r="AJ77" s="17"/>
      <c r="AK77" s="13"/>
      <c r="AL77" s="13"/>
      <c r="AM77" s="13"/>
      <c r="AN77" s="14"/>
      <c r="AO77" s="9"/>
      <c r="AP77" s="16"/>
      <c r="AQ77" s="10"/>
      <c r="AR77" s="10"/>
      <c r="AS77" s="10"/>
      <c r="AT77" s="11"/>
      <c r="AU77" s="12"/>
      <c r="AV77" s="17"/>
      <c r="AW77" s="13"/>
      <c r="AX77" s="13"/>
      <c r="AY77" s="13"/>
      <c r="AZ77" s="14"/>
      <c r="BA77" s="9"/>
      <c r="BB77" s="16"/>
      <c r="BC77" s="10"/>
      <c r="BD77" s="10"/>
      <c r="BE77" s="10"/>
      <c r="BF77" s="11"/>
      <c r="BG77" s="12"/>
      <c r="BH77" s="17"/>
      <c r="BI77" s="13"/>
      <c r="BJ77" s="13"/>
      <c r="BK77" s="13"/>
      <c r="BL77" s="14"/>
      <c r="BM77" s="9"/>
      <c r="BN77" s="16"/>
      <c r="BO77" s="10"/>
      <c r="BP77" s="10"/>
      <c r="BQ77" s="10"/>
      <c r="BR77" s="11"/>
      <c r="BS77" s="12"/>
      <c r="BT77" s="17"/>
      <c r="BU77" s="13"/>
      <c r="BV77" s="13"/>
      <c r="BW77" s="13"/>
      <c r="BX77" s="14"/>
      <c r="BY77" s="9"/>
      <c r="BZ77" s="16"/>
      <c r="CA77" s="10"/>
      <c r="CB77" s="10"/>
      <c r="CC77" s="10"/>
      <c r="CD77" s="11"/>
      <c r="CE77" s="12"/>
      <c r="CF77" s="17"/>
      <c r="CG77" s="13"/>
      <c r="CH77" s="13"/>
      <c r="CI77" s="13"/>
      <c r="CJ77" s="14"/>
      <c r="CK77" s="9"/>
      <c r="CL77" s="16"/>
      <c r="CM77" s="10"/>
      <c r="CN77" s="10"/>
      <c r="CO77" s="10"/>
      <c r="CP77" s="11"/>
      <c r="CQ77" s="12"/>
      <c r="CR77" s="17"/>
      <c r="CS77" s="13"/>
      <c r="CT77" s="13"/>
      <c r="CU77" s="13"/>
      <c r="CV77" s="14"/>
      <c r="CW77" s="9"/>
      <c r="CX77" s="16"/>
      <c r="CY77" s="10"/>
      <c r="CZ77" s="10"/>
      <c r="DA77" s="10"/>
      <c r="DB77" s="11"/>
      <c r="DC77" s="12"/>
      <c r="DD77" s="17"/>
      <c r="DE77" s="13"/>
      <c r="DF77" s="13"/>
      <c r="DG77" s="13"/>
      <c r="DH77" s="14"/>
      <c r="DI77" s="8">
        <f t="shared" si="18"/>
        <v>37</v>
      </c>
      <c r="DJ77" s="8">
        <f t="shared" si="19"/>
        <v>32</v>
      </c>
      <c r="DK77" s="8">
        <f t="shared" si="20"/>
        <v>36</v>
      </c>
      <c r="DL77" s="8">
        <f t="shared" si="21"/>
        <v>21</v>
      </c>
      <c r="DM77" s="8">
        <f t="shared" si="22"/>
        <v>37</v>
      </c>
      <c r="DN77" s="8">
        <f t="shared" si="23"/>
        <v>32</v>
      </c>
      <c r="DO77" s="15">
        <f t="shared" si="24"/>
        <v>7.3241005577198228</v>
      </c>
      <c r="DP77" s="15" t="str">
        <f t="shared" si="25"/>
        <v>OK - No Upgrade</v>
      </c>
      <c r="DQ77" s="15" t="str">
        <f t="shared" si="26"/>
        <v>OK - Balanced</v>
      </c>
    </row>
    <row r="78" spans="1:121" ht="15.75" customHeight="1" x14ac:dyDescent="0.25">
      <c r="A78" s="8" t="s">
        <v>1459</v>
      </c>
      <c r="B78" s="8" t="s">
        <v>1713</v>
      </c>
      <c r="C78" s="8" t="s">
        <v>40</v>
      </c>
      <c r="D78" s="8" t="s">
        <v>1920</v>
      </c>
      <c r="E78" s="8" t="s">
        <v>1921</v>
      </c>
      <c r="F78" s="8" t="s">
        <v>43</v>
      </c>
      <c r="G78" s="8"/>
      <c r="H78" s="8">
        <v>100</v>
      </c>
      <c r="I78" s="8" t="s">
        <v>1922</v>
      </c>
      <c r="J78" s="8">
        <v>1</v>
      </c>
      <c r="K78" s="8">
        <v>235</v>
      </c>
      <c r="L78" s="8">
        <v>234</v>
      </c>
      <c r="M78" s="8">
        <v>238</v>
      </c>
      <c r="N78" s="8">
        <v>410</v>
      </c>
      <c r="O78" s="8">
        <v>415</v>
      </c>
      <c r="P78" s="8">
        <v>408</v>
      </c>
      <c r="Q78" s="9" t="s">
        <v>132</v>
      </c>
      <c r="R78" s="16"/>
      <c r="S78" s="10">
        <v>0</v>
      </c>
      <c r="T78" s="10">
        <v>0</v>
      </c>
      <c r="U78" s="10">
        <v>0</v>
      </c>
      <c r="V78" s="11">
        <v>0</v>
      </c>
      <c r="W78" s="12"/>
      <c r="X78" s="17"/>
      <c r="Y78" s="13"/>
      <c r="Z78" s="13"/>
      <c r="AA78" s="13"/>
      <c r="AB78" s="14"/>
      <c r="AC78" s="9"/>
      <c r="AD78" s="16"/>
      <c r="AE78" s="10"/>
      <c r="AF78" s="10"/>
      <c r="AG78" s="10"/>
      <c r="AH78" s="11"/>
      <c r="AI78" s="12"/>
      <c r="AJ78" s="17"/>
      <c r="AK78" s="13"/>
      <c r="AL78" s="13"/>
      <c r="AM78" s="13"/>
      <c r="AN78" s="14"/>
      <c r="AO78" s="9"/>
      <c r="AP78" s="16"/>
      <c r="AQ78" s="10"/>
      <c r="AR78" s="10"/>
      <c r="AS78" s="10"/>
      <c r="AT78" s="11"/>
      <c r="AU78" s="12"/>
      <c r="AV78" s="17"/>
      <c r="AW78" s="13"/>
      <c r="AX78" s="13"/>
      <c r="AY78" s="13"/>
      <c r="AZ78" s="14"/>
      <c r="BA78" s="9"/>
      <c r="BB78" s="16"/>
      <c r="BC78" s="10"/>
      <c r="BD78" s="10"/>
      <c r="BE78" s="10"/>
      <c r="BF78" s="11"/>
      <c r="BG78" s="12"/>
      <c r="BH78" s="17"/>
      <c r="BI78" s="13"/>
      <c r="BJ78" s="13"/>
      <c r="BK78" s="13"/>
      <c r="BL78" s="14"/>
      <c r="BM78" s="9"/>
      <c r="BN78" s="16"/>
      <c r="BO78" s="10"/>
      <c r="BP78" s="10"/>
      <c r="BQ78" s="10"/>
      <c r="BR78" s="11"/>
      <c r="BS78" s="12"/>
      <c r="BT78" s="17"/>
      <c r="BU78" s="13"/>
      <c r="BV78" s="13"/>
      <c r="BW78" s="13"/>
      <c r="BX78" s="14"/>
      <c r="BY78" s="9"/>
      <c r="BZ78" s="16"/>
      <c r="CA78" s="10"/>
      <c r="CB78" s="10"/>
      <c r="CC78" s="10"/>
      <c r="CD78" s="11"/>
      <c r="CE78" s="12"/>
      <c r="CF78" s="17"/>
      <c r="CG78" s="13"/>
      <c r="CH78" s="13"/>
      <c r="CI78" s="13"/>
      <c r="CJ78" s="14"/>
      <c r="CK78" s="9"/>
      <c r="CL78" s="16"/>
      <c r="CM78" s="10"/>
      <c r="CN78" s="10"/>
      <c r="CO78" s="10"/>
      <c r="CP78" s="11"/>
      <c r="CQ78" s="12"/>
      <c r="CR78" s="17"/>
      <c r="CS78" s="13"/>
      <c r="CT78" s="13"/>
      <c r="CU78" s="13"/>
      <c r="CV78" s="14"/>
      <c r="CW78" s="9"/>
      <c r="CX78" s="16"/>
      <c r="CY78" s="10"/>
      <c r="CZ78" s="10"/>
      <c r="DA78" s="10"/>
      <c r="DB78" s="11"/>
      <c r="DC78" s="12"/>
      <c r="DD78" s="17"/>
      <c r="DE78" s="13"/>
      <c r="DF78" s="13"/>
      <c r="DG78" s="13"/>
      <c r="DH78" s="14"/>
      <c r="DI78" s="8">
        <f t="shared" si="18"/>
        <v>0</v>
      </c>
      <c r="DJ78" s="8">
        <f t="shared" si="19"/>
        <v>0</v>
      </c>
      <c r="DK78" s="8">
        <f t="shared" si="20"/>
        <v>0</v>
      </c>
      <c r="DL78" s="8">
        <f t="shared" si="21"/>
        <v>0</v>
      </c>
      <c r="DM78" s="8">
        <f t="shared" si="22"/>
        <v>0</v>
      </c>
      <c r="DN78" s="8">
        <f t="shared" si="23"/>
        <v>0</v>
      </c>
      <c r="DO78" s="15">
        <f t="shared" si="24"/>
        <v>0</v>
      </c>
      <c r="DP78" s="15" t="str">
        <f t="shared" si="25"/>
        <v>OK - No Upgrade</v>
      </c>
      <c r="DQ78" s="15" t="str">
        <f t="shared" si="26"/>
        <v>OK - Balanced</v>
      </c>
    </row>
    <row r="79" spans="1:121" ht="15.75" customHeight="1" x14ac:dyDescent="0.25">
      <c r="A79" s="8" t="s">
        <v>1459</v>
      </c>
      <c r="B79" s="8" t="s">
        <v>1713</v>
      </c>
      <c r="C79" s="8" t="s">
        <v>389</v>
      </c>
      <c r="D79" s="8" t="s">
        <v>1923</v>
      </c>
      <c r="E79" s="8" t="s">
        <v>1924</v>
      </c>
      <c r="F79" s="8" t="s">
        <v>43</v>
      </c>
      <c r="G79" s="8"/>
      <c r="H79" s="8">
        <v>315</v>
      </c>
      <c r="I79" s="8" t="s">
        <v>1922</v>
      </c>
      <c r="J79" s="8">
        <v>1</v>
      </c>
      <c r="K79" s="8">
        <v>214</v>
      </c>
      <c r="L79" s="8">
        <v>223</v>
      </c>
      <c r="M79" s="8">
        <v>220</v>
      </c>
      <c r="N79" s="8">
        <v>377</v>
      </c>
      <c r="O79" s="8">
        <v>373</v>
      </c>
      <c r="P79" s="8">
        <v>386</v>
      </c>
      <c r="Q79" s="9" t="s">
        <v>46</v>
      </c>
      <c r="R79" s="16"/>
      <c r="S79" s="10">
        <v>179</v>
      </c>
      <c r="T79" s="10">
        <v>160</v>
      </c>
      <c r="U79" s="10">
        <v>158</v>
      </c>
      <c r="V79" s="11">
        <v>40</v>
      </c>
      <c r="W79" s="12" t="s">
        <v>47</v>
      </c>
      <c r="X79" s="17"/>
      <c r="Y79" s="13">
        <v>55</v>
      </c>
      <c r="Z79" s="13">
        <v>65</v>
      </c>
      <c r="AA79" s="13">
        <v>40</v>
      </c>
      <c r="AB79" s="14">
        <v>23</v>
      </c>
      <c r="AC79" s="9"/>
      <c r="AD79" s="16"/>
      <c r="AE79" s="10"/>
      <c r="AF79" s="10"/>
      <c r="AG79" s="10"/>
      <c r="AH79" s="11"/>
      <c r="AI79" s="12"/>
      <c r="AJ79" s="17"/>
      <c r="AK79" s="13"/>
      <c r="AL79" s="13"/>
      <c r="AM79" s="13"/>
      <c r="AN79" s="14"/>
      <c r="AO79" s="9"/>
      <c r="AP79" s="16"/>
      <c r="AQ79" s="10"/>
      <c r="AR79" s="10"/>
      <c r="AS79" s="10"/>
      <c r="AT79" s="11"/>
      <c r="AU79" s="12"/>
      <c r="AV79" s="17"/>
      <c r="AW79" s="13"/>
      <c r="AX79" s="13"/>
      <c r="AY79" s="13"/>
      <c r="AZ79" s="14"/>
      <c r="BA79" s="9"/>
      <c r="BB79" s="16"/>
      <c r="BC79" s="10"/>
      <c r="BD79" s="10"/>
      <c r="BE79" s="10"/>
      <c r="BF79" s="11"/>
      <c r="BG79" s="12"/>
      <c r="BH79" s="17"/>
      <c r="BI79" s="13"/>
      <c r="BJ79" s="13"/>
      <c r="BK79" s="13"/>
      <c r="BL79" s="14"/>
      <c r="BM79" s="9"/>
      <c r="BN79" s="16"/>
      <c r="BO79" s="10"/>
      <c r="BP79" s="10"/>
      <c r="BQ79" s="10"/>
      <c r="BR79" s="11"/>
      <c r="BS79" s="12"/>
      <c r="BT79" s="17"/>
      <c r="BU79" s="13"/>
      <c r="BV79" s="13"/>
      <c r="BW79" s="13"/>
      <c r="BX79" s="14"/>
      <c r="BY79" s="9"/>
      <c r="BZ79" s="16"/>
      <c r="CA79" s="10"/>
      <c r="CB79" s="10"/>
      <c r="CC79" s="10"/>
      <c r="CD79" s="11"/>
      <c r="CE79" s="12"/>
      <c r="CF79" s="17"/>
      <c r="CG79" s="13"/>
      <c r="CH79" s="13"/>
      <c r="CI79" s="13"/>
      <c r="CJ79" s="14"/>
      <c r="CK79" s="9"/>
      <c r="CL79" s="16"/>
      <c r="CM79" s="10"/>
      <c r="CN79" s="10"/>
      <c r="CO79" s="10"/>
      <c r="CP79" s="11"/>
      <c r="CQ79" s="12"/>
      <c r="CR79" s="17"/>
      <c r="CS79" s="13"/>
      <c r="CT79" s="13"/>
      <c r="CU79" s="13"/>
      <c r="CV79" s="14"/>
      <c r="CW79" s="9"/>
      <c r="CX79" s="16"/>
      <c r="CY79" s="10"/>
      <c r="CZ79" s="10"/>
      <c r="DA79" s="10"/>
      <c r="DB79" s="11"/>
      <c r="DC79" s="12"/>
      <c r="DD79" s="17"/>
      <c r="DE79" s="13"/>
      <c r="DF79" s="13"/>
      <c r="DG79" s="13"/>
      <c r="DH79" s="14"/>
      <c r="DI79" s="8">
        <f t="shared" si="18"/>
        <v>234</v>
      </c>
      <c r="DJ79" s="8">
        <f t="shared" si="19"/>
        <v>225</v>
      </c>
      <c r="DK79" s="8">
        <f t="shared" si="20"/>
        <v>198</v>
      </c>
      <c r="DL79" s="8">
        <f t="shared" si="21"/>
        <v>63</v>
      </c>
      <c r="DM79" s="8">
        <f t="shared" si="22"/>
        <v>234</v>
      </c>
      <c r="DN79" s="8">
        <f t="shared" si="23"/>
        <v>198</v>
      </c>
      <c r="DO79" s="15">
        <f t="shared" si="24"/>
        <v>48.507320045114668</v>
      </c>
      <c r="DP79" s="15" t="str">
        <f t="shared" si="25"/>
        <v>OK - No Upgrade</v>
      </c>
      <c r="DQ79" s="15" t="str">
        <f t="shared" si="26"/>
        <v>OK - Balanced</v>
      </c>
    </row>
    <row r="80" spans="1:121" ht="15.75" customHeight="1" x14ac:dyDescent="0.25">
      <c r="A80" s="8" t="s">
        <v>1459</v>
      </c>
      <c r="B80" s="8" t="s">
        <v>1713</v>
      </c>
      <c r="C80" s="8" t="s">
        <v>40</v>
      </c>
      <c r="D80" s="8" t="s">
        <v>1925</v>
      </c>
      <c r="E80" s="8" t="s">
        <v>1926</v>
      </c>
      <c r="F80" s="8" t="s">
        <v>43</v>
      </c>
      <c r="G80" s="8"/>
      <c r="H80" s="8">
        <v>315</v>
      </c>
      <c r="I80" s="8" t="s">
        <v>1927</v>
      </c>
      <c r="J80" s="8">
        <v>1</v>
      </c>
      <c r="K80" s="8">
        <v>242</v>
      </c>
      <c r="L80" s="8">
        <v>247</v>
      </c>
      <c r="M80" s="8">
        <v>247</v>
      </c>
      <c r="N80" s="8">
        <v>425</v>
      </c>
      <c r="O80" s="8">
        <v>428</v>
      </c>
      <c r="P80" s="8">
        <v>423</v>
      </c>
      <c r="Q80" s="9" t="s">
        <v>46</v>
      </c>
      <c r="R80" s="16"/>
      <c r="S80" s="10">
        <v>175</v>
      </c>
      <c r="T80" s="10">
        <v>121</v>
      </c>
      <c r="U80" s="10">
        <v>107</v>
      </c>
      <c r="V80" s="11">
        <v>45</v>
      </c>
      <c r="W80" s="12" t="s">
        <v>46</v>
      </c>
      <c r="X80" s="17"/>
      <c r="Y80" s="13">
        <v>40</v>
      </c>
      <c r="Z80" s="13">
        <v>21</v>
      </c>
      <c r="AA80" s="13">
        <v>29</v>
      </c>
      <c r="AB80" s="14">
        <v>16</v>
      </c>
      <c r="AC80" s="9"/>
      <c r="AD80" s="16"/>
      <c r="AE80" s="10"/>
      <c r="AF80" s="10"/>
      <c r="AG80" s="10"/>
      <c r="AH80" s="11"/>
      <c r="AI80" s="12"/>
      <c r="AJ80" s="17"/>
      <c r="AK80" s="13"/>
      <c r="AL80" s="13"/>
      <c r="AM80" s="13"/>
      <c r="AN80" s="14"/>
      <c r="AO80" s="9"/>
      <c r="AP80" s="16"/>
      <c r="AQ80" s="10"/>
      <c r="AR80" s="10"/>
      <c r="AS80" s="10"/>
      <c r="AT80" s="11"/>
      <c r="AU80" s="12"/>
      <c r="AV80" s="17"/>
      <c r="AW80" s="13"/>
      <c r="AX80" s="13"/>
      <c r="AY80" s="13"/>
      <c r="AZ80" s="14"/>
      <c r="BA80" s="9"/>
      <c r="BB80" s="16"/>
      <c r="BC80" s="10"/>
      <c r="BD80" s="10"/>
      <c r="BE80" s="10"/>
      <c r="BF80" s="11"/>
      <c r="BG80" s="12"/>
      <c r="BH80" s="17"/>
      <c r="BI80" s="13"/>
      <c r="BJ80" s="13"/>
      <c r="BK80" s="13"/>
      <c r="BL80" s="14"/>
      <c r="BM80" s="9"/>
      <c r="BN80" s="16"/>
      <c r="BO80" s="10"/>
      <c r="BP80" s="10"/>
      <c r="BQ80" s="10"/>
      <c r="BR80" s="11"/>
      <c r="BS80" s="12"/>
      <c r="BT80" s="17"/>
      <c r="BU80" s="13"/>
      <c r="BV80" s="13"/>
      <c r="BW80" s="13"/>
      <c r="BX80" s="14"/>
      <c r="BY80" s="9"/>
      <c r="BZ80" s="16"/>
      <c r="CA80" s="10"/>
      <c r="CB80" s="10"/>
      <c r="CC80" s="10"/>
      <c r="CD80" s="11"/>
      <c r="CE80" s="12"/>
      <c r="CF80" s="17"/>
      <c r="CG80" s="13"/>
      <c r="CH80" s="13"/>
      <c r="CI80" s="13"/>
      <c r="CJ80" s="14"/>
      <c r="CK80" s="9"/>
      <c r="CL80" s="16"/>
      <c r="CM80" s="10"/>
      <c r="CN80" s="10"/>
      <c r="CO80" s="10"/>
      <c r="CP80" s="11"/>
      <c r="CQ80" s="12"/>
      <c r="CR80" s="17"/>
      <c r="CS80" s="13"/>
      <c r="CT80" s="13"/>
      <c r="CU80" s="13"/>
      <c r="CV80" s="14"/>
      <c r="CW80" s="9"/>
      <c r="CX80" s="16"/>
      <c r="CY80" s="10"/>
      <c r="CZ80" s="10"/>
      <c r="DA80" s="10"/>
      <c r="DB80" s="11"/>
      <c r="DC80" s="12"/>
      <c r="DD80" s="17"/>
      <c r="DE80" s="13"/>
      <c r="DF80" s="13"/>
      <c r="DG80" s="13"/>
      <c r="DH80" s="14"/>
      <c r="DI80" s="8">
        <f t="shared" si="18"/>
        <v>215</v>
      </c>
      <c r="DJ80" s="8">
        <f t="shared" si="19"/>
        <v>142</v>
      </c>
      <c r="DK80" s="8">
        <f t="shared" si="20"/>
        <v>136</v>
      </c>
      <c r="DL80" s="8">
        <f t="shared" si="21"/>
        <v>61</v>
      </c>
      <c r="DM80" s="8">
        <f t="shared" si="22"/>
        <v>215</v>
      </c>
      <c r="DN80" s="8">
        <f t="shared" si="23"/>
        <v>136</v>
      </c>
      <c r="DO80" s="15">
        <f t="shared" si="24"/>
        <v>50.243219854478149</v>
      </c>
      <c r="DP80" s="15" t="str">
        <f t="shared" si="25"/>
        <v>OK - No Upgrade</v>
      </c>
      <c r="DQ80" s="15" t="str">
        <f t="shared" si="26"/>
        <v>Need to Balance</v>
      </c>
    </row>
    <row r="81" spans="1:121" ht="15.75" customHeight="1" x14ac:dyDescent="0.25">
      <c r="A81" s="8" t="s">
        <v>1459</v>
      </c>
      <c r="B81" s="8" t="s">
        <v>1713</v>
      </c>
      <c r="C81" s="8" t="s">
        <v>389</v>
      </c>
      <c r="D81" s="8" t="s">
        <v>1928</v>
      </c>
      <c r="E81" s="8" t="s">
        <v>1929</v>
      </c>
      <c r="F81" s="8" t="s">
        <v>43</v>
      </c>
      <c r="G81" s="8"/>
      <c r="H81" s="8">
        <v>100</v>
      </c>
      <c r="I81" s="8" t="s">
        <v>1930</v>
      </c>
      <c r="J81" s="8">
        <v>1</v>
      </c>
      <c r="K81" s="8">
        <v>215</v>
      </c>
      <c r="L81" s="8">
        <v>223</v>
      </c>
      <c r="M81" s="8">
        <v>222</v>
      </c>
      <c r="N81" s="8">
        <v>372</v>
      </c>
      <c r="O81" s="8">
        <v>375</v>
      </c>
      <c r="P81" s="8">
        <v>391</v>
      </c>
      <c r="Q81" s="9" t="s">
        <v>46</v>
      </c>
      <c r="R81" s="16"/>
      <c r="S81" s="10">
        <v>0</v>
      </c>
      <c r="T81" s="10">
        <v>0</v>
      </c>
      <c r="U81" s="10">
        <v>0</v>
      </c>
      <c r="V81" s="11">
        <v>0</v>
      </c>
      <c r="W81" s="12"/>
      <c r="X81" s="17"/>
      <c r="Y81" s="13"/>
      <c r="Z81" s="13"/>
      <c r="AA81" s="13"/>
      <c r="AB81" s="14"/>
      <c r="AC81" s="9"/>
      <c r="AD81" s="16"/>
      <c r="AE81" s="10"/>
      <c r="AF81" s="10"/>
      <c r="AG81" s="10"/>
      <c r="AH81" s="11"/>
      <c r="AI81" s="12"/>
      <c r="AJ81" s="17"/>
      <c r="AK81" s="13"/>
      <c r="AL81" s="13"/>
      <c r="AM81" s="13"/>
      <c r="AN81" s="14"/>
      <c r="AO81" s="9"/>
      <c r="AP81" s="16"/>
      <c r="AQ81" s="10"/>
      <c r="AR81" s="10"/>
      <c r="AS81" s="10"/>
      <c r="AT81" s="11"/>
      <c r="AU81" s="12"/>
      <c r="AV81" s="17"/>
      <c r="AW81" s="13"/>
      <c r="AX81" s="13"/>
      <c r="AY81" s="13"/>
      <c r="AZ81" s="14"/>
      <c r="BA81" s="9"/>
      <c r="BB81" s="16"/>
      <c r="BC81" s="10"/>
      <c r="BD81" s="10"/>
      <c r="BE81" s="10"/>
      <c r="BF81" s="11"/>
      <c r="BG81" s="12"/>
      <c r="BH81" s="17"/>
      <c r="BI81" s="13"/>
      <c r="BJ81" s="13"/>
      <c r="BK81" s="13"/>
      <c r="BL81" s="14"/>
      <c r="BM81" s="9"/>
      <c r="BN81" s="16"/>
      <c r="BO81" s="10"/>
      <c r="BP81" s="10"/>
      <c r="BQ81" s="10"/>
      <c r="BR81" s="11"/>
      <c r="BS81" s="12"/>
      <c r="BT81" s="17"/>
      <c r="BU81" s="13"/>
      <c r="BV81" s="13"/>
      <c r="BW81" s="13"/>
      <c r="BX81" s="14"/>
      <c r="BY81" s="9"/>
      <c r="BZ81" s="16"/>
      <c r="CA81" s="10"/>
      <c r="CB81" s="10"/>
      <c r="CC81" s="10"/>
      <c r="CD81" s="11"/>
      <c r="CE81" s="12"/>
      <c r="CF81" s="17"/>
      <c r="CG81" s="13"/>
      <c r="CH81" s="13"/>
      <c r="CI81" s="13"/>
      <c r="CJ81" s="14"/>
      <c r="CK81" s="9"/>
      <c r="CL81" s="16"/>
      <c r="CM81" s="10"/>
      <c r="CN81" s="10"/>
      <c r="CO81" s="10"/>
      <c r="CP81" s="11"/>
      <c r="CQ81" s="12"/>
      <c r="CR81" s="17"/>
      <c r="CS81" s="13"/>
      <c r="CT81" s="13"/>
      <c r="CU81" s="13"/>
      <c r="CV81" s="14"/>
      <c r="CW81" s="9"/>
      <c r="CX81" s="16"/>
      <c r="CY81" s="10"/>
      <c r="CZ81" s="10"/>
      <c r="DA81" s="10"/>
      <c r="DB81" s="11"/>
      <c r="DC81" s="12"/>
      <c r="DD81" s="17"/>
      <c r="DE81" s="13"/>
      <c r="DF81" s="13"/>
      <c r="DG81" s="13"/>
      <c r="DH81" s="14"/>
      <c r="DI81" s="8">
        <f t="shared" si="18"/>
        <v>0</v>
      </c>
      <c r="DJ81" s="8">
        <f t="shared" si="19"/>
        <v>0</v>
      </c>
      <c r="DK81" s="8">
        <f t="shared" si="20"/>
        <v>0</v>
      </c>
      <c r="DL81" s="8">
        <f t="shared" si="21"/>
        <v>0</v>
      </c>
      <c r="DM81" s="8">
        <f t="shared" si="22"/>
        <v>0</v>
      </c>
      <c r="DN81" s="8">
        <f t="shared" si="23"/>
        <v>0</v>
      </c>
      <c r="DO81" s="15">
        <f t="shared" si="24"/>
        <v>0</v>
      </c>
      <c r="DP81" s="15" t="str">
        <f t="shared" si="25"/>
        <v>OK - No Upgrade</v>
      </c>
      <c r="DQ81" s="15" t="str">
        <f t="shared" si="26"/>
        <v>OK - Balanced</v>
      </c>
    </row>
    <row r="82" spans="1:121" ht="15.75" customHeight="1" x14ac:dyDescent="0.25">
      <c r="A82" s="8" t="s">
        <v>1459</v>
      </c>
      <c r="B82" s="8" t="s">
        <v>1713</v>
      </c>
      <c r="C82" s="8" t="s">
        <v>389</v>
      </c>
      <c r="D82" s="8" t="s">
        <v>1931</v>
      </c>
      <c r="E82" s="8" t="s">
        <v>1932</v>
      </c>
      <c r="F82" s="8" t="s">
        <v>43</v>
      </c>
      <c r="G82" s="8"/>
      <c r="H82" s="8">
        <v>100</v>
      </c>
      <c r="I82" s="8" t="s">
        <v>1933</v>
      </c>
      <c r="J82" s="8">
        <v>1</v>
      </c>
      <c r="K82" s="8">
        <v>215</v>
      </c>
      <c r="L82" s="8">
        <v>220</v>
      </c>
      <c r="M82" s="8">
        <v>216</v>
      </c>
      <c r="N82" s="8">
        <v>416</v>
      </c>
      <c r="O82" s="8">
        <v>414</v>
      </c>
      <c r="P82" s="8">
        <v>415</v>
      </c>
      <c r="Q82" s="9" t="s">
        <v>46</v>
      </c>
      <c r="R82" s="16"/>
      <c r="S82" s="10">
        <v>6</v>
      </c>
      <c r="T82" s="10">
        <v>8</v>
      </c>
      <c r="U82" s="10">
        <v>0</v>
      </c>
      <c r="V82" s="11">
        <v>10</v>
      </c>
      <c r="W82" s="12"/>
      <c r="X82" s="17"/>
      <c r="Y82" s="13"/>
      <c r="Z82" s="13"/>
      <c r="AA82" s="13"/>
      <c r="AB82" s="14"/>
      <c r="AC82" s="9"/>
      <c r="AD82" s="16"/>
      <c r="AE82" s="10"/>
      <c r="AF82" s="10"/>
      <c r="AG82" s="10"/>
      <c r="AH82" s="11"/>
      <c r="AI82" s="12"/>
      <c r="AJ82" s="17"/>
      <c r="AK82" s="13"/>
      <c r="AL82" s="13"/>
      <c r="AM82" s="13"/>
      <c r="AN82" s="14"/>
      <c r="AO82" s="9"/>
      <c r="AP82" s="16"/>
      <c r="AQ82" s="10"/>
      <c r="AR82" s="10"/>
      <c r="AS82" s="10"/>
      <c r="AT82" s="11"/>
      <c r="AU82" s="12"/>
      <c r="AV82" s="17"/>
      <c r="AW82" s="13"/>
      <c r="AX82" s="13"/>
      <c r="AY82" s="13"/>
      <c r="AZ82" s="14"/>
      <c r="BA82" s="9"/>
      <c r="BB82" s="16"/>
      <c r="BC82" s="10"/>
      <c r="BD82" s="10"/>
      <c r="BE82" s="10"/>
      <c r="BF82" s="11"/>
      <c r="BG82" s="12"/>
      <c r="BH82" s="17"/>
      <c r="BI82" s="13"/>
      <c r="BJ82" s="13"/>
      <c r="BK82" s="13"/>
      <c r="BL82" s="14"/>
      <c r="BM82" s="9"/>
      <c r="BN82" s="16"/>
      <c r="BO82" s="10"/>
      <c r="BP82" s="10"/>
      <c r="BQ82" s="10"/>
      <c r="BR82" s="11"/>
      <c r="BS82" s="12"/>
      <c r="BT82" s="17"/>
      <c r="BU82" s="13"/>
      <c r="BV82" s="13"/>
      <c r="BW82" s="13"/>
      <c r="BX82" s="14"/>
      <c r="BY82" s="9"/>
      <c r="BZ82" s="16"/>
      <c r="CA82" s="10"/>
      <c r="CB82" s="10"/>
      <c r="CC82" s="10"/>
      <c r="CD82" s="11"/>
      <c r="CE82" s="12"/>
      <c r="CF82" s="17"/>
      <c r="CG82" s="13"/>
      <c r="CH82" s="13"/>
      <c r="CI82" s="13"/>
      <c r="CJ82" s="14"/>
      <c r="CK82" s="9"/>
      <c r="CL82" s="16"/>
      <c r="CM82" s="10"/>
      <c r="CN82" s="10"/>
      <c r="CO82" s="10"/>
      <c r="CP82" s="11"/>
      <c r="CQ82" s="12"/>
      <c r="CR82" s="17"/>
      <c r="CS82" s="13"/>
      <c r="CT82" s="13"/>
      <c r="CU82" s="13"/>
      <c r="CV82" s="14"/>
      <c r="CW82" s="9"/>
      <c r="CX82" s="16"/>
      <c r="CY82" s="10"/>
      <c r="CZ82" s="10"/>
      <c r="DA82" s="10"/>
      <c r="DB82" s="11"/>
      <c r="DC82" s="12"/>
      <c r="DD82" s="17"/>
      <c r="DE82" s="13"/>
      <c r="DF82" s="13"/>
      <c r="DG82" s="13"/>
      <c r="DH82" s="14"/>
      <c r="DI82" s="8">
        <f t="shared" si="18"/>
        <v>6</v>
      </c>
      <c r="DJ82" s="8">
        <f t="shared" si="19"/>
        <v>8</v>
      </c>
      <c r="DK82" s="8">
        <f t="shared" si="20"/>
        <v>0</v>
      </c>
      <c r="DL82" s="8">
        <f t="shared" si="21"/>
        <v>10</v>
      </c>
      <c r="DM82" s="8">
        <f t="shared" si="22"/>
        <v>8</v>
      </c>
      <c r="DN82" s="8">
        <f t="shared" si="23"/>
        <v>0</v>
      </c>
      <c r="DO82" s="15">
        <f t="shared" si="24"/>
        <v>5.764265087589223</v>
      </c>
      <c r="DP82" s="15" t="str">
        <f t="shared" si="25"/>
        <v>OK - No Upgrade</v>
      </c>
      <c r="DQ82" s="15" t="str">
        <f t="shared" si="26"/>
        <v>Need to Balance</v>
      </c>
    </row>
    <row r="83" spans="1:121" ht="15.75" customHeight="1" x14ac:dyDescent="0.25">
      <c r="A83" s="8" t="s">
        <v>1459</v>
      </c>
      <c r="B83" s="8" t="s">
        <v>1713</v>
      </c>
      <c r="C83" s="8" t="s">
        <v>40</v>
      </c>
      <c r="D83" s="8" t="s">
        <v>1934</v>
      </c>
      <c r="E83" s="8" t="s">
        <v>1935</v>
      </c>
      <c r="F83" s="8" t="s">
        <v>43</v>
      </c>
      <c r="G83" s="8"/>
      <c r="H83" s="8">
        <v>315</v>
      </c>
      <c r="I83" s="8" t="s">
        <v>1933</v>
      </c>
      <c r="J83" s="8">
        <v>1</v>
      </c>
      <c r="K83" s="8">
        <v>233</v>
      </c>
      <c r="L83" s="8">
        <v>235</v>
      </c>
      <c r="M83" s="8">
        <v>235</v>
      </c>
      <c r="N83" s="8">
        <v>406</v>
      </c>
      <c r="O83" s="8">
        <v>408</v>
      </c>
      <c r="P83" s="8">
        <v>409</v>
      </c>
      <c r="Q83" s="9" t="s">
        <v>47</v>
      </c>
      <c r="R83" s="16"/>
      <c r="S83" s="10">
        <v>13</v>
      </c>
      <c r="T83" s="10">
        <v>17</v>
      </c>
      <c r="U83" s="10">
        <v>10</v>
      </c>
      <c r="V83" s="11">
        <v>8</v>
      </c>
      <c r="W83" s="12" t="s">
        <v>47</v>
      </c>
      <c r="X83" s="17"/>
      <c r="Y83" s="13">
        <v>0</v>
      </c>
      <c r="Z83" s="13">
        <v>0</v>
      </c>
      <c r="AA83" s="13">
        <v>0</v>
      </c>
      <c r="AB83" s="14">
        <v>0</v>
      </c>
      <c r="AC83" s="9"/>
      <c r="AD83" s="16"/>
      <c r="AE83" s="10"/>
      <c r="AF83" s="10"/>
      <c r="AG83" s="10"/>
      <c r="AH83" s="11"/>
      <c r="AI83" s="12"/>
      <c r="AJ83" s="17"/>
      <c r="AK83" s="13"/>
      <c r="AL83" s="13"/>
      <c r="AM83" s="13"/>
      <c r="AN83" s="14"/>
      <c r="AO83" s="9"/>
      <c r="AP83" s="16"/>
      <c r="AQ83" s="10"/>
      <c r="AR83" s="10"/>
      <c r="AS83" s="10"/>
      <c r="AT83" s="11"/>
      <c r="AU83" s="12"/>
      <c r="AV83" s="17"/>
      <c r="AW83" s="13"/>
      <c r="AX83" s="13"/>
      <c r="AY83" s="13"/>
      <c r="AZ83" s="14"/>
      <c r="BA83" s="9"/>
      <c r="BB83" s="16"/>
      <c r="BC83" s="10"/>
      <c r="BD83" s="10"/>
      <c r="BE83" s="10"/>
      <c r="BF83" s="11"/>
      <c r="BG83" s="12"/>
      <c r="BH83" s="17"/>
      <c r="BI83" s="13"/>
      <c r="BJ83" s="13"/>
      <c r="BK83" s="13"/>
      <c r="BL83" s="14"/>
      <c r="BM83" s="9"/>
      <c r="BN83" s="16"/>
      <c r="BO83" s="10"/>
      <c r="BP83" s="10"/>
      <c r="BQ83" s="10"/>
      <c r="BR83" s="11"/>
      <c r="BS83" s="12"/>
      <c r="BT83" s="17"/>
      <c r="BU83" s="13"/>
      <c r="BV83" s="13"/>
      <c r="BW83" s="13"/>
      <c r="BX83" s="14"/>
      <c r="BY83" s="9"/>
      <c r="BZ83" s="16"/>
      <c r="CA83" s="10"/>
      <c r="CB83" s="10"/>
      <c r="CC83" s="10"/>
      <c r="CD83" s="11"/>
      <c r="CE83" s="12"/>
      <c r="CF83" s="17"/>
      <c r="CG83" s="13"/>
      <c r="CH83" s="13"/>
      <c r="CI83" s="13"/>
      <c r="CJ83" s="14"/>
      <c r="CK83" s="9"/>
      <c r="CL83" s="16"/>
      <c r="CM83" s="10"/>
      <c r="CN83" s="10"/>
      <c r="CO83" s="10"/>
      <c r="CP83" s="11"/>
      <c r="CQ83" s="12"/>
      <c r="CR83" s="17"/>
      <c r="CS83" s="13"/>
      <c r="CT83" s="13"/>
      <c r="CU83" s="13"/>
      <c r="CV83" s="14"/>
      <c r="CW83" s="9"/>
      <c r="CX83" s="16"/>
      <c r="CY83" s="10"/>
      <c r="CZ83" s="10"/>
      <c r="DA83" s="10"/>
      <c r="DB83" s="11"/>
      <c r="DC83" s="12"/>
      <c r="DD83" s="17"/>
      <c r="DE83" s="13"/>
      <c r="DF83" s="13"/>
      <c r="DG83" s="13"/>
      <c r="DH83" s="14"/>
      <c r="DI83" s="8">
        <f t="shared" si="18"/>
        <v>13</v>
      </c>
      <c r="DJ83" s="8">
        <f t="shared" si="19"/>
        <v>17</v>
      </c>
      <c r="DK83" s="8">
        <f t="shared" si="20"/>
        <v>10</v>
      </c>
      <c r="DL83" s="8">
        <f t="shared" si="21"/>
        <v>8</v>
      </c>
      <c r="DM83" s="8">
        <f t="shared" si="22"/>
        <v>17</v>
      </c>
      <c r="DN83" s="8">
        <f t="shared" si="23"/>
        <v>10</v>
      </c>
      <c r="DO83" s="15">
        <f t="shared" si="24"/>
        <v>3.7951157694731403</v>
      </c>
      <c r="DP83" s="15" t="str">
        <f t="shared" si="25"/>
        <v>OK - No Upgrade</v>
      </c>
      <c r="DQ83" s="15" t="str">
        <f t="shared" si="26"/>
        <v>Need to Balance</v>
      </c>
    </row>
    <row r="84" spans="1:121" ht="15.75" customHeight="1" x14ac:dyDescent="0.25">
      <c r="A84" s="8" t="s">
        <v>1459</v>
      </c>
      <c r="B84" s="8" t="s">
        <v>1713</v>
      </c>
      <c r="C84" s="8" t="s">
        <v>389</v>
      </c>
      <c r="D84" s="8" t="s">
        <v>1936</v>
      </c>
      <c r="E84" s="8" t="s">
        <v>1937</v>
      </c>
      <c r="F84" s="8" t="s">
        <v>43</v>
      </c>
      <c r="G84" s="8"/>
      <c r="H84" s="8">
        <v>100</v>
      </c>
      <c r="I84" s="8" t="s">
        <v>1938</v>
      </c>
      <c r="J84" s="8">
        <v>1</v>
      </c>
      <c r="K84" s="8">
        <v>213</v>
      </c>
      <c r="L84" s="8">
        <v>222</v>
      </c>
      <c r="M84" s="8">
        <v>219</v>
      </c>
      <c r="N84" s="8">
        <v>376</v>
      </c>
      <c r="O84" s="8">
        <v>368</v>
      </c>
      <c r="P84" s="8">
        <v>387</v>
      </c>
      <c r="Q84" s="9" t="s">
        <v>46</v>
      </c>
      <c r="R84" s="16"/>
      <c r="S84" s="10">
        <v>36</v>
      </c>
      <c r="T84" s="10">
        <v>85</v>
      </c>
      <c r="U84" s="10">
        <v>54</v>
      </c>
      <c r="V84" s="11">
        <v>25</v>
      </c>
      <c r="W84" s="12"/>
      <c r="X84" s="17"/>
      <c r="Y84" s="13"/>
      <c r="Z84" s="13"/>
      <c r="AA84" s="13"/>
      <c r="AB84" s="14"/>
      <c r="AC84" s="9"/>
      <c r="AD84" s="16"/>
      <c r="AE84" s="10"/>
      <c r="AF84" s="10"/>
      <c r="AG84" s="10"/>
      <c r="AH84" s="11"/>
      <c r="AI84" s="12"/>
      <c r="AJ84" s="17"/>
      <c r="AK84" s="13"/>
      <c r="AL84" s="13"/>
      <c r="AM84" s="13"/>
      <c r="AN84" s="14"/>
      <c r="AO84" s="9"/>
      <c r="AP84" s="16"/>
      <c r="AQ84" s="10"/>
      <c r="AR84" s="10"/>
      <c r="AS84" s="10"/>
      <c r="AT84" s="11"/>
      <c r="AU84" s="12"/>
      <c r="AV84" s="17"/>
      <c r="AW84" s="13"/>
      <c r="AX84" s="13"/>
      <c r="AY84" s="13"/>
      <c r="AZ84" s="14"/>
      <c r="BA84" s="9"/>
      <c r="BB84" s="16"/>
      <c r="BC84" s="10"/>
      <c r="BD84" s="10"/>
      <c r="BE84" s="10"/>
      <c r="BF84" s="11"/>
      <c r="BG84" s="12"/>
      <c r="BH84" s="17"/>
      <c r="BI84" s="13"/>
      <c r="BJ84" s="13"/>
      <c r="BK84" s="13"/>
      <c r="BL84" s="14"/>
      <c r="BM84" s="9"/>
      <c r="BN84" s="16"/>
      <c r="BO84" s="10"/>
      <c r="BP84" s="10"/>
      <c r="BQ84" s="10"/>
      <c r="BR84" s="11"/>
      <c r="BS84" s="12"/>
      <c r="BT84" s="17"/>
      <c r="BU84" s="13"/>
      <c r="BV84" s="13"/>
      <c r="BW84" s="13"/>
      <c r="BX84" s="14"/>
      <c r="BY84" s="9"/>
      <c r="BZ84" s="16"/>
      <c r="CA84" s="10"/>
      <c r="CB84" s="10"/>
      <c r="CC84" s="10"/>
      <c r="CD84" s="11"/>
      <c r="CE84" s="12"/>
      <c r="CF84" s="17"/>
      <c r="CG84" s="13"/>
      <c r="CH84" s="13"/>
      <c r="CI84" s="13"/>
      <c r="CJ84" s="14"/>
      <c r="CK84" s="9"/>
      <c r="CL84" s="16"/>
      <c r="CM84" s="10"/>
      <c r="CN84" s="10"/>
      <c r="CO84" s="10"/>
      <c r="CP84" s="11"/>
      <c r="CQ84" s="12"/>
      <c r="CR84" s="17"/>
      <c r="CS84" s="13"/>
      <c r="CT84" s="13"/>
      <c r="CU84" s="13"/>
      <c r="CV84" s="14"/>
      <c r="CW84" s="9"/>
      <c r="CX84" s="16"/>
      <c r="CY84" s="10"/>
      <c r="CZ84" s="10"/>
      <c r="DA84" s="10"/>
      <c r="DB84" s="11"/>
      <c r="DC84" s="12"/>
      <c r="DD84" s="17"/>
      <c r="DE84" s="13"/>
      <c r="DF84" s="13"/>
      <c r="DG84" s="13"/>
      <c r="DH84" s="14"/>
      <c r="DI84" s="8">
        <f t="shared" si="18"/>
        <v>36</v>
      </c>
      <c r="DJ84" s="8">
        <f t="shared" si="19"/>
        <v>85</v>
      </c>
      <c r="DK84" s="8">
        <f t="shared" si="20"/>
        <v>54</v>
      </c>
      <c r="DL84" s="8">
        <f t="shared" si="21"/>
        <v>25</v>
      </c>
      <c r="DM84" s="8">
        <f t="shared" si="22"/>
        <v>85</v>
      </c>
      <c r="DN84" s="8">
        <f t="shared" si="23"/>
        <v>36</v>
      </c>
      <c r="DO84" s="15">
        <f t="shared" si="24"/>
        <v>55.356343809901311</v>
      </c>
      <c r="DP84" s="15" t="str">
        <f t="shared" si="25"/>
        <v>OK - No Upgrade</v>
      </c>
      <c r="DQ84" s="15" t="str">
        <f t="shared" si="26"/>
        <v>Need to Balance</v>
      </c>
    </row>
    <row r="85" spans="1:121" ht="15.75" customHeight="1" x14ac:dyDescent="0.25">
      <c r="A85" s="8" t="s">
        <v>1459</v>
      </c>
      <c r="B85" s="8" t="s">
        <v>1713</v>
      </c>
      <c r="C85" s="8" t="s">
        <v>389</v>
      </c>
      <c r="D85" s="8" t="s">
        <v>1939</v>
      </c>
      <c r="E85" s="8" t="s">
        <v>1940</v>
      </c>
      <c r="F85" s="8" t="s">
        <v>43</v>
      </c>
      <c r="G85" s="8"/>
      <c r="H85" s="8">
        <v>100</v>
      </c>
      <c r="I85" s="8" t="s">
        <v>596</v>
      </c>
      <c r="J85" s="8">
        <v>1</v>
      </c>
      <c r="K85" s="8">
        <v>214</v>
      </c>
      <c r="L85" s="8">
        <v>222</v>
      </c>
      <c r="M85" s="8">
        <v>224</v>
      </c>
      <c r="N85" s="8">
        <v>376</v>
      </c>
      <c r="O85" s="8">
        <v>374</v>
      </c>
      <c r="P85" s="8">
        <v>388</v>
      </c>
      <c r="Q85" s="9" t="s">
        <v>46</v>
      </c>
      <c r="R85" s="16"/>
      <c r="S85" s="10">
        <v>0</v>
      </c>
      <c r="T85" s="10">
        <v>0</v>
      </c>
      <c r="U85" s="10">
        <v>0</v>
      </c>
      <c r="V85" s="11">
        <v>0</v>
      </c>
      <c r="W85" s="12" t="s">
        <v>46</v>
      </c>
      <c r="X85" s="17"/>
      <c r="Y85" s="13">
        <v>15</v>
      </c>
      <c r="Z85" s="13">
        <v>6</v>
      </c>
      <c r="AA85" s="13">
        <v>8</v>
      </c>
      <c r="AB85" s="14">
        <v>10</v>
      </c>
      <c r="AC85" s="9"/>
      <c r="AD85" s="16"/>
      <c r="AE85" s="10"/>
      <c r="AF85" s="10"/>
      <c r="AG85" s="10"/>
      <c r="AH85" s="11"/>
      <c r="AI85" s="12"/>
      <c r="AJ85" s="17"/>
      <c r="AK85" s="13"/>
      <c r="AL85" s="13"/>
      <c r="AM85" s="13"/>
      <c r="AN85" s="14"/>
      <c r="AO85" s="9"/>
      <c r="AP85" s="16"/>
      <c r="AQ85" s="10"/>
      <c r="AR85" s="10"/>
      <c r="AS85" s="10"/>
      <c r="AT85" s="11"/>
      <c r="AU85" s="12"/>
      <c r="AV85" s="17"/>
      <c r="AW85" s="13"/>
      <c r="AX85" s="13"/>
      <c r="AY85" s="13"/>
      <c r="AZ85" s="14"/>
      <c r="BA85" s="9"/>
      <c r="BB85" s="16"/>
      <c r="BC85" s="10"/>
      <c r="BD85" s="10"/>
      <c r="BE85" s="10"/>
      <c r="BF85" s="11"/>
      <c r="BG85" s="12"/>
      <c r="BH85" s="17"/>
      <c r="BI85" s="13"/>
      <c r="BJ85" s="13"/>
      <c r="BK85" s="13"/>
      <c r="BL85" s="14"/>
      <c r="BM85" s="9"/>
      <c r="BN85" s="16"/>
      <c r="BO85" s="10"/>
      <c r="BP85" s="10"/>
      <c r="BQ85" s="10"/>
      <c r="BR85" s="11"/>
      <c r="BS85" s="12"/>
      <c r="BT85" s="17"/>
      <c r="BU85" s="13"/>
      <c r="BV85" s="13"/>
      <c r="BW85" s="13"/>
      <c r="BX85" s="14"/>
      <c r="BY85" s="9"/>
      <c r="BZ85" s="16"/>
      <c r="CA85" s="10"/>
      <c r="CB85" s="10"/>
      <c r="CC85" s="10"/>
      <c r="CD85" s="11"/>
      <c r="CE85" s="12"/>
      <c r="CF85" s="17"/>
      <c r="CG85" s="13"/>
      <c r="CH85" s="13"/>
      <c r="CI85" s="13"/>
      <c r="CJ85" s="14"/>
      <c r="CK85" s="9"/>
      <c r="CL85" s="16"/>
      <c r="CM85" s="10"/>
      <c r="CN85" s="10"/>
      <c r="CO85" s="10"/>
      <c r="CP85" s="11"/>
      <c r="CQ85" s="12"/>
      <c r="CR85" s="17"/>
      <c r="CS85" s="13"/>
      <c r="CT85" s="13"/>
      <c r="CU85" s="13"/>
      <c r="CV85" s="14"/>
      <c r="CW85" s="9"/>
      <c r="CX85" s="16"/>
      <c r="CY85" s="10"/>
      <c r="CZ85" s="10"/>
      <c r="DA85" s="10"/>
      <c r="DB85" s="11"/>
      <c r="DC85" s="12"/>
      <c r="DD85" s="17"/>
      <c r="DE85" s="13"/>
      <c r="DF85" s="13"/>
      <c r="DG85" s="13"/>
      <c r="DH85" s="14"/>
      <c r="DI85" s="8">
        <f t="shared" si="18"/>
        <v>15</v>
      </c>
      <c r="DJ85" s="8">
        <f t="shared" si="19"/>
        <v>6</v>
      </c>
      <c r="DK85" s="8">
        <f t="shared" si="20"/>
        <v>8</v>
      </c>
      <c r="DL85" s="8">
        <f t="shared" si="21"/>
        <v>10</v>
      </c>
      <c r="DM85" s="8">
        <f t="shared" si="22"/>
        <v>15</v>
      </c>
      <c r="DN85" s="8">
        <f t="shared" si="23"/>
        <v>6</v>
      </c>
      <c r="DO85" s="15">
        <f t="shared" si="24"/>
        <v>9.768766554688467</v>
      </c>
      <c r="DP85" s="15" t="str">
        <f t="shared" si="25"/>
        <v>OK - No Upgrade</v>
      </c>
      <c r="DQ85" s="15" t="str">
        <f t="shared" si="26"/>
        <v>Need to Balance</v>
      </c>
    </row>
    <row r="86" spans="1:121" ht="15.75" customHeight="1" x14ac:dyDescent="0.25">
      <c r="A86" s="8" t="s">
        <v>1459</v>
      </c>
      <c r="B86" s="8" t="s">
        <v>1713</v>
      </c>
      <c r="C86" s="8" t="s">
        <v>40</v>
      </c>
      <c r="D86" s="8" t="s">
        <v>1941</v>
      </c>
      <c r="E86" s="8" t="s">
        <v>1942</v>
      </c>
      <c r="F86" s="8" t="s">
        <v>43</v>
      </c>
      <c r="G86" s="8"/>
      <c r="H86" s="8">
        <v>100</v>
      </c>
      <c r="I86" s="8" t="s">
        <v>1943</v>
      </c>
      <c r="J86" s="8">
        <v>1</v>
      </c>
      <c r="K86" s="8">
        <v>238</v>
      </c>
      <c r="L86" s="8">
        <v>235</v>
      </c>
      <c r="M86" s="8">
        <v>237</v>
      </c>
      <c r="N86" s="8">
        <v>410</v>
      </c>
      <c r="O86" s="8">
        <v>408</v>
      </c>
      <c r="P86" s="8">
        <v>411</v>
      </c>
      <c r="Q86" s="9" t="s">
        <v>46</v>
      </c>
      <c r="R86" s="16"/>
      <c r="S86" s="10">
        <v>3</v>
      </c>
      <c r="T86" s="10">
        <v>8</v>
      </c>
      <c r="U86" s="10">
        <v>8</v>
      </c>
      <c r="V86" s="11">
        <v>7</v>
      </c>
      <c r="W86" s="12"/>
      <c r="X86" s="17"/>
      <c r="Y86" s="13"/>
      <c r="Z86" s="13"/>
      <c r="AA86" s="13"/>
      <c r="AB86" s="14"/>
      <c r="AC86" s="9"/>
      <c r="AD86" s="16"/>
      <c r="AE86" s="10"/>
      <c r="AF86" s="10"/>
      <c r="AG86" s="10"/>
      <c r="AH86" s="11"/>
      <c r="AI86" s="12"/>
      <c r="AJ86" s="17"/>
      <c r="AK86" s="13"/>
      <c r="AL86" s="13"/>
      <c r="AM86" s="13"/>
      <c r="AN86" s="14"/>
      <c r="AO86" s="9"/>
      <c r="AP86" s="16"/>
      <c r="AQ86" s="10"/>
      <c r="AR86" s="10"/>
      <c r="AS86" s="10"/>
      <c r="AT86" s="11"/>
      <c r="AU86" s="12"/>
      <c r="AV86" s="17"/>
      <c r="AW86" s="13"/>
      <c r="AX86" s="13"/>
      <c r="AY86" s="13"/>
      <c r="AZ86" s="14"/>
      <c r="BA86" s="9"/>
      <c r="BB86" s="16"/>
      <c r="BC86" s="10"/>
      <c r="BD86" s="10"/>
      <c r="BE86" s="10"/>
      <c r="BF86" s="11"/>
      <c r="BG86" s="12"/>
      <c r="BH86" s="17"/>
      <c r="BI86" s="13"/>
      <c r="BJ86" s="13"/>
      <c r="BK86" s="13"/>
      <c r="BL86" s="14"/>
      <c r="BM86" s="9"/>
      <c r="BN86" s="16"/>
      <c r="BO86" s="10"/>
      <c r="BP86" s="10"/>
      <c r="BQ86" s="10"/>
      <c r="BR86" s="11"/>
      <c r="BS86" s="12"/>
      <c r="BT86" s="17"/>
      <c r="BU86" s="13"/>
      <c r="BV86" s="13"/>
      <c r="BW86" s="13"/>
      <c r="BX86" s="14"/>
      <c r="BY86" s="9"/>
      <c r="BZ86" s="16"/>
      <c r="CA86" s="10"/>
      <c r="CB86" s="10"/>
      <c r="CC86" s="10"/>
      <c r="CD86" s="11"/>
      <c r="CE86" s="12"/>
      <c r="CF86" s="17"/>
      <c r="CG86" s="13"/>
      <c r="CH86" s="13"/>
      <c r="CI86" s="13"/>
      <c r="CJ86" s="14"/>
      <c r="CK86" s="9"/>
      <c r="CL86" s="16"/>
      <c r="CM86" s="10"/>
      <c r="CN86" s="10"/>
      <c r="CO86" s="10"/>
      <c r="CP86" s="11"/>
      <c r="CQ86" s="12"/>
      <c r="CR86" s="17"/>
      <c r="CS86" s="13"/>
      <c r="CT86" s="13"/>
      <c r="CU86" s="13"/>
      <c r="CV86" s="14"/>
      <c r="CW86" s="9"/>
      <c r="CX86" s="16"/>
      <c r="CY86" s="10"/>
      <c r="CZ86" s="10"/>
      <c r="DA86" s="10"/>
      <c r="DB86" s="11"/>
      <c r="DC86" s="12"/>
      <c r="DD86" s="17"/>
      <c r="DE86" s="13"/>
      <c r="DF86" s="13"/>
      <c r="DG86" s="13"/>
      <c r="DH86" s="14"/>
      <c r="DI86" s="8">
        <f t="shared" si="18"/>
        <v>3</v>
      </c>
      <c r="DJ86" s="8">
        <f t="shared" si="19"/>
        <v>8</v>
      </c>
      <c r="DK86" s="8">
        <f t="shared" si="20"/>
        <v>8</v>
      </c>
      <c r="DL86" s="8">
        <f t="shared" si="21"/>
        <v>7</v>
      </c>
      <c r="DM86" s="8">
        <f t="shared" si="22"/>
        <v>8</v>
      </c>
      <c r="DN86" s="8">
        <f t="shared" si="23"/>
        <v>3</v>
      </c>
      <c r="DO86" s="15">
        <f t="shared" si="24"/>
        <v>5.6811266488259164</v>
      </c>
      <c r="DP86" s="15" t="str">
        <f t="shared" si="25"/>
        <v>OK - No Upgrade</v>
      </c>
      <c r="DQ86" s="15" t="str">
        <f t="shared" si="26"/>
        <v>Need to Balance</v>
      </c>
    </row>
    <row r="87" spans="1:121" ht="15.75" customHeight="1" x14ac:dyDescent="0.25">
      <c r="A87" s="8" t="s">
        <v>1459</v>
      </c>
      <c r="B87" s="8" t="s">
        <v>1713</v>
      </c>
      <c r="C87" s="8" t="s">
        <v>389</v>
      </c>
      <c r="D87" s="8" t="s">
        <v>1944</v>
      </c>
      <c r="E87" s="8" t="s">
        <v>1945</v>
      </c>
      <c r="F87" s="8" t="s">
        <v>43</v>
      </c>
      <c r="G87" s="8"/>
      <c r="H87" s="8">
        <v>100</v>
      </c>
      <c r="I87" s="8" t="s">
        <v>1946</v>
      </c>
      <c r="J87" s="8">
        <v>1</v>
      </c>
      <c r="K87" s="8">
        <v>215</v>
      </c>
      <c r="L87" s="8">
        <v>223</v>
      </c>
      <c r="M87" s="8">
        <v>222</v>
      </c>
      <c r="N87" s="8">
        <v>372</v>
      </c>
      <c r="O87" s="8">
        <v>375</v>
      </c>
      <c r="P87" s="8">
        <v>391</v>
      </c>
      <c r="Q87" s="9" t="s">
        <v>47</v>
      </c>
      <c r="R87" s="16"/>
      <c r="S87" s="10">
        <v>0</v>
      </c>
      <c r="T87" s="10">
        <v>0</v>
      </c>
      <c r="U87" s="10">
        <v>0</v>
      </c>
      <c r="V87" s="11">
        <v>0</v>
      </c>
      <c r="W87" s="12"/>
      <c r="X87" s="17"/>
      <c r="Y87" s="13"/>
      <c r="Z87" s="13"/>
      <c r="AA87" s="13"/>
      <c r="AB87" s="14"/>
      <c r="AC87" s="9"/>
      <c r="AD87" s="16"/>
      <c r="AE87" s="10"/>
      <c r="AF87" s="10"/>
      <c r="AG87" s="10"/>
      <c r="AH87" s="11"/>
      <c r="AI87" s="12"/>
      <c r="AJ87" s="17"/>
      <c r="AK87" s="13"/>
      <c r="AL87" s="13"/>
      <c r="AM87" s="13"/>
      <c r="AN87" s="14"/>
      <c r="AO87" s="9"/>
      <c r="AP87" s="16"/>
      <c r="AQ87" s="10"/>
      <c r="AR87" s="10"/>
      <c r="AS87" s="10"/>
      <c r="AT87" s="11"/>
      <c r="AU87" s="12"/>
      <c r="AV87" s="17"/>
      <c r="AW87" s="13"/>
      <c r="AX87" s="13"/>
      <c r="AY87" s="13"/>
      <c r="AZ87" s="14"/>
      <c r="BA87" s="9"/>
      <c r="BB87" s="16"/>
      <c r="BC87" s="10"/>
      <c r="BD87" s="10"/>
      <c r="BE87" s="10"/>
      <c r="BF87" s="11"/>
      <c r="BG87" s="12"/>
      <c r="BH87" s="17"/>
      <c r="BI87" s="13"/>
      <c r="BJ87" s="13"/>
      <c r="BK87" s="13"/>
      <c r="BL87" s="14"/>
      <c r="BM87" s="9"/>
      <c r="BN87" s="16"/>
      <c r="BO87" s="10"/>
      <c r="BP87" s="10"/>
      <c r="BQ87" s="10"/>
      <c r="BR87" s="11"/>
      <c r="BS87" s="12"/>
      <c r="BT87" s="17"/>
      <c r="BU87" s="13"/>
      <c r="BV87" s="13"/>
      <c r="BW87" s="13"/>
      <c r="BX87" s="14"/>
      <c r="BY87" s="9"/>
      <c r="BZ87" s="16"/>
      <c r="CA87" s="10"/>
      <c r="CB87" s="10"/>
      <c r="CC87" s="10"/>
      <c r="CD87" s="11"/>
      <c r="CE87" s="12"/>
      <c r="CF87" s="17"/>
      <c r="CG87" s="13"/>
      <c r="CH87" s="13"/>
      <c r="CI87" s="13"/>
      <c r="CJ87" s="14"/>
      <c r="CK87" s="9"/>
      <c r="CL87" s="16"/>
      <c r="CM87" s="10"/>
      <c r="CN87" s="10"/>
      <c r="CO87" s="10"/>
      <c r="CP87" s="11"/>
      <c r="CQ87" s="12"/>
      <c r="CR87" s="17"/>
      <c r="CS87" s="13"/>
      <c r="CT87" s="13"/>
      <c r="CU87" s="13"/>
      <c r="CV87" s="14"/>
      <c r="CW87" s="9"/>
      <c r="CX87" s="16"/>
      <c r="CY87" s="10"/>
      <c r="CZ87" s="10"/>
      <c r="DA87" s="10"/>
      <c r="DB87" s="11"/>
      <c r="DC87" s="12"/>
      <c r="DD87" s="17"/>
      <c r="DE87" s="13"/>
      <c r="DF87" s="13"/>
      <c r="DG87" s="13"/>
      <c r="DH87" s="14"/>
      <c r="DI87" s="8">
        <f t="shared" si="18"/>
        <v>0</v>
      </c>
      <c r="DJ87" s="8">
        <f t="shared" si="19"/>
        <v>0</v>
      </c>
      <c r="DK87" s="8">
        <f t="shared" si="20"/>
        <v>0</v>
      </c>
      <c r="DL87" s="8">
        <f t="shared" si="21"/>
        <v>0</v>
      </c>
      <c r="DM87" s="8">
        <f t="shared" si="22"/>
        <v>0</v>
      </c>
      <c r="DN87" s="8">
        <f t="shared" si="23"/>
        <v>0</v>
      </c>
      <c r="DO87" s="15">
        <f t="shared" si="24"/>
        <v>0</v>
      </c>
      <c r="DP87" s="15" t="str">
        <f t="shared" si="25"/>
        <v>OK - No Upgrade</v>
      </c>
      <c r="DQ87" s="15" t="str">
        <f t="shared" si="26"/>
        <v>OK - Balanced</v>
      </c>
    </row>
    <row r="88" spans="1:121" ht="15.75" customHeight="1" x14ac:dyDescent="0.25">
      <c r="A88" s="8" t="s">
        <v>1459</v>
      </c>
      <c r="B88" s="8" t="s">
        <v>1713</v>
      </c>
      <c r="C88" s="8" t="s">
        <v>40</v>
      </c>
      <c r="D88" s="8" t="s">
        <v>1947</v>
      </c>
      <c r="E88" s="8" t="s">
        <v>1948</v>
      </c>
      <c r="F88" s="8" t="s">
        <v>43</v>
      </c>
      <c r="G88" s="8"/>
      <c r="H88" s="8">
        <v>315</v>
      </c>
      <c r="I88" s="8" t="s">
        <v>1949</v>
      </c>
      <c r="J88" s="8">
        <v>1</v>
      </c>
      <c r="K88" s="8">
        <v>236</v>
      </c>
      <c r="L88" s="8">
        <v>237</v>
      </c>
      <c r="M88" s="8">
        <v>238</v>
      </c>
      <c r="N88" s="8">
        <v>411</v>
      </c>
      <c r="O88" s="8">
        <v>413</v>
      </c>
      <c r="P88" s="8">
        <v>411</v>
      </c>
      <c r="Q88" s="9" t="s">
        <v>47</v>
      </c>
      <c r="R88" s="16"/>
      <c r="S88" s="10">
        <v>5</v>
      </c>
      <c r="T88" s="10">
        <v>3</v>
      </c>
      <c r="U88" s="10">
        <v>16</v>
      </c>
      <c r="V88" s="11">
        <v>14</v>
      </c>
      <c r="W88" s="12"/>
      <c r="X88" s="17"/>
      <c r="Y88" s="13"/>
      <c r="Z88" s="13"/>
      <c r="AA88" s="13"/>
      <c r="AB88" s="14"/>
      <c r="AC88" s="9"/>
      <c r="AD88" s="16"/>
      <c r="AE88" s="10"/>
      <c r="AF88" s="10"/>
      <c r="AG88" s="10"/>
      <c r="AH88" s="11"/>
      <c r="AI88" s="12"/>
      <c r="AJ88" s="17"/>
      <c r="AK88" s="13"/>
      <c r="AL88" s="13"/>
      <c r="AM88" s="13"/>
      <c r="AN88" s="14"/>
      <c r="AO88" s="9"/>
      <c r="AP88" s="16"/>
      <c r="AQ88" s="10"/>
      <c r="AR88" s="10"/>
      <c r="AS88" s="10"/>
      <c r="AT88" s="11"/>
      <c r="AU88" s="12"/>
      <c r="AV88" s="17"/>
      <c r="AW88" s="13"/>
      <c r="AX88" s="13"/>
      <c r="AY88" s="13"/>
      <c r="AZ88" s="14"/>
      <c r="BA88" s="9"/>
      <c r="BB88" s="16"/>
      <c r="BC88" s="10"/>
      <c r="BD88" s="10"/>
      <c r="BE88" s="10"/>
      <c r="BF88" s="11"/>
      <c r="BG88" s="12"/>
      <c r="BH88" s="17"/>
      <c r="BI88" s="13"/>
      <c r="BJ88" s="13"/>
      <c r="BK88" s="13"/>
      <c r="BL88" s="14"/>
      <c r="BM88" s="9"/>
      <c r="BN88" s="16"/>
      <c r="BO88" s="10"/>
      <c r="BP88" s="10"/>
      <c r="BQ88" s="10"/>
      <c r="BR88" s="11"/>
      <c r="BS88" s="12"/>
      <c r="BT88" s="17"/>
      <c r="BU88" s="13"/>
      <c r="BV88" s="13"/>
      <c r="BW88" s="13"/>
      <c r="BX88" s="14"/>
      <c r="BY88" s="9"/>
      <c r="BZ88" s="16"/>
      <c r="CA88" s="10"/>
      <c r="CB88" s="10"/>
      <c r="CC88" s="10"/>
      <c r="CD88" s="11"/>
      <c r="CE88" s="12"/>
      <c r="CF88" s="17"/>
      <c r="CG88" s="13"/>
      <c r="CH88" s="13"/>
      <c r="CI88" s="13"/>
      <c r="CJ88" s="14"/>
      <c r="CK88" s="9"/>
      <c r="CL88" s="16"/>
      <c r="CM88" s="10"/>
      <c r="CN88" s="10"/>
      <c r="CO88" s="10"/>
      <c r="CP88" s="11"/>
      <c r="CQ88" s="12"/>
      <c r="CR88" s="17"/>
      <c r="CS88" s="13"/>
      <c r="CT88" s="13"/>
      <c r="CU88" s="13"/>
      <c r="CV88" s="14"/>
      <c r="CW88" s="9"/>
      <c r="CX88" s="16"/>
      <c r="CY88" s="10"/>
      <c r="CZ88" s="10"/>
      <c r="DA88" s="10"/>
      <c r="DB88" s="11"/>
      <c r="DC88" s="12"/>
      <c r="DD88" s="17"/>
      <c r="DE88" s="13"/>
      <c r="DF88" s="13"/>
      <c r="DG88" s="13"/>
      <c r="DH88" s="14"/>
      <c r="DI88" s="8">
        <f t="shared" si="18"/>
        <v>5</v>
      </c>
      <c r="DJ88" s="8">
        <f t="shared" si="19"/>
        <v>3</v>
      </c>
      <c r="DK88" s="8">
        <f t="shared" si="20"/>
        <v>16</v>
      </c>
      <c r="DL88" s="8">
        <f t="shared" si="21"/>
        <v>14</v>
      </c>
      <c r="DM88" s="8">
        <f t="shared" si="22"/>
        <v>16</v>
      </c>
      <c r="DN88" s="8">
        <f t="shared" si="23"/>
        <v>3</v>
      </c>
      <c r="DO88" s="15">
        <f t="shared" si="24"/>
        <v>3.6158622573247414</v>
      </c>
      <c r="DP88" s="15" t="str">
        <f t="shared" si="25"/>
        <v>OK - No Upgrade</v>
      </c>
      <c r="DQ88" s="15" t="str">
        <f t="shared" si="26"/>
        <v>Need to Balance</v>
      </c>
    </row>
    <row r="89" spans="1:121" ht="15.75" customHeight="1" x14ac:dyDescent="0.25">
      <c r="A89" s="8" t="s">
        <v>1459</v>
      </c>
      <c r="B89" s="8" t="s">
        <v>1713</v>
      </c>
      <c r="C89" s="8" t="s">
        <v>389</v>
      </c>
      <c r="D89" s="8" t="s">
        <v>1950</v>
      </c>
      <c r="E89" s="8" t="s">
        <v>1951</v>
      </c>
      <c r="F89" s="8" t="s">
        <v>43</v>
      </c>
      <c r="G89" s="8"/>
      <c r="H89" s="8">
        <v>100</v>
      </c>
      <c r="I89" s="8" t="s">
        <v>1952</v>
      </c>
      <c r="J89" s="8">
        <v>1</v>
      </c>
      <c r="K89" s="8">
        <v>299</v>
      </c>
      <c r="L89" s="8">
        <v>209</v>
      </c>
      <c r="M89" s="8">
        <v>209</v>
      </c>
      <c r="N89" s="8">
        <v>349</v>
      </c>
      <c r="O89" s="8">
        <v>352</v>
      </c>
      <c r="P89" s="8">
        <v>366</v>
      </c>
      <c r="Q89" s="9" t="s">
        <v>46</v>
      </c>
      <c r="R89" s="16"/>
      <c r="S89" s="10">
        <v>153</v>
      </c>
      <c r="T89" s="10">
        <v>106</v>
      </c>
      <c r="U89" s="10">
        <v>89</v>
      </c>
      <c r="V89" s="11">
        <v>47</v>
      </c>
      <c r="W89" s="12"/>
      <c r="X89" s="17"/>
      <c r="Y89" s="13"/>
      <c r="Z89" s="13"/>
      <c r="AA89" s="13"/>
      <c r="AB89" s="14"/>
      <c r="AC89" s="9"/>
      <c r="AD89" s="16"/>
      <c r="AE89" s="10"/>
      <c r="AF89" s="10"/>
      <c r="AG89" s="10"/>
      <c r="AH89" s="11"/>
      <c r="AI89" s="12"/>
      <c r="AJ89" s="17"/>
      <c r="AK89" s="13"/>
      <c r="AL89" s="13"/>
      <c r="AM89" s="13"/>
      <c r="AN89" s="14"/>
      <c r="AO89" s="9"/>
      <c r="AP89" s="16"/>
      <c r="AQ89" s="10"/>
      <c r="AR89" s="10"/>
      <c r="AS89" s="10"/>
      <c r="AT89" s="11"/>
      <c r="AU89" s="12"/>
      <c r="AV89" s="17"/>
      <c r="AW89" s="13"/>
      <c r="AX89" s="13"/>
      <c r="AY89" s="13"/>
      <c r="AZ89" s="14"/>
      <c r="BA89" s="9"/>
      <c r="BB89" s="16"/>
      <c r="BC89" s="10"/>
      <c r="BD89" s="10"/>
      <c r="BE89" s="10"/>
      <c r="BF89" s="11"/>
      <c r="BG89" s="12"/>
      <c r="BH89" s="17"/>
      <c r="BI89" s="13"/>
      <c r="BJ89" s="13"/>
      <c r="BK89" s="13"/>
      <c r="BL89" s="14"/>
      <c r="BM89" s="9"/>
      <c r="BN89" s="16"/>
      <c r="BO89" s="10"/>
      <c r="BP89" s="10"/>
      <c r="BQ89" s="10"/>
      <c r="BR89" s="11"/>
      <c r="BS89" s="12"/>
      <c r="BT89" s="17"/>
      <c r="BU89" s="13"/>
      <c r="BV89" s="13"/>
      <c r="BW89" s="13"/>
      <c r="BX89" s="14"/>
      <c r="BY89" s="9"/>
      <c r="BZ89" s="16"/>
      <c r="CA89" s="10"/>
      <c r="CB89" s="10"/>
      <c r="CC89" s="10"/>
      <c r="CD89" s="11"/>
      <c r="CE89" s="12"/>
      <c r="CF89" s="17"/>
      <c r="CG89" s="13"/>
      <c r="CH89" s="13"/>
      <c r="CI89" s="13"/>
      <c r="CJ89" s="14"/>
      <c r="CK89" s="9"/>
      <c r="CL89" s="16"/>
      <c r="CM89" s="10"/>
      <c r="CN89" s="10"/>
      <c r="CO89" s="10"/>
      <c r="CP89" s="11"/>
      <c r="CQ89" s="12"/>
      <c r="CR89" s="17"/>
      <c r="CS89" s="13"/>
      <c r="CT89" s="13"/>
      <c r="CU89" s="13"/>
      <c r="CV89" s="14"/>
      <c r="CW89" s="9"/>
      <c r="CX89" s="16"/>
      <c r="CY89" s="10"/>
      <c r="CZ89" s="10"/>
      <c r="DA89" s="10"/>
      <c r="DB89" s="11"/>
      <c r="DC89" s="12"/>
      <c r="DD89" s="17"/>
      <c r="DE89" s="13"/>
      <c r="DF89" s="13"/>
      <c r="DG89" s="13"/>
      <c r="DH89" s="14"/>
      <c r="DI89" s="8">
        <f t="shared" si="18"/>
        <v>153</v>
      </c>
      <c r="DJ89" s="8">
        <f t="shared" si="19"/>
        <v>106</v>
      </c>
      <c r="DK89" s="8">
        <f t="shared" si="20"/>
        <v>89</v>
      </c>
      <c r="DL89" s="8">
        <f t="shared" si="21"/>
        <v>47</v>
      </c>
      <c r="DM89" s="8">
        <f t="shared" si="22"/>
        <v>153</v>
      </c>
      <c r="DN89" s="8">
        <f t="shared" si="23"/>
        <v>89</v>
      </c>
      <c r="DO89" s="15">
        <f t="shared" si="24"/>
        <v>92.486316971755343</v>
      </c>
      <c r="DP89" s="15" t="str">
        <f t="shared" si="25"/>
        <v>Upgrade</v>
      </c>
      <c r="DQ89" s="15" t="str">
        <f t="shared" si="26"/>
        <v>Need to Balance</v>
      </c>
    </row>
    <row r="90" spans="1:121" ht="15.75" customHeight="1" x14ac:dyDescent="0.25">
      <c r="A90" s="8" t="s">
        <v>1459</v>
      </c>
      <c r="B90" s="8" t="s">
        <v>1713</v>
      </c>
      <c r="C90" s="8" t="s">
        <v>389</v>
      </c>
      <c r="D90" s="8" t="s">
        <v>1953</v>
      </c>
      <c r="E90" s="8" t="s">
        <v>1954</v>
      </c>
      <c r="F90" s="8" t="s">
        <v>43</v>
      </c>
      <c r="G90" s="8"/>
      <c r="H90" s="8">
        <v>100</v>
      </c>
      <c r="I90" s="8" t="s">
        <v>602</v>
      </c>
      <c r="J90" s="8">
        <v>1</v>
      </c>
      <c r="K90" s="8">
        <v>217</v>
      </c>
      <c r="L90" s="8">
        <v>226</v>
      </c>
      <c r="M90" s="8">
        <v>224</v>
      </c>
      <c r="N90" s="8">
        <v>380</v>
      </c>
      <c r="O90" s="8">
        <v>379</v>
      </c>
      <c r="P90" s="8">
        <v>394</v>
      </c>
      <c r="Q90" s="9" t="s">
        <v>46</v>
      </c>
      <c r="R90" s="16"/>
      <c r="S90" s="10">
        <v>77</v>
      </c>
      <c r="T90" s="10">
        <v>50</v>
      </c>
      <c r="U90" s="10">
        <v>88</v>
      </c>
      <c r="V90" s="11">
        <v>37</v>
      </c>
      <c r="W90" s="12" t="s">
        <v>47</v>
      </c>
      <c r="X90" s="17"/>
      <c r="Y90" s="13">
        <v>15</v>
      </c>
      <c r="Z90" s="13">
        <v>27</v>
      </c>
      <c r="AA90" s="13">
        <v>6</v>
      </c>
      <c r="AB90" s="14">
        <v>11</v>
      </c>
      <c r="AC90" s="9"/>
      <c r="AD90" s="16"/>
      <c r="AE90" s="10"/>
      <c r="AF90" s="10"/>
      <c r="AG90" s="10"/>
      <c r="AH90" s="11"/>
      <c r="AI90" s="12"/>
      <c r="AJ90" s="17"/>
      <c r="AK90" s="13"/>
      <c r="AL90" s="13"/>
      <c r="AM90" s="13"/>
      <c r="AN90" s="14"/>
      <c r="AO90" s="9"/>
      <c r="AP90" s="16"/>
      <c r="AQ90" s="10"/>
      <c r="AR90" s="10"/>
      <c r="AS90" s="10"/>
      <c r="AT90" s="11"/>
      <c r="AU90" s="12"/>
      <c r="AV90" s="17"/>
      <c r="AW90" s="13"/>
      <c r="AX90" s="13"/>
      <c r="AY90" s="13"/>
      <c r="AZ90" s="14"/>
      <c r="BA90" s="9"/>
      <c r="BB90" s="16"/>
      <c r="BC90" s="10"/>
      <c r="BD90" s="10"/>
      <c r="BE90" s="10"/>
      <c r="BF90" s="11"/>
      <c r="BG90" s="12"/>
      <c r="BH90" s="17"/>
      <c r="BI90" s="13"/>
      <c r="BJ90" s="13"/>
      <c r="BK90" s="13"/>
      <c r="BL90" s="14"/>
      <c r="BM90" s="9"/>
      <c r="BN90" s="16"/>
      <c r="BO90" s="10"/>
      <c r="BP90" s="10"/>
      <c r="BQ90" s="10"/>
      <c r="BR90" s="11"/>
      <c r="BS90" s="12"/>
      <c r="BT90" s="17"/>
      <c r="BU90" s="13"/>
      <c r="BV90" s="13"/>
      <c r="BW90" s="13"/>
      <c r="BX90" s="14"/>
      <c r="BY90" s="9"/>
      <c r="BZ90" s="16"/>
      <c r="CA90" s="10"/>
      <c r="CB90" s="10"/>
      <c r="CC90" s="10"/>
      <c r="CD90" s="11"/>
      <c r="CE90" s="12"/>
      <c r="CF90" s="17"/>
      <c r="CG90" s="13"/>
      <c r="CH90" s="13"/>
      <c r="CI90" s="13"/>
      <c r="CJ90" s="14"/>
      <c r="CK90" s="9"/>
      <c r="CL90" s="16"/>
      <c r="CM90" s="10"/>
      <c r="CN90" s="10"/>
      <c r="CO90" s="10"/>
      <c r="CP90" s="11"/>
      <c r="CQ90" s="12"/>
      <c r="CR90" s="17"/>
      <c r="CS90" s="13"/>
      <c r="CT90" s="13"/>
      <c r="CU90" s="13"/>
      <c r="CV90" s="14"/>
      <c r="CW90" s="9"/>
      <c r="CX90" s="16"/>
      <c r="CY90" s="10"/>
      <c r="CZ90" s="10"/>
      <c r="DA90" s="10"/>
      <c r="DB90" s="11"/>
      <c r="DC90" s="12"/>
      <c r="DD90" s="17"/>
      <c r="DE90" s="13"/>
      <c r="DF90" s="13"/>
      <c r="DG90" s="13"/>
      <c r="DH90" s="14"/>
      <c r="DI90" s="8">
        <f t="shared" si="18"/>
        <v>92</v>
      </c>
      <c r="DJ90" s="8">
        <f t="shared" si="19"/>
        <v>77</v>
      </c>
      <c r="DK90" s="8">
        <f t="shared" si="20"/>
        <v>94</v>
      </c>
      <c r="DL90" s="8">
        <f t="shared" si="21"/>
        <v>48</v>
      </c>
      <c r="DM90" s="8">
        <f t="shared" si="22"/>
        <v>94</v>
      </c>
      <c r="DN90" s="8">
        <f t="shared" si="23"/>
        <v>77</v>
      </c>
      <c r="DO90" s="15">
        <f t="shared" si="24"/>
        <v>61.868854846360286</v>
      </c>
      <c r="DP90" s="15" t="str">
        <f t="shared" si="25"/>
        <v>OK - No Upgrade</v>
      </c>
      <c r="DQ90" s="15" t="str">
        <f t="shared" si="26"/>
        <v>OK - Balanced</v>
      </c>
    </row>
    <row r="91" spans="1:121" ht="15.75" customHeight="1" x14ac:dyDescent="0.25">
      <c r="A91" s="8" t="s">
        <v>1459</v>
      </c>
      <c r="B91" s="8" t="s">
        <v>1713</v>
      </c>
      <c r="C91" s="8" t="s">
        <v>40</v>
      </c>
      <c r="D91" s="8" t="s">
        <v>1955</v>
      </c>
      <c r="E91" s="8" t="s">
        <v>1956</v>
      </c>
      <c r="F91" s="8" t="s">
        <v>56</v>
      </c>
      <c r="G91" s="8"/>
      <c r="H91" s="8">
        <v>1000</v>
      </c>
      <c r="I91" s="8" t="s">
        <v>1957</v>
      </c>
      <c r="J91" s="8">
        <v>1</v>
      </c>
      <c r="K91" s="8">
        <v>236</v>
      </c>
      <c r="L91" s="8">
        <v>238</v>
      </c>
      <c r="M91" s="8">
        <v>238</v>
      </c>
      <c r="N91" s="8">
        <v>416</v>
      </c>
      <c r="O91" s="8">
        <v>415</v>
      </c>
      <c r="P91" s="8">
        <v>408</v>
      </c>
      <c r="Q91" s="9" t="s">
        <v>47</v>
      </c>
      <c r="R91" s="16"/>
      <c r="S91" s="10">
        <v>7</v>
      </c>
      <c r="T91" s="10">
        <v>28</v>
      </c>
      <c r="U91" s="10">
        <v>14</v>
      </c>
      <c r="V91" s="11">
        <v>20</v>
      </c>
      <c r="W91" s="12" t="s">
        <v>47</v>
      </c>
      <c r="X91" s="17"/>
      <c r="Y91" s="13">
        <v>134</v>
      </c>
      <c r="Z91" s="13">
        <v>65</v>
      </c>
      <c r="AA91" s="13">
        <v>127</v>
      </c>
      <c r="AB91" s="14">
        <v>89</v>
      </c>
      <c r="AC91" s="9" t="s">
        <v>47</v>
      </c>
      <c r="AD91" s="16"/>
      <c r="AE91" s="10">
        <v>54</v>
      </c>
      <c r="AF91" s="10">
        <v>66</v>
      </c>
      <c r="AG91" s="10">
        <v>47</v>
      </c>
      <c r="AH91" s="11">
        <v>13</v>
      </c>
      <c r="AI91" s="12" t="s">
        <v>47</v>
      </c>
      <c r="AJ91" s="17"/>
      <c r="AK91" s="13">
        <v>168</v>
      </c>
      <c r="AL91" s="13">
        <v>116</v>
      </c>
      <c r="AM91" s="13">
        <v>148</v>
      </c>
      <c r="AN91" s="14">
        <v>49</v>
      </c>
      <c r="AO91" s="9"/>
      <c r="AP91" s="16"/>
      <c r="AQ91" s="10"/>
      <c r="AR91" s="10"/>
      <c r="AS91" s="10"/>
      <c r="AT91" s="11"/>
      <c r="AU91" s="12"/>
      <c r="AV91" s="17"/>
      <c r="AW91" s="13"/>
      <c r="AX91" s="13"/>
      <c r="AY91" s="13"/>
      <c r="AZ91" s="14"/>
      <c r="BA91" s="9"/>
      <c r="BB91" s="16"/>
      <c r="BC91" s="10"/>
      <c r="BD91" s="10"/>
      <c r="BE91" s="10"/>
      <c r="BF91" s="11"/>
      <c r="BG91" s="12"/>
      <c r="BH91" s="17"/>
      <c r="BI91" s="13"/>
      <c r="BJ91" s="13"/>
      <c r="BK91" s="13"/>
      <c r="BL91" s="14"/>
      <c r="BM91" s="9"/>
      <c r="BN91" s="16"/>
      <c r="BO91" s="10"/>
      <c r="BP91" s="10"/>
      <c r="BQ91" s="10"/>
      <c r="BR91" s="11"/>
      <c r="BS91" s="12"/>
      <c r="BT91" s="17"/>
      <c r="BU91" s="13"/>
      <c r="BV91" s="13"/>
      <c r="BW91" s="13"/>
      <c r="BX91" s="14"/>
      <c r="BY91" s="9"/>
      <c r="BZ91" s="16"/>
      <c r="CA91" s="10"/>
      <c r="CB91" s="10"/>
      <c r="CC91" s="10"/>
      <c r="CD91" s="11"/>
      <c r="CE91" s="12"/>
      <c r="CF91" s="17"/>
      <c r="CG91" s="13"/>
      <c r="CH91" s="13"/>
      <c r="CI91" s="13"/>
      <c r="CJ91" s="14"/>
      <c r="CK91" s="9"/>
      <c r="CL91" s="16"/>
      <c r="CM91" s="10"/>
      <c r="CN91" s="10"/>
      <c r="CO91" s="10"/>
      <c r="CP91" s="11"/>
      <c r="CQ91" s="12"/>
      <c r="CR91" s="17"/>
      <c r="CS91" s="13"/>
      <c r="CT91" s="13"/>
      <c r="CU91" s="13"/>
      <c r="CV91" s="14"/>
      <c r="CW91" s="9"/>
      <c r="CX91" s="16"/>
      <c r="CY91" s="10"/>
      <c r="CZ91" s="10"/>
      <c r="DA91" s="10"/>
      <c r="DB91" s="11"/>
      <c r="DC91" s="12"/>
      <c r="DD91" s="17"/>
      <c r="DE91" s="13"/>
      <c r="DF91" s="13"/>
      <c r="DG91" s="13"/>
      <c r="DH91" s="14"/>
      <c r="DI91" s="8">
        <f t="shared" si="18"/>
        <v>363</v>
      </c>
      <c r="DJ91" s="8">
        <f t="shared" si="19"/>
        <v>275</v>
      </c>
      <c r="DK91" s="8">
        <f t="shared" si="20"/>
        <v>336</v>
      </c>
      <c r="DL91" s="8">
        <f t="shared" si="21"/>
        <v>171</v>
      </c>
      <c r="DM91" s="8">
        <f t="shared" si="22"/>
        <v>363</v>
      </c>
      <c r="DN91" s="8">
        <f t="shared" si="23"/>
        <v>275</v>
      </c>
      <c r="DO91" s="15">
        <f t="shared" si="24"/>
        <v>26.155352834936103</v>
      </c>
      <c r="DP91" s="15" t="str">
        <f t="shared" si="25"/>
        <v>OK - No Upgrade</v>
      </c>
      <c r="DQ91" s="15" t="str">
        <f t="shared" si="26"/>
        <v>Need to Balance</v>
      </c>
    </row>
    <row r="92" spans="1:121" ht="15.75" customHeight="1" x14ac:dyDescent="0.25">
      <c r="A92" s="8" t="s">
        <v>1459</v>
      </c>
      <c r="B92" s="8" t="s">
        <v>1713</v>
      </c>
      <c r="C92" s="8" t="s">
        <v>389</v>
      </c>
      <c r="D92" s="8" t="s">
        <v>1958</v>
      </c>
      <c r="E92" s="8" t="s">
        <v>1959</v>
      </c>
      <c r="F92" s="8" t="s">
        <v>43</v>
      </c>
      <c r="G92" s="8"/>
      <c r="H92" s="8">
        <v>100</v>
      </c>
      <c r="I92" s="8" t="s">
        <v>1960</v>
      </c>
      <c r="J92" s="8">
        <v>1</v>
      </c>
      <c r="K92" s="8">
        <v>214</v>
      </c>
      <c r="L92" s="8">
        <v>222</v>
      </c>
      <c r="M92" s="8">
        <v>222</v>
      </c>
      <c r="N92" s="8">
        <v>375</v>
      </c>
      <c r="O92" s="8">
        <v>374</v>
      </c>
      <c r="P92" s="8">
        <v>390</v>
      </c>
      <c r="Q92" s="9" t="s">
        <v>46</v>
      </c>
      <c r="R92" s="16"/>
      <c r="S92" s="10">
        <v>35</v>
      </c>
      <c r="T92" s="10">
        <v>45</v>
      </c>
      <c r="U92" s="10">
        <v>40</v>
      </c>
      <c r="V92" s="11">
        <v>13</v>
      </c>
      <c r="W92" s="12" t="s">
        <v>46</v>
      </c>
      <c r="X92" s="17"/>
      <c r="Y92" s="13">
        <v>0</v>
      </c>
      <c r="Z92" s="13">
        <v>0</v>
      </c>
      <c r="AA92" s="13">
        <v>0</v>
      </c>
      <c r="AB92" s="14">
        <v>0</v>
      </c>
      <c r="AC92" s="9"/>
      <c r="AD92" s="16"/>
      <c r="AE92" s="10"/>
      <c r="AF92" s="10"/>
      <c r="AG92" s="10"/>
      <c r="AH92" s="11"/>
      <c r="AI92" s="12"/>
      <c r="AJ92" s="17"/>
      <c r="AK92" s="13"/>
      <c r="AL92" s="13"/>
      <c r="AM92" s="13"/>
      <c r="AN92" s="14"/>
      <c r="AO92" s="9"/>
      <c r="AP92" s="16"/>
      <c r="AQ92" s="10"/>
      <c r="AR92" s="10"/>
      <c r="AS92" s="10"/>
      <c r="AT92" s="11"/>
      <c r="AU92" s="12"/>
      <c r="AV92" s="17"/>
      <c r="AW92" s="13"/>
      <c r="AX92" s="13"/>
      <c r="AY92" s="13"/>
      <c r="AZ92" s="14"/>
      <c r="BA92" s="9"/>
      <c r="BB92" s="16"/>
      <c r="BC92" s="10"/>
      <c r="BD92" s="10"/>
      <c r="BE92" s="10"/>
      <c r="BF92" s="11"/>
      <c r="BG92" s="12"/>
      <c r="BH92" s="17"/>
      <c r="BI92" s="13"/>
      <c r="BJ92" s="13"/>
      <c r="BK92" s="13"/>
      <c r="BL92" s="14"/>
      <c r="BM92" s="9"/>
      <c r="BN92" s="16"/>
      <c r="BO92" s="10"/>
      <c r="BP92" s="10"/>
      <c r="BQ92" s="10"/>
      <c r="BR92" s="11"/>
      <c r="BS92" s="12"/>
      <c r="BT92" s="17"/>
      <c r="BU92" s="13"/>
      <c r="BV92" s="13"/>
      <c r="BW92" s="13"/>
      <c r="BX92" s="14"/>
      <c r="BY92" s="9"/>
      <c r="BZ92" s="16"/>
      <c r="CA92" s="10"/>
      <c r="CB92" s="10"/>
      <c r="CC92" s="10"/>
      <c r="CD92" s="11"/>
      <c r="CE92" s="12"/>
      <c r="CF92" s="17"/>
      <c r="CG92" s="13"/>
      <c r="CH92" s="13"/>
      <c r="CI92" s="13"/>
      <c r="CJ92" s="14"/>
      <c r="CK92" s="9"/>
      <c r="CL92" s="16"/>
      <c r="CM92" s="10"/>
      <c r="CN92" s="10"/>
      <c r="CO92" s="10"/>
      <c r="CP92" s="11"/>
      <c r="CQ92" s="12"/>
      <c r="CR92" s="17"/>
      <c r="CS92" s="13"/>
      <c r="CT92" s="13"/>
      <c r="CU92" s="13"/>
      <c r="CV92" s="14"/>
      <c r="CW92" s="9"/>
      <c r="CX92" s="16"/>
      <c r="CY92" s="10"/>
      <c r="CZ92" s="10"/>
      <c r="DA92" s="10"/>
      <c r="DB92" s="11"/>
      <c r="DC92" s="12"/>
      <c r="DD92" s="17"/>
      <c r="DE92" s="13"/>
      <c r="DF92" s="13"/>
      <c r="DG92" s="13"/>
      <c r="DH92" s="14"/>
      <c r="DI92" s="8">
        <f t="shared" si="18"/>
        <v>35</v>
      </c>
      <c r="DJ92" s="8">
        <f t="shared" si="19"/>
        <v>45</v>
      </c>
      <c r="DK92" s="8">
        <f t="shared" si="20"/>
        <v>40</v>
      </c>
      <c r="DL92" s="8">
        <f t="shared" si="21"/>
        <v>13</v>
      </c>
      <c r="DM92" s="8">
        <f t="shared" si="22"/>
        <v>45</v>
      </c>
      <c r="DN92" s="8">
        <f t="shared" si="23"/>
        <v>35</v>
      </c>
      <c r="DO92" s="15">
        <f t="shared" si="24"/>
        <v>29.228357377724805</v>
      </c>
      <c r="DP92" s="15" t="str">
        <f t="shared" si="25"/>
        <v>OK - No Upgrade</v>
      </c>
      <c r="DQ92" s="15" t="str">
        <f t="shared" si="26"/>
        <v>Need to Balance</v>
      </c>
    </row>
    <row r="93" spans="1:121" ht="15.75" customHeight="1" x14ac:dyDescent="0.25">
      <c r="A93" s="8" t="s">
        <v>1459</v>
      </c>
      <c r="B93" s="8" t="s">
        <v>1713</v>
      </c>
      <c r="C93" s="8" t="s">
        <v>40</v>
      </c>
      <c r="D93" s="8" t="s">
        <v>1961</v>
      </c>
      <c r="E93" s="8" t="s">
        <v>1962</v>
      </c>
      <c r="F93" s="8" t="s">
        <v>56</v>
      </c>
      <c r="G93" s="8"/>
      <c r="H93" s="8">
        <v>1000</v>
      </c>
      <c r="I93" s="8" t="s">
        <v>1963</v>
      </c>
      <c r="J93" s="8">
        <v>1</v>
      </c>
      <c r="K93" s="8">
        <v>234</v>
      </c>
      <c r="L93" s="8">
        <v>236</v>
      </c>
      <c r="M93" s="8">
        <v>237</v>
      </c>
      <c r="N93" s="8">
        <v>409</v>
      </c>
      <c r="O93" s="8">
        <v>412</v>
      </c>
      <c r="P93" s="8">
        <v>406</v>
      </c>
      <c r="Q93" s="9"/>
      <c r="R93" s="16"/>
      <c r="S93" s="10"/>
      <c r="T93" s="10"/>
      <c r="U93" s="10"/>
      <c r="V93" s="11"/>
      <c r="W93" s="12"/>
      <c r="X93" s="17"/>
      <c r="Y93" s="13"/>
      <c r="Z93" s="13"/>
      <c r="AA93" s="13"/>
      <c r="AB93" s="14"/>
      <c r="AC93" s="9"/>
      <c r="AD93" s="16"/>
      <c r="AE93" s="10"/>
      <c r="AF93" s="10"/>
      <c r="AG93" s="10"/>
      <c r="AH93" s="11"/>
      <c r="AI93" s="12"/>
      <c r="AJ93" s="17"/>
      <c r="AK93" s="13"/>
      <c r="AL93" s="13"/>
      <c r="AM93" s="13"/>
      <c r="AN93" s="14"/>
      <c r="AO93" s="9" t="s">
        <v>47</v>
      </c>
      <c r="AP93" s="16"/>
      <c r="AQ93" s="10">
        <v>58</v>
      </c>
      <c r="AR93" s="10">
        <v>54</v>
      </c>
      <c r="AS93" s="10">
        <v>47</v>
      </c>
      <c r="AT93" s="11">
        <v>35</v>
      </c>
      <c r="AU93" s="12" t="s">
        <v>47</v>
      </c>
      <c r="AV93" s="17"/>
      <c r="AW93" s="13">
        <v>126</v>
      </c>
      <c r="AX93" s="13">
        <v>85</v>
      </c>
      <c r="AY93" s="13">
        <v>26</v>
      </c>
      <c r="AZ93" s="14">
        <v>84</v>
      </c>
      <c r="BA93" s="9" t="s">
        <v>47</v>
      </c>
      <c r="BB93" s="16"/>
      <c r="BC93" s="10">
        <v>164</v>
      </c>
      <c r="BD93" s="10">
        <v>146</v>
      </c>
      <c r="BE93" s="10">
        <v>158</v>
      </c>
      <c r="BF93" s="11">
        <v>36</v>
      </c>
      <c r="BG93" s="12"/>
      <c r="BH93" s="17"/>
      <c r="BI93" s="13"/>
      <c r="BJ93" s="13"/>
      <c r="BK93" s="13"/>
      <c r="BL93" s="14"/>
      <c r="BM93" s="9"/>
      <c r="BN93" s="16"/>
      <c r="BO93" s="10"/>
      <c r="BP93" s="10"/>
      <c r="BQ93" s="10"/>
      <c r="BR93" s="11"/>
      <c r="BS93" s="12"/>
      <c r="BT93" s="17"/>
      <c r="BU93" s="13"/>
      <c r="BV93" s="13"/>
      <c r="BW93" s="13"/>
      <c r="BX93" s="14"/>
      <c r="BY93" s="9"/>
      <c r="BZ93" s="16"/>
      <c r="CA93" s="10"/>
      <c r="CB93" s="10"/>
      <c r="CC93" s="10"/>
      <c r="CD93" s="11"/>
      <c r="CE93" s="12"/>
      <c r="CF93" s="17"/>
      <c r="CG93" s="13"/>
      <c r="CH93" s="13"/>
      <c r="CI93" s="13"/>
      <c r="CJ93" s="14"/>
      <c r="CK93" s="9"/>
      <c r="CL93" s="16"/>
      <c r="CM93" s="10"/>
      <c r="CN93" s="10"/>
      <c r="CO93" s="10"/>
      <c r="CP93" s="11"/>
      <c r="CQ93" s="12"/>
      <c r="CR93" s="17"/>
      <c r="CS93" s="13"/>
      <c r="CT93" s="13"/>
      <c r="CU93" s="13"/>
      <c r="CV93" s="14"/>
      <c r="CW93" s="9"/>
      <c r="CX93" s="16"/>
      <c r="CY93" s="10"/>
      <c r="CZ93" s="10"/>
      <c r="DA93" s="10"/>
      <c r="DB93" s="11"/>
      <c r="DC93" s="12"/>
      <c r="DD93" s="17"/>
      <c r="DE93" s="13"/>
      <c r="DF93" s="13"/>
      <c r="DG93" s="13"/>
      <c r="DH93" s="14"/>
      <c r="DI93" s="8">
        <f t="shared" si="18"/>
        <v>348</v>
      </c>
      <c r="DJ93" s="8">
        <f t="shared" si="19"/>
        <v>285</v>
      </c>
      <c r="DK93" s="8">
        <f t="shared" si="20"/>
        <v>231</v>
      </c>
      <c r="DL93" s="8">
        <f t="shared" si="21"/>
        <v>155</v>
      </c>
      <c r="DM93" s="8">
        <f t="shared" si="22"/>
        <v>348</v>
      </c>
      <c r="DN93" s="8">
        <f t="shared" si="23"/>
        <v>231</v>
      </c>
      <c r="DO93" s="15">
        <f t="shared" si="24"/>
        <v>24.652625554289344</v>
      </c>
      <c r="DP93" s="15" t="str">
        <f t="shared" si="25"/>
        <v>OK - No Upgrade</v>
      </c>
      <c r="DQ93" s="15" t="str">
        <f t="shared" si="26"/>
        <v>Need to Balance</v>
      </c>
    </row>
    <row r="94" spans="1:121" ht="15.75" customHeight="1" x14ac:dyDescent="0.25">
      <c r="A94" s="8" t="s">
        <v>1459</v>
      </c>
      <c r="B94" s="8" t="s">
        <v>1713</v>
      </c>
      <c r="C94" s="8" t="s">
        <v>389</v>
      </c>
      <c r="D94" s="8" t="s">
        <v>1964</v>
      </c>
      <c r="E94" s="8" t="s">
        <v>1965</v>
      </c>
      <c r="F94" s="8" t="s">
        <v>43</v>
      </c>
      <c r="G94" s="8"/>
      <c r="H94" s="8">
        <v>315</v>
      </c>
      <c r="I94" s="8" t="s">
        <v>1966</v>
      </c>
      <c r="J94" s="8">
        <v>1</v>
      </c>
      <c r="K94" s="8">
        <v>198</v>
      </c>
      <c r="L94" s="8">
        <v>204</v>
      </c>
      <c r="M94" s="8">
        <v>206</v>
      </c>
      <c r="N94" s="8">
        <v>345</v>
      </c>
      <c r="O94" s="8">
        <v>349</v>
      </c>
      <c r="P94" s="8">
        <v>358</v>
      </c>
      <c r="Q94" s="9" t="s">
        <v>47</v>
      </c>
      <c r="R94" s="16"/>
      <c r="S94" s="10">
        <v>92</v>
      </c>
      <c r="T94" s="10">
        <v>42</v>
      </c>
      <c r="U94" s="10">
        <v>89</v>
      </c>
      <c r="V94" s="11">
        <v>47</v>
      </c>
      <c r="W94" s="12" t="s">
        <v>47</v>
      </c>
      <c r="X94" s="17"/>
      <c r="Y94" s="13">
        <v>224</v>
      </c>
      <c r="Z94" s="13">
        <v>108</v>
      </c>
      <c r="AA94" s="13">
        <v>44</v>
      </c>
      <c r="AB94" s="14">
        <v>84</v>
      </c>
      <c r="AC94" s="9"/>
      <c r="AD94" s="16"/>
      <c r="AE94" s="10"/>
      <c r="AF94" s="10"/>
      <c r="AG94" s="10"/>
      <c r="AH94" s="11"/>
      <c r="AI94" s="12"/>
      <c r="AJ94" s="17"/>
      <c r="AK94" s="13"/>
      <c r="AL94" s="13"/>
      <c r="AM94" s="13"/>
      <c r="AN94" s="14"/>
      <c r="AO94" s="9"/>
      <c r="AP94" s="16"/>
      <c r="AQ94" s="10"/>
      <c r="AR94" s="10"/>
      <c r="AS94" s="10"/>
      <c r="AT94" s="11"/>
      <c r="AU94" s="12"/>
      <c r="AV94" s="17"/>
      <c r="AW94" s="13"/>
      <c r="AX94" s="13"/>
      <c r="AY94" s="13"/>
      <c r="AZ94" s="14"/>
      <c r="BA94" s="9"/>
      <c r="BB94" s="16"/>
      <c r="BC94" s="10"/>
      <c r="BD94" s="10"/>
      <c r="BE94" s="10"/>
      <c r="BF94" s="11"/>
      <c r="BG94" s="12"/>
      <c r="BH94" s="17"/>
      <c r="BI94" s="13"/>
      <c r="BJ94" s="13"/>
      <c r="BK94" s="13"/>
      <c r="BL94" s="14"/>
      <c r="BM94" s="9"/>
      <c r="BN94" s="16"/>
      <c r="BO94" s="10"/>
      <c r="BP94" s="10"/>
      <c r="BQ94" s="10"/>
      <c r="BR94" s="11"/>
      <c r="BS94" s="12"/>
      <c r="BT94" s="17"/>
      <c r="BU94" s="13"/>
      <c r="BV94" s="13"/>
      <c r="BW94" s="13"/>
      <c r="BX94" s="14"/>
      <c r="BY94" s="9"/>
      <c r="BZ94" s="16"/>
      <c r="CA94" s="10"/>
      <c r="CB94" s="10"/>
      <c r="CC94" s="10"/>
      <c r="CD94" s="11"/>
      <c r="CE94" s="12"/>
      <c r="CF94" s="17"/>
      <c r="CG94" s="13"/>
      <c r="CH94" s="13"/>
      <c r="CI94" s="13"/>
      <c r="CJ94" s="14"/>
      <c r="CK94" s="9"/>
      <c r="CL94" s="16"/>
      <c r="CM94" s="10"/>
      <c r="CN94" s="10"/>
      <c r="CO94" s="10"/>
      <c r="CP94" s="11"/>
      <c r="CQ94" s="12"/>
      <c r="CR94" s="17"/>
      <c r="CS94" s="13"/>
      <c r="CT94" s="13"/>
      <c r="CU94" s="13"/>
      <c r="CV94" s="14"/>
      <c r="CW94" s="9"/>
      <c r="CX94" s="16"/>
      <c r="CY94" s="10"/>
      <c r="CZ94" s="10"/>
      <c r="DA94" s="10"/>
      <c r="DB94" s="11"/>
      <c r="DC94" s="12"/>
      <c r="DD94" s="17"/>
      <c r="DE94" s="13"/>
      <c r="DF94" s="13"/>
      <c r="DG94" s="13"/>
      <c r="DH94" s="14"/>
      <c r="DI94" s="8">
        <f t="shared" si="18"/>
        <v>316</v>
      </c>
      <c r="DJ94" s="8">
        <f t="shared" si="19"/>
        <v>150</v>
      </c>
      <c r="DK94" s="8">
        <f t="shared" si="20"/>
        <v>133</v>
      </c>
      <c r="DL94" s="8">
        <f t="shared" si="21"/>
        <v>131</v>
      </c>
      <c r="DM94" s="8">
        <f t="shared" si="22"/>
        <v>316</v>
      </c>
      <c r="DN94" s="8">
        <f t="shared" si="23"/>
        <v>133</v>
      </c>
      <c r="DO94" s="15">
        <f t="shared" si="24"/>
        <v>59.945453663859993</v>
      </c>
      <c r="DP94" s="15" t="str">
        <f t="shared" si="25"/>
        <v>OK - No Upgrade</v>
      </c>
      <c r="DQ94" s="15" t="str">
        <f t="shared" si="26"/>
        <v>Need to Balance</v>
      </c>
    </row>
    <row r="95" spans="1:121" ht="15.75" customHeight="1" x14ac:dyDescent="0.25">
      <c r="A95" s="8" t="s">
        <v>1459</v>
      </c>
      <c r="B95" s="8" t="s">
        <v>1713</v>
      </c>
      <c r="C95" s="8" t="s">
        <v>40</v>
      </c>
      <c r="D95" s="8" t="s">
        <v>1967</v>
      </c>
      <c r="E95" s="8" t="s">
        <v>1968</v>
      </c>
      <c r="F95" s="8" t="s">
        <v>56</v>
      </c>
      <c r="G95" s="8"/>
      <c r="H95" s="8">
        <v>1000</v>
      </c>
      <c r="I95" s="8" t="s">
        <v>1969</v>
      </c>
      <c r="J95" s="8">
        <v>1</v>
      </c>
      <c r="K95" s="8">
        <v>236</v>
      </c>
      <c r="L95" s="8">
        <v>237</v>
      </c>
      <c r="M95" s="8">
        <v>238</v>
      </c>
      <c r="N95" s="8">
        <v>413</v>
      </c>
      <c r="O95" s="8">
        <v>414</v>
      </c>
      <c r="P95" s="8">
        <v>419</v>
      </c>
      <c r="Q95" s="9" t="s">
        <v>46</v>
      </c>
      <c r="R95" s="16"/>
      <c r="S95" s="10">
        <v>122</v>
      </c>
      <c r="T95" s="10">
        <v>64</v>
      </c>
      <c r="U95" s="10">
        <v>87</v>
      </c>
      <c r="V95" s="11">
        <v>62</v>
      </c>
      <c r="W95" s="12" t="s">
        <v>46</v>
      </c>
      <c r="X95" s="17"/>
      <c r="Y95" s="13">
        <v>211</v>
      </c>
      <c r="Z95" s="13">
        <v>157</v>
      </c>
      <c r="AA95" s="13">
        <v>170</v>
      </c>
      <c r="AB95" s="14">
        <v>43</v>
      </c>
      <c r="AC95" s="9"/>
      <c r="AD95" s="16"/>
      <c r="AE95" s="10"/>
      <c r="AF95" s="10"/>
      <c r="AG95" s="10"/>
      <c r="AH95" s="11"/>
      <c r="AI95" s="12"/>
      <c r="AJ95" s="17"/>
      <c r="AK95" s="13"/>
      <c r="AL95" s="13"/>
      <c r="AM95" s="13"/>
      <c r="AN95" s="14"/>
      <c r="AO95" s="9"/>
      <c r="AP95" s="16"/>
      <c r="AQ95" s="10"/>
      <c r="AR95" s="10"/>
      <c r="AS95" s="10"/>
      <c r="AT95" s="11"/>
      <c r="AU95" s="12"/>
      <c r="AV95" s="17"/>
      <c r="AW95" s="13"/>
      <c r="AX95" s="13"/>
      <c r="AY95" s="13"/>
      <c r="AZ95" s="14"/>
      <c r="BA95" s="9"/>
      <c r="BB95" s="16"/>
      <c r="BC95" s="10"/>
      <c r="BD95" s="10"/>
      <c r="BE95" s="10"/>
      <c r="BF95" s="11"/>
      <c r="BG95" s="12"/>
      <c r="BH95" s="17"/>
      <c r="BI95" s="13"/>
      <c r="BJ95" s="13"/>
      <c r="BK95" s="13"/>
      <c r="BL95" s="14"/>
      <c r="BM95" s="9"/>
      <c r="BN95" s="16"/>
      <c r="BO95" s="10"/>
      <c r="BP95" s="10"/>
      <c r="BQ95" s="10"/>
      <c r="BR95" s="11"/>
      <c r="BS95" s="12"/>
      <c r="BT95" s="17"/>
      <c r="BU95" s="13"/>
      <c r="BV95" s="13"/>
      <c r="BW95" s="13"/>
      <c r="BX95" s="14"/>
      <c r="BY95" s="9"/>
      <c r="BZ95" s="16"/>
      <c r="CA95" s="10"/>
      <c r="CB95" s="10"/>
      <c r="CC95" s="10"/>
      <c r="CD95" s="11"/>
      <c r="CE95" s="12"/>
      <c r="CF95" s="17"/>
      <c r="CG95" s="13"/>
      <c r="CH95" s="13"/>
      <c r="CI95" s="13"/>
      <c r="CJ95" s="14"/>
      <c r="CK95" s="9"/>
      <c r="CL95" s="16"/>
      <c r="CM95" s="10"/>
      <c r="CN95" s="10"/>
      <c r="CO95" s="10"/>
      <c r="CP95" s="11"/>
      <c r="CQ95" s="12"/>
      <c r="CR95" s="17"/>
      <c r="CS95" s="13"/>
      <c r="CT95" s="13"/>
      <c r="CU95" s="13"/>
      <c r="CV95" s="14"/>
      <c r="CW95" s="9"/>
      <c r="CX95" s="16"/>
      <c r="CY95" s="10"/>
      <c r="CZ95" s="10"/>
      <c r="DA95" s="10"/>
      <c r="DB95" s="11"/>
      <c r="DC95" s="12"/>
      <c r="DD95" s="17"/>
      <c r="DE95" s="13"/>
      <c r="DF95" s="13"/>
      <c r="DG95" s="13"/>
      <c r="DH95" s="14"/>
      <c r="DI95" s="8">
        <f t="shared" si="18"/>
        <v>333</v>
      </c>
      <c r="DJ95" s="8">
        <f t="shared" si="19"/>
        <v>221</v>
      </c>
      <c r="DK95" s="8">
        <f t="shared" si="20"/>
        <v>257</v>
      </c>
      <c r="DL95" s="8">
        <f t="shared" si="21"/>
        <v>105</v>
      </c>
      <c r="DM95" s="8">
        <f t="shared" si="22"/>
        <v>333</v>
      </c>
      <c r="DN95" s="8">
        <f t="shared" si="23"/>
        <v>221</v>
      </c>
      <c r="DO95" s="15">
        <f t="shared" si="24"/>
        <v>23.820721551414014</v>
      </c>
      <c r="DP95" s="15" t="str">
        <f t="shared" si="25"/>
        <v>OK - No Upgrade</v>
      </c>
      <c r="DQ95" s="15" t="str">
        <f t="shared" si="26"/>
        <v>Need to Balance</v>
      </c>
    </row>
    <row r="96" spans="1:121" ht="15.75" customHeight="1" x14ac:dyDescent="0.25">
      <c r="A96" s="8" t="s">
        <v>1459</v>
      </c>
      <c r="B96" s="8" t="s">
        <v>1713</v>
      </c>
      <c r="C96" s="8" t="s">
        <v>389</v>
      </c>
      <c r="D96" s="8" t="s">
        <v>1970</v>
      </c>
      <c r="E96" s="8" t="s">
        <v>1971</v>
      </c>
      <c r="F96" s="8" t="s">
        <v>43</v>
      </c>
      <c r="G96" s="8"/>
      <c r="H96" s="8">
        <v>100</v>
      </c>
      <c r="I96" s="8" t="s">
        <v>1972</v>
      </c>
      <c r="J96" s="8">
        <v>1</v>
      </c>
      <c r="K96" s="8">
        <v>199</v>
      </c>
      <c r="L96" s="8">
        <v>205</v>
      </c>
      <c r="M96" s="8">
        <v>206</v>
      </c>
      <c r="N96" s="8">
        <v>349</v>
      </c>
      <c r="O96" s="8">
        <v>358</v>
      </c>
      <c r="P96" s="8">
        <v>350</v>
      </c>
      <c r="Q96" s="9" t="s">
        <v>46</v>
      </c>
      <c r="R96" s="16"/>
      <c r="S96" s="10">
        <v>32</v>
      </c>
      <c r="T96" s="10">
        <v>57</v>
      </c>
      <c r="U96" s="10">
        <v>18</v>
      </c>
      <c r="V96" s="11">
        <v>30</v>
      </c>
      <c r="W96" s="12"/>
      <c r="X96" s="17"/>
      <c r="Y96" s="13"/>
      <c r="Z96" s="13"/>
      <c r="AA96" s="13"/>
      <c r="AB96" s="14"/>
      <c r="AC96" s="9"/>
      <c r="AD96" s="16"/>
      <c r="AE96" s="10"/>
      <c r="AF96" s="10"/>
      <c r="AG96" s="10"/>
      <c r="AH96" s="11"/>
      <c r="AI96" s="12"/>
      <c r="AJ96" s="17"/>
      <c r="AK96" s="13"/>
      <c r="AL96" s="13"/>
      <c r="AM96" s="13"/>
      <c r="AN96" s="14"/>
      <c r="AO96" s="9"/>
      <c r="AP96" s="16"/>
      <c r="AQ96" s="10"/>
      <c r="AR96" s="10"/>
      <c r="AS96" s="10"/>
      <c r="AT96" s="11"/>
      <c r="AU96" s="12"/>
      <c r="AV96" s="17"/>
      <c r="AW96" s="13"/>
      <c r="AX96" s="13"/>
      <c r="AY96" s="13"/>
      <c r="AZ96" s="14"/>
      <c r="BA96" s="9"/>
      <c r="BB96" s="16"/>
      <c r="BC96" s="10"/>
      <c r="BD96" s="10"/>
      <c r="BE96" s="10"/>
      <c r="BF96" s="11"/>
      <c r="BG96" s="12"/>
      <c r="BH96" s="17"/>
      <c r="BI96" s="13"/>
      <c r="BJ96" s="13"/>
      <c r="BK96" s="13"/>
      <c r="BL96" s="14"/>
      <c r="BM96" s="9"/>
      <c r="BN96" s="16"/>
      <c r="BO96" s="10"/>
      <c r="BP96" s="10"/>
      <c r="BQ96" s="10"/>
      <c r="BR96" s="11"/>
      <c r="BS96" s="12"/>
      <c r="BT96" s="17"/>
      <c r="BU96" s="13"/>
      <c r="BV96" s="13"/>
      <c r="BW96" s="13"/>
      <c r="BX96" s="14"/>
      <c r="BY96" s="9"/>
      <c r="BZ96" s="16"/>
      <c r="CA96" s="10"/>
      <c r="CB96" s="10"/>
      <c r="CC96" s="10"/>
      <c r="CD96" s="11"/>
      <c r="CE96" s="12"/>
      <c r="CF96" s="17"/>
      <c r="CG96" s="13"/>
      <c r="CH96" s="13"/>
      <c r="CI96" s="13"/>
      <c r="CJ96" s="14"/>
      <c r="CK96" s="9"/>
      <c r="CL96" s="16"/>
      <c r="CM96" s="10"/>
      <c r="CN96" s="10"/>
      <c r="CO96" s="10"/>
      <c r="CP96" s="11"/>
      <c r="CQ96" s="12"/>
      <c r="CR96" s="17"/>
      <c r="CS96" s="13"/>
      <c r="CT96" s="13"/>
      <c r="CU96" s="13"/>
      <c r="CV96" s="14"/>
      <c r="CW96" s="9"/>
      <c r="CX96" s="16"/>
      <c r="CY96" s="10"/>
      <c r="CZ96" s="10"/>
      <c r="DA96" s="10"/>
      <c r="DB96" s="11"/>
      <c r="DC96" s="12"/>
      <c r="DD96" s="17"/>
      <c r="DE96" s="13"/>
      <c r="DF96" s="13"/>
      <c r="DG96" s="13"/>
      <c r="DH96" s="14"/>
      <c r="DI96" s="8">
        <f t="shared" si="18"/>
        <v>32</v>
      </c>
      <c r="DJ96" s="8">
        <f t="shared" si="19"/>
        <v>57</v>
      </c>
      <c r="DK96" s="8">
        <f t="shared" si="20"/>
        <v>18</v>
      </c>
      <c r="DL96" s="8">
        <f t="shared" si="21"/>
        <v>30</v>
      </c>
      <c r="DM96" s="8">
        <f t="shared" si="22"/>
        <v>57</v>
      </c>
      <c r="DN96" s="8">
        <f t="shared" si="23"/>
        <v>18</v>
      </c>
      <c r="DO96" s="15">
        <f t="shared" si="24"/>
        <v>34.455686714967669</v>
      </c>
      <c r="DP96" s="15" t="str">
        <f t="shared" si="25"/>
        <v>OK - No Upgrade</v>
      </c>
      <c r="DQ96" s="15" t="str">
        <f t="shared" si="26"/>
        <v>Need to Balance</v>
      </c>
    </row>
    <row r="97" spans="1:121" ht="15.75" customHeight="1" x14ac:dyDescent="0.25">
      <c r="A97" s="8" t="s">
        <v>1459</v>
      </c>
      <c r="B97" s="8" t="s">
        <v>1713</v>
      </c>
      <c r="C97" s="8" t="s">
        <v>389</v>
      </c>
      <c r="D97" s="8" t="s">
        <v>1973</v>
      </c>
      <c r="E97" s="8" t="s">
        <v>1974</v>
      </c>
      <c r="F97" s="8" t="s">
        <v>43</v>
      </c>
      <c r="G97" s="8"/>
      <c r="H97" s="8">
        <v>100</v>
      </c>
      <c r="I97" s="8" t="s">
        <v>1975</v>
      </c>
      <c r="J97" s="8">
        <v>1</v>
      </c>
      <c r="K97" s="8">
        <v>201</v>
      </c>
      <c r="L97" s="8">
        <v>208</v>
      </c>
      <c r="M97" s="8">
        <v>208</v>
      </c>
      <c r="N97" s="8">
        <v>351</v>
      </c>
      <c r="O97" s="8">
        <v>354</v>
      </c>
      <c r="P97" s="8">
        <v>365</v>
      </c>
      <c r="Q97" s="9" t="s">
        <v>46</v>
      </c>
      <c r="R97" s="16"/>
      <c r="S97" s="10">
        <v>13</v>
      </c>
      <c r="T97" s="10">
        <v>6</v>
      </c>
      <c r="U97" s="10">
        <v>12</v>
      </c>
      <c r="V97" s="11">
        <v>4</v>
      </c>
      <c r="W97" s="12" t="s">
        <v>47</v>
      </c>
      <c r="X97" s="17"/>
      <c r="Y97" s="13">
        <v>30</v>
      </c>
      <c r="Z97" s="13">
        <v>20</v>
      </c>
      <c r="AA97" s="13">
        <v>12</v>
      </c>
      <c r="AB97" s="14">
        <v>11</v>
      </c>
      <c r="AC97" s="9"/>
      <c r="AD97" s="16"/>
      <c r="AE97" s="10"/>
      <c r="AF97" s="10"/>
      <c r="AG97" s="10"/>
      <c r="AH97" s="11"/>
      <c r="AI97" s="12"/>
      <c r="AJ97" s="17"/>
      <c r="AK97" s="13"/>
      <c r="AL97" s="13"/>
      <c r="AM97" s="13"/>
      <c r="AN97" s="14"/>
      <c r="AO97" s="9"/>
      <c r="AP97" s="16"/>
      <c r="AQ97" s="10"/>
      <c r="AR97" s="10"/>
      <c r="AS97" s="10"/>
      <c r="AT97" s="11"/>
      <c r="AU97" s="12"/>
      <c r="AV97" s="17"/>
      <c r="AW97" s="13"/>
      <c r="AX97" s="13"/>
      <c r="AY97" s="13"/>
      <c r="AZ97" s="14"/>
      <c r="BA97" s="9"/>
      <c r="BB97" s="16"/>
      <c r="BC97" s="10"/>
      <c r="BD97" s="10"/>
      <c r="BE97" s="10"/>
      <c r="BF97" s="11"/>
      <c r="BG97" s="12"/>
      <c r="BH97" s="17"/>
      <c r="BI97" s="13"/>
      <c r="BJ97" s="13"/>
      <c r="BK97" s="13"/>
      <c r="BL97" s="14"/>
      <c r="BM97" s="9"/>
      <c r="BN97" s="16"/>
      <c r="BO97" s="10"/>
      <c r="BP97" s="10"/>
      <c r="BQ97" s="10"/>
      <c r="BR97" s="11"/>
      <c r="BS97" s="12"/>
      <c r="BT97" s="17"/>
      <c r="BU97" s="13"/>
      <c r="BV97" s="13"/>
      <c r="BW97" s="13"/>
      <c r="BX97" s="14"/>
      <c r="BY97" s="9"/>
      <c r="BZ97" s="16"/>
      <c r="CA97" s="10"/>
      <c r="CB97" s="10"/>
      <c r="CC97" s="10"/>
      <c r="CD97" s="11"/>
      <c r="CE97" s="12"/>
      <c r="CF97" s="17"/>
      <c r="CG97" s="13"/>
      <c r="CH97" s="13"/>
      <c r="CI97" s="13"/>
      <c r="CJ97" s="14"/>
      <c r="CK97" s="9"/>
      <c r="CL97" s="16"/>
      <c r="CM97" s="10"/>
      <c r="CN97" s="10"/>
      <c r="CO97" s="10"/>
      <c r="CP97" s="11"/>
      <c r="CQ97" s="12"/>
      <c r="CR97" s="17"/>
      <c r="CS97" s="13"/>
      <c r="CT97" s="13"/>
      <c r="CU97" s="13"/>
      <c r="CV97" s="14"/>
      <c r="CW97" s="9"/>
      <c r="CX97" s="16"/>
      <c r="CY97" s="10"/>
      <c r="CZ97" s="10"/>
      <c r="DA97" s="10"/>
      <c r="DB97" s="11"/>
      <c r="DC97" s="12"/>
      <c r="DD97" s="17"/>
      <c r="DE97" s="13"/>
      <c r="DF97" s="13"/>
      <c r="DG97" s="13"/>
      <c r="DH97" s="14"/>
      <c r="DI97" s="8">
        <f t="shared" si="18"/>
        <v>43</v>
      </c>
      <c r="DJ97" s="8">
        <f t="shared" si="19"/>
        <v>26</v>
      </c>
      <c r="DK97" s="8">
        <f t="shared" si="20"/>
        <v>24</v>
      </c>
      <c r="DL97" s="8">
        <f t="shared" si="21"/>
        <v>15</v>
      </c>
      <c r="DM97" s="8">
        <f t="shared" si="22"/>
        <v>43</v>
      </c>
      <c r="DN97" s="8">
        <f t="shared" si="23"/>
        <v>24</v>
      </c>
      <c r="DO97" s="15">
        <f t="shared" si="24"/>
        <v>26.141842838637064</v>
      </c>
      <c r="DP97" s="15" t="str">
        <f t="shared" si="25"/>
        <v>OK - No Upgrade</v>
      </c>
      <c r="DQ97" s="15" t="str">
        <f t="shared" si="26"/>
        <v>Need to Balance</v>
      </c>
    </row>
    <row r="98" spans="1:121" ht="15.75" customHeight="1" x14ac:dyDescent="0.25">
      <c r="A98" s="8" t="s">
        <v>1459</v>
      </c>
      <c r="B98" s="8" t="s">
        <v>1713</v>
      </c>
      <c r="C98" s="8" t="s">
        <v>389</v>
      </c>
      <c r="D98" s="8" t="s">
        <v>1976</v>
      </c>
      <c r="E98" s="8" t="s">
        <v>1977</v>
      </c>
      <c r="F98" s="8" t="s">
        <v>43</v>
      </c>
      <c r="G98" s="8"/>
      <c r="H98" s="8">
        <v>100</v>
      </c>
      <c r="I98" s="8" t="s">
        <v>1978</v>
      </c>
      <c r="J98" s="8">
        <v>1</v>
      </c>
      <c r="K98" s="8">
        <v>201</v>
      </c>
      <c r="L98" s="8">
        <v>210</v>
      </c>
      <c r="M98" s="8">
        <v>209</v>
      </c>
      <c r="N98" s="8">
        <v>352</v>
      </c>
      <c r="O98" s="8">
        <v>354</v>
      </c>
      <c r="P98" s="8">
        <v>368</v>
      </c>
      <c r="Q98" s="9" t="s">
        <v>46</v>
      </c>
      <c r="R98" s="16"/>
      <c r="S98" s="10">
        <v>0</v>
      </c>
      <c r="T98" s="10">
        <v>0</v>
      </c>
      <c r="U98" s="10">
        <v>0</v>
      </c>
      <c r="V98" s="11">
        <v>0</v>
      </c>
      <c r="W98" s="12" t="s">
        <v>46</v>
      </c>
      <c r="X98" s="17"/>
      <c r="Y98" s="13">
        <v>52</v>
      </c>
      <c r="Z98" s="13">
        <v>6</v>
      </c>
      <c r="AA98" s="13">
        <v>33</v>
      </c>
      <c r="AB98" s="14">
        <v>41</v>
      </c>
      <c r="AC98" s="9"/>
      <c r="AD98" s="16"/>
      <c r="AE98" s="10"/>
      <c r="AF98" s="10"/>
      <c r="AG98" s="10"/>
      <c r="AH98" s="11"/>
      <c r="AI98" s="12"/>
      <c r="AJ98" s="17"/>
      <c r="AK98" s="13"/>
      <c r="AL98" s="13"/>
      <c r="AM98" s="13"/>
      <c r="AN98" s="14"/>
      <c r="AO98" s="9"/>
      <c r="AP98" s="16"/>
      <c r="AQ98" s="10"/>
      <c r="AR98" s="10"/>
      <c r="AS98" s="10"/>
      <c r="AT98" s="11"/>
      <c r="AU98" s="12"/>
      <c r="AV98" s="17"/>
      <c r="AW98" s="13"/>
      <c r="AX98" s="13"/>
      <c r="AY98" s="13"/>
      <c r="AZ98" s="14"/>
      <c r="BA98" s="9"/>
      <c r="BB98" s="16"/>
      <c r="BC98" s="10"/>
      <c r="BD98" s="10"/>
      <c r="BE98" s="10"/>
      <c r="BF98" s="11"/>
      <c r="BG98" s="12"/>
      <c r="BH98" s="17"/>
      <c r="BI98" s="13"/>
      <c r="BJ98" s="13"/>
      <c r="BK98" s="13"/>
      <c r="BL98" s="14"/>
      <c r="BM98" s="9"/>
      <c r="BN98" s="16"/>
      <c r="BO98" s="10"/>
      <c r="BP98" s="10"/>
      <c r="BQ98" s="10"/>
      <c r="BR98" s="11"/>
      <c r="BS98" s="12"/>
      <c r="BT98" s="17"/>
      <c r="BU98" s="13"/>
      <c r="BV98" s="13"/>
      <c r="BW98" s="13"/>
      <c r="BX98" s="14"/>
      <c r="BY98" s="9"/>
      <c r="BZ98" s="16"/>
      <c r="CA98" s="10"/>
      <c r="CB98" s="10"/>
      <c r="CC98" s="10"/>
      <c r="CD98" s="11"/>
      <c r="CE98" s="12"/>
      <c r="CF98" s="17"/>
      <c r="CG98" s="13"/>
      <c r="CH98" s="13"/>
      <c r="CI98" s="13"/>
      <c r="CJ98" s="14"/>
      <c r="CK98" s="9"/>
      <c r="CL98" s="16"/>
      <c r="CM98" s="10"/>
      <c r="CN98" s="10"/>
      <c r="CO98" s="10"/>
      <c r="CP98" s="11"/>
      <c r="CQ98" s="12"/>
      <c r="CR98" s="17"/>
      <c r="CS98" s="13"/>
      <c r="CT98" s="13"/>
      <c r="CU98" s="13"/>
      <c r="CV98" s="14"/>
      <c r="CW98" s="9"/>
      <c r="CX98" s="16"/>
      <c r="CY98" s="10"/>
      <c r="CZ98" s="10"/>
      <c r="DA98" s="10"/>
      <c r="DB98" s="11"/>
      <c r="DC98" s="12"/>
      <c r="DD98" s="17"/>
      <c r="DE98" s="13"/>
      <c r="DF98" s="13"/>
      <c r="DG98" s="13"/>
      <c r="DH98" s="14"/>
      <c r="DI98" s="8">
        <f t="shared" si="18"/>
        <v>52</v>
      </c>
      <c r="DJ98" s="8">
        <f t="shared" si="19"/>
        <v>6</v>
      </c>
      <c r="DK98" s="8">
        <f t="shared" si="20"/>
        <v>33</v>
      </c>
      <c r="DL98" s="8">
        <f t="shared" si="21"/>
        <v>41</v>
      </c>
      <c r="DM98" s="8">
        <f t="shared" si="22"/>
        <v>52</v>
      </c>
      <c r="DN98" s="8">
        <f t="shared" si="23"/>
        <v>6</v>
      </c>
      <c r="DO98" s="15">
        <f t="shared" si="24"/>
        <v>31.70345798174073</v>
      </c>
      <c r="DP98" s="15" t="str">
        <f t="shared" si="25"/>
        <v>OK - No Upgrade</v>
      </c>
      <c r="DQ98" s="15" t="str">
        <f t="shared" si="26"/>
        <v>Need to Balance</v>
      </c>
    </row>
    <row r="99" spans="1:121" ht="15.75" customHeight="1" x14ac:dyDescent="0.25">
      <c r="A99" s="8" t="s">
        <v>1459</v>
      </c>
      <c r="B99" s="8" t="s">
        <v>1713</v>
      </c>
      <c r="C99" s="8" t="s">
        <v>389</v>
      </c>
      <c r="D99" s="8" t="s">
        <v>1979</v>
      </c>
      <c r="E99" s="8" t="s">
        <v>1980</v>
      </c>
      <c r="F99" s="8" t="s">
        <v>43</v>
      </c>
      <c r="G99" s="8"/>
      <c r="H99" s="8">
        <v>315</v>
      </c>
      <c r="I99" s="8" t="s">
        <v>1981</v>
      </c>
      <c r="J99" s="8">
        <v>1</v>
      </c>
      <c r="K99" s="8">
        <v>204</v>
      </c>
      <c r="L99" s="8">
        <v>210</v>
      </c>
      <c r="M99" s="8">
        <v>210</v>
      </c>
      <c r="N99" s="8">
        <v>356</v>
      </c>
      <c r="O99" s="8">
        <v>358</v>
      </c>
      <c r="P99" s="8">
        <v>368</v>
      </c>
      <c r="Q99" s="9" t="s">
        <v>47</v>
      </c>
      <c r="R99" s="16"/>
      <c r="S99" s="10">
        <v>83</v>
      </c>
      <c r="T99" s="10">
        <v>38</v>
      </c>
      <c r="U99" s="10">
        <v>17</v>
      </c>
      <c r="V99" s="11">
        <v>45</v>
      </c>
      <c r="W99" s="12" t="s">
        <v>47</v>
      </c>
      <c r="X99" s="17"/>
      <c r="Y99" s="13">
        <v>0</v>
      </c>
      <c r="Z99" s="13">
        <v>0</v>
      </c>
      <c r="AA99" s="13">
        <v>0</v>
      </c>
      <c r="AB99" s="14">
        <v>0</v>
      </c>
      <c r="AC99" s="9"/>
      <c r="AD99" s="16"/>
      <c r="AE99" s="10"/>
      <c r="AF99" s="10"/>
      <c r="AG99" s="10"/>
      <c r="AH99" s="11"/>
      <c r="AI99" s="12"/>
      <c r="AJ99" s="17"/>
      <c r="AK99" s="13"/>
      <c r="AL99" s="13"/>
      <c r="AM99" s="13"/>
      <c r="AN99" s="14"/>
      <c r="AO99" s="9"/>
      <c r="AP99" s="16"/>
      <c r="AQ99" s="10"/>
      <c r="AR99" s="10"/>
      <c r="AS99" s="10"/>
      <c r="AT99" s="11"/>
      <c r="AU99" s="12"/>
      <c r="AV99" s="17"/>
      <c r="AW99" s="13"/>
      <c r="AX99" s="13"/>
      <c r="AY99" s="13"/>
      <c r="AZ99" s="14"/>
      <c r="BA99" s="9"/>
      <c r="BB99" s="16"/>
      <c r="BC99" s="10"/>
      <c r="BD99" s="10"/>
      <c r="BE99" s="10"/>
      <c r="BF99" s="11"/>
      <c r="BG99" s="12"/>
      <c r="BH99" s="17"/>
      <c r="BI99" s="13"/>
      <c r="BJ99" s="13"/>
      <c r="BK99" s="13"/>
      <c r="BL99" s="14"/>
      <c r="BM99" s="9"/>
      <c r="BN99" s="16"/>
      <c r="BO99" s="10"/>
      <c r="BP99" s="10"/>
      <c r="BQ99" s="10"/>
      <c r="BR99" s="11"/>
      <c r="BS99" s="12"/>
      <c r="BT99" s="17"/>
      <c r="BU99" s="13"/>
      <c r="BV99" s="13"/>
      <c r="BW99" s="13"/>
      <c r="BX99" s="14"/>
      <c r="BY99" s="9"/>
      <c r="BZ99" s="16"/>
      <c r="CA99" s="10"/>
      <c r="CB99" s="10"/>
      <c r="CC99" s="10"/>
      <c r="CD99" s="11"/>
      <c r="CE99" s="12"/>
      <c r="CF99" s="17"/>
      <c r="CG99" s="13"/>
      <c r="CH99" s="13"/>
      <c r="CI99" s="13"/>
      <c r="CJ99" s="14"/>
      <c r="CK99" s="9"/>
      <c r="CL99" s="16"/>
      <c r="CM99" s="10"/>
      <c r="CN99" s="10"/>
      <c r="CO99" s="10"/>
      <c r="CP99" s="11"/>
      <c r="CQ99" s="12"/>
      <c r="CR99" s="17"/>
      <c r="CS99" s="13"/>
      <c r="CT99" s="13"/>
      <c r="CU99" s="13"/>
      <c r="CV99" s="14"/>
      <c r="CW99" s="9"/>
      <c r="CX99" s="16"/>
      <c r="CY99" s="10"/>
      <c r="CZ99" s="10"/>
      <c r="DA99" s="10"/>
      <c r="DB99" s="11"/>
      <c r="DC99" s="12"/>
      <c r="DD99" s="17"/>
      <c r="DE99" s="13"/>
      <c r="DF99" s="13"/>
      <c r="DG99" s="13"/>
      <c r="DH99" s="14"/>
      <c r="DI99" s="8">
        <f t="shared" si="18"/>
        <v>83</v>
      </c>
      <c r="DJ99" s="8">
        <f t="shared" si="19"/>
        <v>38</v>
      </c>
      <c r="DK99" s="8">
        <f t="shared" si="20"/>
        <v>17</v>
      </c>
      <c r="DL99" s="8">
        <f t="shared" si="21"/>
        <v>45</v>
      </c>
      <c r="DM99" s="8">
        <f t="shared" si="22"/>
        <v>83</v>
      </c>
      <c r="DN99" s="8">
        <f t="shared" si="23"/>
        <v>17</v>
      </c>
      <c r="DO99" s="15">
        <f t="shared" si="24"/>
        <v>16.247186432395296</v>
      </c>
      <c r="DP99" s="15" t="str">
        <f t="shared" si="25"/>
        <v>OK - No Upgrade</v>
      </c>
      <c r="DQ99" s="15" t="str">
        <f t="shared" si="26"/>
        <v>Need to Balance</v>
      </c>
    </row>
    <row r="100" spans="1:121" ht="15.75" customHeight="1" x14ac:dyDescent="0.25">
      <c r="A100" s="8" t="s">
        <v>1459</v>
      </c>
      <c r="B100" s="8" t="s">
        <v>1713</v>
      </c>
      <c r="C100" s="8" t="s">
        <v>40</v>
      </c>
      <c r="D100" s="8" t="s">
        <v>1982</v>
      </c>
      <c r="E100" s="8" t="s">
        <v>1983</v>
      </c>
      <c r="F100" s="8" t="s">
        <v>56</v>
      </c>
      <c r="G100" s="8"/>
      <c r="H100" s="8">
        <v>1000</v>
      </c>
      <c r="I100" s="8" t="s">
        <v>619</v>
      </c>
      <c r="J100" s="8">
        <v>1</v>
      </c>
      <c r="K100" s="8">
        <v>236</v>
      </c>
      <c r="L100" s="8">
        <v>237</v>
      </c>
      <c r="M100" s="8">
        <v>238</v>
      </c>
      <c r="N100" s="8">
        <v>413</v>
      </c>
      <c r="O100" s="8">
        <v>415</v>
      </c>
      <c r="P100" s="8">
        <v>410</v>
      </c>
      <c r="Q100" s="9" t="s">
        <v>47</v>
      </c>
      <c r="R100" s="16"/>
      <c r="S100" s="10">
        <v>38</v>
      </c>
      <c r="T100" s="10">
        <v>28</v>
      </c>
      <c r="U100" s="10">
        <v>82</v>
      </c>
      <c r="V100" s="11">
        <v>52</v>
      </c>
      <c r="W100" s="12" t="s">
        <v>47</v>
      </c>
      <c r="X100" s="17"/>
      <c r="Y100" s="13">
        <v>67</v>
      </c>
      <c r="Z100" s="13">
        <v>80</v>
      </c>
      <c r="AA100" s="13">
        <v>68</v>
      </c>
      <c r="AB100" s="14">
        <v>27</v>
      </c>
      <c r="AC100" s="9" t="s">
        <v>47</v>
      </c>
      <c r="AD100" s="16"/>
      <c r="AE100" s="10">
        <v>36</v>
      </c>
      <c r="AF100" s="10">
        <v>52</v>
      </c>
      <c r="AG100" s="10">
        <v>33</v>
      </c>
      <c r="AH100" s="11">
        <v>10</v>
      </c>
      <c r="AI100" s="12" t="s">
        <v>47</v>
      </c>
      <c r="AJ100" s="17"/>
      <c r="AK100" s="13">
        <v>81</v>
      </c>
      <c r="AL100" s="13">
        <v>105</v>
      </c>
      <c r="AM100" s="13">
        <v>54</v>
      </c>
      <c r="AN100" s="14">
        <v>67</v>
      </c>
      <c r="AO100" s="9" t="s">
        <v>47</v>
      </c>
      <c r="AP100" s="16"/>
      <c r="AQ100" s="10">
        <v>116</v>
      </c>
      <c r="AR100" s="10">
        <v>68</v>
      </c>
      <c r="AS100" s="10">
        <v>81</v>
      </c>
      <c r="AT100" s="11">
        <v>40</v>
      </c>
      <c r="AU100" s="12" t="s">
        <v>47</v>
      </c>
      <c r="AV100" s="17"/>
      <c r="AW100" s="13">
        <v>122</v>
      </c>
      <c r="AX100" s="13">
        <v>193</v>
      </c>
      <c r="AY100" s="13">
        <v>127</v>
      </c>
      <c r="AZ100" s="14">
        <v>50</v>
      </c>
      <c r="BA100" s="9" t="s">
        <v>47</v>
      </c>
      <c r="BB100" s="16"/>
      <c r="BC100" s="10">
        <v>106</v>
      </c>
      <c r="BD100" s="10">
        <v>81</v>
      </c>
      <c r="BE100" s="10">
        <v>84</v>
      </c>
      <c r="BF100" s="11">
        <v>25</v>
      </c>
      <c r="BG100" s="12"/>
      <c r="BH100" s="17"/>
      <c r="BI100" s="13"/>
      <c r="BJ100" s="13"/>
      <c r="BK100" s="13"/>
      <c r="BL100" s="14"/>
      <c r="BM100" s="9"/>
      <c r="BN100" s="16"/>
      <c r="BO100" s="10"/>
      <c r="BP100" s="10"/>
      <c r="BQ100" s="10"/>
      <c r="BR100" s="11"/>
      <c r="BS100" s="12"/>
      <c r="BT100" s="17"/>
      <c r="BU100" s="13"/>
      <c r="BV100" s="13"/>
      <c r="BW100" s="13"/>
      <c r="BX100" s="14"/>
      <c r="BY100" s="9"/>
      <c r="BZ100" s="16"/>
      <c r="CA100" s="10"/>
      <c r="CB100" s="10"/>
      <c r="CC100" s="10"/>
      <c r="CD100" s="11"/>
      <c r="CE100" s="12"/>
      <c r="CF100" s="17"/>
      <c r="CG100" s="13"/>
      <c r="CH100" s="13"/>
      <c r="CI100" s="13"/>
      <c r="CJ100" s="14"/>
      <c r="CK100" s="9"/>
      <c r="CL100" s="16"/>
      <c r="CM100" s="10"/>
      <c r="CN100" s="10"/>
      <c r="CO100" s="10"/>
      <c r="CP100" s="11"/>
      <c r="CQ100" s="12"/>
      <c r="CR100" s="17"/>
      <c r="CS100" s="13"/>
      <c r="CT100" s="13"/>
      <c r="CU100" s="13"/>
      <c r="CV100" s="14"/>
      <c r="CW100" s="9"/>
      <c r="CX100" s="16"/>
      <c r="CY100" s="10"/>
      <c r="CZ100" s="10"/>
      <c r="DA100" s="10"/>
      <c r="DB100" s="11"/>
      <c r="DC100" s="12"/>
      <c r="DD100" s="17"/>
      <c r="DE100" s="13"/>
      <c r="DF100" s="13"/>
      <c r="DG100" s="13"/>
      <c r="DH100" s="14"/>
      <c r="DI100" s="8">
        <f t="shared" ref="DI100:DI131" si="27">SUM(S100,Y100,AE100,AK100,AQ100,AW100,BC100,BI100,BO100,BU100,CA100,CG100,CM100,CS100,CY100,DE100)</f>
        <v>566</v>
      </c>
      <c r="DJ100" s="8">
        <f t="shared" ref="DJ100:DJ131" si="28">SUM(T100,Z100,AF100,AL100,AR100,AX100,BD100,BJ100,BP100,BV100,CB100,CH100,CN100,CT100,CZ100,DF100)</f>
        <v>607</v>
      </c>
      <c r="DK100" s="8">
        <f t="shared" ref="DK100:DK131" si="29">SUM(U100,AA100,AG100,AM100,AS100,AY100,BE100,BK100,BQ100,BW100,CC100,CI100,CO100,CU100,DA100,DG100)</f>
        <v>529</v>
      </c>
      <c r="DL100" s="8">
        <f t="shared" ref="DL100:DL131" si="30">SUM(V100,AB100,AH100,AN100,AT100,AZ100,BF100,BL100,BR100,BX100,CD100,CJ100,CP100,CV100,DB100,DH100)</f>
        <v>271</v>
      </c>
      <c r="DM100" s="8">
        <f t="shared" ref="DM100:DM131" si="31">MAX(DI100:DK100)</f>
        <v>607</v>
      </c>
      <c r="DN100" s="8">
        <f t="shared" ref="DN100:DN131" si="32">MIN(DI100:DK100)</f>
        <v>529</v>
      </c>
      <c r="DO100" s="15">
        <f t="shared" ref="DO100:DO131" si="33">IF(H100&gt;0,(DM100*SQRT(3)*IF(N100&gt;0,N100,IF(O100&gt;0,O100,IF(P100&gt;0,P100,415)))/(H100*1000))*100,0)</f>
        <v>43.420954900024945</v>
      </c>
      <c r="DP100" s="15" t="str">
        <f t="shared" ref="DP100:DP131" si="34">IF(DO100&gt;70,"Upgrade","OK - No Upgrade")</f>
        <v>OK - No Upgrade</v>
      </c>
      <c r="DQ100" s="15" t="str">
        <f t="shared" ref="DQ100:DQ131" si="35">IF(IF(AVERAGE(DI100:DK100)&gt;0,((DM100-AVERAGE(DI100:DK100))/AVERAGE(DI100:DK100))*100,0)&gt;10,"Need to Balance","OK - Balanced")</f>
        <v>OK - Balanced</v>
      </c>
    </row>
    <row r="101" spans="1:121" ht="15.75" customHeight="1" x14ac:dyDescent="0.25">
      <c r="A101" s="8" t="s">
        <v>1459</v>
      </c>
      <c r="B101" s="8" t="s">
        <v>1713</v>
      </c>
      <c r="C101" s="8" t="s">
        <v>389</v>
      </c>
      <c r="D101" s="8" t="s">
        <v>1984</v>
      </c>
      <c r="E101" s="8" t="s">
        <v>1985</v>
      </c>
      <c r="F101" s="8" t="s">
        <v>43</v>
      </c>
      <c r="G101" s="8"/>
      <c r="H101" s="8">
        <v>315</v>
      </c>
      <c r="I101" s="8" t="s">
        <v>1986</v>
      </c>
      <c r="J101" s="8">
        <v>1</v>
      </c>
      <c r="K101" s="8">
        <v>205</v>
      </c>
      <c r="L101" s="8">
        <v>211</v>
      </c>
      <c r="M101" s="8">
        <v>211</v>
      </c>
      <c r="N101" s="8">
        <v>356</v>
      </c>
      <c r="O101" s="8">
        <v>359</v>
      </c>
      <c r="P101" s="8">
        <v>370</v>
      </c>
      <c r="Q101" s="9" t="s">
        <v>46</v>
      </c>
      <c r="R101" s="16"/>
      <c r="S101" s="10"/>
      <c r="T101" s="10"/>
      <c r="U101" s="10"/>
      <c r="V101" s="11"/>
      <c r="W101" s="12" t="s">
        <v>46</v>
      </c>
      <c r="X101" s="17"/>
      <c r="Y101" s="13">
        <v>143</v>
      </c>
      <c r="Z101" s="13">
        <v>34</v>
      </c>
      <c r="AA101" s="13">
        <v>121</v>
      </c>
      <c r="AB101" s="14">
        <v>100</v>
      </c>
      <c r="AC101" s="9"/>
      <c r="AD101" s="16"/>
      <c r="AE101" s="10"/>
      <c r="AF101" s="10"/>
      <c r="AG101" s="10"/>
      <c r="AH101" s="11"/>
      <c r="AI101" s="12"/>
      <c r="AJ101" s="17"/>
      <c r="AK101" s="13"/>
      <c r="AL101" s="13"/>
      <c r="AM101" s="13"/>
      <c r="AN101" s="14"/>
      <c r="AO101" s="9"/>
      <c r="AP101" s="16"/>
      <c r="AQ101" s="10"/>
      <c r="AR101" s="10"/>
      <c r="AS101" s="10"/>
      <c r="AT101" s="11"/>
      <c r="AU101" s="12"/>
      <c r="AV101" s="17"/>
      <c r="AW101" s="13"/>
      <c r="AX101" s="13"/>
      <c r="AY101" s="13"/>
      <c r="AZ101" s="14"/>
      <c r="BA101" s="9"/>
      <c r="BB101" s="16"/>
      <c r="BC101" s="10"/>
      <c r="BD101" s="10"/>
      <c r="BE101" s="10"/>
      <c r="BF101" s="11"/>
      <c r="BG101" s="12"/>
      <c r="BH101" s="17"/>
      <c r="BI101" s="13"/>
      <c r="BJ101" s="13"/>
      <c r="BK101" s="13"/>
      <c r="BL101" s="14"/>
      <c r="BM101" s="9"/>
      <c r="BN101" s="16"/>
      <c r="BO101" s="10"/>
      <c r="BP101" s="10"/>
      <c r="BQ101" s="10"/>
      <c r="BR101" s="11"/>
      <c r="BS101" s="12"/>
      <c r="BT101" s="17"/>
      <c r="BU101" s="13"/>
      <c r="BV101" s="13"/>
      <c r="BW101" s="13"/>
      <c r="BX101" s="14"/>
      <c r="BY101" s="9"/>
      <c r="BZ101" s="16"/>
      <c r="CA101" s="10"/>
      <c r="CB101" s="10"/>
      <c r="CC101" s="10"/>
      <c r="CD101" s="11"/>
      <c r="CE101" s="12"/>
      <c r="CF101" s="17"/>
      <c r="CG101" s="13"/>
      <c r="CH101" s="13"/>
      <c r="CI101" s="13"/>
      <c r="CJ101" s="14"/>
      <c r="CK101" s="9"/>
      <c r="CL101" s="16"/>
      <c r="CM101" s="10"/>
      <c r="CN101" s="10"/>
      <c r="CO101" s="10"/>
      <c r="CP101" s="11"/>
      <c r="CQ101" s="12"/>
      <c r="CR101" s="17"/>
      <c r="CS101" s="13"/>
      <c r="CT101" s="13"/>
      <c r="CU101" s="13"/>
      <c r="CV101" s="14"/>
      <c r="CW101" s="9"/>
      <c r="CX101" s="16"/>
      <c r="CY101" s="10"/>
      <c r="CZ101" s="10"/>
      <c r="DA101" s="10"/>
      <c r="DB101" s="11"/>
      <c r="DC101" s="12"/>
      <c r="DD101" s="17"/>
      <c r="DE101" s="13"/>
      <c r="DF101" s="13"/>
      <c r="DG101" s="13"/>
      <c r="DH101" s="14"/>
      <c r="DI101" s="8">
        <f t="shared" si="27"/>
        <v>143</v>
      </c>
      <c r="DJ101" s="8">
        <f t="shared" si="28"/>
        <v>34</v>
      </c>
      <c r="DK101" s="8">
        <f t="shared" si="29"/>
        <v>121</v>
      </c>
      <c r="DL101" s="8">
        <f t="shared" si="30"/>
        <v>100</v>
      </c>
      <c r="DM101" s="8">
        <f t="shared" si="31"/>
        <v>143</v>
      </c>
      <c r="DN101" s="8">
        <f t="shared" si="32"/>
        <v>34</v>
      </c>
      <c r="DO101" s="15">
        <f t="shared" si="33"/>
        <v>27.992140479909967</v>
      </c>
      <c r="DP101" s="15" t="str">
        <f t="shared" si="34"/>
        <v>OK - No Upgrade</v>
      </c>
      <c r="DQ101" s="15" t="str">
        <f t="shared" si="35"/>
        <v>Need to Balance</v>
      </c>
    </row>
    <row r="102" spans="1:121" ht="15.75" customHeight="1" x14ac:dyDescent="0.25">
      <c r="A102" s="8" t="s">
        <v>1459</v>
      </c>
      <c r="B102" s="8" t="s">
        <v>1713</v>
      </c>
      <c r="C102" s="8" t="s">
        <v>40</v>
      </c>
      <c r="D102" s="8" t="s">
        <v>1987</v>
      </c>
      <c r="E102" s="8" t="s">
        <v>1988</v>
      </c>
      <c r="F102" s="8" t="s">
        <v>43</v>
      </c>
      <c r="G102" s="8"/>
      <c r="H102" s="8">
        <v>315</v>
      </c>
      <c r="I102" s="8" t="s">
        <v>1989</v>
      </c>
      <c r="J102" s="8">
        <v>1</v>
      </c>
      <c r="K102" s="8">
        <v>238</v>
      </c>
      <c r="L102" s="8">
        <v>236</v>
      </c>
      <c r="M102" s="8">
        <v>238</v>
      </c>
      <c r="N102" s="8">
        <v>416</v>
      </c>
      <c r="O102" s="8">
        <v>413</v>
      </c>
      <c r="P102" s="8">
        <v>408</v>
      </c>
      <c r="Q102" s="9" t="s">
        <v>46</v>
      </c>
      <c r="R102" s="16"/>
      <c r="S102" s="10">
        <v>43</v>
      </c>
      <c r="T102" s="10">
        <v>105</v>
      </c>
      <c r="U102" s="10">
        <v>91</v>
      </c>
      <c r="V102" s="11">
        <v>65</v>
      </c>
      <c r="W102" s="12" t="s">
        <v>46</v>
      </c>
      <c r="X102" s="17"/>
      <c r="Y102" s="13">
        <v>78</v>
      </c>
      <c r="Z102" s="13">
        <v>108</v>
      </c>
      <c r="AA102" s="13">
        <v>78</v>
      </c>
      <c r="AB102" s="14">
        <v>23</v>
      </c>
      <c r="AC102" s="9"/>
      <c r="AD102" s="16"/>
      <c r="AE102" s="10"/>
      <c r="AF102" s="10"/>
      <c r="AG102" s="10"/>
      <c r="AH102" s="11"/>
      <c r="AI102" s="12"/>
      <c r="AJ102" s="17"/>
      <c r="AK102" s="13"/>
      <c r="AL102" s="13"/>
      <c r="AM102" s="13"/>
      <c r="AN102" s="14"/>
      <c r="AO102" s="9"/>
      <c r="AP102" s="16"/>
      <c r="AQ102" s="10"/>
      <c r="AR102" s="10"/>
      <c r="AS102" s="10"/>
      <c r="AT102" s="11"/>
      <c r="AU102" s="12"/>
      <c r="AV102" s="17"/>
      <c r="AW102" s="13"/>
      <c r="AX102" s="13"/>
      <c r="AY102" s="13"/>
      <c r="AZ102" s="14"/>
      <c r="BA102" s="9"/>
      <c r="BB102" s="16"/>
      <c r="BC102" s="10"/>
      <c r="BD102" s="10"/>
      <c r="BE102" s="10"/>
      <c r="BF102" s="11"/>
      <c r="BG102" s="12"/>
      <c r="BH102" s="17"/>
      <c r="BI102" s="13"/>
      <c r="BJ102" s="13"/>
      <c r="BK102" s="13"/>
      <c r="BL102" s="14"/>
      <c r="BM102" s="9"/>
      <c r="BN102" s="16"/>
      <c r="BO102" s="10"/>
      <c r="BP102" s="10"/>
      <c r="BQ102" s="10"/>
      <c r="BR102" s="11"/>
      <c r="BS102" s="12"/>
      <c r="BT102" s="17"/>
      <c r="BU102" s="13"/>
      <c r="BV102" s="13"/>
      <c r="BW102" s="13"/>
      <c r="BX102" s="14"/>
      <c r="BY102" s="9"/>
      <c r="BZ102" s="16"/>
      <c r="CA102" s="10"/>
      <c r="CB102" s="10"/>
      <c r="CC102" s="10"/>
      <c r="CD102" s="11"/>
      <c r="CE102" s="12"/>
      <c r="CF102" s="17"/>
      <c r="CG102" s="13"/>
      <c r="CH102" s="13"/>
      <c r="CI102" s="13"/>
      <c r="CJ102" s="14"/>
      <c r="CK102" s="9"/>
      <c r="CL102" s="16"/>
      <c r="CM102" s="10"/>
      <c r="CN102" s="10"/>
      <c r="CO102" s="10"/>
      <c r="CP102" s="11"/>
      <c r="CQ102" s="12"/>
      <c r="CR102" s="17"/>
      <c r="CS102" s="13"/>
      <c r="CT102" s="13"/>
      <c r="CU102" s="13"/>
      <c r="CV102" s="14"/>
      <c r="CW102" s="9"/>
      <c r="CX102" s="16"/>
      <c r="CY102" s="10"/>
      <c r="CZ102" s="10"/>
      <c r="DA102" s="10"/>
      <c r="DB102" s="11"/>
      <c r="DC102" s="12"/>
      <c r="DD102" s="17"/>
      <c r="DE102" s="13"/>
      <c r="DF102" s="13"/>
      <c r="DG102" s="13"/>
      <c r="DH102" s="14"/>
      <c r="DI102" s="8">
        <f t="shared" si="27"/>
        <v>121</v>
      </c>
      <c r="DJ102" s="8">
        <f t="shared" si="28"/>
        <v>213</v>
      </c>
      <c r="DK102" s="8">
        <f t="shared" si="29"/>
        <v>169</v>
      </c>
      <c r="DL102" s="8">
        <f t="shared" si="30"/>
        <v>88</v>
      </c>
      <c r="DM102" s="8">
        <f t="shared" si="31"/>
        <v>213</v>
      </c>
      <c r="DN102" s="8">
        <f t="shared" si="32"/>
        <v>121</v>
      </c>
      <c r="DO102" s="15">
        <f t="shared" si="33"/>
        <v>48.721764430813671</v>
      </c>
      <c r="DP102" s="15" t="str">
        <f t="shared" si="34"/>
        <v>OK - No Upgrade</v>
      </c>
      <c r="DQ102" s="15" t="str">
        <f t="shared" si="35"/>
        <v>Need to Balance</v>
      </c>
    </row>
    <row r="103" spans="1:121" ht="15.75" customHeight="1" x14ac:dyDescent="0.25">
      <c r="A103" s="8" t="s">
        <v>1459</v>
      </c>
      <c r="B103" s="8" t="s">
        <v>1713</v>
      </c>
      <c r="C103" s="8" t="s">
        <v>389</v>
      </c>
      <c r="D103" s="8" t="s">
        <v>1990</v>
      </c>
      <c r="E103" s="8" t="s">
        <v>1991</v>
      </c>
      <c r="F103" s="8" t="s">
        <v>43</v>
      </c>
      <c r="G103" s="8"/>
      <c r="H103" s="8">
        <v>315</v>
      </c>
      <c r="I103" s="8" t="s">
        <v>1992</v>
      </c>
      <c r="J103" s="8">
        <v>1</v>
      </c>
      <c r="K103" s="8">
        <v>214</v>
      </c>
      <c r="L103" s="8">
        <v>220</v>
      </c>
      <c r="M103" s="8">
        <v>221</v>
      </c>
      <c r="N103" s="8">
        <v>372</v>
      </c>
      <c r="O103" s="8">
        <v>375</v>
      </c>
      <c r="P103" s="8">
        <v>385</v>
      </c>
      <c r="Q103" s="9" t="s">
        <v>46</v>
      </c>
      <c r="R103" s="16"/>
      <c r="S103" s="10">
        <v>36</v>
      </c>
      <c r="T103" s="10">
        <v>19</v>
      </c>
      <c r="U103" s="10">
        <v>42</v>
      </c>
      <c r="V103" s="11">
        <v>21</v>
      </c>
      <c r="W103" s="12" t="s">
        <v>47</v>
      </c>
      <c r="X103" s="17"/>
      <c r="Y103" s="13">
        <v>98</v>
      </c>
      <c r="Z103" s="13">
        <v>40</v>
      </c>
      <c r="AA103" s="13">
        <v>38</v>
      </c>
      <c r="AB103" s="14">
        <v>59</v>
      </c>
      <c r="AC103" s="9"/>
      <c r="AD103" s="16"/>
      <c r="AE103" s="10"/>
      <c r="AF103" s="10"/>
      <c r="AG103" s="10"/>
      <c r="AH103" s="11"/>
      <c r="AI103" s="12"/>
      <c r="AJ103" s="17"/>
      <c r="AK103" s="13"/>
      <c r="AL103" s="13"/>
      <c r="AM103" s="13"/>
      <c r="AN103" s="14"/>
      <c r="AO103" s="9"/>
      <c r="AP103" s="16"/>
      <c r="AQ103" s="10"/>
      <c r="AR103" s="10"/>
      <c r="AS103" s="10"/>
      <c r="AT103" s="11"/>
      <c r="AU103" s="12"/>
      <c r="AV103" s="17"/>
      <c r="AW103" s="13"/>
      <c r="AX103" s="13"/>
      <c r="AY103" s="13"/>
      <c r="AZ103" s="14"/>
      <c r="BA103" s="9"/>
      <c r="BB103" s="16"/>
      <c r="BC103" s="10"/>
      <c r="BD103" s="10"/>
      <c r="BE103" s="10"/>
      <c r="BF103" s="11"/>
      <c r="BG103" s="12"/>
      <c r="BH103" s="17"/>
      <c r="BI103" s="13"/>
      <c r="BJ103" s="13"/>
      <c r="BK103" s="13"/>
      <c r="BL103" s="14"/>
      <c r="BM103" s="9"/>
      <c r="BN103" s="16"/>
      <c r="BO103" s="10"/>
      <c r="BP103" s="10"/>
      <c r="BQ103" s="10"/>
      <c r="BR103" s="11"/>
      <c r="BS103" s="12"/>
      <c r="BT103" s="17"/>
      <c r="BU103" s="13"/>
      <c r="BV103" s="13"/>
      <c r="BW103" s="13"/>
      <c r="BX103" s="14"/>
      <c r="BY103" s="9"/>
      <c r="BZ103" s="16"/>
      <c r="CA103" s="10"/>
      <c r="CB103" s="10"/>
      <c r="CC103" s="10"/>
      <c r="CD103" s="11"/>
      <c r="CE103" s="12"/>
      <c r="CF103" s="17"/>
      <c r="CG103" s="13"/>
      <c r="CH103" s="13"/>
      <c r="CI103" s="13"/>
      <c r="CJ103" s="14"/>
      <c r="CK103" s="9"/>
      <c r="CL103" s="16"/>
      <c r="CM103" s="10"/>
      <c r="CN103" s="10"/>
      <c r="CO103" s="10"/>
      <c r="CP103" s="11"/>
      <c r="CQ103" s="12"/>
      <c r="CR103" s="17"/>
      <c r="CS103" s="13"/>
      <c r="CT103" s="13"/>
      <c r="CU103" s="13"/>
      <c r="CV103" s="14"/>
      <c r="CW103" s="9"/>
      <c r="CX103" s="16"/>
      <c r="CY103" s="10"/>
      <c r="CZ103" s="10"/>
      <c r="DA103" s="10"/>
      <c r="DB103" s="11"/>
      <c r="DC103" s="12"/>
      <c r="DD103" s="17"/>
      <c r="DE103" s="13"/>
      <c r="DF103" s="13"/>
      <c r="DG103" s="13"/>
      <c r="DH103" s="14"/>
      <c r="DI103" s="8">
        <f t="shared" si="27"/>
        <v>134</v>
      </c>
      <c r="DJ103" s="8">
        <f t="shared" si="28"/>
        <v>59</v>
      </c>
      <c r="DK103" s="8">
        <f t="shared" si="29"/>
        <v>80</v>
      </c>
      <c r="DL103" s="8">
        <f t="shared" si="30"/>
        <v>80</v>
      </c>
      <c r="DM103" s="8">
        <f t="shared" si="31"/>
        <v>134</v>
      </c>
      <c r="DN103" s="8">
        <f t="shared" si="32"/>
        <v>59</v>
      </c>
      <c r="DO103" s="15">
        <f t="shared" si="33"/>
        <v>27.40929163672806</v>
      </c>
      <c r="DP103" s="15" t="str">
        <f t="shared" si="34"/>
        <v>OK - No Upgrade</v>
      </c>
      <c r="DQ103" s="15" t="str">
        <f t="shared" si="35"/>
        <v>Need to Balance</v>
      </c>
    </row>
    <row r="104" spans="1:121" ht="15.75" customHeight="1" x14ac:dyDescent="0.25">
      <c r="A104" s="8" t="s">
        <v>1459</v>
      </c>
      <c r="B104" s="8" t="s">
        <v>1713</v>
      </c>
      <c r="C104" s="8" t="s">
        <v>389</v>
      </c>
      <c r="D104" s="8" t="s">
        <v>1993</v>
      </c>
      <c r="E104" s="8" t="s">
        <v>1994</v>
      </c>
      <c r="F104" s="8" t="s">
        <v>43</v>
      </c>
      <c r="G104" s="8"/>
      <c r="H104" s="8">
        <v>315</v>
      </c>
      <c r="I104" s="8" t="s">
        <v>1995</v>
      </c>
      <c r="J104" s="8">
        <v>1</v>
      </c>
      <c r="K104" s="8">
        <v>216</v>
      </c>
      <c r="L104" s="8">
        <v>221</v>
      </c>
      <c r="M104" s="8">
        <v>222</v>
      </c>
      <c r="N104" s="8">
        <v>371</v>
      </c>
      <c r="O104" s="8">
        <v>378</v>
      </c>
      <c r="P104" s="8">
        <v>387</v>
      </c>
      <c r="Q104" s="9" t="s">
        <v>46</v>
      </c>
      <c r="R104" s="16"/>
      <c r="S104" s="10">
        <v>43</v>
      </c>
      <c r="T104" s="10">
        <v>20</v>
      </c>
      <c r="U104" s="10">
        <v>29</v>
      </c>
      <c r="V104" s="11">
        <v>21</v>
      </c>
      <c r="W104" s="12" t="s">
        <v>132</v>
      </c>
      <c r="X104" s="17"/>
      <c r="Y104" s="13">
        <v>0</v>
      </c>
      <c r="Z104" s="13">
        <v>0</v>
      </c>
      <c r="AA104" s="13">
        <v>0</v>
      </c>
      <c r="AB104" s="14">
        <v>0</v>
      </c>
      <c r="AC104" s="9"/>
      <c r="AD104" s="16"/>
      <c r="AE104" s="10"/>
      <c r="AF104" s="10"/>
      <c r="AG104" s="10"/>
      <c r="AH104" s="11"/>
      <c r="AI104" s="12"/>
      <c r="AJ104" s="17"/>
      <c r="AK104" s="13"/>
      <c r="AL104" s="13"/>
      <c r="AM104" s="13"/>
      <c r="AN104" s="14"/>
      <c r="AO104" s="9"/>
      <c r="AP104" s="16"/>
      <c r="AQ104" s="10"/>
      <c r="AR104" s="10"/>
      <c r="AS104" s="10"/>
      <c r="AT104" s="11"/>
      <c r="AU104" s="12"/>
      <c r="AV104" s="17"/>
      <c r="AW104" s="13"/>
      <c r="AX104" s="13"/>
      <c r="AY104" s="13"/>
      <c r="AZ104" s="14"/>
      <c r="BA104" s="9"/>
      <c r="BB104" s="16"/>
      <c r="BC104" s="10"/>
      <c r="BD104" s="10"/>
      <c r="BE104" s="10"/>
      <c r="BF104" s="11"/>
      <c r="BG104" s="12"/>
      <c r="BH104" s="17"/>
      <c r="BI104" s="13"/>
      <c r="BJ104" s="13"/>
      <c r="BK104" s="13"/>
      <c r="BL104" s="14"/>
      <c r="BM104" s="9"/>
      <c r="BN104" s="16"/>
      <c r="BO104" s="10"/>
      <c r="BP104" s="10"/>
      <c r="BQ104" s="10"/>
      <c r="BR104" s="11"/>
      <c r="BS104" s="12"/>
      <c r="BT104" s="17"/>
      <c r="BU104" s="13"/>
      <c r="BV104" s="13"/>
      <c r="BW104" s="13"/>
      <c r="BX104" s="14"/>
      <c r="BY104" s="9"/>
      <c r="BZ104" s="16"/>
      <c r="CA104" s="10"/>
      <c r="CB104" s="10"/>
      <c r="CC104" s="10"/>
      <c r="CD104" s="11"/>
      <c r="CE104" s="12"/>
      <c r="CF104" s="17"/>
      <c r="CG104" s="13"/>
      <c r="CH104" s="13"/>
      <c r="CI104" s="13"/>
      <c r="CJ104" s="14"/>
      <c r="CK104" s="9"/>
      <c r="CL104" s="16"/>
      <c r="CM104" s="10"/>
      <c r="CN104" s="10"/>
      <c r="CO104" s="10"/>
      <c r="CP104" s="11"/>
      <c r="CQ104" s="12"/>
      <c r="CR104" s="17"/>
      <c r="CS104" s="13"/>
      <c r="CT104" s="13"/>
      <c r="CU104" s="13"/>
      <c r="CV104" s="14"/>
      <c r="CW104" s="9"/>
      <c r="CX104" s="16"/>
      <c r="CY104" s="10"/>
      <c r="CZ104" s="10"/>
      <c r="DA104" s="10"/>
      <c r="DB104" s="11"/>
      <c r="DC104" s="12"/>
      <c r="DD104" s="17"/>
      <c r="DE104" s="13"/>
      <c r="DF104" s="13"/>
      <c r="DG104" s="13"/>
      <c r="DH104" s="14"/>
      <c r="DI104" s="8">
        <f t="shared" si="27"/>
        <v>43</v>
      </c>
      <c r="DJ104" s="8">
        <f t="shared" si="28"/>
        <v>20</v>
      </c>
      <c r="DK104" s="8">
        <f t="shared" si="29"/>
        <v>29</v>
      </c>
      <c r="DL104" s="8">
        <f t="shared" si="30"/>
        <v>21</v>
      </c>
      <c r="DM104" s="8">
        <f t="shared" si="31"/>
        <v>43</v>
      </c>
      <c r="DN104" s="8">
        <f t="shared" si="32"/>
        <v>20</v>
      </c>
      <c r="DO104" s="15">
        <f t="shared" si="33"/>
        <v>8.7718750898877129</v>
      </c>
      <c r="DP104" s="15" t="str">
        <f t="shared" si="34"/>
        <v>OK - No Upgrade</v>
      </c>
      <c r="DQ104" s="15" t="str">
        <f t="shared" si="35"/>
        <v>Need to Balance</v>
      </c>
    </row>
    <row r="105" spans="1:121" ht="15.75" customHeight="1" x14ac:dyDescent="0.25">
      <c r="A105" s="8" t="s">
        <v>1459</v>
      </c>
      <c r="B105" s="8" t="s">
        <v>1713</v>
      </c>
      <c r="C105" s="8" t="s">
        <v>389</v>
      </c>
      <c r="D105" s="8" t="s">
        <v>1996</v>
      </c>
      <c r="E105" s="8" t="s">
        <v>1997</v>
      </c>
      <c r="F105" s="8" t="s">
        <v>43</v>
      </c>
      <c r="G105" s="8"/>
      <c r="H105" s="8">
        <v>200</v>
      </c>
      <c r="I105" s="8" t="s">
        <v>643</v>
      </c>
      <c r="J105" s="8">
        <v>1</v>
      </c>
      <c r="K105" s="8">
        <v>204</v>
      </c>
      <c r="L105" s="8">
        <v>210</v>
      </c>
      <c r="M105" s="8">
        <v>212</v>
      </c>
      <c r="N105" s="8">
        <v>355</v>
      </c>
      <c r="O105" s="8">
        <v>360</v>
      </c>
      <c r="P105" s="8">
        <v>368</v>
      </c>
      <c r="Q105" s="9" t="s">
        <v>46</v>
      </c>
      <c r="R105" s="16"/>
      <c r="S105" s="10">
        <v>5</v>
      </c>
      <c r="T105" s="10">
        <v>11</v>
      </c>
      <c r="U105" s="10">
        <v>6</v>
      </c>
      <c r="V105" s="11">
        <v>10</v>
      </c>
      <c r="W105" s="12" t="s">
        <v>47</v>
      </c>
      <c r="X105" s="17"/>
      <c r="Y105" s="13">
        <v>48</v>
      </c>
      <c r="Z105" s="13">
        <v>15</v>
      </c>
      <c r="AA105" s="13">
        <v>8</v>
      </c>
      <c r="AB105" s="14">
        <v>42</v>
      </c>
      <c r="AC105" s="9"/>
      <c r="AD105" s="16"/>
      <c r="AE105" s="10"/>
      <c r="AF105" s="10"/>
      <c r="AG105" s="10"/>
      <c r="AH105" s="11"/>
      <c r="AI105" s="12"/>
      <c r="AJ105" s="17"/>
      <c r="AK105" s="13"/>
      <c r="AL105" s="13"/>
      <c r="AM105" s="13"/>
      <c r="AN105" s="14"/>
      <c r="AO105" s="9"/>
      <c r="AP105" s="16"/>
      <c r="AQ105" s="10"/>
      <c r="AR105" s="10"/>
      <c r="AS105" s="10"/>
      <c r="AT105" s="11"/>
      <c r="AU105" s="12"/>
      <c r="AV105" s="17"/>
      <c r="AW105" s="13"/>
      <c r="AX105" s="13"/>
      <c r="AY105" s="13"/>
      <c r="AZ105" s="14"/>
      <c r="BA105" s="9"/>
      <c r="BB105" s="16"/>
      <c r="BC105" s="10"/>
      <c r="BD105" s="10"/>
      <c r="BE105" s="10"/>
      <c r="BF105" s="11"/>
      <c r="BG105" s="12"/>
      <c r="BH105" s="17"/>
      <c r="BI105" s="13"/>
      <c r="BJ105" s="13"/>
      <c r="BK105" s="13"/>
      <c r="BL105" s="14"/>
      <c r="BM105" s="9"/>
      <c r="BN105" s="16"/>
      <c r="BO105" s="10"/>
      <c r="BP105" s="10"/>
      <c r="BQ105" s="10"/>
      <c r="BR105" s="11"/>
      <c r="BS105" s="12"/>
      <c r="BT105" s="17"/>
      <c r="BU105" s="13"/>
      <c r="BV105" s="13"/>
      <c r="BW105" s="13"/>
      <c r="BX105" s="14"/>
      <c r="BY105" s="9"/>
      <c r="BZ105" s="16"/>
      <c r="CA105" s="10"/>
      <c r="CB105" s="10"/>
      <c r="CC105" s="10"/>
      <c r="CD105" s="11"/>
      <c r="CE105" s="12"/>
      <c r="CF105" s="17"/>
      <c r="CG105" s="13"/>
      <c r="CH105" s="13"/>
      <c r="CI105" s="13"/>
      <c r="CJ105" s="14"/>
      <c r="CK105" s="9"/>
      <c r="CL105" s="16"/>
      <c r="CM105" s="10"/>
      <c r="CN105" s="10"/>
      <c r="CO105" s="10"/>
      <c r="CP105" s="11"/>
      <c r="CQ105" s="12"/>
      <c r="CR105" s="17"/>
      <c r="CS105" s="13"/>
      <c r="CT105" s="13"/>
      <c r="CU105" s="13"/>
      <c r="CV105" s="14"/>
      <c r="CW105" s="9"/>
      <c r="CX105" s="16"/>
      <c r="CY105" s="10"/>
      <c r="CZ105" s="10"/>
      <c r="DA105" s="10"/>
      <c r="DB105" s="11"/>
      <c r="DC105" s="12"/>
      <c r="DD105" s="17"/>
      <c r="DE105" s="13"/>
      <c r="DF105" s="13"/>
      <c r="DG105" s="13"/>
      <c r="DH105" s="14"/>
      <c r="DI105" s="8">
        <f t="shared" si="27"/>
        <v>53</v>
      </c>
      <c r="DJ105" s="8">
        <f t="shared" si="28"/>
        <v>26</v>
      </c>
      <c r="DK105" s="8">
        <f t="shared" si="29"/>
        <v>14</v>
      </c>
      <c r="DL105" s="8">
        <f t="shared" si="30"/>
        <v>52</v>
      </c>
      <c r="DM105" s="8">
        <f t="shared" si="31"/>
        <v>53</v>
      </c>
      <c r="DN105" s="8">
        <f t="shared" si="32"/>
        <v>14</v>
      </c>
      <c r="DO105" s="15">
        <f t="shared" si="33"/>
        <v>16.294267972204214</v>
      </c>
      <c r="DP105" s="15" t="str">
        <f t="shared" si="34"/>
        <v>OK - No Upgrade</v>
      </c>
      <c r="DQ105" s="15" t="str">
        <f t="shared" si="35"/>
        <v>Need to Balance</v>
      </c>
    </row>
    <row r="106" spans="1:121" ht="15.75" customHeight="1" x14ac:dyDescent="0.25">
      <c r="A106" s="8" t="s">
        <v>1459</v>
      </c>
      <c r="B106" s="8" t="s">
        <v>1713</v>
      </c>
      <c r="C106" s="8" t="s">
        <v>389</v>
      </c>
      <c r="D106" s="8" t="s">
        <v>1998</v>
      </c>
      <c r="E106" s="8" t="s">
        <v>1999</v>
      </c>
      <c r="F106" s="8" t="s">
        <v>43</v>
      </c>
      <c r="G106" s="8"/>
      <c r="H106" s="8">
        <v>100</v>
      </c>
      <c r="I106" s="8" t="s">
        <v>2000</v>
      </c>
      <c r="J106" s="8">
        <v>1</v>
      </c>
      <c r="K106" s="8">
        <v>208</v>
      </c>
      <c r="L106" s="8">
        <v>213</v>
      </c>
      <c r="M106" s="8">
        <v>213</v>
      </c>
      <c r="N106" s="8">
        <v>364</v>
      </c>
      <c r="O106" s="8">
        <v>372</v>
      </c>
      <c r="P106" s="8">
        <v>372</v>
      </c>
      <c r="Q106" s="9" t="s">
        <v>70</v>
      </c>
      <c r="R106" s="16"/>
      <c r="S106" s="10">
        <v>27</v>
      </c>
      <c r="T106" s="10">
        <v>13</v>
      </c>
      <c r="U106" s="10">
        <v>37</v>
      </c>
      <c r="V106" s="11">
        <v>23</v>
      </c>
      <c r="W106" s="12"/>
      <c r="X106" s="17"/>
      <c r="Y106" s="13"/>
      <c r="Z106" s="13"/>
      <c r="AA106" s="13"/>
      <c r="AB106" s="14"/>
      <c r="AC106" s="9"/>
      <c r="AD106" s="16"/>
      <c r="AE106" s="10"/>
      <c r="AF106" s="10"/>
      <c r="AG106" s="10"/>
      <c r="AH106" s="11"/>
      <c r="AI106" s="12"/>
      <c r="AJ106" s="17"/>
      <c r="AK106" s="13"/>
      <c r="AL106" s="13"/>
      <c r="AM106" s="13"/>
      <c r="AN106" s="14"/>
      <c r="AO106" s="9"/>
      <c r="AP106" s="16"/>
      <c r="AQ106" s="10"/>
      <c r="AR106" s="10"/>
      <c r="AS106" s="10"/>
      <c r="AT106" s="11"/>
      <c r="AU106" s="12"/>
      <c r="AV106" s="17"/>
      <c r="AW106" s="13"/>
      <c r="AX106" s="13"/>
      <c r="AY106" s="13"/>
      <c r="AZ106" s="14"/>
      <c r="BA106" s="9"/>
      <c r="BB106" s="16"/>
      <c r="BC106" s="10"/>
      <c r="BD106" s="10"/>
      <c r="BE106" s="10"/>
      <c r="BF106" s="11"/>
      <c r="BG106" s="12"/>
      <c r="BH106" s="17"/>
      <c r="BI106" s="13"/>
      <c r="BJ106" s="13"/>
      <c r="BK106" s="13"/>
      <c r="BL106" s="14"/>
      <c r="BM106" s="9"/>
      <c r="BN106" s="16"/>
      <c r="BO106" s="10"/>
      <c r="BP106" s="10"/>
      <c r="BQ106" s="10"/>
      <c r="BR106" s="11"/>
      <c r="BS106" s="12"/>
      <c r="BT106" s="17"/>
      <c r="BU106" s="13"/>
      <c r="BV106" s="13"/>
      <c r="BW106" s="13"/>
      <c r="BX106" s="14"/>
      <c r="BY106" s="9"/>
      <c r="BZ106" s="16"/>
      <c r="CA106" s="10"/>
      <c r="CB106" s="10"/>
      <c r="CC106" s="10"/>
      <c r="CD106" s="11"/>
      <c r="CE106" s="12"/>
      <c r="CF106" s="17"/>
      <c r="CG106" s="13"/>
      <c r="CH106" s="13"/>
      <c r="CI106" s="13"/>
      <c r="CJ106" s="14"/>
      <c r="CK106" s="9"/>
      <c r="CL106" s="16"/>
      <c r="CM106" s="10"/>
      <c r="CN106" s="10"/>
      <c r="CO106" s="10"/>
      <c r="CP106" s="11"/>
      <c r="CQ106" s="12"/>
      <c r="CR106" s="17"/>
      <c r="CS106" s="13"/>
      <c r="CT106" s="13"/>
      <c r="CU106" s="13"/>
      <c r="CV106" s="14"/>
      <c r="CW106" s="9"/>
      <c r="CX106" s="16"/>
      <c r="CY106" s="10"/>
      <c r="CZ106" s="10"/>
      <c r="DA106" s="10"/>
      <c r="DB106" s="11"/>
      <c r="DC106" s="12"/>
      <c r="DD106" s="17"/>
      <c r="DE106" s="13"/>
      <c r="DF106" s="13"/>
      <c r="DG106" s="13"/>
      <c r="DH106" s="14"/>
      <c r="DI106" s="8">
        <f t="shared" si="27"/>
        <v>27</v>
      </c>
      <c r="DJ106" s="8">
        <f t="shared" si="28"/>
        <v>13</v>
      </c>
      <c r="DK106" s="8">
        <f t="shared" si="29"/>
        <v>37</v>
      </c>
      <c r="DL106" s="8">
        <f t="shared" si="30"/>
        <v>23</v>
      </c>
      <c r="DM106" s="8">
        <f t="shared" si="31"/>
        <v>37</v>
      </c>
      <c r="DN106" s="8">
        <f t="shared" si="32"/>
        <v>13</v>
      </c>
      <c r="DO106" s="15">
        <f t="shared" si="33"/>
        <v>23.32726027633764</v>
      </c>
      <c r="DP106" s="15" t="str">
        <f t="shared" si="34"/>
        <v>OK - No Upgrade</v>
      </c>
      <c r="DQ106" s="15" t="str">
        <f t="shared" si="35"/>
        <v>Need to Balance</v>
      </c>
    </row>
    <row r="107" spans="1:121" ht="15.75" customHeight="1" x14ac:dyDescent="0.25">
      <c r="A107" s="8" t="s">
        <v>1459</v>
      </c>
      <c r="B107" s="8" t="s">
        <v>1713</v>
      </c>
      <c r="C107" s="8" t="s">
        <v>389</v>
      </c>
      <c r="D107" s="8" t="s">
        <v>2001</v>
      </c>
      <c r="E107" s="8" t="s">
        <v>2002</v>
      </c>
      <c r="F107" s="8" t="s">
        <v>43</v>
      </c>
      <c r="G107" s="8"/>
      <c r="H107" s="8">
        <v>100</v>
      </c>
      <c r="I107" s="8" t="s">
        <v>2003</v>
      </c>
      <c r="J107" s="8">
        <v>1</v>
      </c>
      <c r="K107" s="8">
        <v>215</v>
      </c>
      <c r="L107" s="8">
        <v>216</v>
      </c>
      <c r="M107" s="8">
        <v>217</v>
      </c>
      <c r="N107" s="8">
        <v>372</v>
      </c>
      <c r="O107" s="8">
        <v>373</v>
      </c>
      <c r="P107" s="8">
        <v>377</v>
      </c>
      <c r="Q107" s="9" t="s">
        <v>46</v>
      </c>
      <c r="R107" s="16"/>
      <c r="S107" s="10">
        <v>37</v>
      </c>
      <c r="T107" s="10">
        <v>52</v>
      </c>
      <c r="U107" s="10">
        <v>62</v>
      </c>
      <c r="V107" s="11">
        <v>12</v>
      </c>
      <c r="W107" s="12"/>
      <c r="X107" s="17"/>
      <c r="Y107" s="13"/>
      <c r="Z107" s="13"/>
      <c r="AA107" s="13"/>
      <c r="AB107" s="14"/>
      <c r="AC107" s="9"/>
      <c r="AD107" s="16"/>
      <c r="AE107" s="10"/>
      <c r="AF107" s="10"/>
      <c r="AG107" s="10"/>
      <c r="AH107" s="11"/>
      <c r="AI107" s="12"/>
      <c r="AJ107" s="17"/>
      <c r="AK107" s="13"/>
      <c r="AL107" s="13"/>
      <c r="AM107" s="13"/>
      <c r="AN107" s="14"/>
      <c r="AO107" s="9"/>
      <c r="AP107" s="16"/>
      <c r="AQ107" s="10"/>
      <c r="AR107" s="10"/>
      <c r="AS107" s="10"/>
      <c r="AT107" s="11"/>
      <c r="AU107" s="12"/>
      <c r="AV107" s="17"/>
      <c r="AW107" s="13"/>
      <c r="AX107" s="13"/>
      <c r="AY107" s="13"/>
      <c r="AZ107" s="14"/>
      <c r="BA107" s="9"/>
      <c r="BB107" s="16"/>
      <c r="BC107" s="10"/>
      <c r="BD107" s="10"/>
      <c r="BE107" s="10"/>
      <c r="BF107" s="11"/>
      <c r="BG107" s="12"/>
      <c r="BH107" s="17"/>
      <c r="BI107" s="13"/>
      <c r="BJ107" s="13"/>
      <c r="BK107" s="13"/>
      <c r="BL107" s="14"/>
      <c r="BM107" s="9"/>
      <c r="BN107" s="16"/>
      <c r="BO107" s="10"/>
      <c r="BP107" s="10"/>
      <c r="BQ107" s="10"/>
      <c r="BR107" s="11"/>
      <c r="BS107" s="12"/>
      <c r="BT107" s="17"/>
      <c r="BU107" s="13"/>
      <c r="BV107" s="13"/>
      <c r="BW107" s="13"/>
      <c r="BX107" s="14"/>
      <c r="BY107" s="9"/>
      <c r="BZ107" s="16"/>
      <c r="CA107" s="10"/>
      <c r="CB107" s="10"/>
      <c r="CC107" s="10"/>
      <c r="CD107" s="11"/>
      <c r="CE107" s="12"/>
      <c r="CF107" s="17"/>
      <c r="CG107" s="13"/>
      <c r="CH107" s="13"/>
      <c r="CI107" s="13"/>
      <c r="CJ107" s="14"/>
      <c r="CK107" s="9"/>
      <c r="CL107" s="16"/>
      <c r="CM107" s="10"/>
      <c r="CN107" s="10"/>
      <c r="CO107" s="10"/>
      <c r="CP107" s="11"/>
      <c r="CQ107" s="12"/>
      <c r="CR107" s="17"/>
      <c r="CS107" s="13"/>
      <c r="CT107" s="13"/>
      <c r="CU107" s="13"/>
      <c r="CV107" s="14"/>
      <c r="CW107" s="9"/>
      <c r="CX107" s="16"/>
      <c r="CY107" s="10"/>
      <c r="CZ107" s="10"/>
      <c r="DA107" s="10"/>
      <c r="DB107" s="11"/>
      <c r="DC107" s="12"/>
      <c r="DD107" s="17"/>
      <c r="DE107" s="13"/>
      <c r="DF107" s="13"/>
      <c r="DG107" s="13"/>
      <c r="DH107" s="14"/>
      <c r="DI107" s="8">
        <f t="shared" si="27"/>
        <v>37</v>
      </c>
      <c r="DJ107" s="8">
        <f t="shared" si="28"/>
        <v>52</v>
      </c>
      <c r="DK107" s="8">
        <f t="shared" si="29"/>
        <v>62</v>
      </c>
      <c r="DL107" s="8">
        <f t="shared" si="30"/>
        <v>12</v>
      </c>
      <c r="DM107" s="8">
        <f t="shared" si="31"/>
        <v>62</v>
      </c>
      <c r="DN107" s="8">
        <f t="shared" si="32"/>
        <v>37</v>
      </c>
      <c r="DO107" s="15">
        <f t="shared" si="33"/>
        <v>39.948019825768583</v>
      </c>
      <c r="DP107" s="15" t="str">
        <f t="shared" si="34"/>
        <v>OK - No Upgrade</v>
      </c>
      <c r="DQ107" s="15" t="str">
        <f t="shared" si="35"/>
        <v>Need to Balance</v>
      </c>
    </row>
    <row r="108" spans="1:121" ht="15.75" customHeight="1" x14ac:dyDescent="0.25">
      <c r="A108" s="8" t="s">
        <v>1459</v>
      </c>
      <c r="B108" s="8" t="s">
        <v>1713</v>
      </c>
      <c r="C108" s="8" t="s">
        <v>389</v>
      </c>
      <c r="D108" s="8" t="s">
        <v>2004</v>
      </c>
      <c r="E108" s="8" t="s">
        <v>2005</v>
      </c>
      <c r="F108" s="8" t="s">
        <v>43</v>
      </c>
      <c r="G108" s="8"/>
      <c r="H108" s="8">
        <v>50</v>
      </c>
      <c r="I108" s="8" t="s">
        <v>2006</v>
      </c>
      <c r="J108" s="8">
        <v>1</v>
      </c>
      <c r="K108" s="8">
        <v>213</v>
      </c>
      <c r="L108" s="8">
        <v>216</v>
      </c>
      <c r="M108" s="8">
        <v>218</v>
      </c>
      <c r="N108" s="8">
        <v>370</v>
      </c>
      <c r="O108" s="8">
        <v>373</v>
      </c>
      <c r="P108" s="8">
        <v>378</v>
      </c>
      <c r="Q108" s="9" t="s">
        <v>132</v>
      </c>
      <c r="R108" s="16"/>
      <c r="S108" s="10">
        <v>0</v>
      </c>
      <c r="T108" s="10">
        <v>0</v>
      </c>
      <c r="U108" s="10">
        <v>0</v>
      </c>
      <c r="V108" s="11">
        <v>0</v>
      </c>
      <c r="W108" s="12" t="s">
        <v>46</v>
      </c>
      <c r="X108" s="17"/>
      <c r="Y108" s="13">
        <v>24</v>
      </c>
      <c r="Z108" s="13">
        <v>9</v>
      </c>
      <c r="AA108" s="13">
        <v>12</v>
      </c>
      <c r="AB108" s="14">
        <v>12</v>
      </c>
      <c r="AC108" s="9"/>
      <c r="AD108" s="16"/>
      <c r="AE108" s="10"/>
      <c r="AF108" s="10"/>
      <c r="AG108" s="10"/>
      <c r="AH108" s="11"/>
      <c r="AI108" s="12"/>
      <c r="AJ108" s="17"/>
      <c r="AK108" s="13"/>
      <c r="AL108" s="13"/>
      <c r="AM108" s="13"/>
      <c r="AN108" s="14"/>
      <c r="AO108" s="9"/>
      <c r="AP108" s="16"/>
      <c r="AQ108" s="10"/>
      <c r="AR108" s="10"/>
      <c r="AS108" s="10"/>
      <c r="AT108" s="11"/>
      <c r="AU108" s="12"/>
      <c r="AV108" s="17"/>
      <c r="AW108" s="13"/>
      <c r="AX108" s="13"/>
      <c r="AY108" s="13"/>
      <c r="AZ108" s="14"/>
      <c r="BA108" s="9"/>
      <c r="BB108" s="16"/>
      <c r="BC108" s="10"/>
      <c r="BD108" s="10"/>
      <c r="BE108" s="10"/>
      <c r="BF108" s="11"/>
      <c r="BG108" s="12"/>
      <c r="BH108" s="17"/>
      <c r="BI108" s="13"/>
      <c r="BJ108" s="13"/>
      <c r="BK108" s="13"/>
      <c r="BL108" s="14"/>
      <c r="BM108" s="9"/>
      <c r="BN108" s="16"/>
      <c r="BO108" s="10"/>
      <c r="BP108" s="10"/>
      <c r="BQ108" s="10"/>
      <c r="BR108" s="11"/>
      <c r="BS108" s="12"/>
      <c r="BT108" s="17"/>
      <c r="BU108" s="13"/>
      <c r="BV108" s="13"/>
      <c r="BW108" s="13"/>
      <c r="BX108" s="14"/>
      <c r="BY108" s="9"/>
      <c r="BZ108" s="16"/>
      <c r="CA108" s="10"/>
      <c r="CB108" s="10"/>
      <c r="CC108" s="10"/>
      <c r="CD108" s="11"/>
      <c r="CE108" s="12"/>
      <c r="CF108" s="17"/>
      <c r="CG108" s="13"/>
      <c r="CH108" s="13"/>
      <c r="CI108" s="13"/>
      <c r="CJ108" s="14"/>
      <c r="CK108" s="9"/>
      <c r="CL108" s="16"/>
      <c r="CM108" s="10"/>
      <c r="CN108" s="10"/>
      <c r="CO108" s="10"/>
      <c r="CP108" s="11"/>
      <c r="CQ108" s="12"/>
      <c r="CR108" s="17"/>
      <c r="CS108" s="13"/>
      <c r="CT108" s="13"/>
      <c r="CU108" s="13"/>
      <c r="CV108" s="14"/>
      <c r="CW108" s="9"/>
      <c r="CX108" s="16"/>
      <c r="CY108" s="10"/>
      <c r="CZ108" s="10"/>
      <c r="DA108" s="10"/>
      <c r="DB108" s="11"/>
      <c r="DC108" s="12"/>
      <c r="DD108" s="17"/>
      <c r="DE108" s="13"/>
      <c r="DF108" s="13"/>
      <c r="DG108" s="13"/>
      <c r="DH108" s="14"/>
      <c r="DI108" s="8">
        <f t="shared" si="27"/>
        <v>24</v>
      </c>
      <c r="DJ108" s="8">
        <f t="shared" si="28"/>
        <v>9</v>
      </c>
      <c r="DK108" s="8">
        <f t="shared" si="29"/>
        <v>12</v>
      </c>
      <c r="DL108" s="8">
        <f t="shared" si="30"/>
        <v>12</v>
      </c>
      <c r="DM108" s="8">
        <f t="shared" si="31"/>
        <v>24</v>
      </c>
      <c r="DN108" s="8">
        <f t="shared" si="32"/>
        <v>9</v>
      </c>
      <c r="DO108" s="15">
        <f t="shared" si="33"/>
        <v>30.76122234242326</v>
      </c>
      <c r="DP108" s="15" t="str">
        <f t="shared" si="34"/>
        <v>OK - No Upgrade</v>
      </c>
      <c r="DQ108" s="15" t="str">
        <f t="shared" si="35"/>
        <v>Need to Balance</v>
      </c>
    </row>
    <row r="109" spans="1:121" ht="15.75" customHeight="1" x14ac:dyDescent="0.25">
      <c r="A109" s="8" t="s">
        <v>1459</v>
      </c>
      <c r="B109" s="8" t="s">
        <v>1713</v>
      </c>
      <c r="C109" s="8" t="s">
        <v>389</v>
      </c>
      <c r="D109" s="8" t="s">
        <v>2007</v>
      </c>
      <c r="E109" s="8" t="s">
        <v>2008</v>
      </c>
      <c r="F109" s="8" t="s">
        <v>43</v>
      </c>
      <c r="G109" s="8"/>
      <c r="H109" s="8">
        <v>100</v>
      </c>
      <c r="I109" s="8" t="s">
        <v>2009</v>
      </c>
      <c r="J109" s="8">
        <v>1</v>
      </c>
      <c r="K109" s="8">
        <v>216</v>
      </c>
      <c r="L109" s="8">
        <v>218</v>
      </c>
      <c r="M109" s="8">
        <v>219</v>
      </c>
      <c r="N109" s="8">
        <v>375</v>
      </c>
      <c r="O109" s="8">
        <v>377</v>
      </c>
      <c r="P109" s="8">
        <v>381</v>
      </c>
      <c r="Q109" s="9" t="s">
        <v>46</v>
      </c>
      <c r="R109" s="16"/>
      <c r="S109" s="10">
        <v>0</v>
      </c>
      <c r="T109" s="10">
        <v>0</v>
      </c>
      <c r="U109" s="10">
        <v>0</v>
      </c>
      <c r="V109" s="11">
        <v>0</v>
      </c>
      <c r="W109" s="12" t="s">
        <v>46</v>
      </c>
      <c r="X109" s="17"/>
      <c r="Y109" s="13">
        <v>8</v>
      </c>
      <c r="Z109" s="13">
        <v>12</v>
      </c>
      <c r="AA109" s="13">
        <v>6</v>
      </c>
      <c r="AB109" s="14">
        <v>4</v>
      </c>
      <c r="AC109" s="9"/>
      <c r="AD109" s="16"/>
      <c r="AE109" s="10"/>
      <c r="AF109" s="10"/>
      <c r="AG109" s="10"/>
      <c r="AH109" s="11"/>
      <c r="AI109" s="12"/>
      <c r="AJ109" s="17"/>
      <c r="AK109" s="13"/>
      <c r="AL109" s="13"/>
      <c r="AM109" s="13"/>
      <c r="AN109" s="14"/>
      <c r="AO109" s="9"/>
      <c r="AP109" s="16"/>
      <c r="AQ109" s="10"/>
      <c r="AR109" s="10"/>
      <c r="AS109" s="10"/>
      <c r="AT109" s="11"/>
      <c r="AU109" s="12"/>
      <c r="AV109" s="17"/>
      <c r="AW109" s="13"/>
      <c r="AX109" s="13"/>
      <c r="AY109" s="13"/>
      <c r="AZ109" s="14"/>
      <c r="BA109" s="9"/>
      <c r="BB109" s="16"/>
      <c r="BC109" s="10"/>
      <c r="BD109" s="10"/>
      <c r="BE109" s="10"/>
      <c r="BF109" s="11"/>
      <c r="BG109" s="12"/>
      <c r="BH109" s="17"/>
      <c r="BI109" s="13"/>
      <c r="BJ109" s="13"/>
      <c r="BK109" s="13"/>
      <c r="BL109" s="14"/>
      <c r="BM109" s="9"/>
      <c r="BN109" s="16"/>
      <c r="BO109" s="10"/>
      <c r="BP109" s="10"/>
      <c r="BQ109" s="10"/>
      <c r="BR109" s="11"/>
      <c r="BS109" s="12"/>
      <c r="BT109" s="17"/>
      <c r="BU109" s="13"/>
      <c r="BV109" s="13"/>
      <c r="BW109" s="13"/>
      <c r="BX109" s="14"/>
      <c r="BY109" s="9"/>
      <c r="BZ109" s="16"/>
      <c r="CA109" s="10"/>
      <c r="CB109" s="10"/>
      <c r="CC109" s="10"/>
      <c r="CD109" s="11"/>
      <c r="CE109" s="12"/>
      <c r="CF109" s="17"/>
      <c r="CG109" s="13"/>
      <c r="CH109" s="13"/>
      <c r="CI109" s="13"/>
      <c r="CJ109" s="14"/>
      <c r="CK109" s="9"/>
      <c r="CL109" s="16"/>
      <c r="CM109" s="10"/>
      <c r="CN109" s="10"/>
      <c r="CO109" s="10"/>
      <c r="CP109" s="11"/>
      <c r="CQ109" s="12"/>
      <c r="CR109" s="17"/>
      <c r="CS109" s="13"/>
      <c r="CT109" s="13"/>
      <c r="CU109" s="13"/>
      <c r="CV109" s="14"/>
      <c r="CW109" s="9"/>
      <c r="CX109" s="16"/>
      <c r="CY109" s="10"/>
      <c r="CZ109" s="10"/>
      <c r="DA109" s="10"/>
      <c r="DB109" s="11"/>
      <c r="DC109" s="12"/>
      <c r="DD109" s="17"/>
      <c r="DE109" s="13"/>
      <c r="DF109" s="13"/>
      <c r="DG109" s="13"/>
      <c r="DH109" s="14"/>
      <c r="DI109" s="8">
        <f t="shared" si="27"/>
        <v>8</v>
      </c>
      <c r="DJ109" s="8">
        <f t="shared" si="28"/>
        <v>12</v>
      </c>
      <c r="DK109" s="8">
        <f t="shared" si="29"/>
        <v>6</v>
      </c>
      <c r="DL109" s="8">
        <f t="shared" si="30"/>
        <v>4</v>
      </c>
      <c r="DM109" s="8">
        <f t="shared" si="31"/>
        <v>12</v>
      </c>
      <c r="DN109" s="8">
        <f t="shared" si="32"/>
        <v>6</v>
      </c>
      <c r="DO109" s="15">
        <f t="shared" si="33"/>
        <v>7.794228634059948</v>
      </c>
      <c r="DP109" s="15" t="str">
        <f t="shared" si="34"/>
        <v>OK - No Upgrade</v>
      </c>
      <c r="DQ109" s="15" t="str">
        <f t="shared" si="35"/>
        <v>Need to Balance</v>
      </c>
    </row>
    <row r="110" spans="1:121" ht="15.75" customHeight="1" x14ac:dyDescent="0.25">
      <c r="A110" s="8" t="s">
        <v>1459</v>
      </c>
      <c r="B110" s="8" t="s">
        <v>1713</v>
      </c>
      <c r="C110" s="8" t="s">
        <v>40</v>
      </c>
      <c r="D110" s="8" t="s">
        <v>2010</v>
      </c>
      <c r="E110" s="8" t="s">
        <v>2011</v>
      </c>
      <c r="F110" s="8" t="s">
        <v>56</v>
      </c>
      <c r="G110" s="8"/>
      <c r="H110" s="8">
        <v>1000</v>
      </c>
      <c r="I110" s="8" t="s">
        <v>2012</v>
      </c>
      <c r="J110" s="8">
        <v>1</v>
      </c>
      <c r="K110" s="8">
        <v>237</v>
      </c>
      <c r="L110" s="8">
        <v>240</v>
      </c>
      <c r="M110" s="8">
        <v>241</v>
      </c>
      <c r="N110" s="8">
        <v>416</v>
      </c>
      <c r="O110" s="8">
        <v>418</v>
      </c>
      <c r="P110" s="8">
        <v>412</v>
      </c>
      <c r="Q110" s="9" t="s">
        <v>46</v>
      </c>
      <c r="R110" s="16"/>
      <c r="S110" s="10">
        <v>112</v>
      </c>
      <c r="T110" s="10">
        <v>31</v>
      </c>
      <c r="U110" s="10">
        <v>68</v>
      </c>
      <c r="V110" s="11">
        <v>65</v>
      </c>
      <c r="W110" s="12"/>
      <c r="X110" s="17"/>
      <c r="Y110" s="13"/>
      <c r="Z110" s="13"/>
      <c r="AA110" s="13"/>
      <c r="AB110" s="14"/>
      <c r="AC110" s="9"/>
      <c r="AD110" s="16"/>
      <c r="AE110" s="10"/>
      <c r="AF110" s="10"/>
      <c r="AG110" s="10"/>
      <c r="AH110" s="11"/>
      <c r="AI110" s="12" t="s">
        <v>46</v>
      </c>
      <c r="AJ110" s="17"/>
      <c r="AK110" s="13">
        <v>72</v>
      </c>
      <c r="AL110" s="13">
        <v>46</v>
      </c>
      <c r="AM110" s="13">
        <v>64</v>
      </c>
      <c r="AN110" s="14">
        <v>37</v>
      </c>
      <c r="AO110" s="9" t="s">
        <v>46</v>
      </c>
      <c r="AP110" s="16"/>
      <c r="AQ110" s="10">
        <v>160</v>
      </c>
      <c r="AR110" s="10">
        <v>69</v>
      </c>
      <c r="AS110" s="10">
        <v>40</v>
      </c>
      <c r="AT110" s="11">
        <v>90</v>
      </c>
      <c r="AU110" s="12" t="s">
        <v>46</v>
      </c>
      <c r="AV110" s="17"/>
      <c r="AW110" s="13">
        <v>27</v>
      </c>
      <c r="AX110" s="13">
        <v>34</v>
      </c>
      <c r="AY110" s="13">
        <v>12</v>
      </c>
      <c r="AZ110" s="14">
        <v>17</v>
      </c>
      <c r="BA110" s="9" t="s">
        <v>47</v>
      </c>
      <c r="BB110" s="16"/>
      <c r="BC110" s="10">
        <v>71</v>
      </c>
      <c r="BD110" s="10">
        <v>85</v>
      </c>
      <c r="BE110" s="10">
        <v>120</v>
      </c>
      <c r="BF110" s="11">
        <v>42</v>
      </c>
      <c r="BG110" s="12" t="s">
        <v>47</v>
      </c>
      <c r="BH110" s="17"/>
      <c r="BI110" s="13">
        <v>50</v>
      </c>
      <c r="BJ110" s="13">
        <v>61</v>
      </c>
      <c r="BK110" s="13">
        <v>30</v>
      </c>
      <c r="BL110" s="14">
        <v>33</v>
      </c>
      <c r="BM110" s="9"/>
      <c r="BN110" s="16"/>
      <c r="BO110" s="10"/>
      <c r="BP110" s="10"/>
      <c r="BQ110" s="10"/>
      <c r="BR110" s="11"/>
      <c r="BS110" s="12"/>
      <c r="BT110" s="17"/>
      <c r="BU110" s="13"/>
      <c r="BV110" s="13"/>
      <c r="BW110" s="13"/>
      <c r="BX110" s="14"/>
      <c r="BY110" s="9"/>
      <c r="BZ110" s="16"/>
      <c r="CA110" s="10"/>
      <c r="CB110" s="10"/>
      <c r="CC110" s="10"/>
      <c r="CD110" s="11"/>
      <c r="CE110" s="12"/>
      <c r="CF110" s="17"/>
      <c r="CG110" s="13"/>
      <c r="CH110" s="13"/>
      <c r="CI110" s="13"/>
      <c r="CJ110" s="14"/>
      <c r="CK110" s="9"/>
      <c r="CL110" s="16"/>
      <c r="CM110" s="10"/>
      <c r="CN110" s="10"/>
      <c r="CO110" s="10"/>
      <c r="CP110" s="11"/>
      <c r="CQ110" s="12"/>
      <c r="CR110" s="17"/>
      <c r="CS110" s="13"/>
      <c r="CT110" s="13"/>
      <c r="CU110" s="13"/>
      <c r="CV110" s="14"/>
      <c r="CW110" s="9"/>
      <c r="CX110" s="16"/>
      <c r="CY110" s="10"/>
      <c r="CZ110" s="10"/>
      <c r="DA110" s="10"/>
      <c r="DB110" s="11"/>
      <c r="DC110" s="12"/>
      <c r="DD110" s="17"/>
      <c r="DE110" s="13"/>
      <c r="DF110" s="13"/>
      <c r="DG110" s="13"/>
      <c r="DH110" s="14"/>
      <c r="DI110" s="8">
        <f t="shared" si="27"/>
        <v>492</v>
      </c>
      <c r="DJ110" s="8">
        <f t="shared" si="28"/>
        <v>326</v>
      </c>
      <c r="DK110" s="8">
        <f t="shared" si="29"/>
        <v>334</v>
      </c>
      <c r="DL110" s="8">
        <f t="shared" si="30"/>
        <v>284</v>
      </c>
      <c r="DM110" s="8">
        <f t="shared" si="31"/>
        <v>492</v>
      </c>
      <c r="DN110" s="8">
        <f t="shared" si="32"/>
        <v>326</v>
      </c>
      <c r="DO110" s="15">
        <f t="shared" si="33"/>
        <v>35.450230288673723</v>
      </c>
      <c r="DP110" s="15" t="str">
        <f t="shared" si="34"/>
        <v>OK - No Upgrade</v>
      </c>
      <c r="DQ110" s="15" t="str">
        <f t="shared" si="35"/>
        <v>Need to Balance</v>
      </c>
    </row>
    <row r="111" spans="1:121" ht="15.75" customHeight="1" x14ac:dyDescent="0.25">
      <c r="A111" s="8" t="s">
        <v>1459</v>
      </c>
      <c r="B111" s="8" t="s">
        <v>1713</v>
      </c>
      <c r="C111" s="8" t="s">
        <v>389</v>
      </c>
      <c r="D111" s="8" t="s">
        <v>2013</v>
      </c>
      <c r="E111" s="8" t="s">
        <v>2014</v>
      </c>
      <c r="F111" s="8" t="s">
        <v>43</v>
      </c>
      <c r="G111" s="8"/>
      <c r="H111" s="8">
        <v>100</v>
      </c>
      <c r="I111" s="8" t="s">
        <v>2012</v>
      </c>
      <c r="J111" s="8">
        <v>1</v>
      </c>
      <c r="K111" s="8">
        <v>227</v>
      </c>
      <c r="L111" s="8">
        <v>232</v>
      </c>
      <c r="M111" s="8">
        <v>233</v>
      </c>
      <c r="N111" s="8">
        <v>394</v>
      </c>
      <c r="O111" s="8">
        <v>399</v>
      </c>
      <c r="P111" s="8">
        <v>406</v>
      </c>
      <c r="Q111" s="9" t="s">
        <v>47</v>
      </c>
      <c r="R111" s="16"/>
      <c r="S111" s="10">
        <v>0</v>
      </c>
      <c r="T111" s="10">
        <v>0</v>
      </c>
      <c r="U111" s="10">
        <v>0</v>
      </c>
      <c r="V111" s="11">
        <v>0</v>
      </c>
      <c r="W111" s="12" t="s">
        <v>46</v>
      </c>
      <c r="X111" s="17"/>
      <c r="Y111" s="13">
        <v>38</v>
      </c>
      <c r="Z111" s="13">
        <v>0</v>
      </c>
      <c r="AA111" s="13">
        <v>22</v>
      </c>
      <c r="AB111" s="14">
        <v>29</v>
      </c>
      <c r="AC111" s="9"/>
      <c r="AD111" s="16"/>
      <c r="AE111" s="10"/>
      <c r="AF111" s="10"/>
      <c r="AG111" s="10"/>
      <c r="AH111" s="11"/>
      <c r="AI111" s="12"/>
      <c r="AJ111" s="17"/>
      <c r="AK111" s="13"/>
      <c r="AL111" s="13"/>
      <c r="AM111" s="13"/>
      <c r="AN111" s="14"/>
      <c r="AO111" s="9"/>
      <c r="AP111" s="16"/>
      <c r="AQ111" s="10"/>
      <c r="AR111" s="10"/>
      <c r="AS111" s="10"/>
      <c r="AT111" s="11"/>
      <c r="AU111" s="12"/>
      <c r="AV111" s="17"/>
      <c r="AW111" s="13"/>
      <c r="AX111" s="13"/>
      <c r="AY111" s="13"/>
      <c r="AZ111" s="14"/>
      <c r="BA111" s="9"/>
      <c r="BB111" s="16"/>
      <c r="BC111" s="10"/>
      <c r="BD111" s="10"/>
      <c r="BE111" s="10"/>
      <c r="BF111" s="11"/>
      <c r="BG111" s="12"/>
      <c r="BH111" s="17"/>
      <c r="BI111" s="13"/>
      <c r="BJ111" s="13"/>
      <c r="BK111" s="13"/>
      <c r="BL111" s="14"/>
      <c r="BM111" s="9"/>
      <c r="BN111" s="16"/>
      <c r="BO111" s="10"/>
      <c r="BP111" s="10"/>
      <c r="BQ111" s="10"/>
      <c r="BR111" s="11"/>
      <c r="BS111" s="12"/>
      <c r="BT111" s="17"/>
      <c r="BU111" s="13"/>
      <c r="BV111" s="13"/>
      <c r="BW111" s="13"/>
      <c r="BX111" s="14"/>
      <c r="BY111" s="9"/>
      <c r="BZ111" s="16"/>
      <c r="CA111" s="10"/>
      <c r="CB111" s="10"/>
      <c r="CC111" s="10"/>
      <c r="CD111" s="11"/>
      <c r="CE111" s="12"/>
      <c r="CF111" s="17"/>
      <c r="CG111" s="13"/>
      <c r="CH111" s="13"/>
      <c r="CI111" s="13"/>
      <c r="CJ111" s="14"/>
      <c r="CK111" s="9"/>
      <c r="CL111" s="16"/>
      <c r="CM111" s="10"/>
      <c r="CN111" s="10"/>
      <c r="CO111" s="10"/>
      <c r="CP111" s="11"/>
      <c r="CQ111" s="12"/>
      <c r="CR111" s="17"/>
      <c r="CS111" s="13"/>
      <c r="CT111" s="13"/>
      <c r="CU111" s="13"/>
      <c r="CV111" s="14"/>
      <c r="CW111" s="9"/>
      <c r="CX111" s="16"/>
      <c r="CY111" s="10"/>
      <c r="CZ111" s="10"/>
      <c r="DA111" s="10"/>
      <c r="DB111" s="11"/>
      <c r="DC111" s="12"/>
      <c r="DD111" s="17"/>
      <c r="DE111" s="13"/>
      <c r="DF111" s="13"/>
      <c r="DG111" s="13"/>
      <c r="DH111" s="14"/>
      <c r="DI111" s="8">
        <f t="shared" si="27"/>
        <v>38</v>
      </c>
      <c r="DJ111" s="8">
        <f t="shared" si="28"/>
        <v>0</v>
      </c>
      <c r="DK111" s="8">
        <f t="shared" si="29"/>
        <v>22</v>
      </c>
      <c r="DL111" s="8">
        <f t="shared" si="30"/>
        <v>29</v>
      </c>
      <c r="DM111" s="8">
        <f t="shared" si="31"/>
        <v>38</v>
      </c>
      <c r="DN111" s="8">
        <f t="shared" si="32"/>
        <v>0</v>
      </c>
      <c r="DO111" s="15">
        <f t="shared" si="33"/>
        <v>25.93226469092123</v>
      </c>
      <c r="DP111" s="15" t="str">
        <f t="shared" si="34"/>
        <v>OK - No Upgrade</v>
      </c>
      <c r="DQ111" s="15" t="str">
        <f t="shared" si="35"/>
        <v>Need to Balance</v>
      </c>
    </row>
    <row r="112" spans="1:121" ht="15.75" customHeight="1" x14ac:dyDescent="0.25">
      <c r="A112" s="8" t="s">
        <v>1459</v>
      </c>
      <c r="B112" s="8" t="s">
        <v>1713</v>
      </c>
      <c r="C112" s="8" t="s">
        <v>40</v>
      </c>
      <c r="D112" s="8" t="s">
        <v>2015</v>
      </c>
      <c r="E112" s="8" t="s">
        <v>2016</v>
      </c>
      <c r="F112" s="8" t="s">
        <v>43</v>
      </c>
      <c r="G112" s="8"/>
      <c r="H112" s="8">
        <v>100</v>
      </c>
      <c r="I112" s="8" t="s">
        <v>2017</v>
      </c>
      <c r="J112" s="8">
        <v>1</v>
      </c>
      <c r="K112" s="8">
        <v>238</v>
      </c>
      <c r="L112" s="8">
        <v>238</v>
      </c>
      <c r="M112" s="8">
        <v>240</v>
      </c>
      <c r="N112" s="8">
        <v>415</v>
      </c>
      <c r="O112" s="8">
        <v>417</v>
      </c>
      <c r="P112" s="8">
        <v>413</v>
      </c>
      <c r="Q112" s="9" t="s">
        <v>132</v>
      </c>
      <c r="R112" s="16"/>
      <c r="S112" s="10">
        <v>0</v>
      </c>
      <c r="T112" s="10">
        <v>0</v>
      </c>
      <c r="U112" s="10">
        <v>0</v>
      </c>
      <c r="V112" s="11">
        <v>0</v>
      </c>
      <c r="W112" s="12"/>
      <c r="X112" s="17"/>
      <c r="Y112" s="13"/>
      <c r="Z112" s="13"/>
      <c r="AA112" s="13"/>
      <c r="AB112" s="14"/>
      <c r="AC112" s="9"/>
      <c r="AD112" s="16"/>
      <c r="AE112" s="10"/>
      <c r="AF112" s="10"/>
      <c r="AG112" s="10"/>
      <c r="AH112" s="11"/>
      <c r="AI112" s="12"/>
      <c r="AJ112" s="17"/>
      <c r="AK112" s="13"/>
      <c r="AL112" s="13"/>
      <c r="AM112" s="13"/>
      <c r="AN112" s="14"/>
      <c r="AO112" s="9"/>
      <c r="AP112" s="16"/>
      <c r="AQ112" s="10"/>
      <c r="AR112" s="10"/>
      <c r="AS112" s="10"/>
      <c r="AT112" s="11"/>
      <c r="AU112" s="12"/>
      <c r="AV112" s="17"/>
      <c r="AW112" s="13"/>
      <c r="AX112" s="13"/>
      <c r="AY112" s="13"/>
      <c r="AZ112" s="14"/>
      <c r="BA112" s="9"/>
      <c r="BB112" s="16"/>
      <c r="BC112" s="10"/>
      <c r="BD112" s="10"/>
      <c r="BE112" s="10"/>
      <c r="BF112" s="11"/>
      <c r="BG112" s="12"/>
      <c r="BH112" s="17"/>
      <c r="BI112" s="13"/>
      <c r="BJ112" s="13"/>
      <c r="BK112" s="13"/>
      <c r="BL112" s="14"/>
      <c r="BM112" s="9"/>
      <c r="BN112" s="16"/>
      <c r="BO112" s="10"/>
      <c r="BP112" s="10"/>
      <c r="BQ112" s="10"/>
      <c r="BR112" s="11"/>
      <c r="BS112" s="12"/>
      <c r="BT112" s="17"/>
      <c r="BU112" s="13"/>
      <c r="BV112" s="13"/>
      <c r="BW112" s="13"/>
      <c r="BX112" s="14"/>
      <c r="BY112" s="9"/>
      <c r="BZ112" s="16"/>
      <c r="CA112" s="10"/>
      <c r="CB112" s="10"/>
      <c r="CC112" s="10"/>
      <c r="CD112" s="11"/>
      <c r="CE112" s="12"/>
      <c r="CF112" s="17"/>
      <c r="CG112" s="13"/>
      <c r="CH112" s="13"/>
      <c r="CI112" s="13"/>
      <c r="CJ112" s="14"/>
      <c r="CK112" s="9"/>
      <c r="CL112" s="16"/>
      <c r="CM112" s="10"/>
      <c r="CN112" s="10"/>
      <c r="CO112" s="10"/>
      <c r="CP112" s="11"/>
      <c r="CQ112" s="12"/>
      <c r="CR112" s="17"/>
      <c r="CS112" s="13"/>
      <c r="CT112" s="13"/>
      <c r="CU112" s="13"/>
      <c r="CV112" s="14"/>
      <c r="CW112" s="9"/>
      <c r="CX112" s="16"/>
      <c r="CY112" s="10"/>
      <c r="CZ112" s="10"/>
      <c r="DA112" s="10"/>
      <c r="DB112" s="11"/>
      <c r="DC112" s="12"/>
      <c r="DD112" s="17"/>
      <c r="DE112" s="13"/>
      <c r="DF112" s="13"/>
      <c r="DG112" s="13"/>
      <c r="DH112" s="14"/>
      <c r="DI112" s="8">
        <f t="shared" si="27"/>
        <v>0</v>
      </c>
      <c r="DJ112" s="8">
        <f t="shared" si="28"/>
        <v>0</v>
      </c>
      <c r="DK112" s="8">
        <f t="shared" si="29"/>
        <v>0</v>
      </c>
      <c r="DL112" s="8">
        <f t="shared" si="30"/>
        <v>0</v>
      </c>
      <c r="DM112" s="8">
        <f t="shared" si="31"/>
        <v>0</v>
      </c>
      <c r="DN112" s="8">
        <f t="shared" si="32"/>
        <v>0</v>
      </c>
      <c r="DO112" s="15">
        <f t="shared" si="33"/>
        <v>0</v>
      </c>
      <c r="DP112" s="15" t="str">
        <f t="shared" si="34"/>
        <v>OK - No Upgrade</v>
      </c>
      <c r="DQ112" s="15" t="str">
        <f t="shared" si="35"/>
        <v>OK - Balanced</v>
      </c>
    </row>
    <row r="113" spans="1:121" ht="15.75" customHeight="1" x14ac:dyDescent="0.25">
      <c r="A113" s="8" t="s">
        <v>1459</v>
      </c>
      <c r="B113" s="8" t="s">
        <v>1713</v>
      </c>
      <c r="C113" s="8" t="s">
        <v>389</v>
      </c>
      <c r="D113" s="8" t="s">
        <v>2018</v>
      </c>
      <c r="E113" s="8" t="s">
        <v>2019</v>
      </c>
      <c r="F113" s="8" t="s">
        <v>56</v>
      </c>
      <c r="G113" s="8"/>
      <c r="H113" s="8">
        <v>1000</v>
      </c>
      <c r="I113" s="8" t="s">
        <v>2020</v>
      </c>
      <c r="J113" s="8">
        <v>1</v>
      </c>
      <c r="K113" s="8">
        <v>229</v>
      </c>
      <c r="L113" s="8">
        <v>230</v>
      </c>
      <c r="M113" s="8">
        <v>232</v>
      </c>
      <c r="N113" s="8">
        <v>397</v>
      </c>
      <c r="O113" s="8">
        <v>400</v>
      </c>
      <c r="P113" s="8">
        <v>402</v>
      </c>
      <c r="Q113" s="9" t="s">
        <v>47</v>
      </c>
      <c r="R113" s="16"/>
      <c r="S113" s="10">
        <v>29</v>
      </c>
      <c r="T113" s="10">
        <v>25</v>
      </c>
      <c r="U113" s="10">
        <v>32</v>
      </c>
      <c r="V113" s="11">
        <v>6</v>
      </c>
      <c r="W113" s="12" t="s">
        <v>47</v>
      </c>
      <c r="X113" s="17"/>
      <c r="Y113" s="13">
        <v>26</v>
      </c>
      <c r="Z113" s="13">
        <v>55</v>
      </c>
      <c r="AA113" s="13">
        <v>38</v>
      </c>
      <c r="AB113" s="14">
        <v>25</v>
      </c>
      <c r="AC113" s="9" t="s">
        <v>47</v>
      </c>
      <c r="AD113" s="16"/>
      <c r="AE113" s="10">
        <v>60</v>
      </c>
      <c r="AF113" s="10">
        <v>18</v>
      </c>
      <c r="AG113" s="10">
        <v>26</v>
      </c>
      <c r="AH113" s="11">
        <v>43</v>
      </c>
      <c r="AI113" s="12" t="s">
        <v>47</v>
      </c>
      <c r="AJ113" s="17"/>
      <c r="AK113" s="13">
        <v>38</v>
      </c>
      <c r="AL113" s="13">
        <v>22</v>
      </c>
      <c r="AM113" s="13">
        <v>11</v>
      </c>
      <c r="AN113" s="14">
        <v>27</v>
      </c>
      <c r="AO113" s="9" t="s">
        <v>47</v>
      </c>
      <c r="AP113" s="16"/>
      <c r="AQ113" s="10">
        <v>128</v>
      </c>
      <c r="AR113" s="10">
        <v>103</v>
      </c>
      <c r="AS113" s="10">
        <v>59</v>
      </c>
      <c r="AT113" s="11">
        <v>34</v>
      </c>
      <c r="AU113" s="12"/>
      <c r="AV113" s="17"/>
      <c r="AW113" s="13"/>
      <c r="AX113" s="13"/>
      <c r="AY113" s="13"/>
      <c r="AZ113" s="14"/>
      <c r="BA113" s="9"/>
      <c r="BB113" s="16"/>
      <c r="BC113" s="10"/>
      <c r="BD113" s="10"/>
      <c r="BE113" s="10"/>
      <c r="BF113" s="11"/>
      <c r="BG113" s="12"/>
      <c r="BH113" s="17"/>
      <c r="BI113" s="13"/>
      <c r="BJ113" s="13"/>
      <c r="BK113" s="13"/>
      <c r="BL113" s="14"/>
      <c r="BM113" s="9"/>
      <c r="BN113" s="16"/>
      <c r="BO113" s="10"/>
      <c r="BP113" s="10"/>
      <c r="BQ113" s="10"/>
      <c r="BR113" s="11"/>
      <c r="BS113" s="12"/>
      <c r="BT113" s="17"/>
      <c r="BU113" s="13"/>
      <c r="BV113" s="13"/>
      <c r="BW113" s="13"/>
      <c r="BX113" s="14"/>
      <c r="BY113" s="9"/>
      <c r="BZ113" s="16"/>
      <c r="CA113" s="10"/>
      <c r="CB113" s="10"/>
      <c r="CC113" s="10"/>
      <c r="CD113" s="11"/>
      <c r="CE113" s="12"/>
      <c r="CF113" s="17"/>
      <c r="CG113" s="13"/>
      <c r="CH113" s="13"/>
      <c r="CI113" s="13"/>
      <c r="CJ113" s="14"/>
      <c r="CK113" s="9"/>
      <c r="CL113" s="16"/>
      <c r="CM113" s="10"/>
      <c r="CN113" s="10"/>
      <c r="CO113" s="10"/>
      <c r="CP113" s="11"/>
      <c r="CQ113" s="12"/>
      <c r="CR113" s="17"/>
      <c r="CS113" s="13"/>
      <c r="CT113" s="13"/>
      <c r="CU113" s="13"/>
      <c r="CV113" s="14"/>
      <c r="CW113" s="9"/>
      <c r="CX113" s="16"/>
      <c r="CY113" s="10"/>
      <c r="CZ113" s="10"/>
      <c r="DA113" s="10"/>
      <c r="DB113" s="11"/>
      <c r="DC113" s="12"/>
      <c r="DD113" s="17"/>
      <c r="DE113" s="13"/>
      <c r="DF113" s="13"/>
      <c r="DG113" s="13"/>
      <c r="DH113" s="14"/>
      <c r="DI113" s="8">
        <f t="shared" si="27"/>
        <v>281</v>
      </c>
      <c r="DJ113" s="8">
        <f t="shared" si="28"/>
        <v>223</v>
      </c>
      <c r="DK113" s="8">
        <f t="shared" si="29"/>
        <v>166</v>
      </c>
      <c r="DL113" s="8">
        <f t="shared" si="30"/>
        <v>135</v>
      </c>
      <c r="DM113" s="8">
        <f t="shared" si="31"/>
        <v>281</v>
      </c>
      <c r="DN113" s="8">
        <f t="shared" si="32"/>
        <v>166</v>
      </c>
      <c r="DO113" s="15">
        <f t="shared" si="33"/>
        <v>19.322239193996126</v>
      </c>
      <c r="DP113" s="15" t="str">
        <f t="shared" si="34"/>
        <v>OK - No Upgrade</v>
      </c>
      <c r="DQ113" s="15" t="str">
        <f t="shared" si="35"/>
        <v>Need to Balance</v>
      </c>
    </row>
    <row r="114" spans="1:121" ht="15.75" customHeight="1" x14ac:dyDescent="0.25">
      <c r="A114" s="8" t="s">
        <v>1459</v>
      </c>
      <c r="B114" s="8" t="s">
        <v>1713</v>
      </c>
      <c r="C114" s="8" t="s">
        <v>40</v>
      </c>
      <c r="D114" s="8" t="s">
        <v>2021</v>
      </c>
      <c r="E114" s="8" t="s">
        <v>2022</v>
      </c>
      <c r="F114" s="8" t="s">
        <v>43</v>
      </c>
      <c r="G114" s="8"/>
      <c r="H114" s="8">
        <v>200</v>
      </c>
      <c r="I114" s="8" t="s">
        <v>2023</v>
      </c>
      <c r="J114" s="8">
        <v>1</v>
      </c>
      <c r="K114" s="8">
        <v>238</v>
      </c>
      <c r="L114" s="8">
        <v>238</v>
      </c>
      <c r="M114" s="8">
        <v>240</v>
      </c>
      <c r="N114" s="8">
        <v>415</v>
      </c>
      <c r="O114" s="8">
        <v>417</v>
      </c>
      <c r="P114" s="8">
        <v>413</v>
      </c>
      <c r="Q114" s="9" t="s">
        <v>47</v>
      </c>
      <c r="R114" s="16"/>
      <c r="S114" s="10">
        <v>50</v>
      </c>
      <c r="T114" s="10">
        <v>85</v>
      </c>
      <c r="U114" s="10">
        <v>62</v>
      </c>
      <c r="V114" s="11">
        <v>35</v>
      </c>
      <c r="W114" s="12" t="s">
        <v>47</v>
      </c>
      <c r="X114" s="17"/>
      <c r="Y114" s="13">
        <v>68</v>
      </c>
      <c r="Z114" s="13">
        <v>65</v>
      </c>
      <c r="AA114" s="13">
        <v>54</v>
      </c>
      <c r="AB114" s="14">
        <v>22</v>
      </c>
      <c r="AC114" s="9"/>
      <c r="AD114" s="16"/>
      <c r="AE114" s="10"/>
      <c r="AF114" s="10"/>
      <c r="AG114" s="10"/>
      <c r="AH114" s="11"/>
      <c r="AI114" s="12"/>
      <c r="AJ114" s="17"/>
      <c r="AK114" s="13"/>
      <c r="AL114" s="13"/>
      <c r="AM114" s="13"/>
      <c r="AN114" s="14"/>
      <c r="AO114" s="9"/>
      <c r="AP114" s="16"/>
      <c r="AQ114" s="10"/>
      <c r="AR114" s="10"/>
      <c r="AS114" s="10"/>
      <c r="AT114" s="11"/>
      <c r="AU114" s="12"/>
      <c r="AV114" s="17"/>
      <c r="AW114" s="13"/>
      <c r="AX114" s="13"/>
      <c r="AY114" s="13"/>
      <c r="AZ114" s="14"/>
      <c r="BA114" s="9"/>
      <c r="BB114" s="16"/>
      <c r="BC114" s="10"/>
      <c r="BD114" s="10"/>
      <c r="BE114" s="10"/>
      <c r="BF114" s="11"/>
      <c r="BG114" s="12"/>
      <c r="BH114" s="17"/>
      <c r="BI114" s="13"/>
      <c r="BJ114" s="13"/>
      <c r="BK114" s="13"/>
      <c r="BL114" s="14"/>
      <c r="BM114" s="9"/>
      <c r="BN114" s="16"/>
      <c r="BO114" s="10"/>
      <c r="BP114" s="10"/>
      <c r="BQ114" s="10"/>
      <c r="BR114" s="11"/>
      <c r="BS114" s="12"/>
      <c r="BT114" s="17"/>
      <c r="BU114" s="13"/>
      <c r="BV114" s="13"/>
      <c r="BW114" s="13"/>
      <c r="BX114" s="14"/>
      <c r="BY114" s="9"/>
      <c r="BZ114" s="16"/>
      <c r="CA114" s="10"/>
      <c r="CB114" s="10"/>
      <c r="CC114" s="10"/>
      <c r="CD114" s="11"/>
      <c r="CE114" s="12"/>
      <c r="CF114" s="17"/>
      <c r="CG114" s="13"/>
      <c r="CH114" s="13"/>
      <c r="CI114" s="13"/>
      <c r="CJ114" s="14"/>
      <c r="CK114" s="9"/>
      <c r="CL114" s="16"/>
      <c r="CM114" s="10"/>
      <c r="CN114" s="10"/>
      <c r="CO114" s="10"/>
      <c r="CP114" s="11"/>
      <c r="CQ114" s="12"/>
      <c r="CR114" s="17"/>
      <c r="CS114" s="13"/>
      <c r="CT114" s="13"/>
      <c r="CU114" s="13"/>
      <c r="CV114" s="14"/>
      <c r="CW114" s="9"/>
      <c r="CX114" s="16"/>
      <c r="CY114" s="10"/>
      <c r="CZ114" s="10"/>
      <c r="DA114" s="10"/>
      <c r="DB114" s="11"/>
      <c r="DC114" s="12"/>
      <c r="DD114" s="17"/>
      <c r="DE114" s="13"/>
      <c r="DF114" s="13"/>
      <c r="DG114" s="13"/>
      <c r="DH114" s="14"/>
      <c r="DI114" s="8">
        <f t="shared" si="27"/>
        <v>118</v>
      </c>
      <c r="DJ114" s="8">
        <f t="shared" si="28"/>
        <v>150</v>
      </c>
      <c r="DK114" s="8">
        <f t="shared" si="29"/>
        <v>116</v>
      </c>
      <c r="DL114" s="8">
        <f t="shared" si="30"/>
        <v>57</v>
      </c>
      <c r="DM114" s="8">
        <f t="shared" si="31"/>
        <v>150</v>
      </c>
      <c r="DN114" s="8">
        <f t="shared" si="32"/>
        <v>116</v>
      </c>
      <c r="DO114" s="15">
        <f t="shared" si="33"/>
        <v>53.910081385581307</v>
      </c>
      <c r="DP114" s="15" t="str">
        <f t="shared" si="34"/>
        <v>OK - No Upgrade</v>
      </c>
      <c r="DQ114" s="15" t="str">
        <f t="shared" si="35"/>
        <v>Need to Balance</v>
      </c>
    </row>
    <row r="115" spans="1:121" ht="15.75" customHeight="1" x14ac:dyDescent="0.25">
      <c r="A115" s="8" t="s">
        <v>1459</v>
      </c>
      <c r="B115" s="8" t="s">
        <v>1713</v>
      </c>
      <c r="C115" s="8" t="s">
        <v>389</v>
      </c>
      <c r="D115" s="8"/>
      <c r="E115" s="8" t="s">
        <v>2024</v>
      </c>
      <c r="F115" s="8" t="s">
        <v>43</v>
      </c>
      <c r="G115" s="8"/>
      <c r="H115" s="8">
        <v>100</v>
      </c>
      <c r="I115" s="8" t="s">
        <v>2025</v>
      </c>
      <c r="J115" s="8">
        <v>1</v>
      </c>
      <c r="K115" s="8">
        <v>229</v>
      </c>
      <c r="L115" s="8">
        <v>231</v>
      </c>
      <c r="M115" s="8">
        <v>232</v>
      </c>
      <c r="N115" s="8">
        <v>398</v>
      </c>
      <c r="O115" s="8">
        <v>398</v>
      </c>
      <c r="P115" s="8">
        <v>400</v>
      </c>
      <c r="Q115" s="9" t="s">
        <v>47</v>
      </c>
      <c r="R115" s="16"/>
      <c r="S115" s="10">
        <v>0</v>
      </c>
      <c r="T115" s="10">
        <v>23</v>
      </c>
      <c r="U115" s="10">
        <v>23</v>
      </c>
      <c r="V115" s="11">
        <v>16</v>
      </c>
      <c r="W115" s="12" t="s">
        <v>47</v>
      </c>
      <c r="X115" s="17"/>
      <c r="Y115" s="13">
        <v>17</v>
      </c>
      <c r="Z115" s="13">
        <v>8</v>
      </c>
      <c r="AA115" s="13">
        <v>6</v>
      </c>
      <c r="AB115" s="14">
        <v>10</v>
      </c>
      <c r="AC115" s="9"/>
      <c r="AD115" s="16"/>
      <c r="AE115" s="10"/>
      <c r="AF115" s="10"/>
      <c r="AG115" s="10"/>
      <c r="AH115" s="11"/>
      <c r="AI115" s="12"/>
      <c r="AJ115" s="17"/>
      <c r="AK115" s="13"/>
      <c r="AL115" s="13"/>
      <c r="AM115" s="13"/>
      <c r="AN115" s="14"/>
      <c r="AO115" s="9"/>
      <c r="AP115" s="16"/>
      <c r="AQ115" s="10"/>
      <c r="AR115" s="10"/>
      <c r="AS115" s="10"/>
      <c r="AT115" s="11"/>
      <c r="AU115" s="12"/>
      <c r="AV115" s="17"/>
      <c r="AW115" s="13"/>
      <c r="AX115" s="13"/>
      <c r="AY115" s="13"/>
      <c r="AZ115" s="14"/>
      <c r="BA115" s="9"/>
      <c r="BB115" s="16"/>
      <c r="BC115" s="10"/>
      <c r="BD115" s="10"/>
      <c r="BE115" s="10"/>
      <c r="BF115" s="11"/>
      <c r="BG115" s="12"/>
      <c r="BH115" s="17"/>
      <c r="BI115" s="13"/>
      <c r="BJ115" s="13"/>
      <c r="BK115" s="13"/>
      <c r="BL115" s="14"/>
      <c r="BM115" s="9"/>
      <c r="BN115" s="16"/>
      <c r="BO115" s="10"/>
      <c r="BP115" s="10"/>
      <c r="BQ115" s="10"/>
      <c r="BR115" s="11"/>
      <c r="BS115" s="12"/>
      <c r="BT115" s="17"/>
      <c r="BU115" s="13"/>
      <c r="BV115" s="13"/>
      <c r="BW115" s="13"/>
      <c r="BX115" s="14"/>
      <c r="BY115" s="9"/>
      <c r="BZ115" s="16"/>
      <c r="CA115" s="10"/>
      <c r="CB115" s="10"/>
      <c r="CC115" s="10"/>
      <c r="CD115" s="11"/>
      <c r="CE115" s="12"/>
      <c r="CF115" s="17"/>
      <c r="CG115" s="13"/>
      <c r="CH115" s="13"/>
      <c r="CI115" s="13"/>
      <c r="CJ115" s="14"/>
      <c r="CK115" s="9"/>
      <c r="CL115" s="16"/>
      <c r="CM115" s="10"/>
      <c r="CN115" s="10"/>
      <c r="CO115" s="10"/>
      <c r="CP115" s="11"/>
      <c r="CQ115" s="12"/>
      <c r="CR115" s="17"/>
      <c r="CS115" s="13"/>
      <c r="CT115" s="13"/>
      <c r="CU115" s="13"/>
      <c r="CV115" s="14"/>
      <c r="CW115" s="9"/>
      <c r="CX115" s="16"/>
      <c r="CY115" s="10"/>
      <c r="CZ115" s="10"/>
      <c r="DA115" s="10"/>
      <c r="DB115" s="11"/>
      <c r="DC115" s="12"/>
      <c r="DD115" s="17"/>
      <c r="DE115" s="13"/>
      <c r="DF115" s="13"/>
      <c r="DG115" s="13"/>
      <c r="DH115" s="14"/>
      <c r="DI115" s="8">
        <f t="shared" si="27"/>
        <v>17</v>
      </c>
      <c r="DJ115" s="8">
        <f t="shared" si="28"/>
        <v>31</v>
      </c>
      <c r="DK115" s="8">
        <f t="shared" si="29"/>
        <v>29</v>
      </c>
      <c r="DL115" s="8">
        <f t="shared" si="30"/>
        <v>26</v>
      </c>
      <c r="DM115" s="8">
        <f t="shared" si="31"/>
        <v>31</v>
      </c>
      <c r="DN115" s="8">
        <f t="shared" si="32"/>
        <v>17</v>
      </c>
      <c r="DO115" s="15">
        <f t="shared" si="33"/>
        <v>21.370042863784807</v>
      </c>
      <c r="DP115" s="15" t="str">
        <f t="shared" si="34"/>
        <v>OK - No Upgrade</v>
      </c>
      <c r="DQ115" s="15" t="str">
        <f t="shared" si="35"/>
        <v>Need to Balance</v>
      </c>
    </row>
    <row r="116" spans="1:121" ht="15.75" customHeight="1" x14ac:dyDescent="0.25">
      <c r="A116" s="8" t="s">
        <v>1459</v>
      </c>
      <c r="B116" s="8" t="s">
        <v>1713</v>
      </c>
      <c r="C116" s="8" t="s">
        <v>40</v>
      </c>
      <c r="D116" s="8" t="s">
        <v>2026</v>
      </c>
      <c r="E116" s="8" t="s">
        <v>2027</v>
      </c>
      <c r="F116" s="8" t="s">
        <v>43</v>
      </c>
      <c r="G116" s="8"/>
      <c r="H116" s="8">
        <v>50</v>
      </c>
      <c r="I116" s="8" t="s">
        <v>2028</v>
      </c>
      <c r="J116" s="8">
        <v>1</v>
      </c>
      <c r="K116" s="8">
        <v>242</v>
      </c>
      <c r="L116" s="8">
        <v>241</v>
      </c>
      <c r="M116" s="8">
        <v>244</v>
      </c>
      <c r="N116" s="8">
        <v>424</v>
      </c>
      <c r="O116" s="8">
        <v>422</v>
      </c>
      <c r="P116" s="8">
        <v>420</v>
      </c>
      <c r="Q116" s="9" t="s">
        <v>132</v>
      </c>
      <c r="R116" s="16"/>
      <c r="S116" s="10">
        <v>0</v>
      </c>
      <c r="T116" s="10">
        <v>4</v>
      </c>
      <c r="U116" s="10">
        <v>0</v>
      </c>
      <c r="V116" s="11">
        <v>4</v>
      </c>
      <c r="W116" s="12"/>
      <c r="X116" s="17"/>
      <c r="Y116" s="13"/>
      <c r="Z116" s="13"/>
      <c r="AA116" s="13"/>
      <c r="AB116" s="14"/>
      <c r="AC116" s="9"/>
      <c r="AD116" s="16"/>
      <c r="AE116" s="10"/>
      <c r="AF116" s="10"/>
      <c r="AG116" s="10"/>
      <c r="AH116" s="11"/>
      <c r="AI116" s="12"/>
      <c r="AJ116" s="17"/>
      <c r="AK116" s="13"/>
      <c r="AL116" s="13"/>
      <c r="AM116" s="13"/>
      <c r="AN116" s="14"/>
      <c r="AO116" s="9"/>
      <c r="AP116" s="16"/>
      <c r="AQ116" s="10"/>
      <c r="AR116" s="10"/>
      <c r="AS116" s="10"/>
      <c r="AT116" s="11"/>
      <c r="AU116" s="12"/>
      <c r="AV116" s="17"/>
      <c r="AW116" s="13"/>
      <c r="AX116" s="13"/>
      <c r="AY116" s="13"/>
      <c r="AZ116" s="14"/>
      <c r="BA116" s="9"/>
      <c r="BB116" s="16"/>
      <c r="BC116" s="10"/>
      <c r="BD116" s="10"/>
      <c r="BE116" s="10"/>
      <c r="BF116" s="11"/>
      <c r="BG116" s="12"/>
      <c r="BH116" s="17"/>
      <c r="BI116" s="13"/>
      <c r="BJ116" s="13"/>
      <c r="BK116" s="13"/>
      <c r="BL116" s="14"/>
      <c r="BM116" s="9"/>
      <c r="BN116" s="16"/>
      <c r="BO116" s="10"/>
      <c r="BP116" s="10"/>
      <c r="BQ116" s="10"/>
      <c r="BR116" s="11"/>
      <c r="BS116" s="12"/>
      <c r="BT116" s="17"/>
      <c r="BU116" s="13"/>
      <c r="BV116" s="13"/>
      <c r="BW116" s="13"/>
      <c r="BX116" s="14"/>
      <c r="BY116" s="9"/>
      <c r="BZ116" s="16"/>
      <c r="CA116" s="10"/>
      <c r="CB116" s="10"/>
      <c r="CC116" s="10"/>
      <c r="CD116" s="11"/>
      <c r="CE116" s="12"/>
      <c r="CF116" s="17"/>
      <c r="CG116" s="13"/>
      <c r="CH116" s="13"/>
      <c r="CI116" s="13"/>
      <c r="CJ116" s="14"/>
      <c r="CK116" s="9"/>
      <c r="CL116" s="16"/>
      <c r="CM116" s="10"/>
      <c r="CN116" s="10"/>
      <c r="CO116" s="10"/>
      <c r="CP116" s="11"/>
      <c r="CQ116" s="12"/>
      <c r="CR116" s="17"/>
      <c r="CS116" s="13"/>
      <c r="CT116" s="13"/>
      <c r="CU116" s="13"/>
      <c r="CV116" s="14"/>
      <c r="CW116" s="9"/>
      <c r="CX116" s="16"/>
      <c r="CY116" s="10"/>
      <c r="CZ116" s="10"/>
      <c r="DA116" s="10"/>
      <c r="DB116" s="11"/>
      <c r="DC116" s="12"/>
      <c r="DD116" s="17"/>
      <c r="DE116" s="13"/>
      <c r="DF116" s="13"/>
      <c r="DG116" s="13"/>
      <c r="DH116" s="14"/>
      <c r="DI116" s="8">
        <f t="shared" si="27"/>
        <v>0</v>
      </c>
      <c r="DJ116" s="8">
        <f t="shared" si="28"/>
        <v>4</v>
      </c>
      <c r="DK116" s="8">
        <f t="shared" si="29"/>
        <v>0</v>
      </c>
      <c r="DL116" s="8">
        <f t="shared" si="30"/>
        <v>4</v>
      </c>
      <c r="DM116" s="8">
        <f t="shared" si="31"/>
        <v>4</v>
      </c>
      <c r="DN116" s="8">
        <f t="shared" si="32"/>
        <v>0</v>
      </c>
      <c r="DO116" s="15">
        <f t="shared" si="33"/>
        <v>5.8751163392736316</v>
      </c>
      <c r="DP116" s="15" t="str">
        <f t="shared" si="34"/>
        <v>OK - No Upgrade</v>
      </c>
      <c r="DQ116" s="15" t="str">
        <f t="shared" si="35"/>
        <v>Need to Balance</v>
      </c>
    </row>
    <row r="117" spans="1:121" ht="15.75" customHeight="1" x14ac:dyDescent="0.25">
      <c r="A117" s="8" t="s">
        <v>1459</v>
      </c>
      <c r="B117" s="8" t="s">
        <v>1713</v>
      </c>
      <c r="C117" s="8" t="s">
        <v>389</v>
      </c>
      <c r="D117" s="8" t="s">
        <v>2029</v>
      </c>
      <c r="E117" s="8" t="s">
        <v>2030</v>
      </c>
      <c r="F117" s="8" t="s">
        <v>43</v>
      </c>
      <c r="G117" s="8"/>
      <c r="H117" s="8">
        <v>315</v>
      </c>
      <c r="I117" s="8" t="s">
        <v>2031</v>
      </c>
      <c r="J117" s="8">
        <v>1</v>
      </c>
      <c r="K117" s="8">
        <v>229</v>
      </c>
      <c r="L117" s="8">
        <v>230</v>
      </c>
      <c r="M117" s="8">
        <v>231</v>
      </c>
      <c r="N117" s="8">
        <v>397</v>
      </c>
      <c r="O117" s="8">
        <v>400</v>
      </c>
      <c r="P117" s="8">
        <v>401</v>
      </c>
      <c r="Q117" s="9" t="s">
        <v>47</v>
      </c>
      <c r="R117" s="16"/>
      <c r="S117" s="10">
        <v>24</v>
      </c>
      <c r="T117" s="10">
        <v>6</v>
      </c>
      <c r="U117" s="10">
        <v>4</v>
      </c>
      <c r="V117" s="11">
        <v>24</v>
      </c>
      <c r="W117" s="12" t="s">
        <v>47</v>
      </c>
      <c r="X117" s="17"/>
      <c r="Y117" s="13">
        <v>12</v>
      </c>
      <c r="Z117" s="13">
        <v>25</v>
      </c>
      <c r="AA117" s="13">
        <v>8</v>
      </c>
      <c r="AB117" s="14">
        <v>20</v>
      </c>
      <c r="AC117" s="9"/>
      <c r="AD117" s="16"/>
      <c r="AE117" s="10"/>
      <c r="AF117" s="10"/>
      <c r="AG117" s="10"/>
      <c r="AH117" s="11"/>
      <c r="AI117" s="12"/>
      <c r="AJ117" s="17"/>
      <c r="AK117" s="13"/>
      <c r="AL117" s="13"/>
      <c r="AM117" s="13"/>
      <c r="AN117" s="14"/>
      <c r="AO117" s="9"/>
      <c r="AP117" s="16"/>
      <c r="AQ117" s="10"/>
      <c r="AR117" s="10"/>
      <c r="AS117" s="10"/>
      <c r="AT117" s="11"/>
      <c r="AU117" s="12"/>
      <c r="AV117" s="17"/>
      <c r="AW117" s="13"/>
      <c r="AX117" s="13"/>
      <c r="AY117" s="13"/>
      <c r="AZ117" s="14"/>
      <c r="BA117" s="9"/>
      <c r="BB117" s="16"/>
      <c r="BC117" s="10"/>
      <c r="BD117" s="10"/>
      <c r="BE117" s="10"/>
      <c r="BF117" s="11"/>
      <c r="BG117" s="12"/>
      <c r="BH117" s="17"/>
      <c r="BI117" s="13"/>
      <c r="BJ117" s="13"/>
      <c r="BK117" s="13"/>
      <c r="BL117" s="14"/>
      <c r="BM117" s="9"/>
      <c r="BN117" s="16"/>
      <c r="BO117" s="10"/>
      <c r="BP117" s="10"/>
      <c r="BQ117" s="10"/>
      <c r="BR117" s="11"/>
      <c r="BS117" s="12"/>
      <c r="BT117" s="17"/>
      <c r="BU117" s="13"/>
      <c r="BV117" s="13"/>
      <c r="BW117" s="13"/>
      <c r="BX117" s="14"/>
      <c r="BY117" s="9"/>
      <c r="BZ117" s="16"/>
      <c r="CA117" s="10"/>
      <c r="CB117" s="10"/>
      <c r="CC117" s="10"/>
      <c r="CD117" s="11"/>
      <c r="CE117" s="12"/>
      <c r="CF117" s="17"/>
      <c r="CG117" s="13"/>
      <c r="CH117" s="13"/>
      <c r="CI117" s="13"/>
      <c r="CJ117" s="14"/>
      <c r="CK117" s="9"/>
      <c r="CL117" s="16"/>
      <c r="CM117" s="10"/>
      <c r="CN117" s="10"/>
      <c r="CO117" s="10"/>
      <c r="CP117" s="11"/>
      <c r="CQ117" s="12"/>
      <c r="CR117" s="17"/>
      <c r="CS117" s="13"/>
      <c r="CT117" s="13"/>
      <c r="CU117" s="13"/>
      <c r="CV117" s="14"/>
      <c r="CW117" s="9"/>
      <c r="CX117" s="16"/>
      <c r="CY117" s="10"/>
      <c r="CZ117" s="10"/>
      <c r="DA117" s="10"/>
      <c r="DB117" s="11"/>
      <c r="DC117" s="12"/>
      <c r="DD117" s="17"/>
      <c r="DE117" s="13"/>
      <c r="DF117" s="13"/>
      <c r="DG117" s="13"/>
      <c r="DH117" s="14"/>
      <c r="DI117" s="8">
        <f t="shared" si="27"/>
        <v>36</v>
      </c>
      <c r="DJ117" s="8">
        <f t="shared" si="28"/>
        <v>31</v>
      </c>
      <c r="DK117" s="8">
        <f t="shared" si="29"/>
        <v>12</v>
      </c>
      <c r="DL117" s="8">
        <f t="shared" si="30"/>
        <v>44</v>
      </c>
      <c r="DM117" s="8">
        <f t="shared" si="31"/>
        <v>36</v>
      </c>
      <c r="DN117" s="8">
        <f t="shared" si="32"/>
        <v>12</v>
      </c>
      <c r="DO117" s="15">
        <f t="shared" si="33"/>
        <v>7.8585619497696495</v>
      </c>
      <c r="DP117" s="15" t="str">
        <f t="shared" si="34"/>
        <v>OK - No Upgrade</v>
      </c>
      <c r="DQ117" s="15" t="str">
        <f t="shared" si="35"/>
        <v>Need to Balance</v>
      </c>
    </row>
    <row r="118" spans="1:121" ht="15.75" customHeight="1" x14ac:dyDescent="0.25">
      <c r="A118" s="8" t="s">
        <v>1459</v>
      </c>
      <c r="B118" s="8" t="s">
        <v>1713</v>
      </c>
      <c r="C118" s="8" t="s">
        <v>389</v>
      </c>
      <c r="D118" s="8" t="s">
        <v>2032</v>
      </c>
      <c r="E118" s="8" t="s">
        <v>2033</v>
      </c>
      <c r="F118" s="8" t="s">
        <v>43</v>
      </c>
      <c r="G118" s="8"/>
      <c r="H118" s="8">
        <v>315</v>
      </c>
      <c r="I118" s="8" t="s">
        <v>2034</v>
      </c>
      <c r="J118" s="8">
        <v>1</v>
      </c>
      <c r="K118" s="8">
        <v>242</v>
      </c>
      <c r="L118" s="8">
        <v>242</v>
      </c>
      <c r="M118" s="8">
        <v>244</v>
      </c>
      <c r="N118" s="8">
        <v>418</v>
      </c>
      <c r="O118" s="8">
        <v>423</v>
      </c>
      <c r="P118" s="8">
        <v>421</v>
      </c>
      <c r="Q118" s="9" t="s">
        <v>47</v>
      </c>
      <c r="R118" s="16"/>
      <c r="S118" s="10">
        <v>5</v>
      </c>
      <c r="T118" s="10">
        <v>6</v>
      </c>
      <c r="U118" s="10">
        <v>8</v>
      </c>
      <c r="V118" s="11">
        <v>6</v>
      </c>
      <c r="W118" s="12" t="s">
        <v>47</v>
      </c>
      <c r="X118" s="17"/>
      <c r="Y118" s="13">
        <v>18</v>
      </c>
      <c r="Z118" s="13">
        <v>6</v>
      </c>
      <c r="AA118" s="13">
        <v>8</v>
      </c>
      <c r="AB118" s="14">
        <v>11</v>
      </c>
      <c r="AC118" s="9"/>
      <c r="AD118" s="16"/>
      <c r="AE118" s="10"/>
      <c r="AF118" s="10"/>
      <c r="AG118" s="10"/>
      <c r="AH118" s="11"/>
      <c r="AI118" s="12"/>
      <c r="AJ118" s="17"/>
      <c r="AK118" s="13"/>
      <c r="AL118" s="13"/>
      <c r="AM118" s="13"/>
      <c r="AN118" s="14"/>
      <c r="AO118" s="9"/>
      <c r="AP118" s="16"/>
      <c r="AQ118" s="10"/>
      <c r="AR118" s="10"/>
      <c r="AS118" s="10"/>
      <c r="AT118" s="11"/>
      <c r="AU118" s="12"/>
      <c r="AV118" s="17"/>
      <c r="AW118" s="13"/>
      <c r="AX118" s="13"/>
      <c r="AY118" s="13"/>
      <c r="AZ118" s="14"/>
      <c r="BA118" s="9"/>
      <c r="BB118" s="16"/>
      <c r="BC118" s="10"/>
      <c r="BD118" s="10"/>
      <c r="BE118" s="10"/>
      <c r="BF118" s="11"/>
      <c r="BG118" s="12"/>
      <c r="BH118" s="17"/>
      <c r="BI118" s="13"/>
      <c r="BJ118" s="13"/>
      <c r="BK118" s="13"/>
      <c r="BL118" s="14"/>
      <c r="BM118" s="9"/>
      <c r="BN118" s="16"/>
      <c r="BO118" s="10"/>
      <c r="BP118" s="10"/>
      <c r="BQ118" s="10"/>
      <c r="BR118" s="11"/>
      <c r="BS118" s="12"/>
      <c r="BT118" s="17"/>
      <c r="BU118" s="13"/>
      <c r="BV118" s="13"/>
      <c r="BW118" s="13"/>
      <c r="BX118" s="14"/>
      <c r="BY118" s="9"/>
      <c r="BZ118" s="16"/>
      <c r="CA118" s="10"/>
      <c r="CB118" s="10"/>
      <c r="CC118" s="10"/>
      <c r="CD118" s="11"/>
      <c r="CE118" s="12"/>
      <c r="CF118" s="17"/>
      <c r="CG118" s="13"/>
      <c r="CH118" s="13"/>
      <c r="CI118" s="13"/>
      <c r="CJ118" s="14"/>
      <c r="CK118" s="9"/>
      <c r="CL118" s="16"/>
      <c r="CM118" s="10"/>
      <c r="CN118" s="10"/>
      <c r="CO118" s="10"/>
      <c r="CP118" s="11"/>
      <c r="CQ118" s="12"/>
      <c r="CR118" s="17"/>
      <c r="CS118" s="13"/>
      <c r="CT118" s="13"/>
      <c r="CU118" s="13"/>
      <c r="CV118" s="14"/>
      <c r="CW118" s="9"/>
      <c r="CX118" s="16"/>
      <c r="CY118" s="10"/>
      <c r="CZ118" s="10"/>
      <c r="DA118" s="10"/>
      <c r="DB118" s="11"/>
      <c r="DC118" s="12"/>
      <c r="DD118" s="17"/>
      <c r="DE118" s="13"/>
      <c r="DF118" s="13"/>
      <c r="DG118" s="13"/>
      <c r="DH118" s="14"/>
      <c r="DI118" s="8">
        <f t="shared" si="27"/>
        <v>23</v>
      </c>
      <c r="DJ118" s="8">
        <f t="shared" si="28"/>
        <v>12</v>
      </c>
      <c r="DK118" s="8">
        <f t="shared" si="29"/>
        <v>16</v>
      </c>
      <c r="DL118" s="8">
        <f t="shared" si="30"/>
        <v>17</v>
      </c>
      <c r="DM118" s="8">
        <f t="shared" si="31"/>
        <v>23</v>
      </c>
      <c r="DN118" s="8">
        <f t="shared" si="32"/>
        <v>12</v>
      </c>
      <c r="DO118" s="15">
        <f t="shared" si="33"/>
        <v>5.2863290361800583</v>
      </c>
      <c r="DP118" s="15" t="str">
        <f t="shared" si="34"/>
        <v>OK - No Upgrade</v>
      </c>
      <c r="DQ118" s="15" t="str">
        <f t="shared" si="35"/>
        <v>Need to Balance</v>
      </c>
    </row>
    <row r="119" spans="1:121" ht="15.75" customHeight="1" x14ac:dyDescent="0.25">
      <c r="A119" s="8" t="s">
        <v>1459</v>
      </c>
      <c r="B119" s="8" t="s">
        <v>1713</v>
      </c>
      <c r="C119" s="8" t="s">
        <v>512</v>
      </c>
      <c r="D119" s="8" t="s">
        <v>2035</v>
      </c>
      <c r="E119" s="8" t="s">
        <v>2036</v>
      </c>
      <c r="F119" s="8" t="s">
        <v>56</v>
      </c>
      <c r="G119" s="8"/>
      <c r="H119" s="8">
        <v>1000</v>
      </c>
      <c r="I119" s="8" t="s">
        <v>2037</v>
      </c>
      <c r="J119" s="8">
        <v>1</v>
      </c>
      <c r="K119" s="8">
        <v>238</v>
      </c>
      <c r="L119" s="8">
        <v>233</v>
      </c>
      <c r="M119" s="8">
        <v>235</v>
      </c>
      <c r="N119" s="8">
        <v>406</v>
      </c>
      <c r="O119" s="8">
        <v>405</v>
      </c>
      <c r="P119" s="8">
        <v>402</v>
      </c>
      <c r="Q119" s="9" t="s">
        <v>47</v>
      </c>
      <c r="R119" s="16"/>
      <c r="S119" s="10">
        <v>45</v>
      </c>
      <c r="T119" s="10">
        <v>41</v>
      </c>
      <c r="U119" s="10">
        <v>42</v>
      </c>
      <c r="V119" s="11">
        <v>13</v>
      </c>
      <c r="W119" s="12" t="s">
        <v>47</v>
      </c>
      <c r="X119" s="17"/>
      <c r="Y119" s="13">
        <v>78</v>
      </c>
      <c r="Z119" s="13">
        <v>50</v>
      </c>
      <c r="AA119" s="13">
        <v>60</v>
      </c>
      <c r="AB119" s="14">
        <v>30</v>
      </c>
      <c r="AC119" s="9" t="s">
        <v>47</v>
      </c>
      <c r="AD119" s="16"/>
      <c r="AE119" s="10">
        <v>200</v>
      </c>
      <c r="AF119" s="10">
        <v>100</v>
      </c>
      <c r="AG119" s="10">
        <v>130</v>
      </c>
      <c r="AH119" s="11">
        <v>90</v>
      </c>
      <c r="AI119" s="12"/>
      <c r="AJ119" s="17"/>
      <c r="AK119" s="13"/>
      <c r="AL119" s="13"/>
      <c r="AM119" s="13"/>
      <c r="AN119" s="14"/>
      <c r="AO119" s="9"/>
      <c r="AP119" s="16"/>
      <c r="AQ119" s="10"/>
      <c r="AR119" s="10"/>
      <c r="AS119" s="10"/>
      <c r="AT119" s="11"/>
      <c r="AU119" s="12"/>
      <c r="AV119" s="17"/>
      <c r="AW119" s="13"/>
      <c r="AX119" s="13"/>
      <c r="AY119" s="13"/>
      <c r="AZ119" s="14"/>
      <c r="BA119" s="9"/>
      <c r="BB119" s="16"/>
      <c r="BC119" s="10"/>
      <c r="BD119" s="10"/>
      <c r="BE119" s="10"/>
      <c r="BF119" s="11"/>
      <c r="BG119" s="12"/>
      <c r="BH119" s="17"/>
      <c r="BI119" s="13"/>
      <c r="BJ119" s="13"/>
      <c r="BK119" s="13"/>
      <c r="BL119" s="14"/>
      <c r="BM119" s="9"/>
      <c r="BN119" s="16"/>
      <c r="BO119" s="10"/>
      <c r="BP119" s="10"/>
      <c r="BQ119" s="10"/>
      <c r="BR119" s="11"/>
      <c r="BS119" s="12"/>
      <c r="BT119" s="17"/>
      <c r="BU119" s="13"/>
      <c r="BV119" s="13"/>
      <c r="BW119" s="13"/>
      <c r="BX119" s="14"/>
      <c r="BY119" s="9"/>
      <c r="BZ119" s="16"/>
      <c r="CA119" s="10"/>
      <c r="CB119" s="10"/>
      <c r="CC119" s="10"/>
      <c r="CD119" s="11"/>
      <c r="CE119" s="12"/>
      <c r="CF119" s="17"/>
      <c r="CG119" s="13"/>
      <c r="CH119" s="13"/>
      <c r="CI119" s="13"/>
      <c r="CJ119" s="14"/>
      <c r="CK119" s="9"/>
      <c r="CL119" s="16"/>
      <c r="CM119" s="10"/>
      <c r="CN119" s="10"/>
      <c r="CO119" s="10"/>
      <c r="CP119" s="11"/>
      <c r="CQ119" s="12"/>
      <c r="CR119" s="17"/>
      <c r="CS119" s="13"/>
      <c r="CT119" s="13"/>
      <c r="CU119" s="13"/>
      <c r="CV119" s="14"/>
      <c r="CW119" s="9"/>
      <c r="CX119" s="16"/>
      <c r="CY119" s="10"/>
      <c r="CZ119" s="10"/>
      <c r="DA119" s="10"/>
      <c r="DB119" s="11"/>
      <c r="DC119" s="12"/>
      <c r="DD119" s="17"/>
      <c r="DE119" s="13"/>
      <c r="DF119" s="13"/>
      <c r="DG119" s="13"/>
      <c r="DH119" s="14"/>
      <c r="DI119" s="8">
        <f t="shared" si="27"/>
        <v>323</v>
      </c>
      <c r="DJ119" s="8">
        <f t="shared" si="28"/>
        <v>191</v>
      </c>
      <c r="DK119" s="8">
        <f t="shared" si="29"/>
        <v>232</v>
      </c>
      <c r="DL119" s="8">
        <f t="shared" si="30"/>
        <v>133</v>
      </c>
      <c r="DM119" s="8">
        <f t="shared" si="31"/>
        <v>323</v>
      </c>
      <c r="DN119" s="8">
        <f t="shared" si="32"/>
        <v>191</v>
      </c>
      <c r="DO119" s="15">
        <f t="shared" si="33"/>
        <v>22.713767880296739</v>
      </c>
      <c r="DP119" s="15" t="str">
        <f t="shared" si="34"/>
        <v>OK - No Upgrade</v>
      </c>
      <c r="DQ119" s="15" t="str">
        <f t="shared" si="35"/>
        <v>Need to Balance</v>
      </c>
    </row>
    <row r="120" spans="1:121" ht="15.75" customHeight="1" x14ac:dyDescent="0.25">
      <c r="A120" s="8" t="s">
        <v>1459</v>
      </c>
      <c r="B120" s="8" t="s">
        <v>1713</v>
      </c>
      <c r="C120" s="8" t="s">
        <v>512</v>
      </c>
      <c r="D120" s="8" t="s">
        <v>2038</v>
      </c>
      <c r="E120" s="8" t="s">
        <v>2039</v>
      </c>
      <c r="F120" s="8" t="s">
        <v>56</v>
      </c>
      <c r="G120" s="8"/>
      <c r="H120" s="8">
        <v>1000</v>
      </c>
      <c r="I120" s="8" t="s">
        <v>2040</v>
      </c>
      <c r="J120" s="8">
        <v>1</v>
      </c>
      <c r="K120" s="8">
        <v>244</v>
      </c>
      <c r="L120" s="8">
        <v>243</v>
      </c>
      <c r="M120" s="8">
        <v>244</v>
      </c>
      <c r="N120" s="8">
        <v>426</v>
      </c>
      <c r="O120" s="8">
        <v>427</v>
      </c>
      <c r="P120" s="8">
        <v>426</v>
      </c>
      <c r="Q120" s="9"/>
      <c r="R120" s="16"/>
      <c r="S120" s="10"/>
      <c r="T120" s="10"/>
      <c r="U120" s="10"/>
      <c r="V120" s="11"/>
      <c r="W120" s="12"/>
      <c r="X120" s="17"/>
      <c r="Y120" s="13"/>
      <c r="Z120" s="13"/>
      <c r="AA120" s="13"/>
      <c r="AB120" s="14"/>
      <c r="AC120" s="9" t="s">
        <v>47</v>
      </c>
      <c r="AD120" s="16"/>
      <c r="AE120" s="10">
        <v>24</v>
      </c>
      <c r="AF120" s="10">
        <v>15</v>
      </c>
      <c r="AG120" s="10">
        <v>35</v>
      </c>
      <c r="AH120" s="11">
        <v>13</v>
      </c>
      <c r="AI120" s="12" t="s">
        <v>47</v>
      </c>
      <c r="AJ120" s="17"/>
      <c r="AK120" s="13">
        <v>140</v>
      </c>
      <c r="AL120" s="13">
        <v>170</v>
      </c>
      <c r="AM120" s="13">
        <v>160</v>
      </c>
      <c r="AN120" s="14">
        <v>30</v>
      </c>
      <c r="AO120" s="9" t="s">
        <v>47</v>
      </c>
      <c r="AP120" s="16"/>
      <c r="AQ120" s="10">
        <v>120</v>
      </c>
      <c r="AR120" s="10">
        <v>20</v>
      </c>
      <c r="AS120" s="10">
        <v>53</v>
      </c>
      <c r="AT120" s="11">
        <v>73</v>
      </c>
      <c r="AU120" s="12"/>
      <c r="AV120" s="17"/>
      <c r="AW120" s="13"/>
      <c r="AX120" s="13"/>
      <c r="AY120" s="13"/>
      <c r="AZ120" s="14"/>
      <c r="BA120" s="9"/>
      <c r="BB120" s="16"/>
      <c r="BC120" s="10"/>
      <c r="BD120" s="10"/>
      <c r="BE120" s="10"/>
      <c r="BF120" s="11"/>
      <c r="BG120" s="12"/>
      <c r="BH120" s="17"/>
      <c r="BI120" s="13"/>
      <c r="BJ120" s="13"/>
      <c r="BK120" s="13"/>
      <c r="BL120" s="14"/>
      <c r="BM120" s="9"/>
      <c r="BN120" s="16"/>
      <c r="BO120" s="10"/>
      <c r="BP120" s="10"/>
      <c r="BQ120" s="10"/>
      <c r="BR120" s="11"/>
      <c r="BS120" s="12"/>
      <c r="BT120" s="17"/>
      <c r="BU120" s="13"/>
      <c r="BV120" s="13"/>
      <c r="BW120" s="13"/>
      <c r="BX120" s="14"/>
      <c r="BY120" s="9"/>
      <c r="BZ120" s="16"/>
      <c r="CA120" s="10"/>
      <c r="CB120" s="10"/>
      <c r="CC120" s="10"/>
      <c r="CD120" s="11"/>
      <c r="CE120" s="12"/>
      <c r="CF120" s="17"/>
      <c r="CG120" s="13"/>
      <c r="CH120" s="13"/>
      <c r="CI120" s="13"/>
      <c r="CJ120" s="14"/>
      <c r="CK120" s="9"/>
      <c r="CL120" s="16"/>
      <c r="CM120" s="10"/>
      <c r="CN120" s="10"/>
      <c r="CO120" s="10"/>
      <c r="CP120" s="11"/>
      <c r="CQ120" s="12"/>
      <c r="CR120" s="17"/>
      <c r="CS120" s="13"/>
      <c r="CT120" s="13"/>
      <c r="CU120" s="13"/>
      <c r="CV120" s="14"/>
      <c r="CW120" s="9"/>
      <c r="CX120" s="16"/>
      <c r="CY120" s="10"/>
      <c r="CZ120" s="10"/>
      <c r="DA120" s="10"/>
      <c r="DB120" s="11"/>
      <c r="DC120" s="12"/>
      <c r="DD120" s="17"/>
      <c r="DE120" s="13"/>
      <c r="DF120" s="13"/>
      <c r="DG120" s="13"/>
      <c r="DH120" s="14"/>
      <c r="DI120" s="8">
        <f t="shared" si="27"/>
        <v>284</v>
      </c>
      <c r="DJ120" s="8">
        <f t="shared" si="28"/>
        <v>205</v>
      </c>
      <c r="DK120" s="8">
        <f t="shared" si="29"/>
        <v>248</v>
      </c>
      <c r="DL120" s="8">
        <f t="shared" si="30"/>
        <v>116</v>
      </c>
      <c r="DM120" s="8">
        <f t="shared" si="31"/>
        <v>284</v>
      </c>
      <c r="DN120" s="8">
        <f t="shared" si="32"/>
        <v>205</v>
      </c>
      <c r="DO120" s="15">
        <f t="shared" si="33"/>
        <v>20.955043490291306</v>
      </c>
      <c r="DP120" s="15" t="str">
        <f t="shared" si="34"/>
        <v>OK - No Upgrade</v>
      </c>
      <c r="DQ120" s="15" t="str">
        <f t="shared" si="35"/>
        <v>Need to Balance</v>
      </c>
    </row>
    <row r="121" spans="1:121" ht="15.75" customHeight="1" x14ac:dyDescent="0.25">
      <c r="A121" s="8" t="s">
        <v>1459</v>
      </c>
      <c r="B121" s="8" t="s">
        <v>1713</v>
      </c>
      <c r="C121" s="8" t="s">
        <v>512</v>
      </c>
      <c r="D121" s="8" t="s">
        <v>2041</v>
      </c>
      <c r="E121" s="8" t="s">
        <v>2042</v>
      </c>
      <c r="F121" s="8" t="s">
        <v>56</v>
      </c>
      <c r="G121" s="8"/>
      <c r="H121" s="8">
        <v>1000</v>
      </c>
      <c r="I121" s="8" t="s">
        <v>2043</v>
      </c>
      <c r="J121" s="8">
        <v>1</v>
      </c>
      <c r="K121" s="8">
        <v>245</v>
      </c>
      <c r="L121" s="8">
        <v>245</v>
      </c>
      <c r="M121" s="8">
        <v>243</v>
      </c>
      <c r="N121" s="8">
        <v>426</v>
      </c>
      <c r="O121" s="8">
        <v>425</v>
      </c>
      <c r="P121" s="8">
        <v>426</v>
      </c>
      <c r="Q121" s="9" t="s">
        <v>47</v>
      </c>
      <c r="R121" s="16"/>
      <c r="S121" s="10">
        <v>90</v>
      </c>
      <c r="T121" s="10">
        <v>120</v>
      </c>
      <c r="U121" s="10">
        <v>100</v>
      </c>
      <c r="V121" s="11">
        <v>20</v>
      </c>
      <c r="W121" s="12" t="s">
        <v>47</v>
      </c>
      <c r="X121" s="17"/>
      <c r="Y121" s="13">
        <v>220</v>
      </c>
      <c r="Z121" s="13">
        <v>230</v>
      </c>
      <c r="AA121" s="13">
        <v>190</v>
      </c>
      <c r="AB121" s="14">
        <v>110</v>
      </c>
      <c r="AC121" s="9"/>
      <c r="AD121" s="16"/>
      <c r="AE121" s="10"/>
      <c r="AF121" s="10"/>
      <c r="AG121" s="10"/>
      <c r="AH121" s="11"/>
      <c r="AI121" s="12"/>
      <c r="AJ121" s="17"/>
      <c r="AK121" s="13"/>
      <c r="AL121" s="13"/>
      <c r="AM121" s="13"/>
      <c r="AN121" s="14"/>
      <c r="AO121" s="9"/>
      <c r="AP121" s="16"/>
      <c r="AQ121" s="10"/>
      <c r="AR121" s="10"/>
      <c r="AS121" s="10"/>
      <c r="AT121" s="11"/>
      <c r="AU121" s="12"/>
      <c r="AV121" s="17"/>
      <c r="AW121" s="13"/>
      <c r="AX121" s="13"/>
      <c r="AY121" s="13"/>
      <c r="AZ121" s="14"/>
      <c r="BA121" s="9"/>
      <c r="BB121" s="16"/>
      <c r="BC121" s="10"/>
      <c r="BD121" s="10"/>
      <c r="BE121" s="10"/>
      <c r="BF121" s="11"/>
      <c r="BG121" s="12"/>
      <c r="BH121" s="17"/>
      <c r="BI121" s="13"/>
      <c r="BJ121" s="13"/>
      <c r="BK121" s="13"/>
      <c r="BL121" s="14"/>
      <c r="BM121" s="9"/>
      <c r="BN121" s="16"/>
      <c r="BO121" s="10"/>
      <c r="BP121" s="10"/>
      <c r="BQ121" s="10"/>
      <c r="BR121" s="11"/>
      <c r="BS121" s="12"/>
      <c r="BT121" s="17"/>
      <c r="BU121" s="13"/>
      <c r="BV121" s="13"/>
      <c r="BW121" s="13"/>
      <c r="BX121" s="14"/>
      <c r="BY121" s="9"/>
      <c r="BZ121" s="16"/>
      <c r="CA121" s="10"/>
      <c r="CB121" s="10"/>
      <c r="CC121" s="10"/>
      <c r="CD121" s="11"/>
      <c r="CE121" s="12"/>
      <c r="CF121" s="17"/>
      <c r="CG121" s="13"/>
      <c r="CH121" s="13"/>
      <c r="CI121" s="13"/>
      <c r="CJ121" s="14"/>
      <c r="CK121" s="9"/>
      <c r="CL121" s="16"/>
      <c r="CM121" s="10"/>
      <c r="CN121" s="10"/>
      <c r="CO121" s="10"/>
      <c r="CP121" s="11"/>
      <c r="CQ121" s="12"/>
      <c r="CR121" s="17"/>
      <c r="CS121" s="13"/>
      <c r="CT121" s="13"/>
      <c r="CU121" s="13"/>
      <c r="CV121" s="14"/>
      <c r="CW121" s="9"/>
      <c r="CX121" s="16"/>
      <c r="CY121" s="10"/>
      <c r="CZ121" s="10"/>
      <c r="DA121" s="10"/>
      <c r="DB121" s="11"/>
      <c r="DC121" s="12"/>
      <c r="DD121" s="17"/>
      <c r="DE121" s="13"/>
      <c r="DF121" s="13"/>
      <c r="DG121" s="13"/>
      <c r="DH121" s="14"/>
      <c r="DI121" s="8">
        <f t="shared" si="27"/>
        <v>310</v>
      </c>
      <c r="DJ121" s="8">
        <f t="shared" si="28"/>
        <v>350</v>
      </c>
      <c r="DK121" s="8">
        <f t="shared" si="29"/>
        <v>290</v>
      </c>
      <c r="DL121" s="8">
        <f t="shared" si="30"/>
        <v>130</v>
      </c>
      <c r="DM121" s="8">
        <f t="shared" si="31"/>
        <v>350</v>
      </c>
      <c r="DN121" s="8">
        <f t="shared" si="32"/>
        <v>290</v>
      </c>
      <c r="DO121" s="15">
        <f t="shared" si="33"/>
        <v>25.824877540851958</v>
      </c>
      <c r="DP121" s="15" t="str">
        <f t="shared" si="34"/>
        <v>OK - No Upgrade</v>
      </c>
      <c r="DQ121" s="15" t="str">
        <f t="shared" si="35"/>
        <v>Need to Balance</v>
      </c>
    </row>
    <row r="122" spans="1:121" ht="15.75" customHeight="1" x14ac:dyDescent="0.25">
      <c r="A122" s="8" t="s">
        <v>1459</v>
      </c>
      <c r="B122" s="8" t="s">
        <v>1713</v>
      </c>
      <c r="C122" s="8" t="s">
        <v>512</v>
      </c>
      <c r="D122" s="8" t="s">
        <v>2044</v>
      </c>
      <c r="E122" s="8" t="s">
        <v>2045</v>
      </c>
      <c r="F122" s="8" t="s">
        <v>56</v>
      </c>
      <c r="G122" s="8"/>
      <c r="H122" s="8">
        <v>1000</v>
      </c>
      <c r="I122" s="8" t="s">
        <v>2046</v>
      </c>
      <c r="J122" s="8">
        <v>1</v>
      </c>
      <c r="K122" s="8">
        <v>243</v>
      </c>
      <c r="L122" s="8">
        <v>244</v>
      </c>
      <c r="M122" s="8">
        <v>243</v>
      </c>
      <c r="N122" s="8">
        <v>425</v>
      </c>
      <c r="O122" s="8">
        <v>425</v>
      </c>
      <c r="P122" s="8">
        <v>423</v>
      </c>
      <c r="Q122" s="9" t="s">
        <v>46</v>
      </c>
      <c r="R122" s="16"/>
      <c r="S122" s="10">
        <v>22</v>
      </c>
      <c r="T122" s="10">
        <v>11</v>
      </c>
      <c r="U122" s="10">
        <v>27</v>
      </c>
      <c r="V122" s="11">
        <v>15</v>
      </c>
      <c r="W122" s="12" t="s">
        <v>47</v>
      </c>
      <c r="X122" s="17"/>
      <c r="Y122" s="13">
        <v>16</v>
      </c>
      <c r="Z122" s="13">
        <v>40</v>
      </c>
      <c r="AA122" s="13">
        <v>20</v>
      </c>
      <c r="AB122" s="14">
        <v>15</v>
      </c>
      <c r="AC122" s="9" t="s">
        <v>47</v>
      </c>
      <c r="AD122" s="16"/>
      <c r="AE122" s="10">
        <v>190</v>
      </c>
      <c r="AF122" s="10">
        <v>120</v>
      </c>
      <c r="AG122" s="10">
        <v>140</v>
      </c>
      <c r="AH122" s="11">
        <v>26</v>
      </c>
      <c r="AI122" s="12" t="s">
        <v>46</v>
      </c>
      <c r="AJ122" s="17"/>
      <c r="AK122" s="13">
        <v>71</v>
      </c>
      <c r="AL122" s="13">
        <v>41</v>
      </c>
      <c r="AM122" s="13">
        <v>34</v>
      </c>
      <c r="AN122" s="14">
        <v>33</v>
      </c>
      <c r="AO122" s="9" t="s">
        <v>46</v>
      </c>
      <c r="AP122" s="16"/>
      <c r="AQ122" s="10">
        <v>10</v>
      </c>
      <c r="AR122" s="10">
        <v>11</v>
      </c>
      <c r="AS122" s="10">
        <v>12</v>
      </c>
      <c r="AT122" s="11">
        <v>3</v>
      </c>
      <c r="AU122" s="12" t="s">
        <v>47</v>
      </c>
      <c r="AV122" s="17"/>
      <c r="AW122" s="13">
        <v>4</v>
      </c>
      <c r="AX122" s="13">
        <v>2</v>
      </c>
      <c r="AY122" s="13">
        <v>0</v>
      </c>
      <c r="AZ122" s="14">
        <v>0</v>
      </c>
      <c r="BA122" s="9" t="s">
        <v>47</v>
      </c>
      <c r="BB122" s="16"/>
      <c r="BC122" s="10">
        <v>180</v>
      </c>
      <c r="BD122" s="10">
        <v>70</v>
      </c>
      <c r="BE122" s="10">
        <v>125</v>
      </c>
      <c r="BF122" s="11">
        <v>70</v>
      </c>
      <c r="BG122" s="12" t="s">
        <v>47</v>
      </c>
      <c r="BH122" s="17"/>
      <c r="BI122" s="13">
        <v>75</v>
      </c>
      <c r="BJ122" s="13">
        <v>92</v>
      </c>
      <c r="BK122" s="13">
        <v>105</v>
      </c>
      <c r="BL122" s="14">
        <v>90</v>
      </c>
      <c r="BM122" s="9"/>
      <c r="BN122" s="16"/>
      <c r="BO122" s="10"/>
      <c r="BP122" s="10"/>
      <c r="BQ122" s="10"/>
      <c r="BR122" s="11"/>
      <c r="BS122" s="12"/>
      <c r="BT122" s="17"/>
      <c r="BU122" s="13"/>
      <c r="BV122" s="13"/>
      <c r="BW122" s="13"/>
      <c r="BX122" s="14"/>
      <c r="BY122" s="9"/>
      <c r="BZ122" s="16"/>
      <c r="CA122" s="10"/>
      <c r="CB122" s="10"/>
      <c r="CC122" s="10"/>
      <c r="CD122" s="11"/>
      <c r="CE122" s="12"/>
      <c r="CF122" s="17"/>
      <c r="CG122" s="13"/>
      <c r="CH122" s="13"/>
      <c r="CI122" s="13"/>
      <c r="CJ122" s="14"/>
      <c r="CK122" s="9"/>
      <c r="CL122" s="16"/>
      <c r="CM122" s="10"/>
      <c r="CN122" s="10"/>
      <c r="CO122" s="10"/>
      <c r="CP122" s="11"/>
      <c r="CQ122" s="12"/>
      <c r="CR122" s="17"/>
      <c r="CS122" s="13"/>
      <c r="CT122" s="13"/>
      <c r="CU122" s="13"/>
      <c r="CV122" s="14"/>
      <c r="CW122" s="9"/>
      <c r="CX122" s="16"/>
      <c r="CY122" s="10"/>
      <c r="CZ122" s="10"/>
      <c r="DA122" s="10"/>
      <c r="DB122" s="11"/>
      <c r="DC122" s="12"/>
      <c r="DD122" s="17"/>
      <c r="DE122" s="13"/>
      <c r="DF122" s="13"/>
      <c r="DG122" s="13"/>
      <c r="DH122" s="14"/>
      <c r="DI122" s="8">
        <f t="shared" si="27"/>
        <v>568</v>
      </c>
      <c r="DJ122" s="8">
        <f t="shared" si="28"/>
        <v>387</v>
      </c>
      <c r="DK122" s="8">
        <f t="shared" si="29"/>
        <v>463</v>
      </c>
      <c r="DL122" s="8">
        <f t="shared" si="30"/>
        <v>252</v>
      </c>
      <c r="DM122" s="8">
        <f t="shared" si="31"/>
        <v>568</v>
      </c>
      <c r="DN122" s="8">
        <f t="shared" si="32"/>
        <v>387</v>
      </c>
      <c r="DO122" s="15">
        <f t="shared" si="33"/>
        <v>41.811706494712695</v>
      </c>
      <c r="DP122" s="15" t="str">
        <f t="shared" si="34"/>
        <v>OK - No Upgrade</v>
      </c>
      <c r="DQ122" s="15" t="str">
        <f t="shared" si="35"/>
        <v>Need to Balance</v>
      </c>
    </row>
    <row r="123" spans="1:121" ht="15.75" customHeight="1" x14ac:dyDescent="0.25">
      <c r="A123" s="8" t="s">
        <v>1459</v>
      </c>
      <c r="B123" s="8" t="s">
        <v>1713</v>
      </c>
      <c r="C123" s="8" t="s">
        <v>512</v>
      </c>
      <c r="D123" s="8" t="s">
        <v>2047</v>
      </c>
      <c r="E123" s="8" t="s">
        <v>2048</v>
      </c>
      <c r="F123" s="8" t="s">
        <v>56</v>
      </c>
      <c r="G123" s="8"/>
      <c r="H123" s="8">
        <v>1000</v>
      </c>
      <c r="I123" s="8" t="s">
        <v>2049</v>
      </c>
      <c r="J123" s="8">
        <v>1</v>
      </c>
      <c r="K123" s="8">
        <v>244</v>
      </c>
      <c r="L123" s="8">
        <v>244</v>
      </c>
      <c r="M123" s="8">
        <v>242</v>
      </c>
      <c r="N123" s="8">
        <v>425</v>
      </c>
      <c r="O123" s="8">
        <v>425</v>
      </c>
      <c r="P123" s="8">
        <v>421</v>
      </c>
      <c r="Q123" s="9"/>
      <c r="R123" s="16"/>
      <c r="S123" s="10"/>
      <c r="T123" s="10"/>
      <c r="U123" s="10"/>
      <c r="V123" s="11"/>
      <c r="W123" s="12"/>
      <c r="X123" s="17"/>
      <c r="Y123" s="13"/>
      <c r="Z123" s="13"/>
      <c r="AA123" s="13"/>
      <c r="AB123" s="14"/>
      <c r="AC123" s="9"/>
      <c r="AD123" s="16"/>
      <c r="AE123" s="10"/>
      <c r="AF123" s="10"/>
      <c r="AG123" s="10"/>
      <c r="AH123" s="11"/>
      <c r="AI123" s="12"/>
      <c r="AJ123" s="17"/>
      <c r="AK123" s="13"/>
      <c r="AL123" s="13"/>
      <c r="AM123" s="13"/>
      <c r="AN123" s="14"/>
      <c r="AO123" s="9"/>
      <c r="AP123" s="16"/>
      <c r="AQ123" s="10"/>
      <c r="AR123" s="10"/>
      <c r="AS123" s="10"/>
      <c r="AT123" s="11"/>
      <c r="AU123" s="12"/>
      <c r="AV123" s="17"/>
      <c r="AW123" s="13"/>
      <c r="AX123" s="13"/>
      <c r="AY123" s="13"/>
      <c r="AZ123" s="14"/>
      <c r="BA123" s="9" t="s">
        <v>46</v>
      </c>
      <c r="BB123" s="16"/>
      <c r="BC123" s="10">
        <v>65</v>
      </c>
      <c r="BD123" s="10">
        <v>40</v>
      </c>
      <c r="BE123" s="10">
        <v>65</v>
      </c>
      <c r="BF123" s="11">
        <v>20</v>
      </c>
      <c r="BG123" s="12" t="s">
        <v>47</v>
      </c>
      <c r="BH123" s="17"/>
      <c r="BI123" s="13">
        <v>160</v>
      </c>
      <c r="BJ123" s="13">
        <v>130</v>
      </c>
      <c r="BK123" s="13">
        <v>150</v>
      </c>
      <c r="BL123" s="14">
        <v>22</v>
      </c>
      <c r="BM123" s="9"/>
      <c r="BN123" s="16"/>
      <c r="BO123" s="10"/>
      <c r="BP123" s="10"/>
      <c r="BQ123" s="10"/>
      <c r="BR123" s="11"/>
      <c r="BS123" s="12"/>
      <c r="BT123" s="17"/>
      <c r="BU123" s="13"/>
      <c r="BV123" s="13"/>
      <c r="BW123" s="13"/>
      <c r="BX123" s="14"/>
      <c r="BY123" s="9"/>
      <c r="BZ123" s="16"/>
      <c r="CA123" s="10"/>
      <c r="CB123" s="10"/>
      <c r="CC123" s="10"/>
      <c r="CD123" s="11"/>
      <c r="CE123" s="12"/>
      <c r="CF123" s="17"/>
      <c r="CG123" s="13"/>
      <c r="CH123" s="13"/>
      <c r="CI123" s="13"/>
      <c r="CJ123" s="14"/>
      <c r="CK123" s="9"/>
      <c r="CL123" s="16"/>
      <c r="CM123" s="10"/>
      <c r="CN123" s="10"/>
      <c r="CO123" s="10"/>
      <c r="CP123" s="11"/>
      <c r="CQ123" s="12"/>
      <c r="CR123" s="17"/>
      <c r="CS123" s="13"/>
      <c r="CT123" s="13"/>
      <c r="CU123" s="13"/>
      <c r="CV123" s="14"/>
      <c r="CW123" s="9"/>
      <c r="CX123" s="16"/>
      <c r="CY123" s="10"/>
      <c r="CZ123" s="10"/>
      <c r="DA123" s="10"/>
      <c r="DB123" s="11"/>
      <c r="DC123" s="12"/>
      <c r="DD123" s="17"/>
      <c r="DE123" s="13"/>
      <c r="DF123" s="13"/>
      <c r="DG123" s="13"/>
      <c r="DH123" s="14"/>
      <c r="DI123" s="8">
        <f t="shared" si="27"/>
        <v>225</v>
      </c>
      <c r="DJ123" s="8">
        <f t="shared" si="28"/>
        <v>170</v>
      </c>
      <c r="DK123" s="8">
        <f t="shared" si="29"/>
        <v>215</v>
      </c>
      <c r="DL123" s="8">
        <f t="shared" si="30"/>
        <v>42</v>
      </c>
      <c r="DM123" s="8">
        <f t="shared" si="31"/>
        <v>225</v>
      </c>
      <c r="DN123" s="8">
        <f t="shared" si="32"/>
        <v>170</v>
      </c>
      <c r="DO123" s="15">
        <f t="shared" si="33"/>
        <v>16.56273584737739</v>
      </c>
      <c r="DP123" s="15" t="str">
        <f t="shared" si="34"/>
        <v>OK - No Upgrade</v>
      </c>
      <c r="DQ123" s="15" t="str">
        <f t="shared" si="35"/>
        <v>Need to Balance</v>
      </c>
    </row>
    <row r="124" spans="1:121" ht="15.75" customHeight="1" x14ac:dyDescent="0.25">
      <c r="A124" s="8" t="s">
        <v>1459</v>
      </c>
      <c r="B124" s="8" t="s">
        <v>1713</v>
      </c>
      <c r="C124" s="8" t="s">
        <v>512</v>
      </c>
      <c r="D124" s="8" t="s">
        <v>2050</v>
      </c>
      <c r="E124" s="8" t="s">
        <v>2051</v>
      </c>
      <c r="F124" s="8" t="s">
        <v>43</v>
      </c>
      <c r="G124" s="8"/>
      <c r="H124" s="8">
        <v>100</v>
      </c>
      <c r="I124" s="8" t="s">
        <v>2052</v>
      </c>
      <c r="J124" s="8">
        <v>1</v>
      </c>
      <c r="K124" s="8">
        <v>240</v>
      </c>
      <c r="L124" s="8">
        <v>240</v>
      </c>
      <c r="M124" s="8">
        <v>241</v>
      </c>
      <c r="N124" s="8">
        <v>420</v>
      </c>
      <c r="O124" s="8">
        <v>418</v>
      </c>
      <c r="P124" s="8">
        <v>420</v>
      </c>
      <c r="Q124" s="9" t="s">
        <v>46</v>
      </c>
      <c r="R124" s="16"/>
      <c r="S124" s="10">
        <v>38</v>
      </c>
      <c r="T124" s="10">
        <v>52</v>
      </c>
      <c r="U124" s="10">
        <v>32</v>
      </c>
      <c r="V124" s="11">
        <v>12</v>
      </c>
      <c r="W124" s="12" t="s">
        <v>46</v>
      </c>
      <c r="X124" s="17"/>
      <c r="Y124" s="13">
        <v>10</v>
      </c>
      <c r="Z124" s="13">
        <v>6</v>
      </c>
      <c r="AA124" s="13">
        <v>14</v>
      </c>
      <c r="AB124" s="14">
        <v>8</v>
      </c>
      <c r="AC124" s="9"/>
      <c r="AD124" s="16"/>
      <c r="AE124" s="10"/>
      <c r="AF124" s="10"/>
      <c r="AG124" s="10"/>
      <c r="AH124" s="11"/>
      <c r="AI124" s="12"/>
      <c r="AJ124" s="17"/>
      <c r="AK124" s="13"/>
      <c r="AL124" s="13"/>
      <c r="AM124" s="13"/>
      <c r="AN124" s="14"/>
      <c r="AO124" s="9"/>
      <c r="AP124" s="16"/>
      <c r="AQ124" s="10"/>
      <c r="AR124" s="10"/>
      <c r="AS124" s="10"/>
      <c r="AT124" s="11"/>
      <c r="AU124" s="12"/>
      <c r="AV124" s="17"/>
      <c r="AW124" s="13"/>
      <c r="AX124" s="13"/>
      <c r="AY124" s="13"/>
      <c r="AZ124" s="14"/>
      <c r="BA124" s="9"/>
      <c r="BB124" s="16"/>
      <c r="BC124" s="10"/>
      <c r="BD124" s="10"/>
      <c r="BE124" s="10"/>
      <c r="BF124" s="11"/>
      <c r="BG124" s="12"/>
      <c r="BH124" s="17"/>
      <c r="BI124" s="13"/>
      <c r="BJ124" s="13"/>
      <c r="BK124" s="13"/>
      <c r="BL124" s="14"/>
      <c r="BM124" s="9"/>
      <c r="BN124" s="16"/>
      <c r="BO124" s="10"/>
      <c r="BP124" s="10"/>
      <c r="BQ124" s="10"/>
      <c r="BR124" s="11"/>
      <c r="BS124" s="12"/>
      <c r="BT124" s="17"/>
      <c r="BU124" s="13"/>
      <c r="BV124" s="13"/>
      <c r="BW124" s="13"/>
      <c r="BX124" s="14"/>
      <c r="BY124" s="9"/>
      <c r="BZ124" s="16"/>
      <c r="CA124" s="10"/>
      <c r="CB124" s="10"/>
      <c r="CC124" s="10"/>
      <c r="CD124" s="11"/>
      <c r="CE124" s="12"/>
      <c r="CF124" s="17"/>
      <c r="CG124" s="13"/>
      <c r="CH124" s="13"/>
      <c r="CI124" s="13"/>
      <c r="CJ124" s="14"/>
      <c r="CK124" s="9"/>
      <c r="CL124" s="16"/>
      <c r="CM124" s="10"/>
      <c r="CN124" s="10"/>
      <c r="CO124" s="10"/>
      <c r="CP124" s="11"/>
      <c r="CQ124" s="12"/>
      <c r="CR124" s="17"/>
      <c r="CS124" s="13"/>
      <c r="CT124" s="13"/>
      <c r="CU124" s="13"/>
      <c r="CV124" s="14"/>
      <c r="CW124" s="9"/>
      <c r="CX124" s="16"/>
      <c r="CY124" s="10"/>
      <c r="CZ124" s="10"/>
      <c r="DA124" s="10"/>
      <c r="DB124" s="11"/>
      <c r="DC124" s="12"/>
      <c r="DD124" s="17"/>
      <c r="DE124" s="13"/>
      <c r="DF124" s="13"/>
      <c r="DG124" s="13"/>
      <c r="DH124" s="14"/>
      <c r="DI124" s="8">
        <f t="shared" si="27"/>
        <v>48</v>
      </c>
      <c r="DJ124" s="8">
        <f t="shared" si="28"/>
        <v>58</v>
      </c>
      <c r="DK124" s="8">
        <f t="shared" si="29"/>
        <v>46</v>
      </c>
      <c r="DL124" s="8">
        <f t="shared" si="30"/>
        <v>20</v>
      </c>
      <c r="DM124" s="8">
        <f t="shared" si="31"/>
        <v>58</v>
      </c>
      <c r="DN124" s="8">
        <f t="shared" si="32"/>
        <v>46</v>
      </c>
      <c r="DO124" s="15">
        <f t="shared" si="33"/>
        <v>42.192757672377844</v>
      </c>
      <c r="DP124" s="15" t="str">
        <f t="shared" si="34"/>
        <v>OK - No Upgrade</v>
      </c>
      <c r="DQ124" s="15" t="str">
        <f t="shared" si="35"/>
        <v>Need to Balance</v>
      </c>
    </row>
    <row r="125" spans="1:121" ht="15.75" customHeight="1" x14ac:dyDescent="0.25">
      <c r="A125" s="8" t="s">
        <v>1459</v>
      </c>
      <c r="B125" s="8" t="s">
        <v>1713</v>
      </c>
      <c r="C125" s="8" t="s">
        <v>512</v>
      </c>
      <c r="D125" s="8" t="s">
        <v>2050</v>
      </c>
      <c r="E125" s="8" t="s">
        <v>2053</v>
      </c>
      <c r="F125" s="8" t="s">
        <v>43</v>
      </c>
      <c r="G125" s="8"/>
      <c r="H125" s="8">
        <v>100</v>
      </c>
      <c r="I125" s="8" t="s">
        <v>2054</v>
      </c>
      <c r="J125" s="8">
        <v>1</v>
      </c>
      <c r="K125" s="8">
        <v>241</v>
      </c>
      <c r="L125" s="8">
        <v>240</v>
      </c>
      <c r="M125" s="8">
        <v>242</v>
      </c>
      <c r="N125" s="8">
        <v>420</v>
      </c>
      <c r="O125" s="8">
        <v>424</v>
      </c>
      <c r="P125" s="8">
        <v>421</v>
      </c>
      <c r="Q125" s="9" t="s">
        <v>46</v>
      </c>
      <c r="R125" s="16"/>
      <c r="S125" s="10">
        <v>18</v>
      </c>
      <c r="T125" s="10">
        <v>12</v>
      </c>
      <c r="U125" s="10">
        <v>20</v>
      </c>
      <c r="V125" s="11">
        <v>8</v>
      </c>
      <c r="W125" s="12"/>
      <c r="X125" s="17"/>
      <c r="Y125" s="13"/>
      <c r="Z125" s="13"/>
      <c r="AA125" s="13"/>
      <c r="AB125" s="14"/>
      <c r="AC125" s="9"/>
      <c r="AD125" s="16"/>
      <c r="AE125" s="10"/>
      <c r="AF125" s="10"/>
      <c r="AG125" s="10"/>
      <c r="AH125" s="11"/>
      <c r="AI125" s="12"/>
      <c r="AJ125" s="17"/>
      <c r="AK125" s="13"/>
      <c r="AL125" s="13"/>
      <c r="AM125" s="13"/>
      <c r="AN125" s="14"/>
      <c r="AO125" s="9"/>
      <c r="AP125" s="16"/>
      <c r="AQ125" s="10"/>
      <c r="AR125" s="10"/>
      <c r="AS125" s="10"/>
      <c r="AT125" s="11"/>
      <c r="AU125" s="12"/>
      <c r="AV125" s="17"/>
      <c r="AW125" s="13"/>
      <c r="AX125" s="13"/>
      <c r="AY125" s="13"/>
      <c r="AZ125" s="14"/>
      <c r="BA125" s="9"/>
      <c r="BB125" s="16"/>
      <c r="BC125" s="10"/>
      <c r="BD125" s="10"/>
      <c r="BE125" s="10"/>
      <c r="BF125" s="11"/>
      <c r="BG125" s="12"/>
      <c r="BH125" s="17"/>
      <c r="BI125" s="13"/>
      <c r="BJ125" s="13"/>
      <c r="BK125" s="13"/>
      <c r="BL125" s="14"/>
      <c r="BM125" s="9"/>
      <c r="BN125" s="16"/>
      <c r="BO125" s="10"/>
      <c r="BP125" s="10"/>
      <c r="BQ125" s="10"/>
      <c r="BR125" s="11"/>
      <c r="BS125" s="12"/>
      <c r="BT125" s="17"/>
      <c r="BU125" s="13"/>
      <c r="BV125" s="13"/>
      <c r="BW125" s="13"/>
      <c r="BX125" s="14"/>
      <c r="BY125" s="9"/>
      <c r="BZ125" s="16"/>
      <c r="CA125" s="10"/>
      <c r="CB125" s="10"/>
      <c r="CC125" s="10"/>
      <c r="CD125" s="11"/>
      <c r="CE125" s="12"/>
      <c r="CF125" s="17"/>
      <c r="CG125" s="13"/>
      <c r="CH125" s="13"/>
      <c r="CI125" s="13"/>
      <c r="CJ125" s="14"/>
      <c r="CK125" s="9"/>
      <c r="CL125" s="16"/>
      <c r="CM125" s="10"/>
      <c r="CN125" s="10"/>
      <c r="CO125" s="10"/>
      <c r="CP125" s="11"/>
      <c r="CQ125" s="12"/>
      <c r="CR125" s="17"/>
      <c r="CS125" s="13"/>
      <c r="CT125" s="13"/>
      <c r="CU125" s="13"/>
      <c r="CV125" s="14"/>
      <c r="CW125" s="9"/>
      <c r="CX125" s="16"/>
      <c r="CY125" s="10"/>
      <c r="CZ125" s="10"/>
      <c r="DA125" s="10"/>
      <c r="DB125" s="11"/>
      <c r="DC125" s="12"/>
      <c r="DD125" s="17"/>
      <c r="DE125" s="13"/>
      <c r="DF125" s="13"/>
      <c r="DG125" s="13"/>
      <c r="DH125" s="14"/>
      <c r="DI125" s="8">
        <f t="shared" si="27"/>
        <v>18</v>
      </c>
      <c r="DJ125" s="8">
        <f t="shared" si="28"/>
        <v>12</v>
      </c>
      <c r="DK125" s="8">
        <f t="shared" si="29"/>
        <v>20</v>
      </c>
      <c r="DL125" s="8">
        <f t="shared" si="30"/>
        <v>8</v>
      </c>
      <c r="DM125" s="8">
        <f t="shared" si="31"/>
        <v>20</v>
      </c>
      <c r="DN125" s="8">
        <f t="shared" si="32"/>
        <v>12</v>
      </c>
      <c r="DO125" s="15">
        <f t="shared" si="33"/>
        <v>14.549226783578566</v>
      </c>
      <c r="DP125" s="15" t="str">
        <f t="shared" si="34"/>
        <v>OK - No Upgrade</v>
      </c>
      <c r="DQ125" s="15" t="str">
        <f t="shared" si="35"/>
        <v>Need to Balance</v>
      </c>
    </row>
    <row r="126" spans="1:121" ht="15.75" customHeight="1" x14ac:dyDescent="0.25">
      <c r="A126" s="8" t="s">
        <v>1459</v>
      </c>
      <c r="B126" s="8" t="s">
        <v>1713</v>
      </c>
      <c r="C126" s="8" t="s">
        <v>512</v>
      </c>
      <c r="D126" s="8" t="s">
        <v>2050</v>
      </c>
      <c r="E126" s="8" t="s">
        <v>2055</v>
      </c>
      <c r="F126" s="8" t="s">
        <v>43</v>
      </c>
      <c r="G126" s="8"/>
      <c r="H126" s="8">
        <v>100</v>
      </c>
      <c r="I126" s="8" t="s">
        <v>2056</v>
      </c>
      <c r="J126" s="8">
        <v>1</v>
      </c>
      <c r="K126" s="8">
        <v>242</v>
      </c>
      <c r="L126" s="8">
        <v>241</v>
      </c>
      <c r="M126" s="8">
        <v>242</v>
      </c>
      <c r="N126" s="8">
        <v>424</v>
      </c>
      <c r="O126" s="8">
        <v>424</v>
      </c>
      <c r="P126" s="8">
        <v>424</v>
      </c>
      <c r="Q126" s="9" t="s">
        <v>46</v>
      </c>
      <c r="R126" s="16"/>
      <c r="S126" s="10">
        <v>0</v>
      </c>
      <c r="T126" s="10">
        <v>0</v>
      </c>
      <c r="U126" s="10">
        <v>0</v>
      </c>
      <c r="V126" s="11">
        <v>0</v>
      </c>
      <c r="W126" s="12"/>
      <c r="X126" s="17"/>
      <c r="Y126" s="13"/>
      <c r="Z126" s="13"/>
      <c r="AA126" s="13"/>
      <c r="AB126" s="14"/>
      <c r="AC126" s="9"/>
      <c r="AD126" s="16"/>
      <c r="AE126" s="10"/>
      <c r="AF126" s="10"/>
      <c r="AG126" s="10"/>
      <c r="AH126" s="11"/>
      <c r="AI126" s="12"/>
      <c r="AJ126" s="17"/>
      <c r="AK126" s="13"/>
      <c r="AL126" s="13"/>
      <c r="AM126" s="13"/>
      <c r="AN126" s="14"/>
      <c r="AO126" s="9"/>
      <c r="AP126" s="16"/>
      <c r="AQ126" s="10"/>
      <c r="AR126" s="10"/>
      <c r="AS126" s="10"/>
      <c r="AT126" s="11"/>
      <c r="AU126" s="12"/>
      <c r="AV126" s="17"/>
      <c r="AW126" s="13"/>
      <c r="AX126" s="13"/>
      <c r="AY126" s="13"/>
      <c r="AZ126" s="14"/>
      <c r="BA126" s="9"/>
      <c r="BB126" s="16"/>
      <c r="BC126" s="10"/>
      <c r="BD126" s="10"/>
      <c r="BE126" s="10"/>
      <c r="BF126" s="11"/>
      <c r="BG126" s="12"/>
      <c r="BH126" s="17"/>
      <c r="BI126" s="13"/>
      <c r="BJ126" s="13"/>
      <c r="BK126" s="13"/>
      <c r="BL126" s="14"/>
      <c r="BM126" s="9"/>
      <c r="BN126" s="16"/>
      <c r="BO126" s="10"/>
      <c r="BP126" s="10"/>
      <c r="BQ126" s="10"/>
      <c r="BR126" s="11"/>
      <c r="BS126" s="12"/>
      <c r="BT126" s="17"/>
      <c r="BU126" s="13"/>
      <c r="BV126" s="13"/>
      <c r="BW126" s="13"/>
      <c r="BX126" s="14"/>
      <c r="BY126" s="9"/>
      <c r="BZ126" s="16"/>
      <c r="CA126" s="10"/>
      <c r="CB126" s="10"/>
      <c r="CC126" s="10"/>
      <c r="CD126" s="11"/>
      <c r="CE126" s="12"/>
      <c r="CF126" s="17"/>
      <c r="CG126" s="13"/>
      <c r="CH126" s="13"/>
      <c r="CI126" s="13"/>
      <c r="CJ126" s="14"/>
      <c r="CK126" s="9"/>
      <c r="CL126" s="16"/>
      <c r="CM126" s="10"/>
      <c r="CN126" s="10"/>
      <c r="CO126" s="10"/>
      <c r="CP126" s="11"/>
      <c r="CQ126" s="12"/>
      <c r="CR126" s="17"/>
      <c r="CS126" s="13"/>
      <c r="CT126" s="13"/>
      <c r="CU126" s="13"/>
      <c r="CV126" s="14"/>
      <c r="CW126" s="9"/>
      <c r="CX126" s="16"/>
      <c r="CY126" s="10"/>
      <c r="CZ126" s="10"/>
      <c r="DA126" s="10"/>
      <c r="DB126" s="11"/>
      <c r="DC126" s="12"/>
      <c r="DD126" s="17"/>
      <c r="DE126" s="13"/>
      <c r="DF126" s="13"/>
      <c r="DG126" s="13"/>
      <c r="DH126" s="14"/>
      <c r="DI126" s="8">
        <f t="shared" si="27"/>
        <v>0</v>
      </c>
      <c r="DJ126" s="8">
        <f t="shared" si="28"/>
        <v>0</v>
      </c>
      <c r="DK126" s="8">
        <f t="shared" si="29"/>
        <v>0</v>
      </c>
      <c r="DL126" s="8">
        <f t="shared" si="30"/>
        <v>0</v>
      </c>
      <c r="DM126" s="8">
        <f t="shared" si="31"/>
        <v>0</v>
      </c>
      <c r="DN126" s="8">
        <f t="shared" si="32"/>
        <v>0</v>
      </c>
      <c r="DO126" s="15">
        <f t="shared" si="33"/>
        <v>0</v>
      </c>
      <c r="DP126" s="15" t="str">
        <f t="shared" si="34"/>
        <v>OK - No Upgrade</v>
      </c>
      <c r="DQ126" s="15" t="str">
        <f t="shared" si="35"/>
        <v>OK - Balanced</v>
      </c>
    </row>
    <row r="127" spans="1:121" ht="15.75" customHeight="1" x14ac:dyDescent="0.25">
      <c r="A127" s="8" t="s">
        <v>1459</v>
      </c>
      <c r="B127" s="8" t="s">
        <v>1713</v>
      </c>
      <c r="C127" s="8" t="s">
        <v>512</v>
      </c>
      <c r="D127" s="8" t="s">
        <v>2057</v>
      </c>
      <c r="E127" s="8" t="s">
        <v>2058</v>
      </c>
      <c r="F127" s="8" t="s">
        <v>43</v>
      </c>
      <c r="G127" s="8"/>
      <c r="H127" s="8">
        <v>315</v>
      </c>
      <c r="I127" s="8" t="s">
        <v>2059</v>
      </c>
      <c r="J127" s="8">
        <v>1</v>
      </c>
      <c r="K127" s="8">
        <v>243</v>
      </c>
      <c r="L127" s="8">
        <v>243</v>
      </c>
      <c r="M127" s="8">
        <v>241</v>
      </c>
      <c r="N127" s="8">
        <v>423</v>
      </c>
      <c r="O127" s="8">
        <v>421</v>
      </c>
      <c r="P127" s="8">
        <v>423</v>
      </c>
      <c r="Q127" s="9"/>
      <c r="R127" s="16"/>
      <c r="S127" s="10"/>
      <c r="T127" s="10"/>
      <c r="U127" s="10"/>
      <c r="V127" s="11"/>
      <c r="W127" s="12" t="s">
        <v>46</v>
      </c>
      <c r="X127" s="17"/>
      <c r="Y127" s="13">
        <v>120</v>
      </c>
      <c r="Z127" s="13">
        <v>90</v>
      </c>
      <c r="AA127" s="13">
        <v>150</v>
      </c>
      <c r="AB127" s="14">
        <v>30</v>
      </c>
      <c r="AC127" s="9"/>
      <c r="AD127" s="16"/>
      <c r="AE127" s="10"/>
      <c r="AF127" s="10"/>
      <c r="AG127" s="10"/>
      <c r="AH127" s="11"/>
      <c r="AI127" s="12"/>
      <c r="AJ127" s="17"/>
      <c r="AK127" s="13"/>
      <c r="AL127" s="13"/>
      <c r="AM127" s="13"/>
      <c r="AN127" s="14"/>
      <c r="AO127" s="9"/>
      <c r="AP127" s="16"/>
      <c r="AQ127" s="10"/>
      <c r="AR127" s="10"/>
      <c r="AS127" s="10"/>
      <c r="AT127" s="11"/>
      <c r="AU127" s="12"/>
      <c r="AV127" s="17"/>
      <c r="AW127" s="13"/>
      <c r="AX127" s="13"/>
      <c r="AY127" s="13"/>
      <c r="AZ127" s="14"/>
      <c r="BA127" s="9"/>
      <c r="BB127" s="16"/>
      <c r="BC127" s="10"/>
      <c r="BD127" s="10"/>
      <c r="BE127" s="10"/>
      <c r="BF127" s="11"/>
      <c r="BG127" s="12"/>
      <c r="BH127" s="17"/>
      <c r="BI127" s="13"/>
      <c r="BJ127" s="13"/>
      <c r="BK127" s="13"/>
      <c r="BL127" s="14"/>
      <c r="BM127" s="9"/>
      <c r="BN127" s="16"/>
      <c r="BO127" s="10"/>
      <c r="BP127" s="10"/>
      <c r="BQ127" s="10"/>
      <c r="BR127" s="11"/>
      <c r="BS127" s="12"/>
      <c r="BT127" s="17"/>
      <c r="BU127" s="13"/>
      <c r="BV127" s="13"/>
      <c r="BW127" s="13"/>
      <c r="BX127" s="14"/>
      <c r="BY127" s="9"/>
      <c r="BZ127" s="16"/>
      <c r="CA127" s="10"/>
      <c r="CB127" s="10"/>
      <c r="CC127" s="10"/>
      <c r="CD127" s="11"/>
      <c r="CE127" s="12"/>
      <c r="CF127" s="17"/>
      <c r="CG127" s="13"/>
      <c r="CH127" s="13"/>
      <c r="CI127" s="13"/>
      <c r="CJ127" s="14"/>
      <c r="CK127" s="9"/>
      <c r="CL127" s="16"/>
      <c r="CM127" s="10"/>
      <c r="CN127" s="10"/>
      <c r="CO127" s="10"/>
      <c r="CP127" s="11"/>
      <c r="CQ127" s="12"/>
      <c r="CR127" s="17"/>
      <c r="CS127" s="13"/>
      <c r="CT127" s="13"/>
      <c r="CU127" s="13"/>
      <c r="CV127" s="14"/>
      <c r="CW127" s="9"/>
      <c r="CX127" s="16"/>
      <c r="CY127" s="10"/>
      <c r="CZ127" s="10"/>
      <c r="DA127" s="10"/>
      <c r="DB127" s="11"/>
      <c r="DC127" s="12"/>
      <c r="DD127" s="17"/>
      <c r="DE127" s="13"/>
      <c r="DF127" s="13"/>
      <c r="DG127" s="13"/>
      <c r="DH127" s="14"/>
      <c r="DI127" s="8">
        <f t="shared" si="27"/>
        <v>120</v>
      </c>
      <c r="DJ127" s="8">
        <f t="shared" si="28"/>
        <v>90</v>
      </c>
      <c r="DK127" s="8">
        <f t="shared" si="29"/>
        <v>150</v>
      </c>
      <c r="DL127" s="8">
        <f t="shared" si="30"/>
        <v>30</v>
      </c>
      <c r="DM127" s="8">
        <f t="shared" si="31"/>
        <v>150</v>
      </c>
      <c r="DN127" s="8">
        <f t="shared" si="32"/>
        <v>90</v>
      </c>
      <c r="DO127" s="15">
        <f t="shared" si="33"/>
        <v>34.888451981030244</v>
      </c>
      <c r="DP127" s="15" t="str">
        <f t="shared" si="34"/>
        <v>OK - No Upgrade</v>
      </c>
      <c r="DQ127" s="15" t="str">
        <f t="shared" si="35"/>
        <v>Need to Balance</v>
      </c>
    </row>
    <row r="128" spans="1:121" ht="15.75" customHeight="1" x14ac:dyDescent="0.25">
      <c r="A128" s="8" t="s">
        <v>1459</v>
      </c>
      <c r="B128" s="8" t="s">
        <v>1713</v>
      </c>
      <c r="C128" s="8" t="s">
        <v>512</v>
      </c>
      <c r="D128" s="8" t="s">
        <v>2060</v>
      </c>
      <c r="E128" s="8" t="s">
        <v>187</v>
      </c>
      <c r="F128" s="8" t="s">
        <v>56</v>
      </c>
      <c r="G128" s="8"/>
      <c r="H128" s="8">
        <v>1000</v>
      </c>
      <c r="I128" s="8" t="s">
        <v>2061</v>
      </c>
      <c r="J128" s="8">
        <v>1</v>
      </c>
      <c r="K128" s="8">
        <v>247</v>
      </c>
      <c r="L128" s="8">
        <v>246</v>
      </c>
      <c r="M128" s="8">
        <v>247</v>
      </c>
      <c r="N128" s="8">
        <v>428</v>
      </c>
      <c r="O128" s="8">
        <v>430</v>
      </c>
      <c r="P128" s="8">
        <v>427</v>
      </c>
      <c r="Q128" s="9"/>
      <c r="R128" s="16"/>
      <c r="S128" s="10"/>
      <c r="T128" s="10"/>
      <c r="U128" s="10"/>
      <c r="V128" s="11"/>
      <c r="W128" s="12"/>
      <c r="X128" s="17"/>
      <c r="Y128" s="13"/>
      <c r="Z128" s="13"/>
      <c r="AA128" s="13"/>
      <c r="AB128" s="14"/>
      <c r="AC128" s="9"/>
      <c r="AD128" s="16"/>
      <c r="AE128" s="10"/>
      <c r="AF128" s="10"/>
      <c r="AG128" s="10"/>
      <c r="AH128" s="11"/>
      <c r="AI128" s="12"/>
      <c r="AJ128" s="17"/>
      <c r="AK128" s="13"/>
      <c r="AL128" s="13"/>
      <c r="AM128" s="13"/>
      <c r="AN128" s="14"/>
      <c r="AO128" s="9" t="s">
        <v>46</v>
      </c>
      <c r="AP128" s="16"/>
      <c r="AQ128" s="10">
        <v>0</v>
      </c>
      <c r="AR128" s="10">
        <v>0</v>
      </c>
      <c r="AS128" s="10">
        <v>0</v>
      </c>
      <c r="AT128" s="11">
        <v>0</v>
      </c>
      <c r="AU128" s="12" t="s">
        <v>47</v>
      </c>
      <c r="AV128" s="17"/>
      <c r="AW128" s="13">
        <v>116</v>
      </c>
      <c r="AX128" s="13">
        <v>148</v>
      </c>
      <c r="AY128" s="13">
        <v>139</v>
      </c>
      <c r="AZ128" s="14">
        <v>30</v>
      </c>
      <c r="BA128" s="9" t="s">
        <v>47</v>
      </c>
      <c r="BB128" s="16"/>
      <c r="BC128" s="10">
        <v>14</v>
      </c>
      <c r="BD128" s="10">
        <v>8</v>
      </c>
      <c r="BE128" s="10">
        <v>7</v>
      </c>
      <c r="BF128" s="11">
        <v>11</v>
      </c>
      <c r="BG128" s="12" t="s">
        <v>47</v>
      </c>
      <c r="BH128" s="17"/>
      <c r="BI128" s="13">
        <v>85</v>
      </c>
      <c r="BJ128" s="13">
        <v>90</v>
      </c>
      <c r="BK128" s="13">
        <v>120</v>
      </c>
      <c r="BL128" s="14">
        <v>35</v>
      </c>
      <c r="BM128" s="9"/>
      <c r="BN128" s="16"/>
      <c r="BO128" s="10"/>
      <c r="BP128" s="10"/>
      <c r="BQ128" s="10"/>
      <c r="BR128" s="11"/>
      <c r="BS128" s="12"/>
      <c r="BT128" s="17"/>
      <c r="BU128" s="13"/>
      <c r="BV128" s="13"/>
      <c r="BW128" s="13"/>
      <c r="BX128" s="14"/>
      <c r="BY128" s="9"/>
      <c r="BZ128" s="16"/>
      <c r="CA128" s="10"/>
      <c r="CB128" s="10"/>
      <c r="CC128" s="10"/>
      <c r="CD128" s="11"/>
      <c r="CE128" s="12"/>
      <c r="CF128" s="17"/>
      <c r="CG128" s="13"/>
      <c r="CH128" s="13"/>
      <c r="CI128" s="13"/>
      <c r="CJ128" s="14"/>
      <c r="CK128" s="9"/>
      <c r="CL128" s="16"/>
      <c r="CM128" s="10"/>
      <c r="CN128" s="10"/>
      <c r="CO128" s="10"/>
      <c r="CP128" s="11"/>
      <c r="CQ128" s="12"/>
      <c r="CR128" s="17"/>
      <c r="CS128" s="13"/>
      <c r="CT128" s="13"/>
      <c r="CU128" s="13"/>
      <c r="CV128" s="14"/>
      <c r="CW128" s="9"/>
      <c r="CX128" s="16"/>
      <c r="CY128" s="10"/>
      <c r="CZ128" s="10"/>
      <c r="DA128" s="10"/>
      <c r="DB128" s="11"/>
      <c r="DC128" s="12"/>
      <c r="DD128" s="17"/>
      <c r="DE128" s="13"/>
      <c r="DF128" s="13"/>
      <c r="DG128" s="13"/>
      <c r="DH128" s="14"/>
      <c r="DI128" s="8">
        <f t="shared" si="27"/>
        <v>215</v>
      </c>
      <c r="DJ128" s="8">
        <f t="shared" si="28"/>
        <v>246</v>
      </c>
      <c r="DK128" s="8">
        <f t="shared" si="29"/>
        <v>266</v>
      </c>
      <c r="DL128" s="8">
        <f t="shared" si="30"/>
        <v>76</v>
      </c>
      <c r="DM128" s="8">
        <f t="shared" si="31"/>
        <v>266</v>
      </c>
      <c r="DN128" s="8">
        <f t="shared" si="32"/>
        <v>215</v>
      </c>
      <c r="DO128" s="15">
        <f t="shared" si="33"/>
        <v>19.719052034010154</v>
      </c>
      <c r="DP128" s="15" t="str">
        <f t="shared" si="34"/>
        <v>OK - No Upgrade</v>
      </c>
      <c r="DQ128" s="15" t="str">
        <f t="shared" si="35"/>
        <v>OK - Balanced</v>
      </c>
    </row>
    <row r="129" spans="1:121" ht="15.75" customHeight="1" x14ac:dyDescent="0.25">
      <c r="A129" s="8" t="s">
        <v>1459</v>
      </c>
      <c r="B129" s="8" t="s">
        <v>1713</v>
      </c>
      <c r="C129" s="8" t="s">
        <v>512</v>
      </c>
      <c r="D129" s="8" t="s">
        <v>2062</v>
      </c>
      <c r="E129" s="8" t="s">
        <v>2063</v>
      </c>
      <c r="F129" s="8" t="s">
        <v>43</v>
      </c>
      <c r="G129" s="8"/>
      <c r="H129" s="8">
        <v>100</v>
      </c>
      <c r="I129" s="8" t="s">
        <v>2064</v>
      </c>
      <c r="J129" s="8">
        <v>1</v>
      </c>
      <c r="K129" s="8">
        <v>238</v>
      </c>
      <c r="L129" s="8">
        <v>240</v>
      </c>
      <c r="M129" s="8">
        <v>238</v>
      </c>
      <c r="N129" s="8">
        <v>418</v>
      </c>
      <c r="O129" s="8">
        <v>416</v>
      </c>
      <c r="P129" s="8">
        <v>416</v>
      </c>
      <c r="Q129" s="9"/>
      <c r="R129" s="16"/>
      <c r="S129" s="10"/>
      <c r="T129" s="10"/>
      <c r="U129" s="10"/>
      <c r="V129" s="11"/>
      <c r="W129" s="12" t="s">
        <v>46</v>
      </c>
      <c r="X129" s="17"/>
      <c r="Y129" s="13">
        <v>50</v>
      </c>
      <c r="Z129" s="13">
        <v>70</v>
      </c>
      <c r="AA129" s="13">
        <v>40</v>
      </c>
      <c r="AB129" s="14">
        <v>30</v>
      </c>
      <c r="AC129" s="9"/>
      <c r="AD129" s="16"/>
      <c r="AE129" s="10"/>
      <c r="AF129" s="10"/>
      <c r="AG129" s="10"/>
      <c r="AH129" s="11"/>
      <c r="AI129" s="12"/>
      <c r="AJ129" s="17"/>
      <c r="AK129" s="13"/>
      <c r="AL129" s="13"/>
      <c r="AM129" s="13"/>
      <c r="AN129" s="14"/>
      <c r="AO129" s="9"/>
      <c r="AP129" s="16"/>
      <c r="AQ129" s="10"/>
      <c r="AR129" s="10"/>
      <c r="AS129" s="10"/>
      <c r="AT129" s="11"/>
      <c r="AU129" s="12"/>
      <c r="AV129" s="17"/>
      <c r="AW129" s="13"/>
      <c r="AX129" s="13"/>
      <c r="AY129" s="13"/>
      <c r="AZ129" s="14"/>
      <c r="BA129" s="9"/>
      <c r="BB129" s="16"/>
      <c r="BC129" s="10"/>
      <c r="BD129" s="10"/>
      <c r="BE129" s="10"/>
      <c r="BF129" s="11"/>
      <c r="BG129" s="12"/>
      <c r="BH129" s="17"/>
      <c r="BI129" s="13"/>
      <c r="BJ129" s="13"/>
      <c r="BK129" s="13"/>
      <c r="BL129" s="14"/>
      <c r="BM129" s="9"/>
      <c r="BN129" s="16"/>
      <c r="BO129" s="10"/>
      <c r="BP129" s="10"/>
      <c r="BQ129" s="10"/>
      <c r="BR129" s="11"/>
      <c r="BS129" s="12"/>
      <c r="BT129" s="17"/>
      <c r="BU129" s="13"/>
      <c r="BV129" s="13"/>
      <c r="BW129" s="13"/>
      <c r="BX129" s="14"/>
      <c r="BY129" s="9"/>
      <c r="BZ129" s="16"/>
      <c r="CA129" s="10"/>
      <c r="CB129" s="10"/>
      <c r="CC129" s="10"/>
      <c r="CD129" s="11"/>
      <c r="CE129" s="12"/>
      <c r="CF129" s="17"/>
      <c r="CG129" s="13"/>
      <c r="CH129" s="13"/>
      <c r="CI129" s="13"/>
      <c r="CJ129" s="14"/>
      <c r="CK129" s="9"/>
      <c r="CL129" s="16"/>
      <c r="CM129" s="10"/>
      <c r="CN129" s="10"/>
      <c r="CO129" s="10"/>
      <c r="CP129" s="11"/>
      <c r="CQ129" s="12"/>
      <c r="CR129" s="17"/>
      <c r="CS129" s="13"/>
      <c r="CT129" s="13"/>
      <c r="CU129" s="13"/>
      <c r="CV129" s="14"/>
      <c r="CW129" s="9"/>
      <c r="CX129" s="16"/>
      <c r="CY129" s="10"/>
      <c r="CZ129" s="10"/>
      <c r="DA129" s="10"/>
      <c r="DB129" s="11"/>
      <c r="DC129" s="12"/>
      <c r="DD129" s="17"/>
      <c r="DE129" s="13"/>
      <c r="DF129" s="13"/>
      <c r="DG129" s="13"/>
      <c r="DH129" s="14"/>
      <c r="DI129" s="8">
        <f t="shared" si="27"/>
        <v>50</v>
      </c>
      <c r="DJ129" s="8">
        <f t="shared" si="28"/>
        <v>70</v>
      </c>
      <c r="DK129" s="8">
        <f t="shared" si="29"/>
        <v>40</v>
      </c>
      <c r="DL129" s="8">
        <f t="shared" si="30"/>
        <v>30</v>
      </c>
      <c r="DM129" s="8">
        <f t="shared" si="31"/>
        <v>70</v>
      </c>
      <c r="DN129" s="8">
        <f t="shared" si="32"/>
        <v>40</v>
      </c>
      <c r="DO129" s="15">
        <f t="shared" si="33"/>
        <v>50.679806629465354</v>
      </c>
      <c r="DP129" s="15" t="str">
        <f t="shared" si="34"/>
        <v>OK - No Upgrade</v>
      </c>
      <c r="DQ129" s="15" t="str">
        <f t="shared" si="35"/>
        <v>Need to Balance</v>
      </c>
    </row>
    <row r="130" spans="1:121" ht="15.75" customHeight="1" x14ac:dyDescent="0.25">
      <c r="A130" s="8" t="s">
        <v>1459</v>
      </c>
      <c r="B130" s="8" t="s">
        <v>1713</v>
      </c>
      <c r="C130" s="8" t="s">
        <v>512</v>
      </c>
      <c r="D130" s="8" t="s">
        <v>2062</v>
      </c>
      <c r="E130" s="8" t="s">
        <v>2065</v>
      </c>
      <c r="F130" s="8" t="s">
        <v>56</v>
      </c>
      <c r="G130" s="8"/>
      <c r="H130" s="8">
        <v>1000</v>
      </c>
      <c r="I130" s="8" t="s">
        <v>2066</v>
      </c>
      <c r="J130" s="8">
        <v>1</v>
      </c>
      <c r="K130" s="8">
        <v>242</v>
      </c>
      <c r="L130" s="8">
        <v>243</v>
      </c>
      <c r="M130" s="8">
        <v>242</v>
      </c>
      <c r="N130" s="8">
        <v>420</v>
      </c>
      <c r="O130" s="8">
        <v>420</v>
      </c>
      <c r="P130" s="8">
        <v>421</v>
      </c>
      <c r="Q130" s="9" t="s">
        <v>46</v>
      </c>
      <c r="R130" s="16"/>
      <c r="S130" s="10">
        <v>50</v>
      </c>
      <c r="T130" s="10">
        <v>20</v>
      </c>
      <c r="U130" s="10">
        <v>17</v>
      </c>
      <c r="V130" s="11">
        <v>30</v>
      </c>
      <c r="W130" s="12" t="s">
        <v>46</v>
      </c>
      <c r="X130" s="17"/>
      <c r="Y130" s="13">
        <v>70</v>
      </c>
      <c r="Z130" s="13">
        <v>70</v>
      </c>
      <c r="AA130" s="13">
        <v>115</v>
      </c>
      <c r="AB130" s="14">
        <v>22</v>
      </c>
      <c r="AC130" s="9" t="s">
        <v>47</v>
      </c>
      <c r="AD130" s="16"/>
      <c r="AE130" s="10">
        <v>0</v>
      </c>
      <c r="AF130" s="10">
        <v>0</v>
      </c>
      <c r="AG130" s="10">
        <v>0</v>
      </c>
      <c r="AH130" s="11">
        <v>0</v>
      </c>
      <c r="AI130" s="12"/>
      <c r="AJ130" s="17"/>
      <c r="AK130" s="13"/>
      <c r="AL130" s="13"/>
      <c r="AM130" s="13"/>
      <c r="AN130" s="14"/>
      <c r="AO130" s="9"/>
      <c r="AP130" s="16"/>
      <c r="AQ130" s="10"/>
      <c r="AR130" s="10"/>
      <c r="AS130" s="10"/>
      <c r="AT130" s="11"/>
      <c r="AU130" s="12"/>
      <c r="AV130" s="17"/>
      <c r="AW130" s="13"/>
      <c r="AX130" s="13"/>
      <c r="AY130" s="13"/>
      <c r="AZ130" s="14"/>
      <c r="BA130" s="9"/>
      <c r="BB130" s="16"/>
      <c r="BC130" s="10"/>
      <c r="BD130" s="10"/>
      <c r="BE130" s="10"/>
      <c r="BF130" s="11"/>
      <c r="BG130" s="12"/>
      <c r="BH130" s="17"/>
      <c r="BI130" s="13"/>
      <c r="BJ130" s="13"/>
      <c r="BK130" s="13"/>
      <c r="BL130" s="14"/>
      <c r="BM130" s="9"/>
      <c r="BN130" s="16"/>
      <c r="BO130" s="10"/>
      <c r="BP130" s="10"/>
      <c r="BQ130" s="10"/>
      <c r="BR130" s="11"/>
      <c r="BS130" s="12"/>
      <c r="BT130" s="17"/>
      <c r="BU130" s="13"/>
      <c r="BV130" s="13"/>
      <c r="BW130" s="13"/>
      <c r="BX130" s="14"/>
      <c r="BY130" s="9"/>
      <c r="BZ130" s="16"/>
      <c r="CA130" s="10"/>
      <c r="CB130" s="10"/>
      <c r="CC130" s="10"/>
      <c r="CD130" s="11"/>
      <c r="CE130" s="12"/>
      <c r="CF130" s="17"/>
      <c r="CG130" s="13"/>
      <c r="CH130" s="13"/>
      <c r="CI130" s="13"/>
      <c r="CJ130" s="14"/>
      <c r="CK130" s="9"/>
      <c r="CL130" s="16"/>
      <c r="CM130" s="10"/>
      <c r="CN130" s="10"/>
      <c r="CO130" s="10"/>
      <c r="CP130" s="11"/>
      <c r="CQ130" s="12"/>
      <c r="CR130" s="17"/>
      <c r="CS130" s="13"/>
      <c r="CT130" s="13"/>
      <c r="CU130" s="13"/>
      <c r="CV130" s="14"/>
      <c r="CW130" s="9"/>
      <c r="CX130" s="16"/>
      <c r="CY130" s="10"/>
      <c r="CZ130" s="10"/>
      <c r="DA130" s="10"/>
      <c r="DB130" s="11"/>
      <c r="DC130" s="12"/>
      <c r="DD130" s="17"/>
      <c r="DE130" s="13"/>
      <c r="DF130" s="13"/>
      <c r="DG130" s="13"/>
      <c r="DH130" s="14"/>
      <c r="DI130" s="8">
        <f t="shared" si="27"/>
        <v>120</v>
      </c>
      <c r="DJ130" s="8">
        <f t="shared" si="28"/>
        <v>90</v>
      </c>
      <c r="DK130" s="8">
        <f t="shared" si="29"/>
        <v>132</v>
      </c>
      <c r="DL130" s="8">
        <f t="shared" si="30"/>
        <v>52</v>
      </c>
      <c r="DM130" s="8">
        <f t="shared" si="31"/>
        <v>132</v>
      </c>
      <c r="DN130" s="8">
        <f t="shared" si="32"/>
        <v>90</v>
      </c>
      <c r="DO130" s="15">
        <f t="shared" si="33"/>
        <v>9.602489677161854</v>
      </c>
      <c r="DP130" s="15" t="str">
        <f t="shared" si="34"/>
        <v>OK - No Upgrade</v>
      </c>
      <c r="DQ130" s="15" t="str">
        <f t="shared" si="35"/>
        <v>Need to Balance</v>
      </c>
    </row>
    <row r="131" spans="1:121" ht="15.75" customHeight="1" x14ac:dyDescent="0.25">
      <c r="A131" s="8" t="s">
        <v>1459</v>
      </c>
      <c r="B131" s="8" t="s">
        <v>1713</v>
      </c>
      <c r="C131" s="8" t="s">
        <v>573</v>
      </c>
      <c r="D131" s="8" t="s">
        <v>2067</v>
      </c>
      <c r="E131" s="8" t="s">
        <v>2068</v>
      </c>
      <c r="F131" s="8" t="s">
        <v>43</v>
      </c>
      <c r="G131" s="8"/>
      <c r="H131" s="8">
        <v>315</v>
      </c>
      <c r="I131" s="8" t="s">
        <v>2069</v>
      </c>
      <c r="J131" s="8">
        <v>1</v>
      </c>
      <c r="K131" s="8">
        <v>230</v>
      </c>
      <c r="L131" s="8">
        <v>231</v>
      </c>
      <c r="M131" s="8">
        <v>230</v>
      </c>
      <c r="N131" s="8">
        <v>400</v>
      </c>
      <c r="O131" s="8">
        <v>400</v>
      </c>
      <c r="P131" s="8">
        <v>401</v>
      </c>
      <c r="Q131" s="9" t="s">
        <v>47</v>
      </c>
      <c r="R131" s="16"/>
      <c r="S131" s="10">
        <v>108</v>
      </c>
      <c r="T131" s="10">
        <v>53</v>
      </c>
      <c r="U131" s="10">
        <v>76</v>
      </c>
      <c r="V131" s="11">
        <v>26</v>
      </c>
      <c r="W131" s="12" t="s">
        <v>46</v>
      </c>
      <c r="X131" s="17"/>
      <c r="Y131" s="13">
        <v>40</v>
      </c>
      <c r="Z131" s="13">
        <v>35</v>
      </c>
      <c r="AA131" s="13">
        <v>30</v>
      </c>
      <c r="AB131" s="14">
        <v>8</v>
      </c>
      <c r="AC131" s="9"/>
      <c r="AD131" s="16"/>
      <c r="AE131" s="10"/>
      <c r="AF131" s="10"/>
      <c r="AG131" s="10"/>
      <c r="AH131" s="11"/>
      <c r="AI131" s="12"/>
      <c r="AJ131" s="17"/>
      <c r="AK131" s="13"/>
      <c r="AL131" s="13"/>
      <c r="AM131" s="13"/>
      <c r="AN131" s="14"/>
      <c r="AO131" s="9"/>
      <c r="AP131" s="16"/>
      <c r="AQ131" s="10"/>
      <c r="AR131" s="10"/>
      <c r="AS131" s="10"/>
      <c r="AT131" s="11"/>
      <c r="AU131" s="12"/>
      <c r="AV131" s="17"/>
      <c r="AW131" s="13"/>
      <c r="AX131" s="13"/>
      <c r="AY131" s="13"/>
      <c r="AZ131" s="14"/>
      <c r="BA131" s="9"/>
      <c r="BB131" s="16"/>
      <c r="BC131" s="10"/>
      <c r="BD131" s="10"/>
      <c r="BE131" s="10"/>
      <c r="BF131" s="11"/>
      <c r="BG131" s="12"/>
      <c r="BH131" s="17"/>
      <c r="BI131" s="13"/>
      <c r="BJ131" s="13"/>
      <c r="BK131" s="13"/>
      <c r="BL131" s="14"/>
      <c r="BM131" s="9"/>
      <c r="BN131" s="16"/>
      <c r="BO131" s="10"/>
      <c r="BP131" s="10"/>
      <c r="BQ131" s="10"/>
      <c r="BR131" s="11"/>
      <c r="BS131" s="12"/>
      <c r="BT131" s="17"/>
      <c r="BU131" s="13"/>
      <c r="BV131" s="13"/>
      <c r="BW131" s="13"/>
      <c r="BX131" s="14"/>
      <c r="BY131" s="9"/>
      <c r="BZ131" s="16"/>
      <c r="CA131" s="10"/>
      <c r="CB131" s="10"/>
      <c r="CC131" s="10"/>
      <c r="CD131" s="11"/>
      <c r="CE131" s="12"/>
      <c r="CF131" s="17"/>
      <c r="CG131" s="13"/>
      <c r="CH131" s="13"/>
      <c r="CI131" s="13"/>
      <c r="CJ131" s="14"/>
      <c r="CK131" s="9"/>
      <c r="CL131" s="16"/>
      <c r="CM131" s="10"/>
      <c r="CN131" s="10"/>
      <c r="CO131" s="10"/>
      <c r="CP131" s="11"/>
      <c r="CQ131" s="12"/>
      <c r="CR131" s="17"/>
      <c r="CS131" s="13"/>
      <c r="CT131" s="13"/>
      <c r="CU131" s="13"/>
      <c r="CV131" s="14"/>
      <c r="CW131" s="9"/>
      <c r="CX131" s="16"/>
      <c r="CY131" s="10"/>
      <c r="CZ131" s="10"/>
      <c r="DA131" s="10"/>
      <c r="DB131" s="11"/>
      <c r="DC131" s="12"/>
      <c r="DD131" s="17"/>
      <c r="DE131" s="13"/>
      <c r="DF131" s="13"/>
      <c r="DG131" s="13"/>
      <c r="DH131" s="14"/>
      <c r="DI131" s="8">
        <f t="shared" si="27"/>
        <v>148</v>
      </c>
      <c r="DJ131" s="8">
        <f t="shared" si="28"/>
        <v>88</v>
      </c>
      <c r="DK131" s="8">
        <f t="shared" si="29"/>
        <v>106</v>
      </c>
      <c r="DL131" s="8">
        <f t="shared" si="30"/>
        <v>34</v>
      </c>
      <c r="DM131" s="8">
        <f t="shared" si="31"/>
        <v>148</v>
      </c>
      <c r="DN131" s="8">
        <f t="shared" si="32"/>
        <v>88</v>
      </c>
      <c r="DO131" s="15">
        <f t="shared" si="33"/>
        <v>32.551558034310325</v>
      </c>
      <c r="DP131" s="15" t="str">
        <f t="shared" si="34"/>
        <v>OK - No Upgrade</v>
      </c>
      <c r="DQ131" s="15" t="str">
        <f t="shared" si="35"/>
        <v>Need to Balance</v>
      </c>
    </row>
    <row r="132" spans="1:121" ht="15.75" customHeight="1" x14ac:dyDescent="0.25">
      <c r="A132" s="8" t="s">
        <v>1459</v>
      </c>
      <c r="B132" s="8" t="s">
        <v>1713</v>
      </c>
      <c r="C132" s="8" t="s">
        <v>573</v>
      </c>
      <c r="D132" s="8" t="s">
        <v>2070</v>
      </c>
      <c r="E132" s="8" t="s">
        <v>2071</v>
      </c>
      <c r="F132" s="8" t="s">
        <v>43</v>
      </c>
      <c r="G132" s="8"/>
      <c r="H132" s="8">
        <v>315</v>
      </c>
      <c r="I132" s="8" t="s">
        <v>2072</v>
      </c>
      <c r="J132" s="8">
        <v>1</v>
      </c>
      <c r="K132" s="8">
        <v>245</v>
      </c>
      <c r="L132" s="8">
        <v>242</v>
      </c>
      <c r="M132" s="8">
        <v>243</v>
      </c>
      <c r="N132" s="8">
        <v>421</v>
      </c>
      <c r="O132" s="8">
        <v>422</v>
      </c>
      <c r="P132" s="8">
        <v>420</v>
      </c>
      <c r="Q132" s="9" t="s">
        <v>46</v>
      </c>
      <c r="R132" s="16"/>
      <c r="S132" s="10">
        <v>80</v>
      </c>
      <c r="T132" s="10">
        <v>100</v>
      </c>
      <c r="U132" s="10">
        <v>70</v>
      </c>
      <c r="V132" s="11">
        <v>20</v>
      </c>
      <c r="W132" s="12" t="s">
        <v>47</v>
      </c>
      <c r="X132" s="17"/>
      <c r="Y132" s="13">
        <v>30</v>
      </c>
      <c r="Z132" s="13">
        <v>40</v>
      </c>
      <c r="AA132" s="13">
        <v>20</v>
      </c>
      <c r="AB132" s="14">
        <v>8</v>
      </c>
      <c r="AC132" s="9"/>
      <c r="AD132" s="16"/>
      <c r="AE132" s="10"/>
      <c r="AF132" s="10"/>
      <c r="AG132" s="10"/>
      <c r="AH132" s="11"/>
      <c r="AI132" s="12"/>
      <c r="AJ132" s="17"/>
      <c r="AK132" s="13"/>
      <c r="AL132" s="13"/>
      <c r="AM132" s="13"/>
      <c r="AN132" s="14"/>
      <c r="AO132" s="9"/>
      <c r="AP132" s="16"/>
      <c r="AQ132" s="10"/>
      <c r="AR132" s="10"/>
      <c r="AS132" s="10"/>
      <c r="AT132" s="11"/>
      <c r="AU132" s="12"/>
      <c r="AV132" s="17"/>
      <c r="AW132" s="13"/>
      <c r="AX132" s="13"/>
      <c r="AY132" s="13"/>
      <c r="AZ132" s="14"/>
      <c r="BA132" s="9"/>
      <c r="BB132" s="16"/>
      <c r="BC132" s="10"/>
      <c r="BD132" s="10"/>
      <c r="BE132" s="10"/>
      <c r="BF132" s="11"/>
      <c r="BG132" s="12"/>
      <c r="BH132" s="17"/>
      <c r="BI132" s="13"/>
      <c r="BJ132" s="13"/>
      <c r="BK132" s="13"/>
      <c r="BL132" s="14"/>
      <c r="BM132" s="9"/>
      <c r="BN132" s="16"/>
      <c r="BO132" s="10"/>
      <c r="BP132" s="10"/>
      <c r="BQ132" s="10"/>
      <c r="BR132" s="11"/>
      <c r="BS132" s="12"/>
      <c r="BT132" s="17"/>
      <c r="BU132" s="13"/>
      <c r="BV132" s="13"/>
      <c r="BW132" s="13"/>
      <c r="BX132" s="14"/>
      <c r="BY132" s="9"/>
      <c r="BZ132" s="16"/>
      <c r="CA132" s="10"/>
      <c r="CB132" s="10"/>
      <c r="CC132" s="10"/>
      <c r="CD132" s="11"/>
      <c r="CE132" s="12"/>
      <c r="CF132" s="17"/>
      <c r="CG132" s="13"/>
      <c r="CH132" s="13"/>
      <c r="CI132" s="13"/>
      <c r="CJ132" s="14"/>
      <c r="CK132" s="9"/>
      <c r="CL132" s="16"/>
      <c r="CM132" s="10"/>
      <c r="CN132" s="10"/>
      <c r="CO132" s="10"/>
      <c r="CP132" s="11"/>
      <c r="CQ132" s="12"/>
      <c r="CR132" s="17"/>
      <c r="CS132" s="13"/>
      <c r="CT132" s="13"/>
      <c r="CU132" s="13"/>
      <c r="CV132" s="14"/>
      <c r="CW132" s="9"/>
      <c r="CX132" s="16"/>
      <c r="CY132" s="10"/>
      <c r="CZ132" s="10"/>
      <c r="DA132" s="10"/>
      <c r="DB132" s="11"/>
      <c r="DC132" s="12"/>
      <c r="DD132" s="17"/>
      <c r="DE132" s="13"/>
      <c r="DF132" s="13"/>
      <c r="DG132" s="13"/>
      <c r="DH132" s="14"/>
      <c r="DI132" s="8">
        <f t="shared" ref="DI132:DI163" si="36">SUM(S132,Y132,AE132,AK132,AQ132,AW132,BC132,BI132,BO132,BU132,CA132,CG132,CM132,CS132,CY132,DE132)</f>
        <v>110</v>
      </c>
      <c r="DJ132" s="8">
        <f t="shared" ref="DJ132:DJ163" si="37">SUM(T132,Z132,AF132,AL132,AR132,AX132,BD132,BJ132,BP132,BV132,CB132,CH132,CN132,CT132,CZ132,DF132)</f>
        <v>140</v>
      </c>
      <c r="DK132" s="8">
        <f t="shared" ref="DK132:DK163" si="38">SUM(U132,AA132,AG132,AM132,AS132,AY132,BE132,BK132,BQ132,BW132,CC132,CI132,CO132,CU132,DA132,DG132)</f>
        <v>90</v>
      </c>
      <c r="DL132" s="8">
        <f t="shared" ref="DL132:DL163" si="39">SUM(V132,AB132,AH132,AN132,AT132,AZ132,BF132,BL132,BR132,BX132,CD132,CJ132,CP132,CV132,DB132,DH132)</f>
        <v>28</v>
      </c>
      <c r="DM132" s="8">
        <f t="shared" ref="DM132:DM163" si="40">MAX(DI132:DK132)</f>
        <v>140</v>
      </c>
      <c r="DN132" s="8">
        <f t="shared" ref="DN132:DN163" si="41">MIN(DI132:DK132)</f>
        <v>90</v>
      </c>
      <c r="DO132" s="15">
        <f t="shared" ref="DO132:DO163" si="42">IF(H132&gt;0,(DM132*SQRT(3)*IF(N132&gt;0,N132,IF(O132&gt;0,O132,IF(P132&gt;0,P132,415)))/(H132*1000))*100,0)</f>
        <v>32.408595110510987</v>
      </c>
      <c r="DP132" s="15" t="str">
        <f t="shared" ref="DP132:DP163" si="43">IF(DO132&gt;70,"Upgrade","OK - No Upgrade")</f>
        <v>OK - No Upgrade</v>
      </c>
      <c r="DQ132" s="15" t="str">
        <f t="shared" ref="DQ132:DQ163" si="44">IF(IF(AVERAGE(DI132:DK132)&gt;0,((DM132-AVERAGE(DI132:DK132))/AVERAGE(DI132:DK132))*100,0)&gt;10,"Need to Balance","OK - Balanced")</f>
        <v>Need to Balance</v>
      </c>
    </row>
    <row r="133" spans="1:121" ht="15.75" customHeight="1" x14ac:dyDescent="0.25">
      <c r="A133" s="8" t="s">
        <v>1459</v>
      </c>
      <c r="B133" s="8" t="s">
        <v>1713</v>
      </c>
      <c r="C133" s="8" t="s">
        <v>573</v>
      </c>
      <c r="D133" s="8" t="s">
        <v>2073</v>
      </c>
      <c r="E133" s="8" t="s">
        <v>2074</v>
      </c>
      <c r="F133" s="8" t="s">
        <v>56</v>
      </c>
      <c r="G133" s="8"/>
      <c r="H133" s="8">
        <v>1000</v>
      </c>
      <c r="I133" s="8" t="s">
        <v>2075</v>
      </c>
      <c r="J133" s="8">
        <v>1</v>
      </c>
      <c r="K133" s="8">
        <v>232</v>
      </c>
      <c r="L133" s="8">
        <v>232</v>
      </c>
      <c r="M133" s="8">
        <v>231</v>
      </c>
      <c r="N133" s="8">
        <v>410</v>
      </c>
      <c r="O133" s="8">
        <v>408</v>
      </c>
      <c r="P133" s="8">
        <v>410</v>
      </c>
      <c r="Q133" s="9"/>
      <c r="R133" s="16"/>
      <c r="S133" s="10"/>
      <c r="T133" s="10"/>
      <c r="U133" s="10"/>
      <c r="V133" s="11"/>
      <c r="W133" s="12" t="s">
        <v>47</v>
      </c>
      <c r="X133" s="17"/>
      <c r="Y133" s="13">
        <v>13</v>
      </c>
      <c r="Z133" s="13">
        <v>20</v>
      </c>
      <c r="AA133" s="13">
        <v>15</v>
      </c>
      <c r="AB133" s="14">
        <v>18</v>
      </c>
      <c r="AC133" s="9" t="s">
        <v>47</v>
      </c>
      <c r="AD133" s="16"/>
      <c r="AE133" s="10">
        <v>40</v>
      </c>
      <c r="AF133" s="10">
        <v>50</v>
      </c>
      <c r="AG133" s="10">
        <v>60</v>
      </c>
      <c r="AH133" s="11">
        <v>15</v>
      </c>
      <c r="AI133" s="12" t="s">
        <v>47</v>
      </c>
      <c r="AJ133" s="17"/>
      <c r="AK133" s="13">
        <v>90</v>
      </c>
      <c r="AL133" s="13">
        <v>70</v>
      </c>
      <c r="AM133" s="13">
        <v>90</v>
      </c>
      <c r="AN133" s="14">
        <v>25</v>
      </c>
      <c r="AO133" s="9" t="s">
        <v>47</v>
      </c>
      <c r="AP133" s="16"/>
      <c r="AQ133" s="10">
        <v>140</v>
      </c>
      <c r="AR133" s="10">
        <v>90</v>
      </c>
      <c r="AS133" s="10">
        <v>80</v>
      </c>
      <c r="AT133" s="11">
        <v>40</v>
      </c>
      <c r="AU133" s="12" t="s">
        <v>47</v>
      </c>
      <c r="AV133" s="17"/>
      <c r="AW133" s="13">
        <v>50</v>
      </c>
      <c r="AX133" s="13">
        <v>60</v>
      </c>
      <c r="AY133" s="13">
        <v>70</v>
      </c>
      <c r="AZ133" s="14">
        <v>30</v>
      </c>
      <c r="BA133" s="9"/>
      <c r="BB133" s="16"/>
      <c r="BC133" s="10"/>
      <c r="BD133" s="10"/>
      <c r="BE133" s="10"/>
      <c r="BF133" s="11"/>
      <c r="BG133" s="12"/>
      <c r="BH133" s="17"/>
      <c r="BI133" s="13"/>
      <c r="BJ133" s="13"/>
      <c r="BK133" s="13"/>
      <c r="BL133" s="14"/>
      <c r="BM133" s="9"/>
      <c r="BN133" s="16"/>
      <c r="BO133" s="10"/>
      <c r="BP133" s="10"/>
      <c r="BQ133" s="10"/>
      <c r="BR133" s="11"/>
      <c r="BS133" s="12"/>
      <c r="BT133" s="17"/>
      <c r="BU133" s="13"/>
      <c r="BV133" s="13"/>
      <c r="BW133" s="13"/>
      <c r="BX133" s="14"/>
      <c r="BY133" s="9"/>
      <c r="BZ133" s="16"/>
      <c r="CA133" s="10"/>
      <c r="CB133" s="10"/>
      <c r="CC133" s="10"/>
      <c r="CD133" s="11"/>
      <c r="CE133" s="12"/>
      <c r="CF133" s="17"/>
      <c r="CG133" s="13"/>
      <c r="CH133" s="13"/>
      <c r="CI133" s="13"/>
      <c r="CJ133" s="14"/>
      <c r="CK133" s="9"/>
      <c r="CL133" s="16"/>
      <c r="CM133" s="10"/>
      <c r="CN133" s="10"/>
      <c r="CO133" s="10"/>
      <c r="CP133" s="11"/>
      <c r="CQ133" s="12"/>
      <c r="CR133" s="17"/>
      <c r="CS133" s="13"/>
      <c r="CT133" s="13"/>
      <c r="CU133" s="13"/>
      <c r="CV133" s="14"/>
      <c r="CW133" s="9"/>
      <c r="CX133" s="16"/>
      <c r="CY133" s="10"/>
      <c r="CZ133" s="10"/>
      <c r="DA133" s="10"/>
      <c r="DB133" s="11"/>
      <c r="DC133" s="12"/>
      <c r="DD133" s="17"/>
      <c r="DE133" s="13"/>
      <c r="DF133" s="13"/>
      <c r="DG133" s="13"/>
      <c r="DH133" s="14"/>
      <c r="DI133" s="8">
        <f t="shared" si="36"/>
        <v>333</v>
      </c>
      <c r="DJ133" s="8">
        <f t="shared" si="37"/>
        <v>290</v>
      </c>
      <c r="DK133" s="8">
        <f t="shared" si="38"/>
        <v>315</v>
      </c>
      <c r="DL133" s="8">
        <f t="shared" si="39"/>
        <v>128</v>
      </c>
      <c r="DM133" s="8">
        <f t="shared" si="40"/>
        <v>333</v>
      </c>
      <c r="DN133" s="8">
        <f t="shared" si="41"/>
        <v>290</v>
      </c>
      <c r="DO133" s="15">
        <f t="shared" si="42"/>
        <v>23.647689675737883</v>
      </c>
      <c r="DP133" s="15" t="str">
        <f t="shared" si="43"/>
        <v>OK - No Upgrade</v>
      </c>
      <c r="DQ133" s="15" t="str">
        <f t="shared" si="44"/>
        <v>OK - Balanced</v>
      </c>
    </row>
    <row r="134" spans="1:121" ht="15.75" customHeight="1" x14ac:dyDescent="0.25">
      <c r="A134" s="8" t="s">
        <v>1459</v>
      </c>
      <c r="B134" s="8" t="s">
        <v>1713</v>
      </c>
      <c r="C134" s="8" t="s">
        <v>573</v>
      </c>
      <c r="D134" s="8" t="s">
        <v>2076</v>
      </c>
      <c r="E134" s="8" t="s">
        <v>2077</v>
      </c>
      <c r="F134" s="8" t="s">
        <v>43</v>
      </c>
      <c r="G134" s="8"/>
      <c r="H134" s="8">
        <v>100</v>
      </c>
      <c r="I134" s="8" t="s">
        <v>2078</v>
      </c>
      <c r="J134" s="8">
        <v>1</v>
      </c>
      <c r="K134" s="8">
        <v>236</v>
      </c>
      <c r="L134" s="8">
        <v>235</v>
      </c>
      <c r="M134" s="8">
        <v>236</v>
      </c>
      <c r="N134" s="8">
        <v>413</v>
      </c>
      <c r="O134" s="8">
        <v>415</v>
      </c>
      <c r="P134" s="8">
        <v>413</v>
      </c>
      <c r="Q134" s="9" t="s">
        <v>132</v>
      </c>
      <c r="R134" s="16"/>
      <c r="S134" s="10">
        <v>23</v>
      </c>
      <c r="T134" s="10">
        <v>23</v>
      </c>
      <c r="U134" s="10">
        <v>23</v>
      </c>
      <c r="V134" s="11">
        <v>0</v>
      </c>
      <c r="W134" s="12" t="s">
        <v>47</v>
      </c>
      <c r="X134" s="17"/>
      <c r="Y134" s="13">
        <v>0</v>
      </c>
      <c r="Z134" s="13">
        <v>0</v>
      </c>
      <c r="AA134" s="13">
        <v>0</v>
      </c>
      <c r="AB134" s="14">
        <v>0</v>
      </c>
      <c r="AC134" s="9"/>
      <c r="AD134" s="16"/>
      <c r="AE134" s="10"/>
      <c r="AF134" s="10"/>
      <c r="AG134" s="10"/>
      <c r="AH134" s="11"/>
      <c r="AI134" s="12"/>
      <c r="AJ134" s="17"/>
      <c r="AK134" s="13"/>
      <c r="AL134" s="13"/>
      <c r="AM134" s="13"/>
      <c r="AN134" s="14"/>
      <c r="AO134" s="9"/>
      <c r="AP134" s="16"/>
      <c r="AQ134" s="10"/>
      <c r="AR134" s="10"/>
      <c r="AS134" s="10"/>
      <c r="AT134" s="11"/>
      <c r="AU134" s="12"/>
      <c r="AV134" s="17"/>
      <c r="AW134" s="13"/>
      <c r="AX134" s="13"/>
      <c r="AY134" s="13"/>
      <c r="AZ134" s="14"/>
      <c r="BA134" s="9"/>
      <c r="BB134" s="16"/>
      <c r="BC134" s="10"/>
      <c r="BD134" s="10"/>
      <c r="BE134" s="10"/>
      <c r="BF134" s="11"/>
      <c r="BG134" s="12"/>
      <c r="BH134" s="17"/>
      <c r="BI134" s="13"/>
      <c r="BJ134" s="13"/>
      <c r="BK134" s="13"/>
      <c r="BL134" s="14"/>
      <c r="BM134" s="9"/>
      <c r="BN134" s="16"/>
      <c r="BO134" s="10"/>
      <c r="BP134" s="10"/>
      <c r="BQ134" s="10"/>
      <c r="BR134" s="11"/>
      <c r="BS134" s="12"/>
      <c r="BT134" s="17"/>
      <c r="BU134" s="13"/>
      <c r="BV134" s="13"/>
      <c r="BW134" s="13"/>
      <c r="BX134" s="14"/>
      <c r="BY134" s="9"/>
      <c r="BZ134" s="16"/>
      <c r="CA134" s="10"/>
      <c r="CB134" s="10"/>
      <c r="CC134" s="10"/>
      <c r="CD134" s="11"/>
      <c r="CE134" s="12"/>
      <c r="CF134" s="17"/>
      <c r="CG134" s="13"/>
      <c r="CH134" s="13"/>
      <c r="CI134" s="13"/>
      <c r="CJ134" s="14"/>
      <c r="CK134" s="9"/>
      <c r="CL134" s="16"/>
      <c r="CM134" s="10"/>
      <c r="CN134" s="10"/>
      <c r="CO134" s="10"/>
      <c r="CP134" s="11"/>
      <c r="CQ134" s="12"/>
      <c r="CR134" s="17"/>
      <c r="CS134" s="13"/>
      <c r="CT134" s="13"/>
      <c r="CU134" s="13"/>
      <c r="CV134" s="14"/>
      <c r="CW134" s="9"/>
      <c r="CX134" s="16"/>
      <c r="CY134" s="10"/>
      <c r="CZ134" s="10"/>
      <c r="DA134" s="10"/>
      <c r="DB134" s="11"/>
      <c r="DC134" s="12"/>
      <c r="DD134" s="17"/>
      <c r="DE134" s="13"/>
      <c r="DF134" s="13"/>
      <c r="DG134" s="13"/>
      <c r="DH134" s="14"/>
      <c r="DI134" s="8">
        <f t="shared" si="36"/>
        <v>23</v>
      </c>
      <c r="DJ134" s="8">
        <f t="shared" si="37"/>
        <v>23</v>
      </c>
      <c r="DK134" s="8">
        <f t="shared" si="38"/>
        <v>23</v>
      </c>
      <c r="DL134" s="8">
        <f t="shared" si="39"/>
        <v>0</v>
      </c>
      <c r="DM134" s="8">
        <f t="shared" si="40"/>
        <v>23</v>
      </c>
      <c r="DN134" s="8">
        <f t="shared" si="41"/>
        <v>23</v>
      </c>
      <c r="DO134" s="15">
        <f t="shared" si="42"/>
        <v>16.452750621096762</v>
      </c>
      <c r="DP134" s="15" t="str">
        <f t="shared" si="43"/>
        <v>OK - No Upgrade</v>
      </c>
      <c r="DQ134" s="15" t="str">
        <f t="shared" si="44"/>
        <v>OK - Balanced</v>
      </c>
    </row>
    <row r="135" spans="1:121" ht="15.75" customHeight="1" x14ac:dyDescent="0.25">
      <c r="A135" s="8" t="s">
        <v>1459</v>
      </c>
      <c r="B135" s="8" t="s">
        <v>1713</v>
      </c>
      <c r="C135" s="8" t="s">
        <v>573</v>
      </c>
      <c r="D135" s="8" t="s">
        <v>2079</v>
      </c>
      <c r="E135" s="8" t="s">
        <v>2080</v>
      </c>
      <c r="F135" s="8" t="s">
        <v>56</v>
      </c>
      <c r="G135" s="8"/>
      <c r="H135" s="8">
        <v>1000</v>
      </c>
      <c r="I135" s="8" t="s">
        <v>2081</v>
      </c>
      <c r="J135" s="8">
        <v>1</v>
      </c>
      <c r="K135" s="8">
        <v>242</v>
      </c>
      <c r="L135" s="8">
        <v>242</v>
      </c>
      <c r="M135" s="8">
        <v>240</v>
      </c>
      <c r="N135" s="8">
        <v>421</v>
      </c>
      <c r="O135" s="8">
        <v>421</v>
      </c>
      <c r="P135" s="8">
        <v>420</v>
      </c>
      <c r="Q135" s="9"/>
      <c r="R135" s="16"/>
      <c r="S135" s="10"/>
      <c r="T135" s="10"/>
      <c r="U135" s="10"/>
      <c r="V135" s="11"/>
      <c r="W135" s="12"/>
      <c r="X135" s="17"/>
      <c r="Y135" s="13"/>
      <c r="Z135" s="13"/>
      <c r="AA135" s="13"/>
      <c r="AB135" s="14"/>
      <c r="AC135" s="9"/>
      <c r="AD135" s="16"/>
      <c r="AE135" s="10"/>
      <c r="AF135" s="10"/>
      <c r="AG135" s="10"/>
      <c r="AH135" s="11"/>
      <c r="AI135" s="12" t="s">
        <v>47</v>
      </c>
      <c r="AJ135" s="17"/>
      <c r="AK135" s="13">
        <v>60</v>
      </c>
      <c r="AL135" s="13">
        <v>50</v>
      </c>
      <c r="AM135" s="13">
        <v>50</v>
      </c>
      <c r="AN135" s="14">
        <v>18</v>
      </c>
      <c r="AO135" s="9" t="s">
        <v>47</v>
      </c>
      <c r="AP135" s="16"/>
      <c r="AQ135" s="10">
        <v>70</v>
      </c>
      <c r="AR135" s="10">
        <v>60</v>
      </c>
      <c r="AS135" s="10">
        <v>40</v>
      </c>
      <c r="AT135" s="11">
        <v>30</v>
      </c>
      <c r="AU135" s="12" t="s">
        <v>47</v>
      </c>
      <c r="AV135" s="17"/>
      <c r="AW135" s="13">
        <v>90</v>
      </c>
      <c r="AX135" s="13">
        <v>70</v>
      </c>
      <c r="AY135" s="13">
        <v>115</v>
      </c>
      <c r="AZ135" s="14">
        <v>70</v>
      </c>
      <c r="BA135" s="9" t="s">
        <v>47</v>
      </c>
      <c r="BB135" s="16"/>
      <c r="BC135" s="10">
        <v>70</v>
      </c>
      <c r="BD135" s="10">
        <v>40</v>
      </c>
      <c r="BE135" s="10">
        <v>90</v>
      </c>
      <c r="BF135" s="11">
        <v>30</v>
      </c>
      <c r="BG135" s="12" t="s">
        <v>47</v>
      </c>
      <c r="BH135" s="17"/>
      <c r="BI135" s="13">
        <v>247</v>
      </c>
      <c r="BJ135" s="13">
        <v>211</v>
      </c>
      <c r="BK135" s="13">
        <v>384</v>
      </c>
      <c r="BL135" s="14">
        <v>121</v>
      </c>
      <c r="BM135" s="9"/>
      <c r="BN135" s="16"/>
      <c r="BO135" s="10"/>
      <c r="BP135" s="10"/>
      <c r="BQ135" s="10"/>
      <c r="BR135" s="11"/>
      <c r="BS135" s="12"/>
      <c r="BT135" s="17"/>
      <c r="BU135" s="13"/>
      <c r="BV135" s="13"/>
      <c r="BW135" s="13"/>
      <c r="BX135" s="14"/>
      <c r="BY135" s="9"/>
      <c r="BZ135" s="16"/>
      <c r="CA135" s="10"/>
      <c r="CB135" s="10"/>
      <c r="CC135" s="10"/>
      <c r="CD135" s="11"/>
      <c r="CE135" s="12"/>
      <c r="CF135" s="17"/>
      <c r="CG135" s="13"/>
      <c r="CH135" s="13"/>
      <c r="CI135" s="13"/>
      <c r="CJ135" s="14"/>
      <c r="CK135" s="9"/>
      <c r="CL135" s="16"/>
      <c r="CM135" s="10"/>
      <c r="CN135" s="10"/>
      <c r="CO135" s="10"/>
      <c r="CP135" s="11"/>
      <c r="CQ135" s="12"/>
      <c r="CR135" s="17"/>
      <c r="CS135" s="13"/>
      <c r="CT135" s="13"/>
      <c r="CU135" s="13"/>
      <c r="CV135" s="14"/>
      <c r="CW135" s="9"/>
      <c r="CX135" s="16"/>
      <c r="CY135" s="10"/>
      <c r="CZ135" s="10"/>
      <c r="DA135" s="10"/>
      <c r="DB135" s="11"/>
      <c r="DC135" s="12"/>
      <c r="DD135" s="17"/>
      <c r="DE135" s="13"/>
      <c r="DF135" s="13"/>
      <c r="DG135" s="13"/>
      <c r="DH135" s="14"/>
      <c r="DI135" s="8">
        <f t="shared" si="36"/>
        <v>537</v>
      </c>
      <c r="DJ135" s="8">
        <f t="shared" si="37"/>
        <v>431</v>
      </c>
      <c r="DK135" s="8">
        <f t="shared" si="38"/>
        <v>679</v>
      </c>
      <c r="DL135" s="8">
        <f t="shared" si="39"/>
        <v>269</v>
      </c>
      <c r="DM135" s="8">
        <f t="shared" si="40"/>
        <v>679</v>
      </c>
      <c r="DN135" s="8">
        <f t="shared" si="41"/>
        <v>431</v>
      </c>
      <c r="DO135" s="15">
        <f t="shared" si="42"/>
        <v>49.51223118008317</v>
      </c>
      <c r="DP135" s="15" t="str">
        <f t="shared" si="43"/>
        <v>OK - No Upgrade</v>
      </c>
      <c r="DQ135" s="15" t="str">
        <f t="shared" si="44"/>
        <v>Need to Balance</v>
      </c>
    </row>
    <row r="136" spans="1:121" ht="15.75" customHeight="1" x14ac:dyDescent="0.25">
      <c r="A136" s="8" t="s">
        <v>1459</v>
      </c>
      <c r="B136" s="8" t="s">
        <v>1713</v>
      </c>
      <c r="C136" s="8" t="s">
        <v>573</v>
      </c>
      <c r="D136" s="8" t="s">
        <v>2082</v>
      </c>
      <c r="E136" s="8" t="s">
        <v>2083</v>
      </c>
      <c r="F136" s="8" t="s">
        <v>56</v>
      </c>
      <c r="G136" s="8"/>
      <c r="H136" s="8">
        <v>1000</v>
      </c>
      <c r="I136" s="8" t="s">
        <v>2084</v>
      </c>
      <c r="J136" s="8">
        <v>1</v>
      </c>
      <c r="K136" s="8">
        <v>240</v>
      </c>
      <c r="L136" s="8">
        <v>252</v>
      </c>
      <c r="M136" s="8">
        <v>252</v>
      </c>
      <c r="N136" s="8">
        <v>447</v>
      </c>
      <c r="O136" s="8">
        <v>445</v>
      </c>
      <c r="P136" s="8">
        <v>447</v>
      </c>
      <c r="Q136" s="9"/>
      <c r="R136" s="16"/>
      <c r="S136" s="10"/>
      <c r="T136" s="10"/>
      <c r="U136" s="10"/>
      <c r="V136" s="11"/>
      <c r="W136" s="12"/>
      <c r="X136" s="17"/>
      <c r="Y136" s="13"/>
      <c r="Z136" s="13"/>
      <c r="AA136" s="13"/>
      <c r="AB136" s="14"/>
      <c r="AC136" s="9"/>
      <c r="AD136" s="16"/>
      <c r="AE136" s="10"/>
      <c r="AF136" s="10"/>
      <c r="AG136" s="10"/>
      <c r="AH136" s="11"/>
      <c r="AI136" s="12"/>
      <c r="AJ136" s="17"/>
      <c r="AK136" s="13"/>
      <c r="AL136" s="13"/>
      <c r="AM136" s="13"/>
      <c r="AN136" s="14"/>
      <c r="AO136" s="9"/>
      <c r="AP136" s="16"/>
      <c r="AQ136" s="10"/>
      <c r="AR136" s="10"/>
      <c r="AS136" s="10"/>
      <c r="AT136" s="11"/>
      <c r="AU136" s="12"/>
      <c r="AV136" s="17"/>
      <c r="AW136" s="13"/>
      <c r="AX136" s="13"/>
      <c r="AY136" s="13"/>
      <c r="AZ136" s="14"/>
      <c r="BA136" s="9" t="s">
        <v>47</v>
      </c>
      <c r="BB136" s="16"/>
      <c r="BC136" s="10">
        <v>111</v>
      </c>
      <c r="BD136" s="10">
        <v>130</v>
      </c>
      <c r="BE136" s="10">
        <v>120</v>
      </c>
      <c r="BF136" s="11">
        <v>19</v>
      </c>
      <c r="BG136" s="12" t="s">
        <v>47</v>
      </c>
      <c r="BH136" s="17"/>
      <c r="BI136" s="13">
        <v>90</v>
      </c>
      <c r="BJ136" s="13">
        <v>40</v>
      </c>
      <c r="BK136" s="13">
        <v>60</v>
      </c>
      <c r="BL136" s="14">
        <v>35</v>
      </c>
      <c r="BM136" s="9"/>
      <c r="BN136" s="16"/>
      <c r="BO136" s="10"/>
      <c r="BP136" s="10"/>
      <c r="BQ136" s="10"/>
      <c r="BR136" s="11"/>
      <c r="BS136" s="12"/>
      <c r="BT136" s="17"/>
      <c r="BU136" s="13"/>
      <c r="BV136" s="13"/>
      <c r="BW136" s="13"/>
      <c r="BX136" s="14"/>
      <c r="BY136" s="9"/>
      <c r="BZ136" s="16"/>
      <c r="CA136" s="10"/>
      <c r="CB136" s="10"/>
      <c r="CC136" s="10"/>
      <c r="CD136" s="11"/>
      <c r="CE136" s="12"/>
      <c r="CF136" s="17"/>
      <c r="CG136" s="13"/>
      <c r="CH136" s="13"/>
      <c r="CI136" s="13"/>
      <c r="CJ136" s="14"/>
      <c r="CK136" s="9"/>
      <c r="CL136" s="16"/>
      <c r="CM136" s="10"/>
      <c r="CN136" s="10"/>
      <c r="CO136" s="10"/>
      <c r="CP136" s="11"/>
      <c r="CQ136" s="12"/>
      <c r="CR136" s="17"/>
      <c r="CS136" s="13"/>
      <c r="CT136" s="13"/>
      <c r="CU136" s="13"/>
      <c r="CV136" s="14"/>
      <c r="CW136" s="9"/>
      <c r="CX136" s="16"/>
      <c r="CY136" s="10"/>
      <c r="CZ136" s="10"/>
      <c r="DA136" s="10"/>
      <c r="DB136" s="11"/>
      <c r="DC136" s="12"/>
      <c r="DD136" s="17"/>
      <c r="DE136" s="13"/>
      <c r="DF136" s="13"/>
      <c r="DG136" s="13"/>
      <c r="DH136" s="14"/>
      <c r="DI136" s="8">
        <f t="shared" si="36"/>
        <v>201</v>
      </c>
      <c r="DJ136" s="8">
        <f t="shared" si="37"/>
        <v>170</v>
      </c>
      <c r="DK136" s="8">
        <f t="shared" si="38"/>
        <v>180</v>
      </c>
      <c r="DL136" s="8">
        <f t="shared" si="39"/>
        <v>54</v>
      </c>
      <c r="DM136" s="8">
        <f t="shared" si="40"/>
        <v>201</v>
      </c>
      <c r="DN136" s="8">
        <f t="shared" si="41"/>
        <v>170</v>
      </c>
      <c r="DO136" s="15">
        <f t="shared" si="42"/>
        <v>15.561956890764089</v>
      </c>
      <c r="DP136" s="15" t="str">
        <f t="shared" si="43"/>
        <v>OK - No Upgrade</v>
      </c>
      <c r="DQ136" s="15" t="str">
        <f t="shared" si="44"/>
        <v>OK - Balanced</v>
      </c>
    </row>
    <row r="137" spans="1:121" ht="15.75" customHeight="1" x14ac:dyDescent="0.25">
      <c r="A137" s="8" t="s">
        <v>1459</v>
      </c>
      <c r="B137" s="8" t="s">
        <v>1713</v>
      </c>
      <c r="C137" s="8" t="s">
        <v>573</v>
      </c>
      <c r="D137" s="8" t="s">
        <v>2085</v>
      </c>
      <c r="E137" s="8" t="s">
        <v>2086</v>
      </c>
      <c r="F137" s="8" t="s">
        <v>56</v>
      </c>
      <c r="G137" s="8"/>
      <c r="H137" s="8">
        <v>1000</v>
      </c>
      <c r="I137" s="8" t="s">
        <v>2087</v>
      </c>
      <c r="J137" s="8">
        <v>1</v>
      </c>
      <c r="K137" s="8">
        <v>244</v>
      </c>
      <c r="L137" s="8">
        <v>245</v>
      </c>
      <c r="M137" s="8">
        <v>243</v>
      </c>
      <c r="N137" s="8">
        <v>425</v>
      </c>
      <c r="O137" s="8">
        <v>426</v>
      </c>
      <c r="P137" s="8">
        <v>424</v>
      </c>
      <c r="Q137" s="9"/>
      <c r="R137" s="16"/>
      <c r="S137" s="10"/>
      <c r="T137" s="10"/>
      <c r="U137" s="10"/>
      <c r="V137" s="11"/>
      <c r="W137" s="12"/>
      <c r="X137" s="17"/>
      <c r="Y137" s="13"/>
      <c r="Z137" s="13"/>
      <c r="AA137" s="13"/>
      <c r="AB137" s="14"/>
      <c r="AC137" s="9" t="s">
        <v>47</v>
      </c>
      <c r="AD137" s="16"/>
      <c r="AE137" s="10">
        <v>55</v>
      </c>
      <c r="AF137" s="10">
        <v>33</v>
      </c>
      <c r="AG137" s="10">
        <v>27</v>
      </c>
      <c r="AH137" s="11">
        <v>23</v>
      </c>
      <c r="AI137" s="12" t="s">
        <v>47</v>
      </c>
      <c r="AJ137" s="17"/>
      <c r="AK137" s="13">
        <v>80</v>
      </c>
      <c r="AL137" s="13">
        <v>70</v>
      </c>
      <c r="AM137" s="13">
        <v>90</v>
      </c>
      <c r="AN137" s="14">
        <v>12</v>
      </c>
      <c r="AO137" s="9" t="s">
        <v>47</v>
      </c>
      <c r="AP137" s="16"/>
      <c r="AQ137" s="10">
        <v>112</v>
      </c>
      <c r="AR137" s="10">
        <v>70</v>
      </c>
      <c r="AS137" s="10">
        <v>126</v>
      </c>
      <c r="AT137" s="11">
        <v>46</v>
      </c>
      <c r="AU137" s="12" t="s">
        <v>47</v>
      </c>
      <c r="AV137" s="17"/>
      <c r="AW137" s="13">
        <v>40</v>
      </c>
      <c r="AX137" s="13">
        <v>35</v>
      </c>
      <c r="AY137" s="13">
        <v>40</v>
      </c>
      <c r="AZ137" s="14">
        <v>12</v>
      </c>
      <c r="BA137" s="9" t="s">
        <v>47</v>
      </c>
      <c r="BB137" s="16"/>
      <c r="BC137" s="10">
        <v>6</v>
      </c>
      <c r="BD137" s="10">
        <v>8</v>
      </c>
      <c r="BE137" s="10">
        <v>2</v>
      </c>
      <c r="BF137" s="11">
        <v>2</v>
      </c>
      <c r="BG137" s="12" t="s">
        <v>47</v>
      </c>
      <c r="BH137" s="17"/>
      <c r="BI137" s="13">
        <v>60</v>
      </c>
      <c r="BJ137" s="13">
        <v>40</v>
      </c>
      <c r="BK137" s="13">
        <v>50</v>
      </c>
      <c r="BL137" s="14">
        <v>11</v>
      </c>
      <c r="BM137" s="9"/>
      <c r="BN137" s="16"/>
      <c r="BO137" s="10"/>
      <c r="BP137" s="10"/>
      <c r="BQ137" s="10"/>
      <c r="BR137" s="11"/>
      <c r="BS137" s="12"/>
      <c r="BT137" s="17"/>
      <c r="BU137" s="13"/>
      <c r="BV137" s="13"/>
      <c r="BW137" s="13"/>
      <c r="BX137" s="14"/>
      <c r="BY137" s="9"/>
      <c r="BZ137" s="16"/>
      <c r="CA137" s="10"/>
      <c r="CB137" s="10"/>
      <c r="CC137" s="10"/>
      <c r="CD137" s="11"/>
      <c r="CE137" s="12"/>
      <c r="CF137" s="17"/>
      <c r="CG137" s="13"/>
      <c r="CH137" s="13"/>
      <c r="CI137" s="13"/>
      <c r="CJ137" s="14"/>
      <c r="CK137" s="9"/>
      <c r="CL137" s="16"/>
      <c r="CM137" s="10"/>
      <c r="CN137" s="10"/>
      <c r="CO137" s="10"/>
      <c r="CP137" s="11"/>
      <c r="CQ137" s="12"/>
      <c r="CR137" s="17"/>
      <c r="CS137" s="13"/>
      <c r="CT137" s="13"/>
      <c r="CU137" s="13"/>
      <c r="CV137" s="14"/>
      <c r="CW137" s="9"/>
      <c r="CX137" s="16"/>
      <c r="CY137" s="10"/>
      <c r="CZ137" s="10"/>
      <c r="DA137" s="10"/>
      <c r="DB137" s="11"/>
      <c r="DC137" s="12"/>
      <c r="DD137" s="17"/>
      <c r="DE137" s="13"/>
      <c r="DF137" s="13"/>
      <c r="DG137" s="13"/>
      <c r="DH137" s="14"/>
      <c r="DI137" s="8">
        <f t="shared" si="36"/>
        <v>353</v>
      </c>
      <c r="DJ137" s="8">
        <f t="shared" si="37"/>
        <v>256</v>
      </c>
      <c r="DK137" s="8">
        <f t="shared" si="38"/>
        <v>335</v>
      </c>
      <c r="DL137" s="8">
        <f t="shared" si="39"/>
        <v>106</v>
      </c>
      <c r="DM137" s="8">
        <f t="shared" si="40"/>
        <v>353</v>
      </c>
      <c r="DN137" s="8">
        <f t="shared" si="41"/>
        <v>256</v>
      </c>
      <c r="DO137" s="15">
        <f t="shared" si="42"/>
        <v>25.985092240552081</v>
      </c>
      <c r="DP137" s="15" t="str">
        <f t="shared" si="43"/>
        <v>OK - No Upgrade</v>
      </c>
      <c r="DQ137" s="15" t="str">
        <f t="shared" si="44"/>
        <v>Need to Balance</v>
      </c>
    </row>
    <row r="138" spans="1:121" ht="15.75" customHeight="1" x14ac:dyDescent="0.25">
      <c r="A138" s="8" t="s">
        <v>1459</v>
      </c>
      <c r="B138" s="8" t="s">
        <v>1713</v>
      </c>
      <c r="C138" s="8" t="s">
        <v>573</v>
      </c>
      <c r="D138" s="8" t="s">
        <v>2088</v>
      </c>
      <c r="E138" s="8" t="s">
        <v>2089</v>
      </c>
      <c r="F138" s="8" t="s">
        <v>43</v>
      </c>
      <c r="G138" s="8"/>
      <c r="H138" s="8">
        <v>100</v>
      </c>
      <c r="I138" s="8" t="s">
        <v>2090</v>
      </c>
      <c r="J138" s="8">
        <v>1</v>
      </c>
      <c r="K138" s="8">
        <v>246</v>
      </c>
      <c r="L138" s="8">
        <v>246</v>
      </c>
      <c r="M138" s="8">
        <v>245</v>
      </c>
      <c r="N138" s="8">
        <v>425</v>
      </c>
      <c r="O138" s="8">
        <v>425</v>
      </c>
      <c r="P138" s="8">
        <v>424</v>
      </c>
      <c r="Q138" s="9" t="s">
        <v>47</v>
      </c>
      <c r="R138" s="16"/>
      <c r="S138" s="10">
        <v>4</v>
      </c>
      <c r="T138" s="10">
        <v>0</v>
      </c>
      <c r="U138" s="10">
        <v>2</v>
      </c>
      <c r="V138" s="11">
        <v>1</v>
      </c>
      <c r="W138" s="12"/>
      <c r="X138" s="17"/>
      <c r="Y138" s="13"/>
      <c r="Z138" s="13"/>
      <c r="AA138" s="13"/>
      <c r="AB138" s="14"/>
      <c r="AC138" s="9"/>
      <c r="AD138" s="16"/>
      <c r="AE138" s="10"/>
      <c r="AF138" s="10"/>
      <c r="AG138" s="10"/>
      <c r="AH138" s="11"/>
      <c r="AI138" s="12"/>
      <c r="AJ138" s="17"/>
      <c r="AK138" s="13"/>
      <c r="AL138" s="13"/>
      <c r="AM138" s="13"/>
      <c r="AN138" s="14"/>
      <c r="AO138" s="9"/>
      <c r="AP138" s="16"/>
      <c r="AQ138" s="10"/>
      <c r="AR138" s="10"/>
      <c r="AS138" s="10"/>
      <c r="AT138" s="11"/>
      <c r="AU138" s="12"/>
      <c r="AV138" s="17"/>
      <c r="AW138" s="13"/>
      <c r="AX138" s="13"/>
      <c r="AY138" s="13"/>
      <c r="AZ138" s="14"/>
      <c r="BA138" s="9"/>
      <c r="BB138" s="16"/>
      <c r="BC138" s="10"/>
      <c r="BD138" s="10"/>
      <c r="BE138" s="10"/>
      <c r="BF138" s="11"/>
      <c r="BG138" s="12"/>
      <c r="BH138" s="17"/>
      <c r="BI138" s="13"/>
      <c r="BJ138" s="13"/>
      <c r="BK138" s="13"/>
      <c r="BL138" s="14"/>
      <c r="BM138" s="9"/>
      <c r="BN138" s="16"/>
      <c r="BO138" s="10"/>
      <c r="BP138" s="10"/>
      <c r="BQ138" s="10"/>
      <c r="BR138" s="11"/>
      <c r="BS138" s="12"/>
      <c r="BT138" s="17"/>
      <c r="BU138" s="13"/>
      <c r="BV138" s="13"/>
      <c r="BW138" s="13"/>
      <c r="BX138" s="14"/>
      <c r="BY138" s="9"/>
      <c r="BZ138" s="16"/>
      <c r="CA138" s="10"/>
      <c r="CB138" s="10"/>
      <c r="CC138" s="10"/>
      <c r="CD138" s="11"/>
      <c r="CE138" s="12"/>
      <c r="CF138" s="17"/>
      <c r="CG138" s="13"/>
      <c r="CH138" s="13"/>
      <c r="CI138" s="13"/>
      <c r="CJ138" s="14"/>
      <c r="CK138" s="9"/>
      <c r="CL138" s="16"/>
      <c r="CM138" s="10"/>
      <c r="CN138" s="10"/>
      <c r="CO138" s="10"/>
      <c r="CP138" s="11"/>
      <c r="CQ138" s="12"/>
      <c r="CR138" s="17"/>
      <c r="CS138" s="13"/>
      <c r="CT138" s="13"/>
      <c r="CU138" s="13"/>
      <c r="CV138" s="14"/>
      <c r="CW138" s="9"/>
      <c r="CX138" s="16"/>
      <c r="CY138" s="10"/>
      <c r="CZ138" s="10"/>
      <c r="DA138" s="10"/>
      <c r="DB138" s="11"/>
      <c r="DC138" s="12"/>
      <c r="DD138" s="17"/>
      <c r="DE138" s="13"/>
      <c r="DF138" s="13"/>
      <c r="DG138" s="13"/>
      <c r="DH138" s="14"/>
      <c r="DI138" s="8">
        <f t="shared" si="36"/>
        <v>4</v>
      </c>
      <c r="DJ138" s="8">
        <f t="shared" si="37"/>
        <v>0</v>
      </c>
      <c r="DK138" s="8">
        <f t="shared" si="38"/>
        <v>2</v>
      </c>
      <c r="DL138" s="8">
        <f t="shared" si="39"/>
        <v>1</v>
      </c>
      <c r="DM138" s="8">
        <f t="shared" si="40"/>
        <v>4</v>
      </c>
      <c r="DN138" s="8">
        <f t="shared" si="41"/>
        <v>0</v>
      </c>
      <c r="DO138" s="15">
        <f t="shared" si="42"/>
        <v>2.9444863728670914</v>
      </c>
      <c r="DP138" s="15" t="str">
        <f t="shared" si="43"/>
        <v>OK - No Upgrade</v>
      </c>
      <c r="DQ138" s="15" t="str">
        <f t="shared" si="44"/>
        <v>Need to Balance</v>
      </c>
    </row>
    <row r="139" spans="1:121" ht="15.75" customHeight="1" x14ac:dyDescent="0.25">
      <c r="A139" s="8" t="s">
        <v>1459</v>
      </c>
      <c r="B139" s="8" t="s">
        <v>1713</v>
      </c>
      <c r="C139" s="8" t="s">
        <v>573</v>
      </c>
      <c r="D139" s="8" t="s">
        <v>2091</v>
      </c>
      <c r="E139" s="8" t="s">
        <v>2092</v>
      </c>
      <c r="F139" s="8" t="s">
        <v>43</v>
      </c>
      <c r="G139" s="8"/>
      <c r="H139" s="8">
        <v>100</v>
      </c>
      <c r="I139" s="8" t="s">
        <v>2093</v>
      </c>
      <c r="J139" s="8">
        <v>1</v>
      </c>
      <c r="K139" s="8">
        <v>245</v>
      </c>
      <c r="L139" s="8">
        <v>246</v>
      </c>
      <c r="M139" s="8">
        <v>245</v>
      </c>
      <c r="N139" s="8">
        <v>425</v>
      </c>
      <c r="O139" s="8">
        <v>424</v>
      </c>
      <c r="P139" s="8">
        <v>425</v>
      </c>
      <c r="Q139" s="9" t="s">
        <v>47</v>
      </c>
      <c r="R139" s="16"/>
      <c r="S139" s="10">
        <v>4</v>
      </c>
      <c r="T139" s="10">
        <v>6</v>
      </c>
      <c r="U139" s="10">
        <v>4</v>
      </c>
      <c r="V139" s="11">
        <v>3</v>
      </c>
      <c r="W139" s="12" t="s">
        <v>47</v>
      </c>
      <c r="X139" s="17"/>
      <c r="Y139" s="13">
        <v>0</v>
      </c>
      <c r="Z139" s="13">
        <v>0</v>
      </c>
      <c r="AA139" s="13">
        <v>0</v>
      </c>
      <c r="AB139" s="14">
        <v>0</v>
      </c>
      <c r="AC139" s="9"/>
      <c r="AD139" s="16"/>
      <c r="AE139" s="10"/>
      <c r="AF139" s="10"/>
      <c r="AG139" s="10"/>
      <c r="AH139" s="11"/>
      <c r="AI139" s="12"/>
      <c r="AJ139" s="17"/>
      <c r="AK139" s="13"/>
      <c r="AL139" s="13"/>
      <c r="AM139" s="13"/>
      <c r="AN139" s="14"/>
      <c r="AO139" s="9"/>
      <c r="AP139" s="16"/>
      <c r="AQ139" s="10"/>
      <c r="AR139" s="10"/>
      <c r="AS139" s="10"/>
      <c r="AT139" s="11"/>
      <c r="AU139" s="12"/>
      <c r="AV139" s="17"/>
      <c r="AW139" s="13"/>
      <c r="AX139" s="13"/>
      <c r="AY139" s="13"/>
      <c r="AZ139" s="14"/>
      <c r="BA139" s="9"/>
      <c r="BB139" s="16"/>
      <c r="BC139" s="10"/>
      <c r="BD139" s="10"/>
      <c r="BE139" s="10"/>
      <c r="BF139" s="11"/>
      <c r="BG139" s="12"/>
      <c r="BH139" s="17"/>
      <c r="BI139" s="13"/>
      <c r="BJ139" s="13"/>
      <c r="BK139" s="13"/>
      <c r="BL139" s="14"/>
      <c r="BM139" s="9"/>
      <c r="BN139" s="16"/>
      <c r="BO139" s="10"/>
      <c r="BP139" s="10"/>
      <c r="BQ139" s="10"/>
      <c r="BR139" s="11"/>
      <c r="BS139" s="12"/>
      <c r="BT139" s="17"/>
      <c r="BU139" s="13"/>
      <c r="BV139" s="13"/>
      <c r="BW139" s="13"/>
      <c r="BX139" s="14"/>
      <c r="BY139" s="9"/>
      <c r="BZ139" s="16"/>
      <c r="CA139" s="10"/>
      <c r="CB139" s="10"/>
      <c r="CC139" s="10"/>
      <c r="CD139" s="11"/>
      <c r="CE139" s="12"/>
      <c r="CF139" s="17"/>
      <c r="CG139" s="13"/>
      <c r="CH139" s="13"/>
      <c r="CI139" s="13"/>
      <c r="CJ139" s="14"/>
      <c r="CK139" s="9"/>
      <c r="CL139" s="16"/>
      <c r="CM139" s="10"/>
      <c r="CN139" s="10"/>
      <c r="CO139" s="10"/>
      <c r="CP139" s="11"/>
      <c r="CQ139" s="12"/>
      <c r="CR139" s="17"/>
      <c r="CS139" s="13"/>
      <c r="CT139" s="13"/>
      <c r="CU139" s="13"/>
      <c r="CV139" s="14"/>
      <c r="CW139" s="9"/>
      <c r="CX139" s="16"/>
      <c r="CY139" s="10"/>
      <c r="CZ139" s="10"/>
      <c r="DA139" s="10"/>
      <c r="DB139" s="11"/>
      <c r="DC139" s="12"/>
      <c r="DD139" s="17"/>
      <c r="DE139" s="13"/>
      <c r="DF139" s="13"/>
      <c r="DG139" s="13"/>
      <c r="DH139" s="14"/>
      <c r="DI139" s="8">
        <f t="shared" si="36"/>
        <v>4</v>
      </c>
      <c r="DJ139" s="8">
        <f t="shared" si="37"/>
        <v>6</v>
      </c>
      <c r="DK139" s="8">
        <f t="shared" si="38"/>
        <v>4</v>
      </c>
      <c r="DL139" s="8">
        <f t="shared" si="39"/>
        <v>3</v>
      </c>
      <c r="DM139" s="8">
        <f t="shared" si="40"/>
        <v>6</v>
      </c>
      <c r="DN139" s="8">
        <f t="shared" si="41"/>
        <v>4</v>
      </c>
      <c r="DO139" s="15">
        <f t="shared" si="42"/>
        <v>4.4167295593006379</v>
      </c>
      <c r="DP139" s="15" t="str">
        <f t="shared" si="43"/>
        <v>OK - No Upgrade</v>
      </c>
      <c r="DQ139" s="15" t="str">
        <f t="shared" si="44"/>
        <v>Need to Balance</v>
      </c>
    </row>
    <row r="140" spans="1:121" ht="15.75" customHeight="1" x14ac:dyDescent="0.25">
      <c r="A140" s="8" t="s">
        <v>1459</v>
      </c>
      <c r="B140" s="8" t="s">
        <v>1713</v>
      </c>
      <c r="C140" s="8" t="s">
        <v>573</v>
      </c>
      <c r="D140" s="8" t="s">
        <v>2091</v>
      </c>
      <c r="E140" s="8" t="s">
        <v>2094</v>
      </c>
      <c r="F140" s="8" t="s">
        <v>43</v>
      </c>
      <c r="G140" s="8"/>
      <c r="H140" s="8">
        <v>100</v>
      </c>
      <c r="I140" s="8" t="s">
        <v>2095</v>
      </c>
      <c r="J140" s="8">
        <v>1</v>
      </c>
      <c r="K140" s="8">
        <v>246</v>
      </c>
      <c r="L140" s="8">
        <v>246</v>
      </c>
      <c r="M140" s="8">
        <v>245</v>
      </c>
      <c r="N140" s="8">
        <v>426</v>
      </c>
      <c r="O140" s="8">
        <v>125</v>
      </c>
      <c r="P140" s="8">
        <v>426</v>
      </c>
      <c r="Q140" s="9" t="s">
        <v>47</v>
      </c>
      <c r="R140" s="16"/>
      <c r="S140" s="10">
        <v>8</v>
      </c>
      <c r="T140" s="10">
        <v>12</v>
      </c>
      <c r="U140" s="10">
        <v>10</v>
      </c>
      <c r="V140" s="11">
        <v>6</v>
      </c>
      <c r="W140" s="12" t="s">
        <v>47</v>
      </c>
      <c r="X140" s="17"/>
      <c r="Y140" s="13">
        <v>10</v>
      </c>
      <c r="Z140" s="13">
        <v>8</v>
      </c>
      <c r="AA140" s="13">
        <v>5</v>
      </c>
      <c r="AB140" s="14">
        <v>3</v>
      </c>
      <c r="AC140" s="9"/>
      <c r="AD140" s="16"/>
      <c r="AE140" s="10"/>
      <c r="AF140" s="10"/>
      <c r="AG140" s="10"/>
      <c r="AH140" s="11"/>
      <c r="AI140" s="12"/>
      <c r="AJ140" s="17"/>
      <c r="AK140" s="13"/>
      <c r="AL140" s="13"/>
      <c r="AM140" s="13"/>
      <c r="AN140" s="14"/>
      <c r="AO140" s="9"/>
      <c r="AP140" s="16"/>
      <c r="AQ140" s="10"/>
      <c r="AR140" s="10"/>
      <c r="AS140" s="10"/>
      <c r="AT140" s="11"/>
      <c r="AU140" s="12"/>
      <c r="AV140" s="17"/>
      <c r="AW140" s="13"/>
      <c r="AX140" s="13"/>
      <c r="AY140" s="13"/>
      <c r="AZ140" s="14"/>
      <c r="BA140" s="9"/>
      <c r="BB140" s="16"/>
      <c r="BC140" s="10"/>
      <c r="BD140" s="10"/>
      <c r="BE140" s="10"/>
      <c r="BF140" s="11"/>
      <c r="BG140" s="12"/>
      <c r="BH140" s="17"/>
      <c r="BI140" s="13"/>
      <c r="BJ140" s="13"/>
      <c r="BK140" s="13"/>
      <c r="BL140" s="14"/>
      <c r="BM140" s="9"/>
      <c r="BN140" s="16"/>
      <c r="BO140" s="10"/>
      <c r="BP140" s="10"/>
      <c r="BQ140" s="10"/>
      <c r="BR140" s="11"/>
      <c r="BS140" s="12"/>
      <c r="BT140" s="17"/>
      <c r="BU140" s="13"/>
      <c r="BV140" s="13"/>
      <c r="BW140" s="13"/>
      <c r="BX140" s="14"/>
      <c r="BY140" s="9"/>
      <c r="BZ140" s="16"/>
      <c r="CA140" s="10"/>
      <c r="CB140" s="10"/>
      <c r="CC140" s="10"/>
      <c r="CD140" s="11"/>
      <c r="CE140" s="12"/>
      <c r="CF140" s="17"/>
      <c r="CG140" s="13"/>
      <c r="CH140" s="13"/>
      <c r="CI140" s="13"/>
      <c r="CJ140" s="14"/>
      <c r="CK140" s="9"/>
      <c r="CL140" s="16"/>
      <c r="CM140" s="10"/>
      <c r="CN140" s="10"/>
      <c r="CO140" s="10"/>
      <c r="CP140" s="11"/>
      <c r="CQ140" s="12"/>
      <c r="CR140" s="17"/>
      <c r="CS140" s="13"/>
      <c r="CT140" s="13"/>
      <c r="CU140" s="13"/>
      <c r="CV140" s="14"/>
      <c r="CW140" s="9"/>
      <c r="CX140" s="16"/>
      <c r="CY140" s="10"/>
      <c r="CZ140" s="10"/>
      <c r="DA140" s="10"/>
      <c r="DB140" s="11"/>
      <c r="DC140" s="12"/>
      <c r="DD140" s="17"/>
      <c r="DE140" s="13"/>
      <c r="DF140" s="13"/>
      <c r="DG140" s="13"/>
      <c r="DH140" s="14"/>
      <c r="DI140" s="8">
        <f t="shared" si="36"/>
        <v>18</v>
      </c>
      <c r="DJ140" s="8">
        <f t="shared" si="37"/>
        <v>20</v>
      </c>
      <c r="DK140" s="8">
        <f t="shared" si="38"/>
        <v>15</v>
      </c>
      <c r="DL140" s="8">
        <f t="shared" si="39"/>
        <v>9</v>
      </c>
      <c r="DM140" s="8">
        <f t="shared" si="40"/>
        <v>20</v>
      </c>
      <c r="DN140" s="8">
        <f t="shared" si="41"/>
        <v>15</v>
      </c>
      <c r="DO140" s="15">
        <f t="shared" si="42"/>
        <v>14.757072880486833</v>
      </c>
      <c r="DP140" s="15" t="str">
        <f t="shared" si="43"/>
        <v>OK - No Upgrade</v>
      </c>
      <c r="DQ140" s="15" t="str">
        <f t="shared" si="44"/>
        <v>Need to Balance</v>
      </c>
    </row>
    <row r="141" spans="1:121" ht="15.75" customHeight="1" x14ac:dyDescent="0.25">
      <c r="A141" s="8" t="s">
        <v>1459</v>
      </c>
      <c r="B141" s="8" t="s">
        <v>1713</v>
      </c>
      <c r="C141" s="8" t="s">
        <v>573</v>
      </c>
      <c r="D141" s="8" t="s">
        <v>2091</v>
      </c>
      <c r="E141" s="8" t="s">
        <v>2096</v>
      </c>
      <c r="F141" s="8" t="s">
        <v>43</v>
      </c>
      <c r="G141" s="8"/>
      <c r="H141" s="8">
        <v>100</v>
      </c>
      <c r="I141" s="8" t="s">
        <v>2097</v>
      </c>
      <c r="J141" s="8">
        <v>1</v>
      </c>
      <c r="K141" s="8">
        <v>243</v>
      </c>
      <c r="L141" s="8">
        <v>244</v>
      </c>
      <c r="M141" s="8">
        <v>246</v>
      </c>
      <c r="N141" s="8">
        <v>426</v>
      </c>
      <c r="O141" s="8">
        <v>424</v>
      </c>
      <c r="P141" s="8">
        <v>427</v>
      </c>
      <c r="Q141" s="9" t="s">
        <v>47</v>
      </c>
      <c r="R141" s="16"/>
      <c r="S141" s="10">
        <v>50</v>
      </c>
      <c r="T141" s="10">
        <v>31</v>
      </c>
      <c r="U141" s="10">
        <v>31</v>
      </c>
      <c r="V141" s="11">
        <v>8</v>
      </c>
      <c r="W141" s="12" t="s">
        <v>47</v>
      </c>
      <c r="X141" s="17"/>
      <c r="Y141" s="13">
        <v>11</v>
      </c>
      <c r="Z141" s="13">
        <v>0</v>
      </c>
      <c r="AA141" s="13">
        <v>8</v>
      </c>
      <c r="AB141" s="14">
        <v>9</v>
      </c>
      <c r="AC141" s="9"/>
      <c r="AD141" s="16"/>
      <c r="AE141" s="10"/>
      <c r="AF141" s="10"/>
      <c r="AG141" s="10"/>
      <c r="AH141" s="11"/>
      <c r="AI141" s="12"/>
      <c r="AJ141" s="17"/>
      <c r="AK141" s="13"/>
      <c r="AL141" s="13"/>
      <c r="AM141" s="13"/>
      <c r="AN141" s="14"/>
      <c r="AO141" s="9"/>
      <c r="AP141" s="16"/>
      <c r="AQ141" s="10"/>
      <c r="AR141" s="10"/>
      <c r="AS141" s="10"/>
      <c r="AT141" s="11"/>
      <c r="AU141" s="12"/>
      <c r="AV141" s="17"/>
      <c r="AW141" s="13"/>
      <c r="AX141" s="13"/>
      <c r="AY141" s="13"/>
      <c r="AZ141" s="14"/>
      <c r="BA141" s="9"/>
      <c r="BB141" s="16"/>
      <c r="BC141" s="10"/>
      <c r="BD141" s="10"/>
      <c r="BE141" s="10"/>
      <c r="BF141" s="11"/>
      <c r="BG141" s="12"/>
      <c r="BH141" s="17"/>
      <c r="BI141" s="13"/>
      <c r="BJ141" s="13"/>
      <c r="BK141" s="13"/>
      <c r="BL141" s="14"/>
      <c r="BM141" s="9"/>
      <c r="BN141" s="16"/>
      <c r="BO141" s="10"/>
      <c r="BP141" s="10"/>
      <c r="BQ141" s="10"/>
      <c r="BR141" s="11"/>
      <c r="BS141" s="12"/>
      <c r="BT141" s="17"/>
      <c r="BU141" s="13"/>
      <c r="BV141" s="13"/>
      <c r="BW141" s="13"/>
      <c r="BX141" s="14"/>
      <c r="BY141" s="9"/>
      <c r="BZ141" s="16"/>
      <c r="CA141" s="10"/>
      <c r="CB141" s="10"/>
      <c r="CC141" s="10"/>
      <c r="CD141" s="11"/>
      <c r="CE141" s="12"/>
      <c r="CF141" s="17"/>
      <c r="CG141" s="13"/>
      <c r="CH141" s="13"/>
      <c r="CI141" s="13"/>
      <c r="CJ141" s="14"/>
      <c r="CK141" s="9"/>
      <c r="CL141" s="16"/>
      <c r="CM141" s="10"/>
      <c r="CN141" s="10"/>
      <c r="CO141" s="10"/>
      <c r="CP141" s="11"/>
      <c r="CQ141" s="12"/>
      <c r="CR141" s="17"/>
      <c r="CS141" s="13"/>
      <c r="CT141" s="13"/>
      <c r="CU141" s="13"/>
      <c r="CV141" s="14"/>
      <c r="CW141" s="9"/>
      <c r="CX141" s="16"/>
      <c r="CY141" s="10"/>
      <c r="CZ141" s="10"/>
      <c r="DA141" s="10"/>
      <c r="DB141" s="11"/>
      <c r="DC141" s="12"/>
      <c r="DD141" s="17"/>
      <c r="DE141" s="13"/>
      <c r="DF141" s="13"/>
      <c r="DG141" s="13"/>
      <c r="DH141" s="14"/>
      <c r="DI141" s="8">
        <f t="shared" si="36"/>
        <v>61</v>
      </c>
      <c r="DJ141" s="8">
        <f t="shared" si="37"/>
        <v>31</v>
      </c>
      <c r="DK141" s="8">
        <f t="shared" si="38"/>
        <v>39</v>
      </c>
      <c r="DL141" s="8">
        <f t="shared" si="39"/>
        <v>17</v>
      </c>
      <c r="DM141" s="8">
        <f t="shared" si="40"/>
        <v>61</v>
      </c>
      <c r="DN141" s="8">
        <f t="shared" si="41"/>
        <v>31</v>
      </c>
      <c r="DO141" s="15">
        <f t="shared" si="42"/>
        <v>45.009072285484841</v>
      </c>
      <c r="DP141" s="15" t="str">
        <f t="shared" si="43"/>
        <v>OK - No Upgrade</v>
      </c>
      <c r="DQ141" s="15" t="str">
        <f t="shared" si="44"/>
        <v>Need to Balance</v>
      </c>
    </row>
    <row r="142" spans="1:121" ht="15.75" customHeight="1" x14ac:dyDescent="0.25">
      <c r="A142" s="8" t="s">
        <v>1459</v>
      </c>
      <c r="B142" s="8" t="s">
        <v>1713</v>
      </c>
      <c r="C142" s="8" t="s">
        <v>512</v>
      </c>
      <c r="D142" s="8" t="s">
        <v>2098</v>
      </c>
      <c r="E142" s="8" t="s">
        <v>2099</v>
      </c>
      <c r="F142" s="8" t="s">
        <v>43</v>
      </c>
      <c r="G142" s="8"/>
      <c r="H142" s="8">
        <v>315</v>
      </c>
      <c r="I142" s="8" t="s">
        <v>2100</v>
      </c>
      <c r="J142" s="8">
        <v>1</v>
      </c>
      <c r="K142" s="8">
        <v>241</v>
      </c>
      <c r="L142" s="8">
        <v>240</v>
      </c>
      <c r="M142" s="8">
        <v>240</v>
      </c>
      <c r="N142" s="8">
        <v>417</v>
      </c>
      <c r="O142" s="8">
        <v>415</v>
      </c>
      <c r="P142" s="8">
        <v>416</v>
      </c>
      <c r="Q142" s="9" t="s">
        <v>47</v>
      </c>
      <c r="R142" s="16"/>
      <c r="S142" s="10">
        <v>5</v>
      </c>
      <c r="T142" s="10">
        <v>23</v>
      </c>
      <c r="U142" s="10">
        <v>6</v>
      </c>
      <c r="V142" s="11">
        <v>15</v>
      </c>
      <c r="W142" s="12"/>
      <c r="X142" s="17"/>
      <c r="Y142" s="13"/>
      <c r="Z142" s="13"/>
      <c r="AA142" s="13"/>
      <c r="AB142" s="14"/>
      <c r="AC142" s="9"/>
      <c r="AD142" s="16"/>
      <c r="AE142" s="10"/>
      <c r="AF142" s="10"/>
      <c r="AG142" s="10"/>
      <c r="AH142" s="11"/>
      <c r="AI142" s="12"/>
      <c r="AJ142" s="17"/>
      <c r="AK142" s="13"/>
      <c r="AL142" s="13"/>
      <c r="AM142" s="13"/>
      <c r="AN142" s="14"/>
      <c r="AO142" s="9"/>
      <c r="AP142" s="16"/>
      <c r="AQ142" s="10"/>
      <c r="AR142" s="10"/>
      <c r="AS142" s="10"/>
      <c r="AT142" s="11"/>
      <c r="AU142" s="12"/>
      <c r="AV142" s="17"/>
      <c r="AW142" s="13"/>
      <c r="AX142" s="13"/>
      <c r="AY142" s="13"/>
      <c r="AZ142" s="14"/>
      <c r="BA142" s="9"/>
      <c r="BB142" s="16"/>
      <c r="BC142" s="10"/>
      <c r="BD142" s="10"/>
      <c r="BE142" s="10"/>
      <c r="BF142" s="11"/>
      <c r="BG142" s="12"/>
      <c r="BH142" s="17"/>
      <c r="BI142" s="13"/>
      <c r="BJ142" s="13"/>
      <c r="BK142" s="13"/>
      <c r="BL142" s="14"/>
      <c r="BM142" s="9"/>
      <c r="BN142" s="16"/>
      <c r="BO142" s="10"/>
      <c r="BP142" s="10"/>
      <c r="BQ142" s="10"/>
      <c r="BR142" s="11"/>
      <c r="BS142" s="12"/>
      <c r="BT142" s="17"/>
      <c r="BU142" s="13"/>
      <c r="BV142" s="13"/>
      <c r="BW142" s="13"/>
      <c r="BX142" s="14"/>
      <c r="BY142" s="9"/>
      <c r="BZ142" s="16"/>
      <c r="CA142" s="10"/>
      <c r="CB142" s="10"/>
      <c r="CC142" s="10"/>
      <c r="CD142" s="11"/>
      <c r="CE142" s="12"/>
      <c r="CF142" s="17"/>
      <c r="CG142" s="13"/>
      <c r="CH142" s="13"/>
      <c r="CI142" s="13"/>
      <c r="CJ142" s="14"/>
      <c r="CK142" s="9"/>
      <c r="CL142" s="16"/>
      <c r="CM142" s="10"/>
      <c r="CN142" s="10"/>
      <c r="CO142" s="10"/>
      <c r="CP142" s="11"/>
      <c r="CQ142" s="12"/>
      <c r="CR142" s="17"/>
      <c r="CS142" s="13"/>
      <c r="CT142" s="13"/>
      <c r="CU142" s="13"/>
      <c r="CV142" s="14"/>
      <c r="CW142" s="9"/>
      <c r="CX142" s="16"/>
      <c r="CY142" s="10"/>
      <c r="CZ142" s="10"/>
      <c r="DA142" s="10"/>
      <c r="DB142" s="11"/>
      <c r="DC142" s="12"/>
      <c r="DD142" s="17"/>
      <c r="DE142" s="13"/>
      <c r="DF142" s="13"/>
      <c r="DG142" s="13"/>
      <c r="DH142" s="14"/>
      <c r="DI142" s="8">
        <f t="shared" si="36"/>
        <v>5</v>
      </c>
      <c r="DJ142" s="8">
        <f t="shared" si="37"/>
        <v>23</v>
      </c>
      <c r="DK142" s="8">
        <f t="shared" si="38"/>
        <v>6</v>
      </c>
      <c r="DL142" s="8">
        <f t="shared" si="39"/>
        <v>15</v>
      </c>
      <c r="DM142" s="8">
        <f t="shared" si="40"/>
        <v>23</v>
      </c>
      <c r="DN142" s="8">
        <f t="shared" si="41"/>
        <v>5</v>
      </c>
      <c r="DO142" s="15">
        <f t="shared" si="42"/>
        <v>5.2736823159978101</v>
      </c>
      <c r="DP142" s="15" t="str">
        <f t="shared" si="43"/>
        <v>OK - No Upgrade</v>
      </c>
      <c r="DQ142" s="15" t="str">
        <f t="shared" si="44"/>
        <v>Need to Balance</v>
      </c>
    </row>
    <row r="143" spans="1:121" ht="15.75" customHeight="1" x14ac:dyDescent="0.25">
      <c r="A143" s="8" t="s">
        <v>1459</v>
      </c>
      <c r="B143" s="8" t="s">
        <v>1713</v>
      </c>
      <c r="C143" s="8" t="s">
        <v>512</v>
      </c>
      <c r="D143" s="8" t="s">
        <v>2101</v>
      </c>
      <c r="E143" s="8" t="s">
        <v>2102</v>
      </c>
      <c r="F143" s="8" t="s">
        <v>56</v>
      </c>
      <c r="G143" s="8"/>
      <c r="H143" s="8">
        <v>1000</v>
      </c>
      <c r="I143" s="8" t="s">
        <v>2103</v>
      </c>
      <c r="J143" s="8">
        <v>1</v>
      </c>
      <c r="K143" s="8">
        <v>240</v>
      </c>
      <c r="L143" s="8">
        <v>240</v>
      </c>
      <c r="M143" s="8">
        <v>241</v>
      </c>
      <c r="N143" s="8">
        <v>417</v>
      </c>
      <c r="O143" s="8">
        <v>418</v>
      </c>
      <c r="P143" s="8">
        <v>416</v>
      </c>
      <c r="Q143" s="9"/>
      <c r="R143" s="16"/>
      <c r="S143" s="10"/>
      <c r="T143" s="10"/>
      <c r="U143" s="10"/>
      <c r="V143" s="11"/>
      <c r="W143" s="12"/>
      <c r="X143" s="17"/>
      <c r="Y143" s="13"/>
      <c r="Z143" s="13"/>
      <c r="AA143" s="13"/>
      <c r="AB143" s="14"/>
      <c r="AC143" s="9" t="s">
        <v>47</v>
      </c>
      <c r="AD143" s="16"/>
      <c r="AE143" s="10">
        <v>0</v>
      </c>
      <c r="AF143" s="10">
        <v>0</v>
      </c>
      <c r="AG143" s="10">
        <v>0</v>
      </c>
      <c r="AH143" s="11">
        <v>0</v>
      </c>
      <c r="AI143" s="12" t="s">
        <v>47</v>
      </c>
      <c r="AJ143" s="17"/>
      <c r="AK143" s="13">
        <v>5</v>
      </c>
      <c r="AL143" s="13">
        <v>21</v>
      </c>
      <c r="AM143" s="13">
        <v>6</v>
      </c>
      <c r="AN143" s="14">
        <v>16</v>
      </c>
      <c r="AO143" s="9" t="s">
        <v>47</v>
      </c>
      <c r="AP143" s="16"/>
      <c r="AQ143" s="10">
        <v>12</v>
      </c>
      <c r="AR143" s="10">
        <v>9</v>
      </c>
      <c r="AS143" s="10">
        <v>9</v>
      </c>
      <c r="AT143" s="11">
        <v>4</v>
      </c>
      <c r="AU143" s="12" t="s">
        <v>47</v>
      </c>
      <c r="AV143" s="17"/>
      <c r="AW143" s="13">
        <v>20</v>
      </c>
      <c r="AX143" s="13">
        <v>18</v>
      </c>
      <c r="AY143" s="13">
        <v>30</v>
      </c>
      <c r="AZ143" s="14">
        <v>7</v>
      </c>
      <c r="BA143" s="9" t="s">
        <v>47</v>
      </c>
      <c r="BB143" s="16"/>
      <c r="BC143" s="10">
        <v>15</v>
      </c>
      <c r="BD143" s="10">
        <v>10</v>
      </c>
      <c r="BE143" s="10">
        <v>25</v>
      </c>
      <c r="BF143" s="11">
        <v>14</v>
      </c>
      <c r="BG143" s="12" t="s">
        <v>47</v>
      </c>
      <c r="BH143" s="17"/>
      <c r="BI143" s="13">
        <v>2</v>
      </c>
      <c r="BJ143" s="13">
        <v>0</v>
      </c>
      <c r="BK143" s="13">
        <v>0</v>
      </c>
      <c r="BL143" s="14">
        <v>9</v>
      </c>
      <c r="BM143" s="9"/>
      <c r="BN143" s="16"/>
      <c r="BO143" s="10"/>
      <c r="BP143" s="10"/>
      <c r="BQ143" s="10"/>
      <c r="BR143" s="11"/>
      <c r="BS143" s="12"/>
      <c r="BT143" s="17"/>
      <c r="BU143" s="13"/>
      <c r="BV143" s="13"/>
      <c r="BW143" s="13"/>
      <c r="BX143" s="14"/>
      <c r="BY143" s="9"/>
      <c r="BZ143" s="16"/>
      <c r="CA143" s="10"/>
      <c r="CB143" s="10"/>
      <c r="CC143" s="10"/>
      <c r="CD143" s="11"/>
      <c r="CE143" s="12"/>
      <c r="CF143" s="17"/>
      <c r="CG143" s="13"/>
      <c r="CH143" s="13"/>
      <c r="CI143" s="13"/>
      <c r="CJ143" s="14"/>
      <c r="CK143" s="9"/>
      <c r="CL143" s="16"/>
      <c r="CM143" s="10"/>
      <c r="CN143" s="10"/>
      <c r="CO143" s="10"/>
      <c r="CP143" s="11"/>
      <c r="CQ143" s="12"/>
      <c r="CR143" s="17"/>
      <c r="CS143" s="13"/>
      <c r="CT143" s="13"/>
      <c r="CU143" s="13"/>
      <c r="CV143" s="14"/>
      <c r="CW143" s="9"/>
      <c r="CX143" s="16"/>
      <c r="CY143" s="10"/>
      <c r="CZ143" s="10"/>
      <c r="DA143" s="10"/>
      <c r="DB143" s="11"/>
      <c r="DC143" s="12"/>
      <c r="DD143" s="17"/>
      <c r="DE143" s="13"/>
      <c r="DF143" s="13"/>
      <c r="DG143" s="13"/>
      <c r="DH143" s="14"/>
      <c r="DI143" s="8">
        <f t="shared" si="36"/>
        <v>54</v>
      </c>
      <c r="DJ143" s="8">
        <f t="shared" si="37"/>
        <v>58</v>
      </c>
      <c r="DK143" s="8">
        <f t="shared" si="38"/>
        <v>70</v>
      </c>
      <c r="DL143" s="8">
        <f t="shared" si="39"/>
        <v>50</v>
      </c>
      <c r="DM143" s="8">
        <f t="shared" si="40"/>
        <v>70</v>
      </c>
      <c r="DN143" s="8">
        <f t="shared" si="41"/>
        <v>54</v>
      </c>
      <c r="DO143" s="15">
        <f t="shared" si="42"/>
        <v>5.0558563072935527</v>
      </c>
      <c r="DP143" s="15" t="str">
        <f t="shared" si="43"/>
        <v>OK - No Upgrade</v>
      </c>
      <c r="DQ143" s="15" t="str">
        <f t="shared" si="44"/>
        <v>Need to Balance</v>
      </c>
    </row>
    <row r="144" spans="1:121" ht="15.75" customHeight="1" x14ac:dyDescent="0.25">
      <c r="A144" s="8" t="s">
        <v>1459</v>
      </c>
      <c r="B144" s="8" t="s">
        <v>1713</v>
      </c>
      <c r="C144" s="8" t="s">
        <v>512</v>
      </c>
      <c r="D144" s="8" t="s">
        <v>2104</v>
      </c>
      <c r="E144" s="8" t="s">
        <v>2105</v>
      </c>
      <c r="F144" s="8" t="s">
        <v>56</v>
      </c>
      <c r="G144" s="8"/>
      <c r="H144" s="8">
        <v>500</v>
      </c>
      <c r="I144" s="8" t="s">
        <v>2106</v>
      </c>
      <c r="J144" s="8">
        <v>1</v>
      </c>
      <c r="K144" s="8">
        <v>240</v>
      </c>
      <c r="L144" s="8">
        <v>241</v>
      </c>
      <c r="M144" s="8">
        <v>241</v>
      </c>
      <c r="N144" s="8">
        <v>417</v>
      </c>
      <c r="O144" s="8">
        <v>417</v>
      </c>
      <c r="P144" s="8">
        <v>417</v>
      </c>
      <c r="Q144" s="9"/>
      <c r="R144" s="16"/>
      <c r="S144" s="10"/>
      <c r="T144" s="10"/>
      <c r="U144" s="10"/>
      <c r="V144" s="11"/>
      <c r="W144" s="12"/>
      <c r="X144" s="17"/>
      <c r="Y144" s="13"/>
      <c r="Z144" s="13"/>
      <c r="AA144" s="13"/>
      <c r="AB144" s="14"/>
      <c r="AC144" s="9" t="s">
        <v>47</v>
      </c>
      <c r="AD144" s="16"/>
      <c r="AE144" s="10">
        <v>0</v>
      </c>
      <c r="AF144" s="10">
        <v>0</v>
      </c>
      <c r="AG144" s="10">
        <v>0</v>
      </c>
      <c r="AH144" s="11">
        <v>0</v>
      </c>
      <c r="AI144" s="12" t="s">
        <v>47</v>
      </c>
      <c r="AJ144" s="17"/>
      <c r="AK144" s="13">
        <v>21</v>
      </c>
      <c r="AL144" s="13">
        <v>10</v>
      </c>
      <c r="AM144" s="13">
        <v>13</v>
      </c>
      <c r="AN144" s="14">
        <v>9</v>
      </c>
      <c r="AO144" s="9" t="s">
        <v>47</v>
      </c>
      <c r="AP144" s="16"/>
      <c r="AQ144" s="10">
        <v>0</v>
      </c>
      <c r="AR144" s="10">
        <v>0</v>
      </c>
      <c r="AS144" s="10">
        <v>0</v>
      </c>
      <c r="AT144" s="11">
        <v>0</v>
      </c>
      <c r="AU144" s="12" t="s">
        <v>47</v>
      </c>
      <c r="AV144" s="17"/>
      <c r="AW144" s="13">
        <v>0</v>
      </c>
      <c r="AX144" s="13">
        <v>0</v>
      </c>
      <c r="AY144" s="13">
        <v>0</v>
      </c>
      <c r="AZ144" s="14">
        <v>0</v>
      </c>
      <c r="BA144" s="9"/>
      <c r="BB144" s="16"/>
      <c r="BC144" s="10"/>
      <c r="BD144" s="10"/>
      <c r="BE144" s="10"/>
      <c r="BF144" s="11"/>
      <c r="BG144" s="12"/>
      <c r="BH144" s="17"/>
      <c r="BI144" s="13"/>
      <c r="BJ144" s="13"/>
      <c r="BK144" s="13"/>
      <c r="BL144" s="14"/>
      <c r="BM144" s="9"/>
      <c r="BN144" s="16"/>
      <c r="BO144" s="10"/>
      <c r="BP144" s="10"/>
      <c r="BQ144" s="10"/>
      <c r="BR144" s="11"/>
      <c r="BS144" s="12"/>
      <c r="BT144" s="17"/>
      <c r="BU144" s="13"/>
      <c r="BV144" s="13"/>
      <c r="BW144" s="13"/>
      <c r="BX144" s="14"/>
      <c r="BY144" s="9"/>
      <c r="BZ144" s="16"/>
      <c r="CA144" s="10"/>
      <c r="CB144" s="10"/>
      <c r="CC144" s="10"/>
      <c r="CD144" s="11"/>
      <c r="CE144" s="12"/>
      <c r="CF144" s="17"/>
      <c r="CG144" s="13"/>
      <c r="CH144" s="13"/>
      <c r="CI144" s="13"/>
      <c r="CJ144" s="14"/>
      <c r="CK144" s="9"/>
      <c r="CL144" s="16"/>
      <c r="CM144" s="10"/>
      <c r="CN144" s="10"/>
      <c r="CO144" s="10"/>
      <c r="CP144" s="11"/>
      <c r="CQ144" s="12"/>
      <c r="CR144" s="17"/>
      <c r="CS144" s="13"/>
      <c r="CT144" s="13"/>
      <c r="CU144" s="13"/>
      <c r="CV144" s="14"/>
      <c r="CW144" s="9"/>
      <c r="CX144" s="16"/>
      <c r="CY144" s="10"/>
      <c r="CZ144" s="10"/>
      <c r="DA144" s="10"/>
      <c r="DB144" s="11"/>
      <c r="DC144" s="12"/>
      <c r="DD144" s="17"/>
      <c r="DE144" s="13"/>
      <c r="DF144" s="13"/>
      <c r="DG144" s="13"/>
      <c r="DH144" s="14"/>
      <c r="DI144" s="8">
        <f t="shared" si="36"/>
        <v>21</v>
      </c>
      <c r="DJ144" s="8">
        <f t="shared" si="37"/>
        <v>10</v>
      </c>
      <c r="DK144" s="8">
        <f t="shared" si="38"/>
        <v>13</v>
      </c>
      <c r="DL144" s="8">
        <f t="shared" si="39"/>
        <v>9</v>
      </c>
      <c r="DM144" s="8">
        <f t="shared" si="40"/>
        <v>21</v>
      </c>
      <c r="DN144" s="8">
        <f t="shared" si="41"/>
        <v>10</v>
      </c>
      <c r="DO144" s="15">
        <f t="shared" si="42"/>
        <v>3.0335137843761317</v>
      </c>
      <c r="DP144" s="15" t="str">
        <f t="shared" si="43"/>
        <v>OK - No Upgrade</v>
      </c>
      <c r="DQ144" s="15" t="str">
        <f t="shared" si="44"/>
        <v>Need to Balance</v>
      </c>
    </row>
    <row r="145" spans="1:121" ht="15.75" customHeight="1" x14ac:dyDescent="0.25">
      <c r="A145" s="8" t="s">
        <v>1459</v>
      </c>
      <c r="B145" s="8" t="s">
        <v>1713</v>
      </c>
      <c r="C145" s="8" t="s">
        <v>512</v>
      </c>
      <c r="D145" s="8" t="s">
        <v>2107</v>
      </c>
      <c r="E145" s="8" t="s">
        <v>2108</v>
      </c>
      <c r="F145" s="8" t="s">
        <v>43</v>
      </c>
      <c r="G145" s="8"/>
      <c r="H145" s="8">
        <v>315</v>
      </c>
      <c r="I145" s="8" t="s">
        <v>2109</v>
      </c>
      <c r="J145" s="8">
        <v>1</v>
      </c>
      <c r="K145" s="8">
        <v>241</v>
      </c>
      <c r="L145" s="8">
        <v>241</v>
      </c>
      <c r="M145" s="8">
        <v>241</v>
      </c>
      <c r="N145" s="8">
        <v>418</v>
      </c>
      <c r="O145" s="8">
        <v>418</v>
      </c>
      <c r="P145" s="8">
        <v>417</v>
      </c>
      <c r="Q145" s="9" t="s">
        <v>47</v>
      </c>
      <c r="R145" s="16"/>
      <c r="S145" s="10">
        <v>7</v>
      </c>
      <c r="T145" s="10">
        <v>14</v>
      </c>
      <c r="U145" s="10">
        <v>15</v>
      </c>
      <c r="V145" s="11">
        <v>7</v>
      </c>
      <c r="W145" s="12" t="s">
        <v>47</v>
      </c>
      <c r="X145" s="17"/>
      <c r="Y145" s="13">
        <v>5</v>
      </c>
      <c r="Z145" s="13">
        <v>4</v>
      </c>
      <c r="AA145" s="13">
        <v>41</v>
      </c>
      <c r="AB145" s="14">
        <v>30</v>
      </c>
      <c r="AC145" s="9"/>
      <c r="AD145" s="16"/>
      <c r="AE145" s="10"/>
      <c r="AF145" s="10"/>
      <c r="AG145" s="10"/>
      <c r="AH145" s="11"/>
      <c r="AI145" s="12"/>
      <c r="AJ145" s="17"/>
      <c r="AK145" s="13"/>
      <c r="AL145" s="13"/>
      <c r="AM145" s="13"/>
      <c r="AN145" s="14"/>
      <c r="AO145" s="9"/>
      <c r="AP145" s="16"/>
      <c r="AQ145" s="10"/>
      <c r="AR145" s="10"/>
      <c r="AS145" s="10"/>
      <c r="AT145" s="11"/>
      <c r="AU145" s="12"/>
      <c r="AV145" s="17"/>
      <c r="AW145" s="13"/>
      <c r="AX145" s="13"/>
      <c r="AY145" s="13"/>
      <c r="AZ145" s="14"/>
      <c r="BA145" s="9"/>
      <c r="BB145" s="16"/>
      <c r="BC145" s="10"/>
      <c r="BD145" s="10"/>
      <c r="BE145" s="10"/>
      <c r="BF145" s="11"/>
      <c r="BG145" s="12"/>
      <c r="BH145" s="17"/>
      <c r="BI145" s="13"/>
      <c r="BJ145" s="13"/>
      <c r="BK145" s="13"/>
      <c r="BL145" s="14"/>
      <c r="BM145" s="9"/>
      <c r="BN145" s="16"/>
      <c r="BO145" s="10"/>
      <c r="BP145" s="10"/>
      <c r="BQ145" s="10"/>
      <c r="BR145" s="11"/>
      <c r="BS145" s="12"/>
      <c r="BT145" s="17"/>
      <c r="BU145" s="13"/>
      <c r="BV145" s="13"/>
      <c r="BW145" s="13"/>
      <c r="BX145" s="14"/>
      <c r="BY145" s="9"/>
      <c r="BZ145" s="16"/>
      <c r="CA145" s="10"/>
      <c r="CB145" s="10"/>
      <c r="CC145" s="10"/>
      <c r="CD145" s="11"/>
      <c r="CE145" s="12"/>
      <c r="CF145" s="17"/>
      <c r="CG145" s="13"/>
      <c r="CH145" s="13"/>
      <c r="CI145" s="13"/>
      <c r="CJ145" s="14"/>
      <c r="CK145" s="9"/>
      <c r="CL145" s="16"/>
      <c r="CM145" s="10"/>
      <c r="CN145" s="10"/>
      <c r="CO145" s="10"/>
      <c r="CP145" s="11"/>
      <c r="CQ145" s="12"/>
      <c r="CR145" s="17"/>
      <c r="CS145" s="13"/>
      <c r="CT145" s="13"/>
      <c r="CU145" s="13"/>
      <c r="CV145" s="14"/>
      <c r="CW145" s="9"/>
      <c r="CX145" s="16"/>
      <c r="CY145" s="10"/>
      <c r="CZ145" s="10"/>
      <c r="DA145" s="10"/>
      <c r="DB145" s="11"/>
      <c r="DC145" s="12"/>
      <c r="DD145" s="17"/>
      <c r="DE145" s="13"/>
      <c r="DF145" s="13"/>
      <c r="DG145" s="13"/>
      <c r="DH145" s="14"/>
      <c r="DI145" s="8">
        <f t="shared" si="36"/>
        <v>12</v>
      </c>
      <c r="DJ145" s="8">
        <f t="shared" si="37"/>
        <v>18</v>
      </c>
      <c r="DK145" s="8">
        <f t="shared" si="38"/>
        <v>56</v>
      </c>
      <c r="DL145" s="8">
        <f t="shared" si="39"/>
        <v>37</v>
      </c>
      <c r="DM145" s="8">
        <f t="shared" si="40"/>
        <v>56</v>
      </c>
      <c r="DN145" s="8">
        <f t="shared" si="41"/>
        <v>12</v>
      </c>
      <c r="DO145" s="15">
        <f t="shared" si="42"/>
        <v>12.871062001134057</v>
      </c>
      <c r="DP145" s="15" t="str">
        <f t="shared" si="43"/>
        <v>OK - No Upgrade</v>
      </c>
      <c r="DQ145" s="15" t="str">
        <f t="shared" si="44"/>
        <v>Need to Balance</v>
      </c>
    </row>
    <row r="146" spans="1:121" ht="15.75" customHeight="1" x14ac:dyDescent="0.25">
      <c r="A146" s="8" t="s">
        <v>1459</v>
      </c>
      <c r="B146" s="8" t="s">
        <v>1713</v>
      </c>
      <c r="C146" s="8" t="s">
        <v>512</v>
      </c>
      <c r="D146" s="8" t="s">
        <v>2107</v>
      </c>
      <c r="E146" s="8" t="s">
        <v>2110</v>
      </c>
      <c r="F146" s="8" t="s">
        <v>56</v>
      </c>
      <c r="G146" s="8"/>
      <c r="H146" s="8">
        <v>500</v>
      </c>
      <c r="I146" s="8" t="s">
        <v>2111</v>
      </c>
      <c r="J146" s="8">
        <v>1</v>
      </c>
      <c r="K146" s="8">
        <v>241</v>
      </c>
      <c r="L146" s="8">
        <v>242</v>
      </c>
      <c r="M146" s="8">
        <v>243</v>
      </c>
      <c r="N146" s="8">
        <v>419</v>
      </c>
      <c r="O146" s="8">
        <v>421</v>
      </c>
      <c r="P146" s="8">
        <v>417</v>
      </c>
      <c r="Q146" s="9"/>
      <c r="R146" s="16"/>
      <c r="S146" s="10"/>
      <c r="T146" s="10"/>
      <c r="U146" s="10"/>
      <c r="V146" s="11"/>
      <c r="W146" s="12"/>
      <c r="X146" s="17"/>
      <c r="Y146" s="13"/>
      <c r="Z146" s="13"/>
      <c r="AA146" s="13"/>
      <c r="AB146" s="14"/>
      <c r="AC146" s="9"/>
      <c r="AD146" s="16"/>
      <c r="AE146" s="10"/>
      <c r="AF146" s="10"/>
      <c r="AG146" s="10"/>
      <c r="AH146" s="11"/>
      <c r="AI146" s="12" t="s">
        <v>70</v>
      </c>
      <c r="AJ146" s="17"/>
      <c r="AK146" s="13">
        <v>30</v>
      </c>
      <c r="AL146" s="13">
        <v>23</v>
      </c>
      <c r="AM146" s="13">
        <v>28</v>
      </c>
      <c r="AN146" s="14">
        <v>4</v>
      </c>
      <c r="AO146" s="9" t="s">
        <v>47</v>
      </c>
      <c r="AP146" s="16"/>
      <c r="AQ146" s="10">
        <v>0</v>
      </c>
      <c r="AR146" s="10">
        <v>0</v>
      </c>
      <c r="AS146" s="10">
        <v>8</v>
      </c>
      <c r="AT146" s="11">
        <v>6</v>
      </c>
      <c r="AU146" s="12" t="s">
        <v>47</v>
      </c>
      <c r="AV146" s="17"/>
      <c r="AW146" s="13">
        <v>0</v>
      </c>
      <c r="AX146" s="13">
        <v>0</v>
      </c>
      <c r="AY146" s="13">
        <v>0</v>
      </c>
      <c r="AZ146" s="14">
        <v>0</v>
      </c>
      <c r="BA146" s="9"/>
      <c r="BB146" s="16"/>
      <c r="BC146" s="10"/>
      <c r="BD146" s="10"/>
      <c r="BE146" s="10"/>
      <c r="BF146" s="11"/>
      <c r="BG146" s="12"/>
      <c r="BH146" s="17"/>
      <c r="BI146" s="13"/>
      <c r="BJ146" s="13"/>
      <c r="BK146" s="13"/>
      <c r="BL146" s="14"/>
      <c r="BM146" s="9"/>
      <c r="BN146" s="16"/>
      <c r="BO146" s="10"/>
      <c r="BP146" s="10"/>
      <c r="BQ146" s="10"/>
      <c r="BR146" s="11"/>
      <c r="BS146" s="12"/>
      <c r="BT146" s="17"/>
      <c r="BU146" s="13"/>
      <c r="BV146" s="13"/>
      <c r="BW146" s="13"/>
      <c r="BX146" s="14"/>
      <c r="BY146" s="9"/>
      <c r="BZ146" s="16"/>
      <c r="CA146" s="10"/>
      <c r="CB146" s="10"/>
      <c r="CC146" s="10"/>
      <c r="CD146" s="11"/>
      <c r="CE146" s="12"/>
      <c r="CF146" s="17"/>
      <c r="CG146" s="13"/>
      <c r="CH146" s="13"/>
      <c r="CI146" s="13"/>
      <c r="CJ146" s="14"/>
      <c r="CK146" s="9"/>
      <c r="CL146" s="16"/>
      <c r="CM146" s="10"/>
      <c r="CN146" s="10"/>
      <c r="CO146" s="10"/>
      <c r="CP146" s="11"/>
      <c r="CQ146" s="12"/>
      <c r="CR146" s="17"/>
      <c r="CS146" s="13"/>
      <c r="CT146" s="13"/>
      <c r="CU146" s="13"/>
      <c r="CV146" s="14"/>
      <c r="CW146" s="9"/>
      <c r="CX146" s="16"/>
      <c r="CY146" s="10"/>
      <c r="CZ146" s="10"/>
      <c r="DA146" s="10"/>
      <c r="DB146" s="11"/>
      <c r="DC146" s="12"/>
      <c r="DD146" s="17"/>
      <c r="DE146" s="13"/>
      <c r="DF146" s="13"/>
      <c r="DG146" s="13"/>
      <c r="DH146" s="14"/>
      <c r="DI146" s="8">
        <f t="shared" si="36"/>
        <v>30</v>
      </c>
      <c r="DJ146" s="8">
        <f t="shared" si="37"/>
        <v>23</v>
      </c>
      <c r="DK146" s="8">
        <f t="shared" si="38"/>
        <v>36</v>
      </c>
      <c r="DL146" s="8">
        <f t="shared" si="39"/>
        <v>10</v>
      </c>
      <c r="DM146" s="8">
        <f t="shared" si="40"/>
        <v>36</v>
      </c>
      <c r="DN146" s="8">
        <f t="shared" si="41"/>
        <v>23</v>
      </c>
      <c r="DO146" s="15">
        <f t="shared" si="42"/>
        <v>5.2252508762737886</v>
      </c>
      <c r="DP146" s="15" t="str">
        <f t="shared" si="43"/>
        <v>OK - No Upgrade</v>
      </c>
      <c r="DQ146" s="15" t="str">
        <f t="shared" si="44"/>
        <v>Need to Balance</v>
      </c>
    </row>
    <row r="147" spans="1:121" ht="15.75" customHeight="1" x14ac:dyDescent="0.25">
      <c r="A147" s="8" t="s">
        <v>1459</v>
      </c>
      <c r="B147" s="8" t="s">
        <v>1713</v>
      </c>
      <c r="C147" s="8" t="s">
        <v>512</v>
      </c>
      <c r="D147" s="8" t="s">
        <v>2107</v>
      </c>
      <c r="E147" s="8" t="s">
        <v>2112</v>
      </c>
      <c r="F147" s="8" t="s">
        <v>43</v>
      </c>
      <c r="G147" s="8"/>
      <c r="H147" s="8">
        <v>315</v>
      </c>
      <c r="I147" s="8" t="s">
        <v>2113</v>
      </c>
      <c r="J147" s="8">
        <v>1</v>
      </c>
      <c r="K147" s="8">
        <v>240</v>
      </c>
      <c r="L147" s="8">
        <v>241</v>
      </c>
      <c r="M147" s="8">
        <v>240</v>
      </c>
      <c r="N147" s="8">
        <v>417</v>
      </c>
      <c r="O147" s="8">
        <v>417</v>
      </c>
      <c r="P147" s="8">
        <v>418</v>
      </c>
      <c r="Q147" s="9" t="s">
        <v>47</v>
      </c>
      <c r="R147" s="16"/>
      <c r="S147" s="10">
        <v>11</v>
      </c>
      <c r="T147" s="10">
        <v>9</v>
      </c>
      <c r="U147" s="10">
        <v>20</v>
      </c>
      <c r="V147" s="11">
        <v>7</v>
      </c>
      <c r="W147" s="12" t="s">
        <v>47</v>
      </c>
      <c r="X147" s="17"/>
      <c r="Y147" s="13">
        <v>63</v>
      </c>
      <c r="Z147" s="13">
        <v>22</v>
      </c>
      <c r="AA147" s="13">
        <v>32</v>
      </c>
      <c r="AB147" s="14">
        <v>26</v>
      </c>
      <c r="AC147" s="9"/>
      <c r="AD147" s="16"/>
      <c r="AE147" s="10"/>
      <c r="AF147" s="10"/>
      <c r="AG147" s="10"/>
      <c r="AH147" s="11"/>
      <c r="AI147" s="12"/>
      <c r="AJ147" s="17"/>
      <c r="AK147" s="13"/>
      <c r="AL147" s="13"/>
      <c r="AM147" s="13"/>
      <c r="AN147" s="14"/>
      <c r="AO147" s="9"/>
      <c r="AP147" s="16"/>
      <c r="AQ147" s="10"/>
      <c r="AR147" s="10"/>
      <c r="AS147" s="10"/>
      <c r="AT147" s="11"/>
      <c r="AU147" s="12"/>
      <c r="AV147" s="17"/>
      <c r="AW147" s="13"/>
      <c r="AX147" s="13"/>
      <c r="AY147" s="13"/>
      <c r="AZ147" s="14"/>
      <c r="BA147" s="9"/>
      <c r="BB147" s="16"/>
      <c r="BC147" s="10"/>
      <c r="BD147" s="10"/>
      <c r="BE147" s="10"/>
      <c r="BF147" s="11"/>
      <c r="BG147" s="12"/>
      <c r="BH147" s="17"/>
      <c r="BI147" s="13"/>
      <c r="BJ147" s="13"/>
      <c r="BK147" s="13"/>
      <c r="BL147" s="14"/>
      <c r="BM147" s="9"/>
      <c r="BN147" s="16"/>
      <c r="BO147" s="10"/>
      <c r="BP147" s="10"/>
      <c r="BQ147" s="10"/>
      <c r="BR147" s="11"/>
      <c r="BS147" s="12"/>
      <c r="BT147" s="17"/>
      <c r="BU147" s="13"/>
      <c r="BV147" s="13"/>
      <c r="BW147" s="13"/>
      <c r="BX147" s="14"/>
      <c r="BY147" s="9"/>
      <c r="BZ147" s="16"/>
      <c r="CA147" s="10"/>
      <c r="CB147" s="10"/>
      <c r="CC147" s="10"/>
      <c r="CD147" s="11"/>
      <c r="CE147" s="12"/>
      <c r="CF147" s="17"/>
      <c r="CG147" s="13"/>
      <c r="CH147" s="13"/>
      <c r="CI147" s="13"/>
      <c r="CJ147" s="14"/>
      <c r="CK147" s="9"/>
      <c r="CL147" s="16"/>
      <c r="CM147" s="10"/>
      <c r="CN147" s="10"/>
      <c r="CO147" s="10"/>
      <c r="CP147" s="11"/>
      <c r="CQ147" s="12"/>
      <c r="CR147" s="17"/>
      <c r="CS147" s="13"/>
      <c r="CT147" s="13"/>
      <c r="CU147" s="13"/>
      <c r="CV147" s="14"/>
      <c r="CW147" s="9"/>
      <c r="CX147" s="16"/>
      <c r="CY147" s="10"/>
      <c r="CZ147" s="10"/>
      <c r="DA147" s="10"/>
      <c r="DB147" s="11"/>
      <c r="DC147" s="12"/>
      <c r="DD147" s="17"/>
      <c r="DE147" s="13"/>
      <c r="DF147" s="13"/>
      <c r="DG147" s="13"/>
      <c r="DH147" s="14"/>
      <c r="DI147" s="8">
        <f t="shared" si="36"/>
        <v>74</v>
      </c>
      <c r="DJ147" s="8">
        <f t="shared" si="37"/>
        <v>31</v>
      </c>
      <c r="DK147" s="8">
        <f t="shared" si="38"/>
        <v>52</v>
      </c>
      <c r="DL147" s="8">
        <f t="shared" si="39"/>
        <v>33</v>
      </c>
      <c r="DM147" s="8">
        <f t="shared" si="40"/>
        <v>74</v>
      </c>
      <c r="DN147" s="8">
        <f t="shared" si="41"/>
        <v>31</v>
      </c>
      <c r="DO147" s="15">
        <f t="shared" si="42"/>
        <v>16.967499625384256</v>
      </c>
      <c r="DP147" s="15" t="str">
        <f t="shared" si="43"/>
        <v>OK - No Upgrade</v>
      </c>
      <c r="DQ147" s="15" t="str">
        <f t="shared" si="44"/>
        <v>Need to Balance</v>
      </c>
    </row>
    <row r="148" spans="1:121" ht="15.75" customHeight="1" x14ac:dyDescent="0.25">
      <c r="A148" s="8" t="s">
        <v>1459</v>
      </c>
      <c r="B148" s="8" t="s">
        <v>1713</v>
      </c>
      <c r="C148" s="8" t="s">
        <v>512</v>
      </c>
      <c r="D148" s="8" t="s">
        <v>2107</v>
      </c>
      <c r="E148" s="8" t="s">
        <v>2114</v>
      </c>
      <c r="F148" s="8" t="s">
        <v>56</v>
      </c>
      <c r="G148" s="8"/>
      <c r="H148" s="8">
        <v>1000</v>
      </c>
      <c r="I148" s="8" t="s">
        <v>1629</v>
      </c>
      <c r="J148" s="8">
        <v>1</v>
      </c>
      <c r="K148" s="8">
        <v>241</v>
      </c>
      <c r="L148" s="8">
        <v>242</v>
      </c>
      <c r="M148" s="8">
        <v>242</v>
      </c>
      <c r="N148" s="8">
        <v>419</v>
      </c>
      <c r="O148" s="8">
        <v>419</v>
      </c>
      <c r="P148" s="8">
        <v>417</v>
      </c>
      <c r="Q148" s="9"/>
      <c r="R148" s="16"/>
      <c r="S148" s="10"/>
      <c r="T148" s="10"/>
      <c r="U148" s="10"/>
      <c r="V148" s="11"/>
      <c r="W148" s="12"/>
      <c r="X148" s="17"/>
      <c r="Y148" s="13"/>
      <c r="Z148" s="13"/>
      <c r="AA148" s="13"/>
      <c r="AB148" s="14"/>
      <c r="AC148" s="9"/>
      <c r="AD148" s="16"/>
      <c r="AE148" s="10"/>
      <c r="AF148" s="10"/>
      <c r="AG148" s="10"/>
      <c r="AH148" s="11"/>
      <c r="AI148" s="12"/>
      <c r="AJ148" s="17"/>
      <c r="AK148" s="13"/>
      <c r="AL148" s="13"/>
      <c r="AM148" s="13"/>
      <c r="AN148" s="14"/>
      <c r="AO148" s="9"/>
      <c r="AP148" s="16"/>
      <c r="AQ148" s="10"/>
      <c r="AR148" s="10"/>
      <c r="AS148" s="10"/>
      <c r="AT148" s="11"/>
      <c r="AU148" s="12"/>
      <c r="AV148" s="17"/>
      <c r="AW148" s="13"/>
      <c r="AX148" s="13"/>
      <c r="AY148" s="13"/>
      <c r="AZ148" s="14"/>
      <c r="BA148" s="9" t="s">
        <v>70</v>
      </c>
      <c r="BB148" s="16"/>
      <c r="BC148" s="10">
        <v>2</v>
      </c>
      <c r="BD148" s="10">
        <v>0</v>
      </c>
      <c r="BE148" s="10">
        <v>9</v>
      </c>
      <c r="BF148" s="11">
        <v>5</v>
      </c>
      <c r="BG148" s="12" t="s">
        <v>47</v>
      </c>
      <c r="BH148" s="17"/>
      <c r="BI148" s="13">
        <v>34</v>
      </c>
      <c r="BJ148" s="13">
        <v>18</v>
      </c>
      <c r="BK148" s="13">
        <v>23</v>
      </c>
      <c r="BL148" s="14">
        <v>8</v>
      </c>
      <c r="BM148" s="9"/>
      <c r="BN148" s="16"/>
      <c r="BO148" s="10"/>
      <c r="BP148" s="10"/>
      <c r="BQ148" s="10"/>
      <c r="BR148" s="11"/>
      <c r="BS148" s="12"/>
      <c r="BT148" s="17"/>
      <c r="BU148" s="13"/>
      <c r="BV148" s="13"/>
      <c r="BW148" s="13"/>
      <c r="BX148" s="14"/>
      <c r="BY148" s="9"/>
      <c r="BZ148" s="16"/>
      <c r="CA148" s="10"/>
      <c r="CB148" s="10"/>
      <c r="CC148" s="10"/>
      <c r="CD148" s="11"/>
      <c r="CE148" s="12"/>
      <c r="CF148" s="17"/>
      <c r="CG148" s="13"/>
      <c r="CH148" s="13"/>
      <c r="CI148" s="13"/>
      <c r="CJ148" s="14"/>
      <c r="CK148" s="9"/>
      <c r="CL148" s="16"/>
      <c r="CM148" s="10"/>
      <c r="CN148" s="10"/>
      <c r="CO148" s="10"/>
      <c r="CP148" s="11"/>
      <c r="CQ148" s="12"/>
      <c r="CR148" s="17"/>
      <c r="CS148" s="13"/>
      <c r="CT148" s="13"/>
      <c r="CU148" s="13"/>
      <c r="CV148" s="14"/>
      <c r="CW148" s="9"/>
      <c r="CX148" s="16"/>
      <c r="CY148" s="10"/>
      <c r="CZ148" s="10"/>
      <c r="DA148" s="10"/>
      <c r="DB148" s="11"/>
      <c r="DC148" s="12"/>
      <c r="DD148" s="17"/>
      <c r="DE148" s="13"/>
      <c r="DF148" s="13"/>
      <c r="DG148" s="13"/>
      <c r="DH148" s="14"/>
      <c r="DI148" s="8">
        <f t="shared" si="36"/>
        <v>36</v>
      </c>
      <c r="DJ148" s="8">
        <f t="shared" si="37"/>
        <v>18</v>
      </c>
      <c r="DK148" s="8">
        <f t="shared" si="38"/>
        <v>32</v>
      </c>
      <c r="DL148" s="8">
        <f t="shared" si="39"/>
        <v>13</v>
      </c>
      <c r="DM148" s="8">
        <f t="shared" si="40"/>
        <v>36</v>
      </c>
      <c r="DN148" s="8">
        <f t="shared" si="41"/>
        <v>18</v>
      </c>
      <c r="DO148" s="15">
        <f t="shared" si="42"/>
        <v>2.6126254381368943</v>
      </c>
      <c r="DP148" s="15" t="str">
        <f t="shared" si="43"/>
        <v>OK - No Upgrade</v>
      </c>
      <c r="DQ148" s="15" t="str">
        <f t="shared" si="44"/>
        <v>Need to Balance</v>
      </c>
    </row>
    <row r="149" spans="1:121" ht="15.75" customHeight="1" x14ac:dyDescent="0.25">
      <c r="A149" s="8" t="s">
        <v>1459</v>
      </c>
      <c r="B149" s="8" t="s">
        <v>1713</v>
      </c>
      <c r="C149" s="8" t="s">
        <v>512</v>
      </c>
      <c r="D149" s="8" t="s">
        <v>2115</v>
      </c>
      <c r="E149" s="8" t="s">
        <v>2116</v>
      </c>
      <c r="F149" s="8" t="s">
        <v>43</v>
      </c>
      <c r="G149" s="8"/>
      <c r="H149" s="8">
        <v>315</v>
      </c>
      <c r="I149" s="8" t="s">
        <v>1635</v>
      </c>
      <c r="J149" s="8">
        <v>1</v>
      </c>
      <c r="K149" s="8">
        <v>241</v>
      </c>
      <c r="L149" s="8">
        <v>241</v>
      </c>
      <c r="M149" s="8">
        <v>242</v>
      </c>
      <c r="N149" s="8">
        <v>420</v>
      </c>
      <c r="O149" s="8">
        <v>418</v>
      </c>
      <c r="P149" s="8">
        <v>418</v>
      </c>
      <c r="Q149" s="9" t="s">
        <v>47</v>
      </c>
      <c r="R149" s="16"/>
      <c r="S149" s="10">
        <v>62</v>
      </c>
      <c r="T149" s="10">
        <v>58</v>
      </c>
      <c r="U149" s="10">
        <v>35</v>
      </c>
      <c r="V149" s="11">
        <v>22</v>
      </c>
      <c r="W149" s="12" t="s">
        <v>47</v>
      </c>
      <c r="X149" s="17"/>
      <c r="Y149" s="13">
        <v>20</v>
      </c>
      <c r="Z149" s="13">
        <v>23</v>
      </c>
      <c r="AA149" s="13">
        <v>10</v>
      </c>
      <c r="AB149" s="14">
        <v>23</v>
      </c>
      <c r="AC149" s="9"/>
      <c r="AD149" s="16"/>
      <c r="AE149" s="10"/>
      <c r="AF149" s="10"/>
      <c r="AG149" s="10"/>
      <c r="AH149" s="11"/>
      <c r="AI149" s="12"/>
      <c r="AJ149" s="17"/>
      <c r="AK149" s="13"/>
      <c r="AL149" s="13"/>
      <c r="AM149" s="13"/>
      <c r="AN149" s="14"/>
      <c r="AO149" s="9"/>
      <c r="AP149" s="16"/>
      <c r="AQ149" s="10"/>
      <c r="AR149" s="10"/>
      <c r="AS149" s="10"/>
      <c r="AT149" s="11"/>
      <c r="AU149" s="12"/>
      <c r="AV149" s="17"/>
      <c r="AW149" s="13"/>
      <c r="AX149" s="13"/>
      <c r="AY149" s="13"/>
      <c r="AZ149" s="14"/>
      <c r="BA149" s="9"/>
      <c r="BB149" s="16"/>
      <c r="BC149" s="10"/>
      <c r="BD149" s="10"/>
      <c r="BE149" s="10"/>
      <c r="BF149" s="11"/>
      <c r="BG149" s="12"/>
      <c r="BH149" s="17"/>
      <c r="BI149" s="13"/>
      <c r="BJ149" s="13"/>
      <c r="BK149" s="13"/>
      <c r="BL149" s="14"/>
      <c r="BM149" s="9"/>
      <c r="BN149" s="16"/>
      <c r="BO149" s="10"/>
      <c r="BP149" s="10"/>
      <c r="BQ149" s="10"/>
      <c r="BR149" s="11"/>
      <c r="BS149" s="12"/>
      <c r="BT149" s="17"/>
      <c r="BU149" s="13"/>
      <c r="BV149" s="13"/>
      <c r="BW149" s="13"/>
      <c r="BX149" s="14"/>
      <c r="BY149" s="9"/>
      <c r="BZ149" s="16"/>
      <c r="CA149" s="10"/>
      <c r="CB149" s="10"/>
      <c r="CC149" s="10"/>
      <c r="CD149" s="11"/>
      <c r="CE149" s="12"/>
      <c r="CF149" s="17"/>
      <c r="CG149" s="13"/>
      <c r="CH149" s="13"/>
      <c r="CI149" s="13"/>
      <c r="CJ149" s="14"/>
      <c r="CK149" s="9"/>
      <c r="CL149" s="16"/>
      <c r="CM149" s="10"/>
      <c r="CN149" s="10"/>
      <c r="CO149" s="10"/>
      <c r="CP149" s="11"/>
      <c r="CQ149" s="12"/>
      <c r="CR149" s="17"/>
      <c r="CS149" s="13"/>
      <c r="CT149" s="13"/>
      <c r="CU149" s="13"/>
      <c r="CV149" s="14"/>
      <c r="CW149" s="9"/>
      <c r="CX149" s="16"/>
      <c r="CY149" s="10"/>
      <c r="CZ149" s="10"/>
      <c r="DA149" s="10"/>
      <c r="DB149" s="11"/>
      <c r="DC149" s="12"/>
      <c r="DD149" s="17"/>
      <c r="DE149" s="13"/>
      <c r="DF149" s="13"/>
      <c r="DG149" s="13"/>
      <c r="DH149" s="14"/>
      <c r="DI149" s="8">
        <f t="shared" si="36"/>
        <v>82</v>
      </c>
      <c r="DJ149" s="8">
        <f t="shared" si="37"/>
        <v>81</v>
      </c>
      <c r="DK149" s="8">
        <f t="shared" si="38"/>
        <v>45</v>
      </c>
      <c r="DL149" s="8">
        <f t="shared" si="39"/>
        <v>45</v>
      </c>
      <c r="DM149" s="8">
        <f t="shared" si="40"/>
        <v>82</v>
      </c>
      <c r="DN149" s="8">
        <f t="shared" si="41"/>
        <v>45</v>
      </c>
      <c r="DO149" s="15">
        <f t="shared" si="42"/>
        <v>18.937088829419725</v>
      </c>
      <c r="DP149" s="15" t="str">
        <f t="shared" si="43"/>
        <v>OK - No Upgrade</v>
      </c>
      <c r="DQ149" s="15" t="str">
        <f t="shared" si="44"/>
        <v>Need to Balance</v>
      </c>
    </row>
    <row r="150" spans="1:121" ht="15.75" customHeight="1" x14ac:dyDescent="0.25">
      <c r="A150" s="8" t="s">
        <v>1459</v>
      </c>
      <c r="B150" s="8" t="s">
        <v>1713</v>
      </c>
      <c r="C150" s="8" t="s">
        <v>512</v>
      </c>
      <c r="D150" s="8" t="s">
        <v>2115</v>
      </c>
      <c r="E150" s="8" t="s">
        <v>2117</v>
      </c>
      <c r="F150" s="8" t="s">
        <v>56</v>
      </c>
      <c r="G150" s="8"/>
      <c r="H150" s="8">
        <v>1000</v>
      </c>
      <c r="I150" s="8" t="s">
        <v>2118</v>
      </c>
      <c r="J150" s="8">
        <v>1</v>
      </c>
      <c r="K150" s="8">
        <v>243</v>
      </c>
      <c r="L150" s="8">
        <v>242</v>
      </c>
      <c r="M150" s="8">
        <v>243</v>
      </c>
      <c r="N150" s="8">
        <v>420</v>
      </c>
      <c r="O150" s="8">
        <v>420</v>
      </c>
      <c r="P150" s="8">
        <v>421</v>
      </c>
      <c r="Q150" s="9" t="s">
        <v>47</v>
      </c>
      <c r="R150" s="16"/>
      <c r="S150" s="10">
        <v>8</v>
      </c>
      <c r="T150" s="10">
        <v>31</v>
      </c>
      <c r="U150" s="10">
        <v>42</v>
      </c>
      <c r="V150" s="11">
        <v>24</v>
      </c>
      <c r="W150" s="12" t="s">
        <v>47</v>
      </c>
      <c r="X150" s="17"/>
      <c r="Y150" s="13">
        <v>32</v>
      </c>
      <c r="Z150" s="13">
        <v>21</v>
      </c>
      <c r="AA150" s="13">
        <v>33</v>
      </c>
      <c r="AB150" s="14">
        <v>11</v>
      </c>
      <c r="AC150" s="9" t="s">
        <v>47</v>
      </c>
      <c r="AD150" s="16"/>
      <c r="AE150" s="10">
        <v>3</v>
      </c>
      <c r="AF150" s="10">
        <v>8</v>
      </c>
      <c r="AG150" s="10">
        <v>19</v>
      </c>
      <c r="AH150" s="11">
        <v>11</v>
      </c>
      <c r="AI150" s="12" t="s">
        <v>47</v>
      </c>
      <c r="AJ150" s="17"/>
      <c r="AK150" s="13">
        <v>52</v>
      </c>
      <c r="AL150" s="13">
        <v>39</v>
      </c>
      <c r="AM150" s="13">
        <v>30</v>
      </c>
      <c r="AN150" s="14">
        <v>15</v>
      </c>
      <c r="AO150" s="9"/>
      <c r="AP150" s="16"/>
      <c r="AQ150" s="10"/>
      <c r="AR150" s="10"/>
      <c r="AS150" s="10"/>
      <c r="AT150" s="11"/>
      <c r="AU150" s="12"/>
      <c r="AV150" s="17"/>
      <c r="AW150" s="13"/>
      <c r="AX150" s="13"/>
      <c r="AY150" s="13"/>
      <c r="AZ150" s="14"/>
      <c r="BA150" s="9"/>
      <c r="BB150" s="16"/>
      <c r="BC150" s="10"/>
      <c r="BD150" s="10"/>
      <c r="BE150" s="10"/>
      <c r="BF150" s="11"/>
      <c r="BG150" s="12"/>
      <c r="BH150" s="17"/>
      <c r="BI150" s="13"/>
      <c r="BJ150" s="13"/>
      <c r="BK150" s="13"/>
      <c r="BL150" s="14"/>
      <c r="BM150" s="9"/>
      <c r="BN150" s="16"/>
      <c r="BO150" s="10"/>
      <c r="BP150" s="10"/>
      <c r="BQ150" s="10"/>
      <c r="BR150" s="11"/>
      <c r="BS150" s="12"/>
      <c r="BT150" s="17"/>
      <c r="BU150" s="13"/>
      <c r="BV150" s="13"/>
      <c r="BW150" s="13"/>
      <c r="BX150" s="14"/>
      <c r="BY150" s="9"/>
      <c r="BZ150" s="16"/>
      <c r="CA150" s="10"/>
      <c r="CB150" s="10"/>
      <c r="CC150" s="10"/>
      <c r="CD150" s="11"/>
      <c r="CE150" s="12"/>
      <c r="CF150" s="17"/>
      <c r="CG150" s="13"/>
      <c r="CH150" s="13"/>
      <c r="CI150" s="13"/>
      <c r="CJ150" s="14"/>
      <c r="CK150" s="9"/>
      <c r="CL150" s="16"/>
      <c r="CM150" s="10"/>
      <c r="CN150" s="10"/>
      <c r="CO150" s="10"/>
      <c r="CP150" s="11"/>
      <c r="CQ150" s="12"/>
      <c r="CR150" s="17"/>
      <c r="CS150" s="13"/>
      <c r="CT150" s="13"/>
      <c r="CU150" s="13"/>
      <c r="CV150" s="14"/>
      <c r="CW150" s="9"/>
      <c r="CX150" s="16"/>
      <c r="CY150" s="10"/>
      <c r="CZ150" s="10"/>
      <c r="DA150" s="10"/>
      <c r="DB150" s="11"/>
      <c r="DC150" s="12"/>
      <c r="DD150" s="17"/>
      <c r="DE150" s="13"/>
      <c r="DF150" s="13"/>
      <c r="DG150" s="13"/>
      <c r="DH150" s="14"/>
      <c r="DI150" s="8">
        <f t="shared" si="36"/>
        <v>95</v>
      </c>
      <c r="DJ150" s="8">
        <f t="shared" si="37"/>
        <v>99</v>
      </c>
      <c r="DK150" s="8">
        <f t="shared" si="38"/>
        <v>124</v>
      </c>
      <c r="DL150" s="8">
        <f t="shared" si="39"/>
        <v>61</v>
      </c>
      <c r="DM150" s="8">
        <f t="shared" si="40"/>
        <v>124</v>
      </c>
      <c r="DN150" s="8">
        <f t="shared" si="41"/>
        <v>95</v>
      </c>
      <c r="DO150" s="15">
        <f t="shared" si="42"/>
        <v>9.0205206058187137</v>
      </c>
      <c r="DP150" s="15" t="str">
        <f t="shared" si="43"/>
        <v>OK - No Upgrade</v>
      </c>
      <c r="DQ150" s="15" t="str">
        <f t="shared" si="44"/>
        <v>Need to Balance</v>
      </c>
    </row>
    <row r="151" spans="1:121" ht="15.75" customHeight="1" x14ac:dyDescent="0.25">
      <c r="A151" s="8" t="s">
        <v>1459</v>
      </c>
      <c r="B151" s="8" t="s">
        <v>1713</v>
      </c>
      <c r="C151" s="8" t="s">
        <v>512</v>
      </c>
      <c r="D151" s="8" t="s">
        <v>2119</v>
      </c>
      <c r="E151" s="8" t="s">
        <v>2120</v>
      </c>
      <c r="F151" s="8" t="s">
        <v>56</v>
      </c>
      <c r="G151" s="8"/>
      <c r="H151" s="8">
        <v>1000</v>
      </c>
      <c r="I151" s="8" t="s">
        <v>2121</v>
      </c>
      <c r="J151" s="8">
        <v>1</v>
      </c>
      <c r="K151" s="8">
        <v>241</v>
      </c>
      <c r="L151" s="8">
        <v>242</v>
      </c>
      <c r="M151" s="8">
        <v>242</v>
      </c>
      <c r="N151" s="8">
        <v>420</v>
      </c>
      <c r="O151" s="8">
        <v>421</v>
      </c>
      <c r="P151" s="8">
        <v>420</v>
      </c>
      <c r="Q151" s="9"/>
      <c r="R151" s="16"/>
      <c r="S151" s="10"/>
      <c r="T151" s="10"/>
      <c r="U151" s="10"/>
      <c r="V151" s="11"/>
      <c r="W151" s="12"/>
      <c r="X151" s="17"/>
      <c r="Y151" s="13"/>
      <c r="Z151" s="13"/>
      <c r="AA151" s="13"/>
      <c r="AB151" s="14"/>
      <c r="AC151" s="9"/>
      <c r="AD151" s="16"/>
      <c r="AE151" s="10"/>
      <c r="AF151" s="10"/>
      <c r="AG151" s="10"/>
      <c r="AH151" s="11"/>
      <c r="AI151" s="12"/>
      <c r="AJ151" s="17"/>
      <c r="AK151" s="13"/>
      <c r="AL151" s="13"/>
      <c r="AM151" s="13"/>
      <c r="AN151" s="14"/>
      <c r="AO151" s="9" t="s">
        <v>47</v>
      </c>
      <c r="AP151" s="16"/>
      <c r="AQ151" s="10">
        <v>24</v>
      </c>
      <c r="AR151" s="10">
        <v>17</v>
      </c>
      <c r="AS151" s="10">
        <v>30</v>
      </c>
      <c r="AT151" s="11">
        <v>6</v>
      </c>
      <c r="AU151" s="12" t="s">
        <v>47</v>
      </c>
      <c r="AV151" s="17"/>
      <c r="AW151" s="13">
        <v>20</v>
      </c>
      <c r="AX151" s="13">
        <v>10</v>
      </c>
      <c r="AY151" s="13">
        <v>8</v>
      </c>
      <c r="AZ151" s="14">
        <v>9</v>
      </c>
      <c r="BA151" s="9" t="s">
        <v>47</v>
      </c>
      <c r="BB151" s="16"/>
      <c r="BC151" s="10">
        <v>14</v>
      </c>
      <c r="BD151" s="10">
        <v>8</v>
      </c>
      <c r="BE151" s="10">
        <v>9</v>
      </c>
      <c r="BF151" s="11">
        <v>7</v>
      </c>
      <c r="BG151" s="12" t="s">
        <v>47</v>
      </c>
      <c r="BH151" s="17"/>
      <c r="BI151" s="13">
        <v>10</v>
      </c>
      <c r="BJ151" s="13">
        <v>5</v>
      </c>
      <c r="BK151" s="13">
        <v>3</v>
      </c>
      <c r="BL151" s="14">
        <v>6</v>
      </c>
      <c r="BM151" s="9"/>
      <c r="BN151" s="16"/>
      <c r="BO151" s="10"/>
      <c r="BP151" s="10"/>
      <c r="BQ151" s="10"/>
      <c r="BR151" s="11"/>
      <c r="BS151" s="12"/>
      <c r="BT151" s="17"/>
      <c r="BU151" s="13"/>
      <c r="BV151" s="13"/>
      <c r="BW151" s="13"/>
      <c r="BX151" s="14"/>
      <c r="BY151" s="9"/>
      <c r="BZ151" s="16"/>
      <c r="CA151" s="10"/>
      <c r="CB151" s="10"/>
      <c r="CC151" s="10"/>
      <c r="CD151" s="11"/>
      <c r="CE151" s="12"/>
      <c r="CF151" s="17"/>
      <c r="CG151" s="13"/>
      <c r="CH151" s="13"/>
      <c r="CI151" s="13"/>
      <c r="CJ151" s="14"/>
      <c r="CK151" s="9"/>
      <c r="CL151" s="16"/>
      <c r="CM151" s="10"/>
      <c r="CN151" s="10"/>
      <c r="CO151" s="10"/>
      <c r="CP151" s="11"/>
      <c r="CQ151" s="12"/>
      <c r="CR151" s="17"/>
      <c r="CS151" s="13"/>
      <c r="CT151" s="13"/>
      <c r="CU151" s="13"/>
      <c r="CV151" s="14"/>
      <c r="CW151" s="9"/>
      <c r="CX151" s="16"/>
      <c r="CY151" s="10"/>
      <c r="CZ151" s="10"/>
      <c r="DA151" s="10"/>
      <c r="DB151" s="11"/>
      <c r="DC151" s="12"/>
      <c r="DD151" s="17"/>
      <c r="DE151" s="13"/>
      <c r="DF151" s="13"/>
      <c r="DG151" s="13"/>
      <c r="DH151" s="14"/>
      <c r="DI151" s="8">
        <f t="shared" si="36"/>
        <v>68</v>
      </c>
      <c r="DJ151" s="8">
        <f t="shared" si="37"/>
        <v>40</v>
      </c>
      <c r="DK151" s="8">
        <f t="shared" si="38"/>
        <v>50</v>
      </c>
      <c r="DL151" s="8">
        <f t="shared" si="39"/>
        <v>28</v>
      </c>
      <c r="DM151" s="8">
        <f t="shared" si="40"/>
        <v>68</v>
      </c>
      <c r="DN151" s="8">
        <f t="shared" si="41"/>
        <v>40</v>
      </c>
      <c r="DO151" s="15">
        <f t="shared" si="42"/>
        <v>4.9467371064167134</v>
      </c>
      <c r="DP151" s="15" t="str">
        <f t="shared" si="43"/>
        <v>OK - No Upgrade</v>
      </c>
      <c r="DQ151" s="15" t="str">
        <f t="shared" si="44"/>
        <v>Need to Balance</v>
      </c>
    </row>
    <row r="152" spans="1:121" ht="15.75" customHeight="1" x14ac:dyDescent="0.25">
      <c r="A152" s="8" t="s">
        <v>1459</v>
      </c>
      <c r="B152" s="8" t="s">
        <v>1713</v>
      </c>
      <c r="C152" s="8" t="s">
        <v>512</v>
      </c>
      <c r="D152" s="8" t="s">
        <v>2122</v>
      </c>
      <c r="E152" s="8" t="s">
        <v>2123</v>
      </c>
      <c r="F152" s="8" t="s">
        <v>43</v>
      </c>
      <c r="G152" s="8"/>
      <c r="H152" s="8">
        <v>100</v>
      </c>
      <c r="I152" s="8" t="s">
        <v>2124</v>
      </c>
      <c r="J152" s="8">
        <v>1</v>
      </c>
      <c r="K152" s="8">
        <v>243</v>
      </c>
      <c r="L152" s="8">
        <v>243</v>
      </c>
      <c r="M152" s="8">
        <v>244</v>
      </c>
      <c r="N152" s="8">
        <v>424</v>
      </c>
      <c r="O152" s="8">
        <v>422</v>
      </c>
      <c r="P152" s="8">
        <v>422</v>
      </c>
      <c r="Q152" s="9" t="s">
        <v>47</v>
      </c>
      <c r="R152" s="16"/>
      <c r="S152" s="10">
        <v>11</v>
      </c>
      <c r="T152" s="10">
        <v>0</v>
      </c>
      <c r="U152" s="10">
        <v>2</v>
      </c>
      <c r="V152" s="11">
        <v>10</v>
      </c>
      <c r="W152" s="12"/>
      <c r="X152" s="17"/>
      <c r="Y152" s="13"/>
      <c r="Z152" s="13"/>
      <c r="AA152" s="13"/>
      <c r="AB152" s="14"/>
      <c r="AC152" s="9"/>
      <c r="AD152" s="16"/>
      <c r="AE152" s="10"/>
      <c r="AF152" s="10"/>
      <c r="AG152" s="10"/>
      <c r="AH152" s="11"/>
      <c r="AI152" s="12"/>
      <c r="AJ152" s="17"/>
      <c r="AK152" s="13"/>
      <c r="AL152" s="13"/>
      <c r="AM152" s="13"/>
      <c r="AN152" s="14"/>
      <c r="AO152" s="9"/>
      <c r="AP152" s="16"/>
      <c r="AQ152" s="10"/>
      <c r="AR152" s="10"/>
      <c r="AS152" s="10"/>
      <c r="AT152" s="11"/>
      <c r="AU152" s="12"/>
      <c r="AV152" s="17"/>
      <c r="AW152" s="13"/>
      <c r="AX152" s="13"/>
      <c r="AY152" s="13"/>
      <c r="AZ152" s="14"/>
      <c r="BA152" s="9"/>
      <c r="BB152" s="16"/>
      <c r="BC152" s="10"/>
      <c r="BD152" s="10"/>
      <c r="BE152" s="10"/>
      <c r="BF152" s="11"/>
      <c r="BG152" s="12"/>
      <c r="BH152" s="17"/>
      <c r="BI152" s="13"/>
      <c r="BJ152" s="13"/>
      <c r="BK152" s="13"/>
      <c r="BL152" s="14"/>
      <c r="BM152" s="9"/>
      <c r="BN152" s="16"/>
      <c r="BO152" s="10"/>
      <c r="BP152" s="10"/>
      <c r="BQ152" s="10"/>
      <c r="BR152" s="11"/>
      <c r="BS152" s="12"/>
      <c r="BT152" s="17"/>
      <c r="BU152" s="13"/>
      <c r="BV152" s="13"/>
      <c r="BW152" s="13"/>
      <c r="BX152" s="14"/>
      <c r="BY152" s="9"/>
      <c r="BZ152" s="16"/>
      <c r="CA152" s="10"/>
      <c r="CB152" s="10"/>
      <c r="CC152" s="10"/>
      <c r="CD152" s="11"/>
      <c r="CE152" s="12"/>
      <c r="CF152" s="17"/>
      <c r="CG152" s="13"/>
      <c r="CH152" s="13"/>
      <c r="CI152" s="13"/>
      <c r="CJ152" s="14"/>
      <c r="CK152" s="9"/>
      <c r="CL152" s="16"/>
      <c r="CM152" s="10"/>
      <c r="CN152" s="10"/>
      <c r="CO152" s="10"/>
      <c r="CP152" s="11"/>
      <c r="CQ152" s="12"/>
      <c r="CR152" s="17"/>
      <c r="CS152" s="13"/>
      <c r="CT152" s="13"/>
      <c r="CU152" s="13"/>
      <c r="CV152" s="14"/>
      <c r="CW152" s="9"/>
      <c r="CX152" s="16"/>
      <c r="CY152" s="10"/>
      <c r="CZ152" s="10"/>
      <c r="DA152" s="10"/>
      <c r="DB152" s="11"/>
      <c r="DC152" s="12"/>
      <c r="DD152" s="17"/>
      <c r="DE152" s="13"/>
      <c r="DF152" s="13"/>
      <c r="DG152" s="13"/>
      <c r="DH152" s="14"/>
      <c r="DI152" s="8">
        <f t="shared" si="36"/>
        <v>11</v>
      </c>
      <c r="DJ152" s="8">
        <f t="shared" si="37"/>
        <v>0</v>
      </c>
      <c r="DK152" s="8">
        <f t="shared" si="38"/>
        <v>2</v>
      </c>
      <c r="DL152" s="8">
        <f t="shared" si="39"/>
        <v>10</v>
      </c>
      <c r="DM152" s="8">
        <f t="shared" si="40"/>
        <v>11</v>
      </c>
      <c r="DN152" s="8">
        <f t="shared" si="41"/>
        <v>0</v>
      </c>
      <c r="DO152" s="15">
        <f t="shared" si="42"/>
        <v>8.0782849665012435</v>
      </c>
      <c r="DP152" s="15" t="str">
        <f t="shared" si="43"/>
        <v>OK - No Upgrade</v>
      </c>
      <c r="DQ152" s="15" t="str">
        <f t="shared" si="44"/>
        <v>Need to Balance</v>
      </c>
    </row>
    <row r="153" spans="1:121" ht="15.75" customHeight="1" x14ac:dyDescent="0.25">
      <c r="A153" s="8" t="s">
        <v>1459</v>
      </c>
      <c r="B153" s="8" t="s">
        <v>1713</v>
      </c>
      <c r="C153" s="8" t="s">
        <v>512</v>
      </c>
      <c r="D153" s="8" t="s">
        <v>2125</v>
      </c>
      <c r="E153" s="8" t="s">
        <v>2126</v>
      </c>
      <c r="F153" s="8" t="s">
        <v>43</v>
      </c>
      <c r="G153" s="8"/>
      <c r="H153" s="8">
        <v>100</v>
      </c>
      <c r="I153" s="8" t="s">
        <v>2127</v>
      </c>
      <c r="J153" s="8">
        <v>1</v>
      </c>
      <c r="K153" s="8">
        <v>240</v>
      </c>
      <c r="L153" s="8">
        <v>244</v>
      </c>
      <c r="M153" s="8">
        <v>242</v>
      </c>
      <c r="N153" s="8">
        <v>417</v>
      </c>
      <c r="O153" s="8">
        <v>422</v>
      </c>
      <c r="P153" s="8">
        <v>417</v>
      </c>
      <c r="Q153" s="9" t="s">
        <v>46</v>
      </c>
      <c r="R153" s="16"/>
      <c r="S153" s="10">
        <v>57</v>
      </c>
      <c r="T153" s="10">
        <v>22</v>
      </c>
      <c r="U153" s="10">
        <v>36</v>
      </c>
      <c r="V153" s="11">
        <v>28</v>
      </c>
      <c r="W153" s="12"/>
      <c r="X153" s="17"/>
      <c r="Y153" s="13"/>
      <c r="Z153" s="13"/>
      <c r="AA153" s="13"/>
      <c r="AB153" s="14"/>
      <c r="AC153" s="9"/>
      <c r="AD153" s="16"/>
      <c r="AE153" s="10"/>
      <c r="AF153" s="10"/>
      <c r="AG153" s="10"/>
      <c r="AH153" s="11"/>
      <c r="AI153" s="12"/>
      <c r="AJ153" s="17"/>
      <c r="AK153" s="13"/>
      <c r="AL153" s="13"/>
      <c r="AM153" s="13"/>
      <c r="AN153" s="14"/>
      <c r="AO153" s="9"/>
      <c r="AP153" s="16"/>
      <c r="AQ153" s="10"/>
      <c r="AR153" s="10"/>
      <c r="AS153" s="10"/>
      <c r="AT153" s="11"/>
      <c r="AU153" s="12"/>
      <c r="AV153" s="17"/>
      <c r="AW153" s="13"/>
      <c r="AX153" s="13"/>
      <c r="AY153" s="13"/>
      <c r="AZ153" s="14"/>
      <c r="BA153" s="9"/>
      <c r="BB153" s="16"/>
      <c r="BC153" s="10"/>
      <c r="BD153" s="10"/>
      <c r="BE153" s="10"/>
      <c r="BF153" s="11"/>
      <c r="BG153" s="12"/>
      <c r="BH153" s="17"/>
      <c r="BI153" s="13"/>
      <c r="BJ153" s="13"/>
      <c r="BK153" s="13"/>
      <c r="BL153" s="14"/>
      <c r="BM153" s="9"/>
      <c r="BN153" s="16"/>
      <c r="BO153" s="10"/>
      <c r="BP153" s="10"/>
      <c r="BQ153" s="10"/>
      <c r="BR153" s="11"/>
      <c r="BS153" s="12"/>
      <c r="BT153" s="17"/>
      <c r="BU153" s="13"/>
      <c r="BV153" s="13"/>
      <c r="BW153" s="13"/>
      <c r="BX153" s="14"/>
      <c r="BY153" s="9"/>
      <c r="BZ153" s="16"/>
      <c r="CA153" s="10"/>
      <c r="CB153" s="10"/>
      <c r="CC153" s="10"/>
      <c r="CD153" s="11"/>
      <c r="CE153" s="12"/>
      <c r="CF153" s="17"/>
      <c r="CG153" s="13"/>
      <c r="CH153" s="13"/>
      <c r="CI153" s="13"/>
      <c r="CJ153" s="14"/>
      <c r="CK153" s="9"/>
      <c r="CL153" s="16"/>
      <c r="CM153" s="10"/>
      <c r="CN153" s="10"/>
      <c r="CO153" s="10"/>
      <c r="CP153" s="11"/>
      <c r="CQ153" s="12"/>
      <c r="CR153" s="17"/>
      <c r="CS153" s="13"/>
      <c r="CT153" s="13"/>
      <c r="CU153" s="13"/>
      <c r="CV153" s="14"/>
      <c r="CW153" s="9"/>
      <c r="CX153" s="16"/>
      <c r="CY153" s="10"/>
      <c r="CZ153" s="10"/>
      <c r="DA153" s="10"/>
      <c r="DB153" s="11"/>
      <c r="DC153" s="12"/>
      <c r="DD153" s="17"/>
      <c r="DE153" s="13"/>
      <c r="DF153" s="13"/>
      <c r="DG153" s="13"/>
      <c r="DH153" s="14"/>
      <c r="DI153" s="8">
        <f t="shared" si="36"/>
        <v>57</v>
      </c>
      <c r="DJ153" s="8">
        <f t="shared" si="37"/>
        <v>22</v>
      </c>
      <c r="DK153" s="8">
        <f t="shared" si="38"/>
        <v>36</v>
      </c>
      <c r="DL153" s="8">
        <f t="shared" si="39"/>
        <v>28</v>
      </c>
      <c r="DM153" s="8">
        <f t="shared" si="40"/>
        <v>57</v>
      </c>
      <c r="DN153" s="8">
        <f t="shared" si="41"/>
        <v>22</v>
      </c>
      <c r="DO153" s="15">
        <f t="shared" si="42"/>
        <v>41.16911564510464</v>
      </c>
      <c r="DP153" s="15" t="str">
        <f t="shared" si="43"/>
        <v>OK - No Upgrade</v>
      </c>
      <c r="DQ153" s="15" t="str">
        <f t="shared" si="44"/>
        <v>Need to Balance</v>
      </c>
    </row>
    <row r="154" spans="1:121" ht="15.75" customHeight="1" x14ac:dyDescent="0.25">
      <c r="A154" s="8" t="s">
        <v>1459</v>
      </c>
      <c r="B154" s="8" t="s">
        <v>1713</v>
      </c>
      <c r="C154" s="8" t="s">
        <v>512</v>
      </c>
      <c r="D154" s="8" t="s">
        <v>2128</v>
      </c>
      <c r="E154" s="8" t="s">
        <v>2129</v>
      </c>
      <c r="F154" s="8" t="s">
        <v>43</v>
      </c>
      <c r="G154" s="8"/>
      <c r="H154" s="8">
        <v>200</v>
      </c>
      <c r="I154" s="8" t="s">
        <v>2130</v>
      </c>
      <c r="J154" s="8">
        <v>1</v>
      </c>
      <c r="K154" s="8">
        <v>238</v>
      </c>
      <c r="L154" s="8">
        <v>240</v>
      </c>
      <c r="M154" s="8">
        <v>238</v>
      </c>
      <c r="N154" s="8">
        <v>411</v>
      </c>
      <c r="O154" s="8">
        <v>415</v>
      </c>
      <c r="P154" s="8">
        <v>412</v>
      </c>
      <c r="Q154" s="9" t="s">
        <v>46</v>
      </c>
      <c r="R154" s="16"/>
      <c r="S154" s="10">
        <v>32</v>
      </c>
      <c r="T154" s="10">
        <v>11</v>
      </c>
      <c r="U154" s="10">
        <v>51</v>
      </c>
      <c r="V154" s="11">
        <v>35</v>
      </c>
      <c r="W154" s="12" t="s">
        <v>46</v>
      </c>
      <c r="X154" s="17"/>
      <c r="Y154" s="13">
        <v>0</v>
      </c>
      <c r="Z154" s="13">
        <v>0</v>
      </c>
      <c r="AA154" s="13">
        <v>0</v>
      </c>
      <c r="AB154" s="14">
        <v>0</v>
      </c>
      <c r="AC154" s="9"/>
      <c r="AD154" s="16"/>
      <c r="AE154" s="10"/>
      <c r="AF154" s="10"/>
      <c r="AG154" s="10"/>
      <c r="AH154" s="11"/>
      <c r="AI154" s="12"/>
      <c r="AJ154" s="17"/>
      <c r="AK154" s="13"/>
      <c r="AL154" s="13"/>
      <c r="AM154" s="13"/>
      <c r="AN154" s="14"/>
      <c r="AO154" s="9"/>
      <c r="AP154" s="16"/>
      <c r="AQ154" s="10"/>
      <c r="AR154" s="10"/>
      <c r="AS154" s="10"/>
      <c r="AT154" s="11"/>
      <c r="AU154" s="12"/>
      <c r="AV154" s="17"/>
      <c r="AW154" s="13"/>
      <c r="AX154" s="13"/>
      <c r="AY154" s="13"/>
      <c r="AZ154" s="14"/>
      <c r="BA154" s="9"/>
      <c r="BB154" s="16"/>
      <c r="BC154" s="10"/>
      <c r="BD154" s="10"/>
      <c r="BE154" s="10"/>
      <c r="BF154" s="11"/>
      <c r="BG154" s="12"/>
      <c r="BH154" s="17"/>
      <c r="BI154" s="13"/>
      <c r="BJ154" s="13"/>
      <c r="BK154" s="13"/>
      <c r="BL154" s="14"/>
      <c r="BM154" s="9"/>
      <c r="BN154" s="16"/>
      <c r="BO154" s="10"/>
      <c r="BP154" s="10"/>
      <c r="BQ154" s="10"/>
      <c r="BR154" s="11"/>
      <c r="BS154" s="12"/>
      <c r="BT154" s="17"/>
      <c r="BU154" s="13"/>
      <c r="BV154" s="13"/>
      <c r="BW154" s="13"/>
      <c r="BX154" s="14"/>
      <c r="BY154" s="9"/>
      <c r="BZ154" s="16"/>
      <c r="CA154" s="10"/>
      <c r="CB154" s="10"/>
      <c r="CC154" s="10"/>
      <c r="CD154" s="11"/>
      <c r="CE154" s="12"/>
      <c r="CF154" s="17"/>
      <c r="CG154" s="13"/>
      <c r="CH154" s="13"/>
      <c r="CI154" s="13"/>
      <c r="CJ154" s="14"/>
      <c r="CK154" s="9"/>
      <c r="CL154" s="16"/>
      <c r="CM154" s="10"/>
      <c r="CN154" s="10"/>
      <c r="CO154" s="10"/>
      <c r="CP154" s="11"/>
      <c r="CQ154" s="12"/>
      <c r="CR154" s="17"/>
      <c r="CS154" s="13"/>
      <c r="CT154" s="13"/>
      <c r="CU154" s="13"/>
      <c r="CV154" s="14"/>
      <c r="CW154" s="9"/>
      <c r="CX154" s="16"/>
      <c r="CY154" s="10"/>
      <c r="CZ154" s="10"/>
      <c r="DA154" s="10"/>
      <c r="DB154" s="11"/>
      <c r="DC154" s="12"/>
      <c r="DD154" s="17"/>
      <c r="DE154" s="13"/>
      <c r="DF154" s="13"/>
      <c r="DG154" s="13"/>
      <c r="DH154" s="14"/>
      <c r="DI154" s="8">
        <f t="shared" si="36"/>
        <v>32</v>
      </c>
      <c r="DJ154" s="8">
        <f t="shared" si="37"/>
        <v>11</v>
      </c>
      <c r="DK154" s="8">
        <f t="shared" si="38"/>
        <v>51</v>
      </c>
      <c r="DL154" s="8">
        <f t="shared" si="39"/>
        <v>35</v>
      </c>
      <c r="DM154" s="8">
        <f t="shared" si="40"/>
        <v>51</v>
      </c>
      <c r="DN154" s="8">
        <f t="shared" si="41"/>
        <v>11</v>
      </c>
      <c r="DO154" s="15">
        <f t="shared" si="42"/>
        <v>18.152758488725613</v>
      </c>
      <c r="DP154" s="15" t="str">
        <f t="shared" si="43"/>
        <v>OK - No Upgrade</v>
      </c>
      <c r="DQ154" s="15" t="str">
        <f t="shared" si="44"/>
        <v>Need to Balance</v>
      </c>
    </row>
    <row r="155" spans="1:121" ht="15.75" customHeight="1" x14ac:dyDescent="0.25">
      <c r="A155" s="8" t="s">
        <v>1459</v>
      </c>
      <c r="B155" s="8" t="s">
        <v>1713</v>
      </c>
      <c r="C155" s="8" t="s">
        <v>512</v>
      </c>
      <c r="D155" s="8" t="s">
        <v>2128</v>
      </c>
      <c r="E155" s="8" t="s">
        <v>2131</v>
      </c>
      <c r="F155" s="8" t="s">
        <v>43</v>
      </c>
      <c r="G155" s="8"/>
      <c r="H155" s="8">
        <v>315</v>
      </c>
      <c r="I155" s="8" t="s">
        <v>2132</v>
      </c>
      <c r="J155" s="8">
        <v>1</v>
      </c>
      <c r="K155" s="8">
        <v>245</v>
      </c>
      <c r="L155" s="8">
        <v>246</v>
      </c>
      <c r="M155" s="8">
        <v>247</v>
      </c>
      <c r="N155" s="8">
        <v>425</v>
      </c>
      <c r="O155" s="8">
        <v>427</v>
      </c>
      <c r="P155" s="8">
        <v>424</v>
      </c>
      <c r="Q155" s="9"/>
      <c r="R155" s="16"/>
      <c r="S155" s="10">
        <v>70</v>
      </c>
      <c r="T155" s="10">
        <v>130</v>
      </c>
      <c r="U155" s="10">
        <v>60</v>
      </c>
      <c r="V155" s="11">
        <v>56</v>
      </c>
      <c r="W155" s="12" t="s">
        <v>47</v>
      </c>
      <c r="X155" s="17"/>
      <c r="Y155" s="13">
        <v>82</v>
      </c>
      <c r="Z155" s="13">
        <v>45</v>
      </c>
      <c r="AA155" s="13">
        <v>20</v>
      </c>
      <c r="AB155" s="14">
        <v>47</v>
      </c>
      <c r="AC155" s="9"/>
      <c r="AD155" s="16"/>
      <c r="AE155" s="10"/>
      <c r="AF155" s="10"/>
      <c r="AG155" s="10"/>
      <c r="AH155" s="11"/>
      <c r="AI155" s="12"/>
      <c r="AJ155" s="17"/>
      <c r="AK155" s="13"/>
      <c r="AL155" s="13"/>
      <c r="AM155" s="13"/>
      <c r="AN155" s="14"/>
      <c r="AO155" s="9"/>
      <c r="AP155" s="16"/>
      <c r="AQ155" s="10"/>
      <c r="AR155" s="10"/>
      <c r="AS155" s="10"/>
      <c r="AT155" s="11"/>
      <c r="AU155" s="12"/>
      <c r="AV155" s="17"/>
      <c r="AW155" s="13"/>
      <c r="AX155" s="13"/>
      <c r="AY155" s="13"/>
      <c r="AZ155" s="14"/>
      <c r="BA155" s="9"/>
      <c r="BB155" s="16"/>
      <c r="BC155" s="10"/>
      <c r="BD155" s="10"/>
      <c r="BE155" s="10"/>
      <c r="BF155" s="11"/>
      <c r="BG155" s="12"/>
      <c r="BH155" s="17"/>
      <c r="BI155" s="13"/>
      <c r="BJ155" s="13"/>
      <c r="BK155" s="13"/>
      <c r="BL155" s="14"/>
      <c r="BM155" s="9"/>
      <c r="BN155" s="16"/>
      <c r="BO155" s="10"/>
      <c r="BP155" s="10"/>
      <c r="BQ155" s="10"/>
      <c r="BR155" s="11"/>
      <c r="BS155" s="12"/>
      <c r="BT155" s="17"/>
      <c r="BU155" s="13"/>
      <c r="BV155" s="13"/>
      <c r="BW155" s="13"/>
      <c r="BX155" s="14"/>
      <c r="BY155" s="9"/>
      <c r="BZ155" s="16"/>
      <c r="CA155" s="10"/>
      <c r="CB155" s="10"/>
      <c r="CC155" s="10"/>
      <c r="CD155" s="11"/>
      <c r="CE155" s="12"/>
      <c r="CF155" s="17"/>
      <c r="CG155" s="13"/>
      <c r="CH155" s="13"/>
      <c r="CI155" s="13"/>
      <c r="CJ155" s="14"/>
      <c r="CK155" s="9"/>
      <c r="CL155" s="16"/>
      <c r="CM155" s="10"/>
      <c r="CN155" s="10"/>
      <c r="CO155" s="10"/>
      <c r="CP155" s="11"/>
      <c r="CQ155" s="12"/>
      <c r="CR155" s="17"/>
      <c r="CS155" s="13"/>
      <c r="CT155" s="13"/>
      <c r="CU155" s="13"/>
      <c r="CV155" s="14"/>
      <c r="CW155" s="9"/>
      <c r="CX155" s="16"/>
      <c r="CY155" s="10"/>
      <c r="CZ155" s="10"/>
      <c r="DA155" s="10"/>
      <c r="DB155" s="11"/>
      <c r="DC155" s="12"/>
      <c r="DD155" s="17"/>
      <c r="DE155" s="13"/>
      <c r="DF155" s="13"/>
      <c r="DG155" s="13"/>
      <c r="DH155" s="14"/>
      <c r="DI155" s="8">
        <f t="shared" si="36"/>
        <v>152</v>
      </c>
      <c r="DJ155" s="8">
        <f t="shared" si="37"/>
        <v>175</v>
      </c>
      <c r="DK155" s="8">
        <f t="shared" si="38"/>
        <v>80</v>
      </c>
      <c r="DL155" s="8">
        <f t="shared" si="39"/>
        <v>103</v>
      </c>
      <c r="DM155" s="8">
        <f t="shared" si="40"/>
        <v>175</v>
      </c>
      <c r="DN155" s="8">
        <f t="shared" si="41"/>
        <v>80</v>
      </c>
      <c r="DO155" s="15">
        <f t="shared" si="42"/>
        <v>40.895644067598489</v>
      </c>
      <c r="DP155" s="15" t="str">
        <f t="shared" si="43"/>
        <v>OK - No Upgrade</v>
      </c>
      <c r="DQ155" s="15" t="str">
        <f t="shared" si="44"/>
        <v>Need to Balance</v>
      </c>
    </row>
    <row r="156" spans="1:121" ht="15.75" customHeight="1" x14ac:dyDescent="0.25">
      <c r="A156" s="8" t="s">
        <v>1459</v>
      </c>
      <c r="B156" s="8" t="s">
        <v>1713</v>
      </c>
      <c r="C156" s="8" t="s">
        <v>512</v>
      </c>
      <c r="D156" s="8" t="s">
        <v>2128</v>
      </c>
      <c r="E156" s="8" t="s">
        <v>2133</v>
      </c>
      <c r="F156" s="8" t="s">
        <v>43</v>
      </c>
      <c r="G156" s="8"/>
      <c r="H156" s="8">
        <v>100</v>
      </c>
      <c r="I156" s="8" t="s">
        <v>2134</v>
      </c>
      <c r="J156" s="8">
        <v>1</v>
      </c>
      <c r="K156" s="8">
        <v>242</v>
      </c>
      <c r="L156" s="8">
        <v>244</v>
      </c>
      <c r="M156" s="8">
        <v>243</v>
      </c>
      <c r="N156" s="8">
        <v>420</v>
      </c>
      <c r="O156" s="8">
        <v>423</v>
      </c>
      <c r="P156" s="8">
        <v>420</v>
      </c>
      <c r="Q156" s="9" t="s">
        <v>47</v>
      </c>
      <c r="R156" s="16"/>
      <c r="S156" s="10">
        <v>4</v>
      </c>
      <c r="T156" s="10">
        <v>3</v>
      </c>
      <c r="U156" s="10">
        <v>5</v>
      </c>
      <c r="V156" s="11">
        <v>4</v>
      </c>
      <c r="W156" s="12"/>
      <c r="X156" s="17"/>
      <c r="Y156" s="13"/>
      <c r="Z156" s="13"/>
      <c r="AA156" s="13"/>
      <c r="AB156" s="14"/>
      <c r="AC156" s="9"/>
      <c r="AD156" s="16"/>
      <c r="AE156" s="10"/>
      <c r="AF156" s="10"/>
      <c r="AG156" s="10"/>
      <c r="AH156" s="11"/>
      <c r="AI156" s="12"/>
      <c r="AJ156" s="17"/>
      <c r="AK156" s="13"/>
      <c r="AL156" s="13"/>
      <c r="AM156" s="13"/>
      <c r="AN156" s="14"/>
      <c r="AO156" s="9"/>
      <c r="AP156" s="16"/>
      <c r="AQ156" s="10"/>
      <c r="AR156" s="10"/>
      <c r="AS156" s="10"/>
      <c r="AT156" s="11"/>
      <c r="AU156" s="12"/>
      <c r="AV156" s="17"/>
      <c r="AW156" s="13"/>
      <c r="AX156" s="13"/>
      <c r="AY156" s="13"/>
      <c r="AZ156" s="14"/>
      <c r="BA156" s="9"/>
      <c r="BB156" s="16"/>
      <c r="BC156" s="10"/>
      <c r="BD156" s="10"/>
      <c r="BE156" s="10"/>
      <c r="BF156" s="11"/>
      <c r="BG156" s="12"/>
      <c r="BH156" s="17"/>
      <c r="BI156" s="13"/>
      <c r="BJ156" s="13"/>
      <c r="BK156" s="13"/>
      <c r="BL156" s="14"/>
      <c r="BM156" s="9"/>
      <c r="BN156" s="16"/>
      <c r="BO156" s="10"/>
      <c r="BP156" s="10"/>
      <c r="BQ156" s="10"/>
      <c r="BR156" s="11"/>
      <c r="BS156" s="12"/>
      <c r="BT156" s="17"/>
      <c r="BU156" s="13"/>
      <c r="BV156" s="13"/>
      <c r="BW156" s="13"/>
      <c r="BX156" s="14"/>
      <c r="BY156" s="9"/>
      <c r="BZ156" s="16"/>
      <c r="CA156" s="10"/>
      <c r="CB156" s="10"/>
      <c r="CC156" s="10"/>
      <c r="CD156" s="11"/>
      <c r="CE156" s="12"/>
      <c r="CF156" s="17"/>
      <c r="CG156" s="13"/>
      <c r="CH156" s="13"/>
      <c r="CI156" s="13"/>
      <c r="CJ156" s="14"/>
      <c r="CK156" s="9"/>
      <c r="CL156" s="16"/>
      <c r="CM156" s="10"/>
      <c r="CN156" s="10"/>
      <c r="CO156" s="10"/>
      <c r="CP156" s="11"/>
      <c r="CQ156" s="12"/>
      <c r="CR156" s="17"/>
      <c r="CS156" s="13"/>
      <c r="CT156" s="13"/>
      <c r="CU156" s="13"/>
      <c r="CV156" s="14"/>
      <c r="CW156" s="9"/>
      <c r="CX156" s="16"/>
      <c r="CY156" s="10"/>
      <c r="CZ156" s="10"/>
      <c r="DA156" s="10"/>
      <c r="DB156" s="11"/>
      <c r="DC156" s="12"/>
      <c r="DD156" s="17"/>
      <c r="DE156" s="13"/>
      <c r="DF156" s="13"/>
      <c r="DG156" s="13"/>
      <c r="DH156" s="14"/>
      <c r="DI156" s="8">
        <f t="shared" si="36"/>
        <v>4</v>
      </c>
      <c r="DJ156" s="8">
        <f t="shared" si="37"/>
        <v>3</v>
      </c>
      <c r="DK156" s="8">
        <f t="shared" si="38"/>
        <v>5</v>
      </c>
      <c r="DL156" s="8">
        <f t="shared" si="39"/>
        <v>4</v>
      </c>
      <c r="DM156" s="8">
        <f t="shared" si="40"/>
        <v>5</v>
      </c>
      <c r="DN156" s="8">
        <f t="shared" si="41"/>
        <v>3</v>
      </c>
      <c r="DO156" s="15">
        <f t="shared" si="42"/>
        <v>3.6373066958946416</v>
      </c>
      <c r="DP156" s="15" t="str">
        <f t="shared" si="43"/>
        <v>OK - No Upgrade</v>
      </c>
      <c r="DQ156" s="15" t="str">
        <f t="shared" si="44"/>
        <v>Need to Balance</v>
      </c>
    </row>
    <row r="157" spans="1:121" ht="15.75" customHeight="1" x14ac:dyDescent="0.25">
      <c r="A157" s="8" t="s">
        <v>1459</v>
      </c>
      <c r="B157" s="8" t="s">
        <v>1713</v>
      </c>
      <c r="C157" s="8" t="s">
        <v>512</v>
      </c>
      <c r="D157" s="8" t="s">
        <v>2135</v>
      </c>
      <c r="E157" s="8" t="s">
        <v>2136</v>
      </c>
      <c r="F157" s="8" t="s">
        <v>43</v>
      </c>
      <c r="G157" s="8"/>
      <c r="H157" s="8">
        <v>100</v>
      </c>
      <c r="I157" s="8" t="s">
        <v>2137</v>
      </c>
      <c r="J157" s="8">
        <v>1</v>
      </c>
      <c r="K157" s="8">
        <v>244</v>
      </c>
      <c r="L157" s="8">
        <v>246</v>
      </c>
      <c r="M157" s="8">
        <v>244</v>
      </c>
      <c r="N157" s="8">
        <v>422</v>
      </c>
      <c r="O157" s="8">
        <v>425</v>
      </c>
      <c r="P157" s="8">
        <v>423</v>
      </c>
      <c r="Q157" s="9" t="s">
        <v>46</v>
      </c>
      <c r="R157" s="16"/>
      <c r="S157" s="10">
        <v>45</v>
      </c>
      <c r="T157" s="10">
        <v>20</v>
      </c>
      <c r="U157" s="10">
        <v>40</v>
      </c>
      <c r="V157" s="11">
        <v>30</v>
      </c>
      <c r="W157" s="12" t="s">
        <v>47</v>
      </c>
      <c r="X157" s="17"/>
      <c r="Y157" s="13">
        <v>57</v>
      </c>
      <c r="Z157" s="13">
        <v>40</v>
      </c>
      <c r="AA157" s="13">
        <v>45</v>
      </c>
      <c r="AB157" s="14">
        <v>22</v>
      </c>
      <c r="AC157" s="9"/>
      <c r="AD157" s="16"/>
      <c r="AE157" s="10"/>
      <c r="AF157" s="10"/>
      <c r="AG157" s="10"/>
      <c r="AH157" s="11"/>
      <c r="AI157" s="12"/>
      <c r="AJ157" s="17"/>
      <c r="AK157" s="13"/>
      <c r="AL157" s="13"/>
      <c r="AM157" s="13"/>
      <c r="AN157" s="14"/>
      <c r="AO157" s="9"/>
      <c r="AP157" s="16"/>
      <c r="AQ157" s="10"/>
      <c r="AR157" s="10"/>
      <c r="AS157" s="10"/>
      <c r="AT157" s="11"/>
      <c r="AU157" s="12"/>
      <c r="AV157" s="17"/>
      <c r="AW157" s="13"/>
      <c r="AX157" s="13"/>
      <c r="AY157" s="13"/>
      <c r="AZ157" s="14"/>
      <c r="BA157" s="9"/>
      <c r="BB157" s="16"/>
      <c r="BC157" s="10"/>
      <c r="BD157" s="10"/>
      <c r="BE157" s="10"/>
      <c r="BF157" s="11"/>
      <c r="BG157" s="12"/>
      <c r="BH157" s="17"/>
      <c r="BI157" s="13"/>
      <c r="BJ157" s="13"/>
      <c r="BK157" s="13"/>
      <c r="BL157" s="14"/>
      <c r="BM157" s="9"/>
      <c r="BN157" s="16"/>
      <c r="BO157" s="10"/>
      <c r="BP157" s="10"/>
      <c r="BQ157" s="10"/>
      <c r="BR157" s="11"/>
      <c r="BS157" s="12"/>
      <c r="BT157" s="17"/>
      <c r="BU157" s="13"/>
      <c r="BV157" s="13"/>
      <c r="BW157" s="13"/>
      <c r="BX157" s="14"/>
      <c r="BY157" s="9"/>
      <c r="BZ157" s="16"/>
      <c r="CA157" s="10"/>
      <c r="CB157" s="10"/>
      <c r="CC157" s="10"/>
      <c r="CD157" s="11"/>
      <c r="CE157" s="12"/>
      <c r="CF157" s="17"/>
      <c r="CG157" s="13"/>
      <c r="CH157" s="13"/>
      <c r="CI157" s="13"/>
      <c r="CJ157" s="14"/>
      <c r="CK157" s="9"/>
      <c r="CL157" s="16"/>
      <c r="CM157" s="10"/>
      <c r="CN157" s="10"/>
      <c r="CO157" s="10"/>
      <c r="CP157" s="11"/>
      <c r="CQ157" s="12"/>
      <c r="CR157" s="17"/>
      <c r="CS157" s="13"/>
      <c r="CT157" s="13"/>
      <c r="CU157" s="13"/>
      <c r="CV157" s="14"/>
      <c r="CW157" s="9"/>
      <c r="CX157" s="16"/>
      <c r="CY157" s="10"/>
      <c r="CZ157" s="10"/>
      <c r="DA157" s="10"/>
      <c r="DB157" s="11"/>
      <c r="DC157" s="12"/>
      <c r="DD157" s="17"/>
      <c r="DE157" s="13"/>
      <c r="DF157" s="13"/>
      <c r="DG157" s="13"/>
      <c r="DH157" s="14"/>
      <c r="DI157" s="8">
        <f t="shared" si="36"/>
        <v>102</v>
      </c>
      <c r="DJ157" s="8">
        <f t="shared" si="37"/>
        <v>60</v>
      </c>
      <c r="DK157" s="8">
        <f t="shared" si="38"/>
        <v>85</v>
      </c>
      <c r="DL157" s="8">
        <f t="shared" si="39"/>
        <v>52</v>
      </c>
      <c r="DM157" s="8">
        <f t="shared" si="40"/>
        <v>102</v>
      </c>
      <c r="DN157" s="8">
        <f t="shared" si="41"/>
        <v>60</v>
      </c>
      <c r="DO157" s="15">
        <f t="shared" si="42"/>
        <v>74.554394960994742</v>
      </c>
      <c r="DP157" s="15" t="str">
        <f t="shared" si="43"/>
        <v>Upgrade</v>
      </c>
      <c r="DQ157" s="15" t="str">
        <f t="shared" si="44"/>
        <v>Need to Balance</v>
      </c>
    </row>
    <row r="158" spans="1:121" ht="15.75" customHeight="1" x14ac:dyDescent="0.25">
      <c r="A158" s="8" t="s">
        <v>1459</v>
      </c>
      <c r="B158" s="8" t="s">
        <v>1713</v>
      </c>
      <c r="C158" s="8" t="s">
        <v>40</v>
      </c>
      <c r="D158" s="8" t="s">
        <v>2138</v>
      </c>
      <c r="E158" s="8" t="s">
        <v>2139</v>
      </c>
      <c r="F158" s="8" t="s">
        <v>56</v>
      </c>
      <c r="G158" s="8"/>
      <c r="H158" s="8">
        <v>500</v>
      </c>
      <c r="I158" s="8"/>
      <c r="J158" s="8">
        <v>1</v>
      </c>
      <c r="K158" s="8"/>
      <c r="L158" s="8"/>
      <c r="M158" s="8"/>
      <c r="N158" s="8"/>
      <c r="O158" s="8"/>
      <c r="P158" s="8"/>
      <c r="Q158" s="9"/>
      <c r="R158" s="16"/>
      <c r="S158" s="10"/>
      <c r="T158" s="10"/>
      <c r="U158" s="10"/>
      <c r="V158" s="11"/>
      <c r="W158" s="12"/>
      <c r="X158" s="17"/>
      <c r="Y158" s="13"/>
      <c r="Z158" s="13"/>
      <c r="AA158" s="13"/>
      <c r="AB158" s="14"/>
      <c r="AC158" s="9"/>
      <c r="AD158" s="16"/>
      <c r="AE158" s="10"/>
      <c r="AF158" s="10"/>
      <c r="AG158" s="10"/>
      <c r="AH158" s="11"/>
      <c r="AI158" s="12"/>
      <c r="AJ158" s="17"/>
      <c r="AK158" s="13"/>
      <c r="AL158" s="13"/>
      <c r="AM158" s="13"/>
      <c r="AN158" s="14"/>
      <c r="AO158" s="9"/>
      <c r="AP158" s="16"/>
      <c r="AQ158" s="10"/>
      <c r="AR158" s="10"/>
      <c r="AS158" s="10"/>
      <c r="AT158" s="11"/>
      <c r="AU158" s="12"/>
      <c r="AV158" s="17"/>
      <c r="AW158" s="13"/>
      <c r="AX158" s="13"/>
      <c r="AY158" s="13"/>
      <c r="AZ158" s="14"/>
      <c r="BA158" s="9"/>
      <c r="BB158" s="16"/>
      <c r="BC158" s="10"/>
      <c r="BD158" s="10"/>
      <c r="BE158" s="10"/>
      <c r="BF158" s="11"/>
      <c r="BG158" s="12"/>
      <c r="BH158" s="17"/>
      <c r="BI158" s="13"/>
      <c r="BJ158" s="13"/>
      <c r="BK158" s="13"/>
      <c r="BL158" s="14"/>
      <c r="BM158" s="9"/>
      <c r="BN158" s="16"/>
      <c r="BO158" s="10"/>
      <c r="BP158" s="10"/>
      <c r="BQ158" s="10"/>
      <c r="BR158" s="11"/>
      <c r="BS158" s="12"/>
      <c r="BT158" s="17"/>
      <c r="BU158" s="13"/>
      <c r="BV158" s="13"/>
      <c r="BW158" s="13"/>
      <c r="BX158" s="14"/>
      <c r="BY158" s="9"/>
      <c r="BZ158" s="16"/>
      <c r="CA158" s="10"/>
      <c r="CB158" s="10"/>
      <c r="CC158" s="10"/>
      <c r="CD158" s="11"/>
      <c r="CE158" s="12"/>
      <c r="CF158" s="17"/>
      <c r="CG158" s="13"/>
      <c r="CH158" s="13"/>
      <c r="CI158" s="13"/>
      <c r="CJ158" s="14"/>
      <c r="CK158" s="9"/>
      <c r="CL158" s="16"/>
      <c r="CM158" s="10"/>
      <c r="CN158" s="10"/>
      <c r="CO158" s="10"/>
      <c r="CP158" s="11"/>
      <c r="CQ158" s="12"/>
      <c r="CR158" s="17"/>
      <c r="CS158" s="13"/>
      <c r="CT158" s="13"/>
      <c r="CU158" s="13"/>
      <c r="CV158" s="14"/>
      <c r="CW158" s="9"/>
      <c r="CX158" s="16"/>
      <c r="CY158" s="10"/>
      <c r="CZ158" s="10"/>
      <c r="DA158" s="10"/>
      <c r="DB158" s="11"/>
      <c r="DC158" s="12"/>
      <c r="DD158" s="17"/>
      <c r="DE158" s="13"/>
      <c r="DF158" s="13"/>
      <c r="DG158" s="13"/>
      <c r="DH158" s="14"/>
      <c r="DI158" s="8">
        <f t="shared" si="36"/>
        <v>0</v>
      </c>
      <c r="DJ158" s="8">
        <f t="shared" si="37"/>
        <v>0</v>
      </c>
      <c r="DK158" s="8">
        <f t="shared" si="38"/>
        <v>0</v>
      </c>
      <c r="DL158" s="8">
        <f t="shared" si="39"/>
        <v>0</v>
      </c>
      <c r="DM158" s="8">
        <f t="shared" si="40"/>
        <v>0</v>
      </c>
      <c r="DN158" s="8">
        <f t="shared" si="41"/>
        <v>0</v>
      </c>
      <c r="DO158" s="15">
        <f t="shared" si="42"/>
        <v>0</v>
      </c>
      <c r="DP158" s="15" t="str">
        <f t="shared" si="43"/>
        <v>OK - No Upgrade</v>
      </c>
      <c r="DQ158" s="15" t="str">
        <f t="shared" si="44"/>
        <v>OK - Balanced</v>
      </c>
    </row>
    <row r="159" spans="1:121" ht="15.75" customHeight="1" x14ac:dyDescent="0.25">
      <c r="A159" s="8" t="s">
        <v>1459</v>
      </c>
      <c r="B159" s="8" t="s">
        <v>1713</v>
      </c>
      <c r="C159" s="8" t="s">
        <v>389</v>
      </c>
      <c r="D159" s="8" t="s">
        <v>2140</v>
      </c>
      <c r="E159" s="8" t="s">
        <v>2141</v>
      </c>
      <c r="F159" s="8" t="s">
        <v>56</v>
      </c>
      <c r="G159" s="8"/>
      <c r="H159" s="8">
        <v>500</v>
      </c>
      <c r="I159" s="8" t="s">
        <v>2142</v>
      </c>
      <c r="J159" s="8">
        <v>1</v>
      </c>
      <c r="K159" s="8">
        <v>237</v>
      </c>
      <c r="L159" s="8">
        <v>237</v>
      </c>
      <c r="M159" s="8">
        <v>235</v>
      </c>
      <c r="N159" s="8">
        <v>410</v>
      </c>
      <c r="O159" s="8">
        <v>411</v>
      </c>
      <c r="P159" s="8">
        <v>409</v>
      </c>
      <c r="Q159" s="9" t="s">
        <v>47</v>
      </c>
      <c r="R159" s="16"/>
      <c r="S159" s="10">
        <v>75</v>
      </c>
      <c r="T159" s="10">
        <v>72</v>
      </c>
      <c r="U159" s="10">
        <v>116</v>
      </c>
      <c r="V159" s="11">
        <v>36</v>
      </c>
      <c r="W159" s="12" t="s">
        <v>47</v>
      </c>
      <c r="X159" s="17"/>
      <c r="Y159" s="13">
        <v>115</v>
      </c>
      <c r="Z159" s="13">
        <v>47</v>
      </c>
      <c r="AA159" s="13">
        <v>35</v>
      </c>
      <c r="AB159" s="14">
        <v>38</v>
      </c>
      <c r="AC159" s="9"/>
      <c r="AD159" s="16"/>
      <c r="AE159" s="10"/>
      <c r="AF159" s="10"/>
      <c r="AG159" s="10"/>
      <c r="AH159" s="11"/>
      <c r="AI159" s="12"/>
      <c r="AJ159" s="17"/>
      <c r="AK159" s="13"/>
      <c r="AL159" s="13"/>
      <c r="AM159" s="13"/>
      <c r="AN159" s="14"/>
      <c r="AO159" s="9"/>
      <c r="AP159" s="16"/>
      <c r="AQ159" s="10"/>
      <c r="AR159" s="10"/>
      <c r="AS159" s="10"/>
      <c r="AT159" s="11"/>
      <c r="AU159" s="12"/>
      <c r="AV159" s="17"/>
      <c r="AW159" s="13"/>
      <c r="AX159" s="13"/>
      <c r="AY159" s="13"/>
      <c r="AZ159" s="14"/>
      <c r="BA159" s="9"/>
      <c r="BB159" s="16"/>
      <c r="BC159" s="10"/>
      <c r="BD159" s="10"/>
      <c r="BE159" s="10"/>
      <c r="BF159" s="11"/>
      <c r="BG159" s="12"/>
      <c r="BH159" s="17"/>
      <c r="BI159" s="13"/>
      <c r="BJ159" s="13"/>
      <c r="BK159" s="13"/>
      <c r="BL159" s="14"/>
      <c r="BM159" s="9"/>
      <c r="BN159" s="16"/>
      <c r="BO159" s="10"/>
      <c r="BP159" s="10"/>
      <c r="BQ159" s="10"/>
      <c r="BR159" s="11"/>
      <c r="BS159" s="12"/>
      <c r="BT159" s="17"/>
      <c r="BU159" s="13"/>
      <c r="BV159" s="13"/>
      <c r="BW159" s="13"/>
      <c r="BX159" s="14"/>
      <c r="BY159" s="9"/>
      <c r="BZ159" s="16"/>
      <c r="CA159" s="10"/>
      <c r="CB159" s="10"/>
      <c r="CC159" s="10"/>
      <c r="CD159" s="11"/>
      <c r="CE159" s="12"/>
      <c r="CF159" s="17"/>
      <c r="CG159" s="13"/>
      <c r="CH159" s="13"/>
      <c r="CI159" s="13"/>
      <c r="CJ159" s="14"/>
      <c r="CK159" s="9"/>
      <c r="CL159" s="16"/>
      <c r="CM159" s="10"/>
      <c r="CN159" s="10"/>
      <c r="CO159" s="10"/>
      <c r="CP159" s="11"/>
      <c r="CQ159" s="12"/>
      <c r="CR159" s="17"/>
      <c r="CS159" s="13"/>
      <c r="CT159" s="13"/>
      <c r="CU159" s="13"/>
      <c r="CV159" s="14"/>
      <c r="CW159" s="9"/>
      <c r="CX159" s="16"/>
      <c r="CY159" s="10"/>
      <c r="CZ159" s="10"/>
      <c r="DA159" s="10"/>
      <c r="DB159" s="11"/>
      <c r="DC159" s="12"/>
      <c r="DD159" s="17"/>
      <c r="DE159" s="13"/>
      <c r="DF159" s="13"/>
      <c r="DG159" s="13"/>
      <c r="DH159" s="14"/>
      <c r="DI159" s="8">
        <f t="shared" si="36"/>
        <v>190</v>
      </c>
      <c r="DJ159" s="8">
        <f t="shared" si="37"/>
        <v>119</v>
      </c>
      <c r="DK159" s="8">
        <f t="shared" si="38"/>
        <v>151</v>
      </c>
      <c r="DL159" s="8">
        <f t="shared" si="39"/>
        <v>74</v>
      </c>
      <c r="DM159" s="8">
        <f t="shared" si="40"/>
        <v>190</v>
      </c>
      <c r="DN159" s="8">
        <f t="shared" si="41"/>
        <v>119</v>
      </c>
      <c r="DO159" s="15">
        <f t="shared" si="42"/>
        <v>26.985351581923105</v>
      </c>
      <c r="DP159" s="15" t="str">
        <f t="shared" si="43"/>
        <v>OK - No Upgrade</v>
      </c>
      <c r="DQ159" s="15" t="str">
        <f t="shared" si="44"/>
        <v>Need to Balance</v>
      </c>
    </row>
    <row r="160" spans="1:121" ht="15.75" customHeight="1" x14ac:dyDescent="0.25">
      <c r="A160" s="8" t="s">
        <v>1459</v>
      </c>
      <c r="B160" s="8" t="s">
        <v>1713</v>
      </c>
      <c r="C160" s="8" t="s">
        <v>389</v>
      </c>
      <c r="D160" s="8" t="s">
        <v>2143</v>
      </c>
      <c r="E160" s="8" t="s">
        <v>2144</v>
      </c>
      <c r="F160" s="8" t="s">
        <v>56</v>
      </c>
      <c r="G160" s="8"/>
      <c r="H160" s="8">
        <v>1000</v>
      </c>
      <c r="I160" s="8" t="s">
        <v>2145</v>
      </c>
      <c r="J160" s="8">
        <v>1</v>
      </c>
      <c r="K160" s="8">
        <v>242</v>
      </c>
      <c r="L160" s="8">
        <v>243</v>
      </c>
      <c r="M160" s="8">
        <v>241</v>
      </c>
      <c r="N160" s="8">
        <v>419</v>
      </c>
      <c r="O160" s="8">
        <v>422</v>
      </c>
      <c r="P160" s="8">
        <v>420</v>
      </c>
      <c r="Q160" s="9" t="s">
        <v>70</v>
      </c>
      <c r="R160" s="16"/>
      <c r="S160" s="10">
        <v>70</v>
      </c>
      <c r="T160" s="10">
        <v>50</v>
      </c>
      <c r="U160" s="10">
        <v>60</v>
      </c>
      <c r="V160" s="11">
        <v>17</v>
      </c>
      <c r="W160" s="12" t="s">
        <v>70</v>
      </c>
      <c r="X160" s="17"/>
      <c r="Y160" s="13">
        <v>137</v>
      </c>
      <c r="Z160" s="13">
        <v>118</v>
      </c>
      <c r="AA160" s="13">
        <v>63</v>
      </c>
      <c r="AB160" s="14">
        <v>58</v>
      </c>
      <c r="AC160" s="9" t="s">
        <v>70</v>
      </c>
      <c r="AD160" s="16"/>
      <c r="AE160" s="10">
        <v>78</v>
      </c>
      <c r="AF160" s="10">
        <v>72</v>
      </c>
      <c r="AG160" s="10">
        <v>92</v>
      </c>
      <c r="AH160" s="11">
        <v>25</v>
      </c>
      <c r="AI160" s="12"/>
      <c r="AJ160" s="17"/>
      <c r="AK160" s="13"/>
      <c r="AL160" s="13"/>
      <c r="AM160" s="13"/>
      <c r="AN160" s="14"/>
      <c r="AO160" s="9"/>
      <c r="AP160" s="16"/>
      <c r="AQ160" s="10"/>
      <c r="AR160" s="10"/>
      <c r="AS160" s="10"/>
      <c r="AT160" s="11"/>
      <c r="AU160" s="12"/>
      <c r="AV160" s="17"/>
      <c r="AW160" s="13"/>
      <c r="AX160" s="13"/>
      <c r="AY160" s="13"/>
      <c r="AZ160" s="14"/>
      <c r="BA160" s="9"/>
      <c r="BB160" s="16"/>
      <c r="BC160" s="10"/>
      <c r="BD160" s="10"/>
      <c r="BE160" s="10"/>
      <c r="BF160" s="11"/>
      <c r="BG160" s="12"/>
      <c r="BH160" s="17"/>
      <c r="BI160" s="13"/>
      <c r="BJ160" s="13"/>
      <c r="BK160" s="13"/>
      <c r="BL160" s="14"/>
      <c r="BM160" s="9"/>
      <c r="BN160" s="16"/>
      <c r="BO160" s="10"/>
      <c r="BP160" s="10"/>
      <c r="BQ160" s="10"/>
      <c r="BR160" s="11"/>
      <c r="BS160" s="12"/>
      <c r="BT160" s="17"/>
      <c r="BU160" s="13"/>
      <c r="BV160" s="13"/>
      <c r="BW160" s="13"/>
      <c r="BX160" s="14"/>
      <c r="BY160" s="9"/>
      <c r="BZ160" s="16"/>
      <c r="CA160" s="10"/>
      <c r="CB160" s="10"/>
      <c r="CC160" s="10"/>
      <c r="CD160" s="11"/>
      <c r="CE160" s="12"/>
      <c r="CF160" s="17"/>
      <c r="CG160" s="13"/>
      <c r="CH160" s="13"/>
      <c r="CI160" s="13"/>
      <c r="CJ160" s="14"/>
      <c r="CK160" s="9"/>
      <c r="CL160" s="16"/>
      <c r="CM160" s="10"/>
      <c r="CN160" s="10"/>
      <c r="CO160" s="10"/>
      <c r="CP160" s="11"/>
      <c r="CQ160" s="12"/>
      <c r="CR160" s="17"/>
      <c r="CS160" s="13"/>
      <c r="CT160" s="13"/>
      <c r="CU160" s="13"/>
      <c r="CV160" s="14"/>
      <c r="CW160" s="9"/>
      <c r="CX160" s="16"/>
      <c r="CY160" s="10"/>
      <c r="CZ160" s="10"/>
      <c r="DA160" s="10"/>
      <c r="DB160" s="11"/>
      <c r="DC160" s="12"/>
      <c r="DD160" s="17"/>
      <c r="DE160" s="13"/>
      <c r="DF160" s="13"/>
      <c r="DG160" s="13"/>
      <c r="DH160" s="14"/>
      <c r="DI160" s="8">
        <f t="shared" si="36"/>
        <v>285</v>
      </c>
      <c r="DJ160" s="8">
        <f t="shared" si="37"/>
        <v>240</v>
      </c>
      <c r="DK160" s="8">
        <f t="shared" si="38"/>
        <v>215</v>
      </c>
      <c r="DL160" s="8">
        <f t="shared" si="39"/>
        <v>100</v>
      </c>
      <c r="DM160" s="8">
        <f t="shared" si="40"/>
        <v>285</v>
      </c>
      <c r="DN160" s="8">
        <f t="shared" si="41"/>
        <v>215</v>
      </c>
      <c r="DO160" s="15">
        <f t="shared" si="42"/>
        <v>20.683284718583746</v>
      </c>
      <c r="DP160" s="15" t="str">
        <f t="shared" si="43"/>
        <v>OK - No Upgrade</v>
      </c>
      <c r="DQ160" s="15" t="str">
        <f t="shared" si="44"/>
        <v>Need to Balance</v>
      </c>
    </row>
    <row r="161" spans="1:121" ht="15.75" customHeight="1" x14ac:dyDescent="0.25">
      <c r="A161" s="8" t="s">
        <v>1459</v>
      </c>
      <c r="B161" s="8" t="s">
        <v>1713</v>
      </c>
      <c r="C161" s="8" t="s">
        <v>394</v>
      </c>
      <c r="D161" s="8" t="s">
        <v>2146</v>
      </c>
      <c r="E161" s="8" t="s">
        <v>2147</v>
      </c>
      <c r="F161" s="8" t="s">
        <v>43</v>
      </c>
      <c r="G161" s="8"/>
      <c r="H161" s="8">
        <v>100</v>
      </c>
      <c r="I161" s="8"/>
      <c r="J161" s="8">
        <v>1</v>
      </c>
      <c r="K161" s="8">
        <v>230</v>
      </c>
      <c r="L161" s="8">
        <v>233</v>
      </c>
      <c r="M161" s="8">
        <v>232</v>
      </c>
      <c r="N161" s="8">
        <v>401</v>
      </c>
      <c r="O161" s="8">
        <v>401</v>
      </c>
      <c r="P161" s="8">
        <v>402</v>
      </c>
      <c r="Q161" s="9"/>
      <c r="R161" s="16"/>
      <c r="S161" s="10"/>
      <c r="T161" s="10"/>
      <c r="U161" s="10"/>
      <c r="V161" s="11"/>
      <c r="W161" s="12"/>
      <c r="X161" s="17"/>
      <c r="Y161" s="13"/>
      <c r="Z161" s="13"/>
      <c r="AA161" s="13"/>
      <c r="AB161" s="14"/>
      <c r="AC161" s="9"/>
      <c r="AD161" s="16"/>
      <c r="AE161" s="10"/>
      <c r="AF161" s="10"/>
      <c r="AG161" s="10"/>
      <c r="AH161" s="11"/>
      <c r="AI161" s="12"/>
      <c r="AJ161" s="17"/>
      <c r="AK161" s="13"/>
      <c r="AL161" s="13"/>
      <c r="AM161" s="13"/>
      <c r="AN161" s="14"/>
      <c r="AO161" s="9"/>
      <c r="AP161" s="16"/>
      <c r="AQ161" s="10"/>
      <c r="AR161" s="10"/>
      <c r="AS161" s="10"/>
      <c r="AT161" s="11"/>
      <c r="AU161" s="12"/>
      <c r="AV161" s="17"/>
      <c r="AW161" s="13"/>
      <c r="AX161" s="13"/>
      <c r="AY161" s="13"/>
      <c r="AZ161" s="14"/>
      <c r="BA161" s="9"/>
      <c r="BB161" s="16"/>
      <c r="BC161" s="10"/>
      <c r="BD161" s="10"/>
      <c r="BE161" s="10"/>
      <c r="BF161" s="11"/>
      <c r="BG161" s="12"/>
      <c r="BH161" s="17"/>
      <c r="BI161" s="13"/>
      <c r="BJ161" s="13"/>
      <c r="BK161" s="13"/>
      <c r="BL161" s="14"/>
      <c r="BM161" s="9"/>
      <c r="BN161" s="16"/>
      <c r="BO161" s="10"/>
      <c r="BP161" s="10"/>
      <c r="BQ161" s="10"/>
      <c r="BR161" s="11"/>
      <c r="BS161" s="12"/>
      <c r="BT161" s="17"/>
      <c r="BU161" s="13"/>
      <c r="BV161" s="13"/>
      <c r="BW161" s="13"/>
      <c r="BX161" s="14"/>
      <c r="BY161" s="9"/>
      <c r="BZ161" s="16"/>
      <c r="CA161" s="10"/>
      <c r="CB161" s="10"/>
      <c r="CC161" s="10"/>
      <c r="CD161" s="11"/>
      <c r="CE161" s="12"/>
      <c r="CF161" s="17"/>
      <c r="CG161" s="13"/>
      <c r="CH161" s="13"/>
      <c r="CI161" s="13"/>
      <c r="CJ161" s="14"/>
      <c r="CK161" s="9"/>
      <c r="CL161" s="16"/>
      <c r="CM161" s="10"/>
      <c r="CN161" s="10"/>
      <c r="CO161" s="10"/>
      <c r="CP161" s="11"/>
      <c r="CQ161" s="12"/>
      <c r="CR161" s="17"/>
      <c r="CS161" s="13"/>
      <c r="CT161" s="13"/>
      <c r="CU161" s="13"/>
      <c r="CV161" s="14"/>
      <c r="CW161" s="9"/>
      <c r="CX161" s="16"/>
      <c r="CY161" s="10"/>
      <c r="CZ161" s="10"/>
      <c r="DA161" s="10"/>
      <c r="DB161" s="11"/>
      <c r="DC161" s="12"/>
      <c r="DD161" s="17"/>
      <c r="DE161" s="13"/>
      <c r="DF161" s="13"/>
      <c r="DG161" s="13"/>
      <c r="DH161" s="14"/>
      <c r="DI161" s="8">
        <f t="shared" si="36"/>
        <v>0</v>
      </c>
      <c r="DJ161" s="8">
        <f t="shared" si="37"/>
        <v>0</v>
      </c>
      <c r="DK161" s="8">
        <f t="shared" si="38"/>
        <v>0</v>
      </c>
      <c r="DL161" s="8">
        <f t="shared" si="39"/>
        <v>0</v>
      </c>
      <c r="DM161" s="8">
        <f t="shared" si="40"/>
        <v>0</v>
      </c>
      <c r="DN161" s="8">
        <f t="shared" si="41"/>
        <v>0</v>
      </c>
      <c r="DO161" s="15">
        <f t="shared" si="42"/>
        <v>0</v>
      </c>
      <c r="DP161" s="15" t="str">
        <f t="shared" si="43"/>
        <v>OK - No Upgrade</v>
      </c>
      <c r="DQ161" s="15" t="str">
        <f t="shared" si="44"/>
        <v>OK - Balanced</v>
      </c>
    </row>
    <row r="162" spans="1:121" ht="15.75" customHeight="1" x14ac:dyDescent="0.25">
      <c r="A162" s="8" t="s">
        <v>1459</v>
      </c>
      <c r="B162" s="8" t="s">
        <v>1713</v>
      </c>
      <c r="C162" s="8" t="s">
        <v>394</v>
      </c>
      <c r="D162" s="8" t="s">
        <v>2148</v>
      </c>
      <c r="E162" s="8" t="s">
        <v>2149</v>
      </c>
      <c r="F162" s="8" t="s">
        <v>43</v>
      </c>
      <c r="G162" s="8"/>
      <c r="H162" s="8">
        <v>100</v>
      </c>
      <c r="I162" s="8" t="s">
        <v>2150</v>
      </c>
      <c r="J162" s="8">
        <v>1</v>
      </c>
      <c r="K162" s="8">
        <v>228</v>
      </c>
      <c r="L162" s="8">
        <v>229</v>
      </c>
      <c r="M162" s="8">
        <v>229</v>
      </c>
      <c r="N162" s="8">
        <v>397</v>
      </c>
      <c r="O162" s="8">
        <v>398</v>
      </c>
      <c r="P162" s="8">
        <v>398</v>
      </c>
      <c r="Q162" s="9" t="s">
        <v>46</v>
      </c>
      <c r="R162" s="16"/>
      <c r="S162" s="10">
        <v>40</v>
      </c>
      <c r="T162" s="10">
        <v>56</v>
      </c>
      <c r="U162" s="10">
        <v>20</v>
      </c>
      <c r="V162" s="11">
        <v>32</v>
      </c>
      <c r="W162" s="12"/>
      <c r="X162" s="17"/>
      <c r="Y162" s="13"/>
      <c r="Z162" s="13"/>
      <c r="AA162" s="13"/>
      <c r="AB162" s="14"/>
      <c r="AC162" s="9"/>
      <c r="AD162" s="16"/>
      <c r="AE162" s="10"/>
      <c r="AF162" s="10"/>
      <c r="AG162" s="10"/>
      <c r="AH162" s="11"/>
      <c r="AI162" s="12"/>
      <c r="AJ162" s="17"/>
      <c r="AK162" s="13"/>
      <c r="AL162" s="13"/>
      <c r="AM162" s="13"/>
      <c r="AN162" s="14"/>
      <c r="AO162" s="9"/>
      <c r="AP162" s="16"/>
      <c r="AQ162" s="10"/>
      <c r="AR162" s="10"/>
      <c r="AS162" s="10"/>
      <c r="AT162" s="11"/>
      <c r="AU162" s="12"/>
      <c r="AV162" s="17"/>
      <c r="AW162" s="13"/>
      <c r="AX162" s="13"/>
      <c r="AY162" s="13"/>
      <c r="AZ162" s="14"/>
      <c r="BA162" s="9"/>
      <c r="BB162" s="16"/>
      <c r="BC162" s="10"/>
      <c r="BD162" s="10"/>
      <c r="BE162" s="10"/>
      <c r="BF162" s="11"/>
      <c r="BG162" s="12"/>
      <c r="BH162" s="17"/>
      <c r="BI162" s="13"/>
      <c r="BJ162" s="13"/>
      <c r="BK162" s="13"/>
      <c r="BL162" s="14"/>
      <c r="BM162" s="9"/>
      <c r="BN162" s="16"/>
      <c r="BO162" s="10"/>
      <c r="BP162" s="10"/>
      <c r="BQ162" s="10"/>
      <c r="BR162" s="11"/>
      <c r="BS162" s="12"/>
      <c r="BT162" s="17"/>
      <c r="BU162" s="13"/>
      <c r="BV162" s="13"/>
      <c r="BW162" s="13"/>
      <c r="BX162" s="14"/>
      <c r="BY162" s="9"/>
      <c r="BZ162" s="16"/>
      <c r="CA162" s="10"/>
      <c r="CB162" s="10"/>
      <c r="CC162" s="10"/>
      <c r="CD162" s="11"/>
      <c r="CE162" s="12"/>
      <c r="CF162" s="17"/>
      <c r="CG162" s="13"/>
      <c r="CH162" s="13"/>
      <c r="CI162" s="13"/>
      <c r="CJ162" s="14"/>
      <c r="CK162" s="9"/>
      <c r="CL162" s="16"/>
      <c r="CM162" s="10"/>
      <c r="CN162" s="10"/>
      <c r="CO162" s="10"/>
      <c r="CP162" s="11"/>
      <c r="CQ162" s="12"/>
      <c r="CR162" s="17"/>
      <c r="CS162" s="13"/>
      <c r="CT162" s="13"/>
      <c r="CU162" s="13"/>
      <c r="CV162" s="14"/>
      <c r="CW162" s="9"/>
      <c r="CX162" s="16"/>
      <c r="CY162" s="10"/>
      <c r="CZ162" s="10"/>
      <c r="DA162" s="10"/>
      <c r="DB162" s="11"/>
      <c r="DC162" s="12"/>
      <c r="DD162" s="17"/>
      <c r="DE162" s="13"/>
      <c r="DF162" s="13"/>
      <c r="DG162" s="13"/>
      <c r="DH162" s="14"/>
      <c r="DI162" s="8">
        <f t="shared" si="36"/>
        <v>40</v>
      </c>
      <c r="DJ162" s="8">
        <f t="shared" si="37"/>
        <v>56</v>
      </c>
      <c r="DK162" s="8">
        <f t="shared" si="38"/>
        <v>20</v>
      </c>
      <c r="DL162" s="8">
        <f t="shared" si="39"/>
        <v>32</v>
      </c>
      <c r="DM162" s="8">
        <f t="shared" si="40"/>
        <v>56</v>
      </c>
      <c r="DN162" s="8">
        <f t="shared" si="41"/>
        <v>20</v>
      </c>
      <c r="DO162" s="15">
        <f t="shared" si="42"/>
        <v>38.506953553871284</v>
      </c>
      <c r="DP162" s="15" t="str">
        <f t="shared" si="43"/>
        <v>OK - No Upgrade</v>
      </c>
      <c r="DQ162" s="15" t="str">
        <f t="shared" si="44"/>
        <v>Need to Balance</v>
      </c>
    </row>
    <row r="163" spans="1:121" ht="15.75" customHeight="1" x14ac:dyDescent="0.25">
      <c r="A163" s="8" t="s">
        <v>1459</v>
      </c>
      <c r="B163" s="8" t="s">
        <v>1713</v>
      </c>
      <c r="C163" s="8" t="s">
        <v>394</v>
      </c>
      <c r="D163" s="8" t="s">
        <v>2151</v>
      </c>
      <c r="E163" s="8" t="s">
        <v>2152</v>
      </c>
      <c r="F163" s="8" t="s">
        <v>56</v>
      </c>
      <c r="G163" s="8"/>
      <c r="H163" s="8">
        <v>500</v>
      </c>
      <c r="I163" s="8" t="s">
        <v>2153</v>
      </c>
      <c r="J163" s="8">
        <v>1</v>
      </c>
      <c r="K163" s="8">
        <v>228</v>
      </c>
      <c r="L163" s="8">
        <v>231</v>
      </c>
      <c r="M163" s="8">
        <v>228</v>
      </c>
      <c r="N163" s="8">
        <v>392</v>
      </c>
      <c r="O163" s="8">
        <v>400</v>
      </c>
      <c r="P163" s="8">
        <v>395</v>
      </c>
      <c r="Q163" s="9"/>
      <c r="R163" s="16"/>
      <c r="S163" s="10"/>
      <c r="T163" s="10"/>
      <c r="U163" s="10"/>
      <c r="V163" s="11"/>
      <c r="W163" s="12" t="s">
        <v>46</v>
      </c>
      <c r="X163" s="17"/>
      <c r="Y163" s="13">
        <v>94</v>
      </c>
      <c r="Z163" s="13">
        <v>55</v>
      </c>
      <c r="AA163" s="13">
        <v>159</v>
      </c>
      <c r="AB163" s="14">
        <v>87</v>
      </c>
      <c r="AC163" s="9" t="s">
        <v>46</v>
      </c>
      <c r="AD163" s="16"/>
      <c r="AE163" s="10">
        <v>85</v>
      </c>
      <c r="AF163" s="10">
        <v>66</v>
      </c>
      <c r="AG163" s="10">
        <v>142</v>
      </c>
      <c r="AH163" s="11">
        <v>40</v>
      </c>
      <c r="AI163" s="12" t="s">
        <v>47</v>
      </c>
      <c r="AJ163" s="17"/>
      <c r="AK163" s="13">
        <v>77</v>
      </c>
      <c r="AL163" s="13">
        <v>55</v>
      </c>
      <c r="AM163" s="13">
        <v>129</v>
      </c>
      <c r="AN163" s="14">
        <v>57</v>
      </c>
      <c r="AO163" s="9"/>
      <c r="AP163" s="16"/>
      <c r="AQ163" s="10"/>
      <c r="AR163" s="10"/>
      <c r="AS163" s="10"/>
      <c r="AT163" s="11"/>
      <c r="AU163" s="12"/>
      <c r="AV163" s="17"/>
      <c r="AW163" s="13"/>
      <c r="AX163" s="13"/>
      <c r="AY163" s="13"/>
      <c r="AZ163" s="14"/>
      <c r="BA163" s="9"/>
      <c r="BB163" s="16"/>
      <c r="BC163" s="10"/>
      <c r="BD163" s="10"/>
      <c r="BE163" s="10"/>
      <c r="BF163" s="11"/>
      <c r="BG163" s="12"/>
      <c r="BH163" s="17"/>
      <c r="BI163" s="13"/>
      <c r="BJ163" s="13"/>
      <c r="BK163" s="13"/>
      <c r="BL163" s="14"/>
      <c r="BM163" s="9"/>
      <c r="BN163" s="16"/>
      <c r="BO163" s="10"/>
      <c r="BP163" s="10"/>
      <c r="BQ163" s="10"/>
      <c r="BR163" s="11"/>
      <c r="BS163" s="12"/>
      <c r="BT163" s="17"/>
      <c r="BU163" s="13"/>
      <c r="BV163" s="13"/>
      <c r="BW163" s="13"/>
      <c r="BX163" s="14"/>
      <c r="BY163" s="9"/>
      <c r="BZ163" s="16"/>
      <c r="CA163" s="10"/>
      <c r="CB163" s="10"/>
      <c r="CC163" s="10"/>
      <c r="CD163" s="11"/>
      <c r="CE163" s="12"/>
      <c r="CF163" s="17"/>
      <c r="CG163" s="13"/>
      <c r="CH163" s="13"/>
      <c r="CI163" s="13"/>
      <c r="CJ163" s="14"/>
      <c r="CK163" s="9"/>
      <c r="CL163" s="16"/>
      <c r="CM163" s="10"/>
      <c r="CN163" s="10"/>
      <c r="CO163" s="10"/>
      <c r="CP163" s="11"/>
      <c r="CQ163" s="12"/>
      <c r="CR163" s="17"/>
      <c r="CS163" s="13"/>
      <c r="CT163" s="13"/>
      <c r="CU163" s="13"/>
      <c r="CV163" s="14"/>
      <c r="CW163" s="9"/>
      <c r="CX163" s="16"/>
      <c r="CY163" s="10"/>
      <c r="CZ163" s="10"/>
      <c r="DA163" s="10"/>
      <c r="DB163" s="11"/>
      <c r="DC163" s="12"/>
      <c r="DD163" s="17"/>
      <c r="DE163" s="13"/>
      <c r="DF163" s="13"/>
      <c r="DG163" s="13"/>
      <c r="DH163" s="14"/>
      <c r="DI163" s="8">
        <f t="shared" si="36"/>
        <v>256</v>
      </c>
      <c r="DJ163" s="8">
        <f t="shared" si="37"/>
        <v>176</v>
      </c>
      <c r="DK163" s="8">
        <f t="shared" si="38"/>
        <v>430</v>
      </c>
      <c r="DL163" s="8">
        <f t="shared" si="39"/>
        <v>184</v>
      </c>
      <c r="DM163" s="8">
        <f t="shared" si="40"/>
        <v>430</v>
      </c>
      <c r="DN163" s="8">
        <f t="shared" si="41"/>
        <v>176</v>
      </c>
      <c r="DO163" s="15">
        <f t="shared" si="42"/>
        <v>58.390896824761995</v>
      </c>
      <c r="DP163" s="15" t="str">
        <f t="shared" si="43"/>
        <v>OK - No Upgrade</v>
      </c>
      <c r="DQ163" s="15" t="str">
        <f t="shared" si="44"/>
        <v>Need to Balance</v>
      </c>
    </row>
    <row r="164" spans="1:121" ht="15.75" customHeight="1" x14ac:dyDescent="0.25">
      <c r="A164" s="8" t="s">
        <v>1459</v>
      </c>
      <c r="B164" s="8" t="s">
        <v>1713</v>
      </c>
      <c r="C164" s="8" t="s">
        <v>394</v>
      </c>
      <c r="D164" s="8" t="s">
        <v>2154</v>
      </c>
      <c r="E164" s="8" t="s">
        <v>2155</v>
      </c>
      <c r="F164" s="8" t="s">
        <v>43</v>
      </c>
      <c r="G164" s="8"/>
      <c r="H164" s="8">
        <v>315</v>
      </c>
      <c r="I164" s="8" t="s">
        <v>2156</v>
      </c>
      <c r="J164" s="8">
        <v>1</v>
      </c>
      <c r="K164" s="8">
        <v>229</v>
      </c>
      <c r="L164" s="8">
        <v>231</v>
      </c>
      <c r="M164" s="8">
        <v>229</v>
      </c>
      <c r="N164" s="8">
        <v>395</v>
      </c>
      <c r="O164" s="8">
        <v>401</v>
      </c>
      <c r="P164" s="8">
        <v>399</v>
      </c>
      <c r="Q164" s="9" t="s">
        <v>47</v>
      </c>
      <c r="R164" s="16"/>
      <c r="S164" s="10">
        <v>74</v>
      </c>
      <c r="T164" s="10">
        <v>81</v>
      </c>
      <c r="U164" s="10">
        <v>130</v>
      </c>
      <c r="V164" s="11">
        <v>43</v>
      </c>
      <c r="W164" s="12" t="s">
        <v>47</v>
      </c>
      <c r="X164" s="17"/>
      <c r="Y164" s="13">
        <v>57</v>
      </c>
      <c r="Z164" s="13">
        <v>53</v>
      </c>
      <c r="AA164" s="13">
        <v>39</v>
      </c>
      <c r="AB164" s="14">
        <v>12</v>
      </c>
      <c r="AC164" s="9"/>
      <c r="AD164" s="16"/>
      <c r="AE164" s="10"/>
      <c r="AF164" s="10"/>
      <c r="AG164" s="10"/>
      <c r="AH164" s="11"/>
      <c r="AI164" s="12"/>
      <c r="AJ164" s="17"/>
      <c r="AK164" s="13"/>
      <c r="AL164" s="13"/>
      <c r="AM164" s="13"/>
      <c r="AN164" s="14"/>
      <c r="AO164" s="9"/>
      <c r="AP164" s="16"/>
      <c r="AQ164" s="10"/>
      <c r="AR164" s="10"/>
      <c r="AS164" s="10"/>
      <c r="AT164" s="11"/>
      <c r="AU164" s="12"/>
      <c r="AV164" s="17"/>
      <c r="AW164" s="13"/>
      <c r="AX164" s="13"/>
      <c r="AY164" s="13"/>
      <c r="AZ164" s="14"/>
      <c r="BA164" s="9"/>
      <c r="BB164" s="16"/>
      <c r="BC164" s="10"/>
      <c r="BD164" s="10"/>
      <c r="BE164" s="10"/>
      <c r="BF164" s="11"/>
      <c r="BG164" s="12"/>
      <c r="BH164" s="17"/>
      <c r="BI164" s="13"/>
      <c r="BJ164" s="13"/>
      <c r="BK164" s="13"/>
      <c r="BL164" s="14"/>
      <c r="BM164" s="9"/>
      <c r="BN164" s="16"/>
      <c r="BO164" s="10"/>
      <c r="BP164" s="10"/>
      <c r="BQ164" s="10"/>
      <c r="BR164" s="11"/>
      <c r="BS164" s="12"/>
      <c r="BT164" s="17"/>
      <c r="BU164" s="13"/>
      <c r="BV164" s="13"/>
      <c r="BW164" s="13"/>
      <c r="BX164" s="14"/>
      <c r="BY164" s="9"/>
      <c r="BZ164" s="16"/>
      <c r="CA164" s="10"/>
      <c r="CB164" s="10"/>
      <c r="CC164" s="10"/>
      <c r="CD164" s="11"/>
      <c r="CE164" s="12"/>
      <c r="CF164" s="17"/>
      <c r="CG164" s="13"/>
      <c r="CH164" s="13"/>
      <c r="CI164" s="13"/>
      <c r="CJ164" s="14"/>
      <c r="CK164" s="9"/>
      <c r="CL164" s="16"/>
      <c r="CM164" s="10"/>
      <c r="CN164" s="10"/>
      <c r="CO164" s="10"/>
      <c r="CP164" s="11"/>
      <c r="CQ164" s="12"/>
      <c r="CR164" s="17"/>
      <c r="CS164" s="13"/>
      <c r="CT164" s="13"/>
      <c r="CU164" s="13"/>
      <c r="CV164" s="14"/>
      <c r="CW164" s="9"/>
      <c r="CX164" s="16"/>
      <c r="CY164" s="10"/>
      <c r="CZ164" s="10"/>
      <c r="DA164" s="10"/>
      <c r="DB164" s="11"/>
      <c r="DC164" s="12"/>
      <c r="DD164" s="17"/>
      <c r="DE164" s="13"/>
      <c r="DF164" s="13"/>
      <c r="DG164" s="13"/>
      <c r="DH164" s="14"/>
      <c r="DI164" s="8">
        <f t="shared" ref="DI164:DI177" si="45">SUM(S164,Y164,AE164,AK164,AQ164,AW164,BC164,BI164,BO164,BU164,CA164,CG164,CM164,CS164,CY164,DE164)</f>
        <v>131</v>
      </c>
      <c r="DJ164" s="8">
        <f t="shared" ref="DJ164:DJ177" si="46">SUM(T164,Z164,AF164,AL164,AR164,AX164,BD164,BJ164,BP164,BV164,CB164,CH164,CN164,CT164,CZ164,DF164)</f>
        <v>134</v>
      </c>
      <c r="DK164" s="8">
        <f t="shared" ref="DK164:DK177" si="47">SUM(U164,AA164,AG164,AM164,AS164,AY164,BE164,BK164,BQ164,BW164,CC164,CI164,CO164,CU164,DA164,DG164)</f>
        <v>169</v>
      </c>
      <c r="DL164" s="8">
        <f t="shared" ref="DL164:DL177" si="48">SUM(V164,AB164,AH164,AN164,AT164,AZ164,BF164,BL164,BR164,BX164,CD164,CJ164,CP164,CV164,DB164,DH164)</f>
        <v>55</v>
      </c>
      <c r="DM164" s="8">
        <f t="shared" ref="DM164:DM177" si="49">MAX(DI164:DK164)</f>
        <v>169</v>
      </c>
      <c r="DN164" s="8">
        <f t="shared" ref="DN164:DN177" si="50">MIN(DI164:DK164)</f>
        <v>131</v>
      </c>
      <c r="DO164" s="15">
        <f t="shared" ref="DO164:DO177" si="51">IF(H164&gt;0,(DM164*SQRT(3)*IF(N164&gt;0,N164,IF(O164&gt;0,O164,IF(P164&gt;0,P164,415)))/(H164*1000))*100,0)</f>
        <v>36.705730685479494</v>
      </c>
      <c r="DP164" s="15" t="str">
        <f t="shared" ref="DP164:DP195" si="52">IF(DO164&gt;70,"Upgrade","OK - No Upgrade")</f>
        <v>OK - No Upgrade</v>
      </c>
      <c r="DQ164" s="15" t="str">
        <f t="shared" ref="DQ164:DQ177" si="53">IF(IF(AVERAGE(DI164:DK164)&gt;0,((DM164-AVERAGE(DI164:DK164))/AVERAGE(DI164:DK164))*100,0)&gt;10,"Need to Balance","OK - Balanced")</f>
        <v>Need to Balance</v>
      </c>
    </row>
    <row r="165" spans="1:121" ht="15.75" customHeight="1" x14ac:dyDescent="0.25">
      <c r="A165" s="8" t="s">
        <v>1459</v>
      </c>
      <c r="B165" s="8" t="s">
        <v>1713</v>
      </c>
      <c r="C165" s="8" t="s">
        <v>394</v>
      </c>
      <c r="D165" s="8" t="s">
        <v>2157</v>
      </c>
      <c r="E165" s="8" t="s">
        <v>2158</v>
      </c>
      <c r="F165" s="8" t="s">
        <v>43</v>
      </c>
      <c r="G165" s="8"/>
      <c r="H165" s="8">
        <v>315</v>
      </c>
      <c r="I165" s="8" t="s">
        <v>2159</v>
      </c>
      <c r="J165" s="8">
        <v>1</v>
      </c>
      <c r="K165" s="8">
        <v>240</v>
      </c>
      <c r="L165" s="8">
        <v>242</v>
      </c>
      <c r="M165" s="8">
        <v>241</v>
      </c>
      <c r="N165" s="8">
        <v>416</v>
      </c>
      <c r="O165" s="8">
        <v>419</v>
      </c>
      <c r="P165" s="8">
        <v>417</v>
      </c>
      <c r="Q165" s="9" t="s">
        <v>46</v>
      </c>
      <c r="R165" s="16"/>
      <c r="S165" s="10">
        <v>35</v>
      </c>
      <c r="T165" s="10">
        <v>66</v>
      </c>
      <c r="U165" s="10">
        <v>60</v>
      </c>
      <c r="V165" s="11">
        <v>25</v>
      </c>
      <c r="W165" s="12" t="s">
        <v>46</v>
      </c>
      <c r="X165" s="17"/>
      <c r="Y165" s="13">
        <v>149</v>
      </c>
      <c r="Z165" s="13">
        <v>107</v>
      </c>
      <c r="AA165" s="13">
        <v>114</v>
      </c>
      <c r="AB165" s="14">
        <v>35</v>
      </c>
      <c r="AC165" s="9"/>
      <c r="AD165" s="16"/>
      <c r="AE165" s="10"/>
      <c r="AF165" s="10"/>
      <c r="AG165" s="10"/>
      <c r="AH165" s="11"/>
      <c r="AI165" s="12"/>
      <c r="AJ165" s="17"/>
      <c r="AK165" s="13"/>
      <c r="AL165" s="13"/>
      <c r="AM165" s="13"/>
      <c r="AN165" s="14"/>
      <c r="AO165" s="9"/>
      <c r="AP165" s="16"/>
      <c r="AQ165" s="10"/>
      <c r="AR165" s="10"/>
      <c r="AS165" s="10"/>
      <c r="AT165" s="11"/>
      <c r="AU165" s="12"/>
      <c r="AV165" s="17"/>
      <c r="AW165" s="13"/>
      <c r="AX165" s="13"/>
      <c r="AY165" s="13"/>
      <c r="AZ165" s="14"/>
      <c r="BA165" s="9"/>
      <c r="BB165" s="16"/>
      <c r="BC165" s="10"/>
      <c r="BD165" s="10"/>
      <c r="BE165" s="10"/>
      <c r="BF165" s="11"/>
      <c r="BG165" s="12"/>
      <c r="BH165" s="17"/>
      <c r="BI165" s="13"/>
      <c r="BJ165" s="13"/>
      <c r="BK165" s="13"/>
      <c r="BL165" s="14"/>
      <c r="BM165" s="9"/>
      <c r="BN165" s="16"/>
      <c r="BO165" s="10"/>
      <c r="BP165" s="10"/>
      <c r="BQ165" s="10"/>
      <c r="BR165" s="11"/>
      <c r="BS165" s="12"/>
      <c r="BT165" s="17"/>
      <c r="BU165" s="13"/>
      <c r="BV165" s="13"/>
      <c r="BW165" s="13"/>
      <c r="BX165" s="14"/>
      <c r="BY165" s="9"/>
      <c r="BZ165" s="16"/>
      <c r="CA165" s="10"/>
      <c r="CB165" s="10"/>
      <c r="CC165" s="10"/>
      <c r="CD165" s="11"/>
      <c r="CE165" s="12"/>
      <c r="CF165" s="17"/>
      <c r="CG165" s="13"/>
      <c r="CH165" s="13"/>
      <c r="CI165" s="13"/>
      <c r="CJ165" s="14"/>
      <c r="CK165" s="9"/>
      <c r="CL165" s="16"/>
      <c r="CM165" s="10"/>
      <c r="CN165" s="10"/>
      <c r="CO165" s="10"/>
      <c r="CP165" s="11"/>
      <c r="CQ165" s="12"/>
      <c r="CR165" s="17"/>
      <c r="CS165" s="13"/>
      <c r="CT165" s="13"/>
      <c r="CU165" s="13"/>
      <c r="CV165" s="14"/>
      <c r="CW165" s="9"/>
      <c r="CX165" s="16"/>
      <c r="CY165" s="10"/>
      <c r="CZ165" s="10"/>
      <c r="DA165" s="10"/>
      <c r="DB165" s="11"/>
      <c r="DC165" s="12"/>
      <c r="DD165" s="17"/>
      <c r="DE165" s="13"/>
      <c r="DF165" s="13"/>
      <c r="DG165" s="13"/>
      <c r="DH165" s="14"/>
      <c r="DI165" s="8">
        <f t="shared" si="45"/>
        <v>184</v>
      </c>
      <c r="DJ165" s="8">
        <f t="shared" si="46"/>
        <v>173</v>
      </c>
      <c r="DK165" s="8">
        <f t="shared" si="47"/>
        <v>174</v>
      </c>
      <c r="DL165" s="8">
        <f t="shared" si="48"/>
        <v>60</v>
      </c>
      <c r="DM165" s="8">
        <f t="shared" si="49"/>
        <v>184</v>
      </c>
      <c r="DN165" s="8">
        <f t="shared" si="50"/>
        <v>173</v>
      </c>
      <c r="DO165" s="15">
        <f t="shared" si="51"/>
        <v>42.088284766524488</v>
      </c>
      <c r="DP165" s="15" t="str">
        <f t="shared" si="52"/>
        <v>OK - No Upgrade</v>
      </c>
      <c r="DQ165" s="15" t="str">
        <f t="shared" si="53"/>
        <v>OK - Balanced</v>
      </c>
    </row>
    <row r="166" spans="1:121" ht="15.75" customHeight="1" x14ac:dyDescent="0.25">
      <c r="A166" s="8" t="s">
        <v>1459</v>
      </c>
      <c r="B166" s="8" t="s">
        <v>1713</v>
      </c>
      <c r="C166" s="8" t="s">
        <v>394</v>
      </c>
      <c r="D166" s="8" t="s">
        <v>2160</v>
      </c>
      <c r="E166" s="8" t="s">
        <v>2161</v>
      </c>
      <c r="F166" s="8" t="s">
        <v>43</v>
      </c>
      <c r="G166" s="8"/>
      <c r="H166" s="8">
        <v>315</v>
      </c>
      <c r="I166" s="8" t="s">
        <v>2162</v>
      </c>
      <c r="J166" s="8">
        <v>1</v>
      </c>
      <c r="K166" s="8">
        <v>227</v>
      </c>
      <c r="L166" s="8">
        <v>231</v>
      </c>
      <c r="M166" s="8">
        <v>230</v>
      </c>
      <c r="N166" s="8">
        <v>395</v>
      </c>
      <c r="O166" s="8">
        <v>399</v>
      </c>
      <c r="P166" s="8">
        <v>394</v>
      </c>
      <c r="Q166" s="9" t="s">
        <v>47</v>
      </c>
      <c r="R166" s="16"/>
      <c r="S166" s="10">
        <v>86</v>
      </c>
      <c r="T166" s="10">
        <v>35</v>
      </c>
      <c r="U166" s="10">
        <v>22</v>
      </c>
      <c r="V166" s="11">
        <v>21</v>
      </c>
      <c r="W166" s="12" t="s">
        <v>47</v>
      </c>
      <c r="X166" s="17"/>
      <c r="Y166" s="13">
        <v>182</v>
      </c>
      <c r="Z166" s="13">
        <v>121</v>
      </c>
      <c r="AA166" s="13">
        <v>138</v>
      </c>
      <c r="AB166" s="14">
        <v>45</v>
      </c>
      <c r="AC166" s="9"/>
      <c r="AD166" s="16"/>
      <c r="AE166" s="10"/>
      <c r="AF166" s="10"/>
      <c r="AG166" s="10"/>
      <c r="AH166" s="11"/>
      <c r="AI166" s="12"/>
      <c r="AJ166" s="17"/>
      <c r="AK166" s="13"/>
      <c r="AL166" s="13"/>
      <c r="AM166" s="13"/>
      <c r="AN166" s="14"/>
      <c r="AO166" s="9"/>
      <c r="AP166" s="16"/>
      <c r="AQ166" s="10"/>
      <c r="AR166" s="10"/>
      <c r="AS166" s="10"/>
      <c r="AT166" s="11"/>
      <c r="AU166" s="12"/>
      <c r="AV166" s="17"/>
      <c r="AW166" s="13"/>
      <c r="AX166" s="13"/>
      <c r="AY166" s="13"/>
      <c r="AZ166" s="14"/>
      <c r="BA166" s="9"/>
      <c r="BB166" s="16"/>
      <c r="BC166" s="10"/>
      <c r="BD166" s="10"/>
      <c r="BE166" s="10"/>
      <c r="BF166" s="11"/>
      <c r="BG166" s="12"/>
      <c r="BH166" s="17"/>
      <c r="BI166" s="13"/>
      <c r="BJ166" s="13"/>
      <c r="BK166" s="13"/>
      <c r="BL166" s="14"/>
      <c r="BM166" s="9"/>
      <c r="BN166" s="16"/>
      <c r="BO166" s="10"/>
      <c r="BP166" s="10"/>
      <c r="BQ166" s="10"/>
      <c r="BR166" s="11"/>
      <c r="BS166" s="12"/>
      <c r="BT166" s="17"/>
      <c r="BU166" s="13"/>
      <c r="BV166" s="13"/>
      <c r="BW166" s="13"/>
      <c r="BX166" s="14"/>
      <c r="BY166" s="9"/>
      <c r="BZ166" s="16"/>
      <c r="CA166" s="10"/>
      <c r="CB166" s="10"/>
      <c r="CC166" s="10"/>
      <c r="CD166" s="11"/>
      <c r="CE166" s="12"/>
      <c r="CF166" s="17"/>
      <c r="CG166" s="13"/>
      <c r="CH166" s="13"/>
      <c r="CI166" s="13"/>
      <c r="CJ166" s="14"/>
      <c r="CK166" s="9"/>
      <c r="CL166" s="16"/>
      <c r="CM166" s="10"/>
      <c r="CN166" s="10"/>
      <c r="CO166" s="10"/>
      <c r="CP166" s="11"/>
      <c r="CQ166" s="12"/>
      <c r="CR166" s="17"/>
      <c r="CS166" s="13"/>
      <c r="CT166" s="13"/>
      <c r="CU166" s="13"/>
      <c r="CV166" s="14"/>
      <c r="CW166" s="9"/>
      <c r="CX166" s="16"/>
      <c r="CY166" s="10"/>
      <c r="CZ166" s="10"/>
      <c r="DA166" s="10"/>
      <c r="DB166" s="11"/>
      <c r="DC166" s="12"/>
      <c r="DD166" s="17"/>
      <c r="DE166" s="13"/>
      <c r="DF166" s="13"/>
      <c r="DG166" s="13"/>
      <c r="DH166" s="14"/>
      <c r="DI166" s="8">
        <f t="shared" si="45"/>
        <v>268</v>
      </c>
      <c r="DJ166" s="8">
        <f t="shared" si="46"/>
        <v>156</v>
      </c>
      <c r="DK166" s="8">
        <f t="shared" si="47"/>
        <v>160</v>
      </c>
      <c r="DL166" s="8">
        <f t="shared" si="48"/>
        <v>66</v>
      </c>
      <c r="DM166" s="8">
        <f t="shared" si="49"/>
        <v>268</v>
      </c>
      <c r="DN166" s="8">
        <f t="shared" si="50"/>
        <v>156</v>
      </c>
      <c r="DO166" s="15">
        <f t="shared" si="51"/>
        <v>58.207904282298841</v>
      </c>
      <c r="DP166" s="15" t="str">
        <f t="shared" si="52"/>
        <v>OK - No Upgrade</v>
      </c>
      <c r="DQ166" s="15" t="str">
        <f t="shared" si="53"/>
        <v>Need to Balance</v>
      </c>
    </row>
    <row r="167" spans="1:121" ht="15.75" customHeight="1" x14ac:dyDescent="0.25">
      <c r="A167" s="8" t="s">
        <v>1459</v>
      </c>
      <c r="B167" s="8" t="s">
        <v>1713</v>
      </c>
      <c r="C167" s="8" t="s">
        <v>394</v>
      </c>
      <c r="D167" s="8" t="s">
        <v>2163</v>
      </c>
      <c r="E167" s="8" t="s">
        <v>2164</v>
      </c>
      <c r="F167" s="8" t="s">
        <v>43</v>
      </c>
      <c r="G167" s="8"/>
      <c r="H167" s="8">
        <v>315</v>
      </c>
      <c r="I167" s="8" t="s">
        <v>2165</v>
      </c>
      <c r="J167" s="8">
        <v>1</v>
      </c>
      <c r="K167" s="8">
        <v>230</v>
      </c>
      <c r="L167" s="8">
        <v>229</v>
      </c>
      <c r="M167" s="8">
        <v>232</v>
      </c>
      <c r="N167" s="8">
        <v>400</v>
      </c>
      <c r="O167" s="8">
        <v>400</v>
      </c>
      <c r="P167" s="8">
        <v>399</v>
      </c>
      <c r="Q167" s="9" t="s">
        <v>47</v>
      </c>
      <c r="R167" s="16"/>
      <c r="S167" s="10">
        <v>10</v>
      </c>
      <c r="T167" s="10">
        <v>4</v>
      </c>
      <c r="U167" s="10">
        <v>6</v>
      </c>
      <c r="V167" s="11">
        <v>8</v>
      </c>
      <c r="W167" s="12" t="s">
        <v>47</v>
      </c>
      <c r="X167" s="17"/>
      <c r="Y167" s="13">
        <v>2004</v>
      </c>
      <c r="Z167" s="13">
        <v>200</v>
      </c>
      <c r="AA167" s="13">
        <v>178</v>
      </c>
      <c r="AB167" s="14">
        <v>37</v>
      </c>
      <c r="AC167" s="9"/>
      <c r="AD167" s="16"/>
      <c r="AE167" s="10"/>
      <c r="AF167" s="10"/>
      <c r="AG167" s="10"/>
      <c r="AH167" s="11"/>
      <c r="AI167" s="12"/>
      <c r="AJ167" s="17"/>
      <c r="AK167" s="13"/>
      <c r="AL167" s="13"/>
      <c r="AM167" s="13"/>
      <c r="AN167" s="14"/>
      <c r="AO167" s="9"/>
      <c r="AP167" s="16"/>
      <c r="AQ167" s="10"/>
      <c r="AR167" s="10"/>
      <c r="AS167" s="10"/>
      <c r="AT167" s="11"/>
      <c r="AU167" s="12"/>
      <c r="AV167" s="17"/>
      <c r="AW167" s="13"/>
      <c r="AX167" s="13"/>
      <c r="AY167" s="13"/>
      <c r="AZ167" s="14"/>
      <c r="BA167" s="9"/>
      <c r="BB167" s="16"/>
      <c r="BC167" s="10"/>
      <c r="BD167" s="10"/>
      <c r="BE167" s="10"/>
      <c r="BF167" s="11"/>
      <c r="BG167" s="12"/>
      <c r="BH167" s="17"/>
      <c r="BI167" s="13"/>
      <c r="BJ167" s="13"/>
      <c r="BK167" s="13"/>
      <c r="BL167" s="14"/>
      <c r="BM167" s="9"/>
      <c r="BN167" s="16"/>
      <c r="BO167" s="10"/>
      <c r="BP167" s="10"/>
      <c r="BQ167" s="10"/>
      <c r="BR167" s="11"/>
      <c r="BS167" s="12"/>
      <c r="BT167" s="17"/>
      <c r="BU167" s="13"/>
      <c r="BV167" s="13"/>
      <c r="BW167" s="13"/>
      <c r="BX167" s="14"/>
      <c r="BY167" s="9"/>
      <c r="BZ167" s="16"/>
      <c r="CA167" s="10"/>
      <c r="CB167" s="10"/>
      <c r="CC167" s="10"/>
      <c r="CD167" s="11"/>
      <c r="CE167" s="12"/>
      <c r="CF167" s="17"/>
      <c r="CG167" s="13"/>
      <c r="CH167" s="13"/>
      <c r="CI167" s="13"/>
      <c r="CJ167" s="14"/>
      <c r="CK167" s="9"/>
      <c r="CL167" s="16"/>
      <c r="CM167" s="10"/>
      <c r="CN167" s="10"/>
      <c r="CO167" s="10"/>
      <c r="CP167" s="11"/>
      <c r="CQ167" s="12"/>
      <c r="CR167" s="17"/>
      <c r="CS167" s="13"/>
      <c r="CT167" s="13"/>
      <c r="CU167" s="13"/>
      <c r="CV167" s="14"/>
      <c r="CW167" s="9"/>
      <c r="CX167" s="16"/>
      <c r="CY167" s="10"/>
      <c r="CZ167" s="10"/>
      <c r="DA167" s="10"/>
      <c r="DB167" s="11"/>
      <c r="DC167" s="12"/>
      <c r="DD167" s="17"/>
      <c r="DE167" s="13"/>
      <c r="DF167" s="13"/>
      <c r="DG167" s="13"/>
      <c r="DH167" s="14"/>
      <c r="DI167" s="8">
        <f t="shared" si="45"/>
        <v>2014</v>
      </c>
      <c r="DJ167" s="8">
        <f t="shared" si="46"/>
        <v>204</v>
      </c>
      <c r="DK167" s="8">
        <f t="shared" si="47"/>
        <v>184</v>
      </c>
      <c r="DL167" s="8">
        <f t="shared" si="48"/>
        <v>45</v>
      </c>
      <c r="DM167" s="8">
        <f t="shared" si="49"/>
        <v>2014</v>
      </c>
      <c r="DN167" s="8">
        <f t="shared" si="50"/>
        <v>184</v>
      </c>
      <c r="DO167" s="15">
        <f t="shared" si="51"/>
        <v>442.96512081824994</v>
      </c>
      <c r="DP167" s="15" t="str">
        <f t="shared" si="52"/>
        <v>Upgrade</v>
      </c>
      <c r="DQ167" s="15" t="str">
        <f t="shared" si="53"/>
        <v>Need to Balance</v>
      </c>
    </row>
    <row r="168" spans="1:121" ht="15.75" customHeight="1" x14ac:dyDescent="0.25">
      <c r="A168" s="8" t="s">
        <v>1459</v>
      </c>
      <c r="B168" s="8" t="s">
        <v>1713</v>
      </c>
      <c r="C168" s="8" t="s">
        <v>394</v>
      </c>
      <c r="D168" s="8" t="s">
        <v>2166</v>
      </c>
      <c r="E168" s="8" t="s">
        <v>2167</v>
      </c>
      <c r="F168" s="8" t="s">
        <v>56</v>
      </c>
      <c r="G168" s="8"/>
      <c r="H168" s="8">
        <v>1000</v>
      </c>
      <c r="I168" s="8" t="s">
        <v>1662</v>
      </c>
      <c r="J168" s="8">
        <v>1</v>
      </c>
      <c r="K168" s="8">
        <v>231</v>
      </c>
      <c r="L168" s="8">
        <v>233</v>
      </c>
      <c r="M168" s="8">
        <v>233</v>
      </c>
      <c r="N168" s="8">
        <v>401</v>
      </c>
      <c r="O168" s="8">
        <v>404</v>
      </c>
      <c r="P168" s="8">
        <v>401</v>
      </c>
      <c r="Q168" s="9" t="s">
        <v>46</v>
      </c>
      <c r="R168" s="16"/>
      <c r="S168" s="10">
        <v>43</v>
      </c>
      <c r="T168" s="10">
        <v>30</v>
      </c>
      <c r="U168" s="10">
        <v>23</v>
      </c>
      <c r="V168" s="11">
        <v>19</v>
      </c>
      <c r="W168" s="12"/>
      <c r="X168" s="17"/>
      <c r="Y168" s="13"/>
      <c r="Z168" s="13"/>
      <c r="AA168" s="13"/>
      <c r="AB168" s="14"/>
      <c r="AC168" s="9" t="s">
        <v>47</v>
      </c>
      <c r="AD168" s="16"/>
      <c r="AE168" s="10">
        <v>66</v>
      </c>
      <c r="AF168" s="10">
        <v>45</v>
      </c>
      <c r="AG168" s="10">
        <v>68</v>
      </c>
      <c r="AH168" s="11">
        <v>22</v>
      </c>
      <c r="AI168" s="12" t="s">
        <v>47</v>
      </c>
      <c r="AJ168" s="17"/>
      <c r="AK168" s="13">
        <v>196</v>
      </c>
      <c r="AL168" s="13">
        <v>111</v>
      </c>
      <c r="AM168" s="13">
        <v>120</v>
      </c>
      <c r="AN168" s="14">
        <v>65</v>
      </c>
      <c r="AO168" s="9" t="s">
        <v>47</v>
      </c>
      <c r="AP168" s="16"/>
      <c r="AQ168" s="10">
        <v>11</v>
      </c>
      <c r="AR168" s="10">
        <v>51</v>
      </c>
      <c r="AS168" s="10">
        <v>11</v>
      </c>
      <c r="AT168" s="11">
        <v>38</v>
      </c>
      <c r="AU168" s="12"/>
      <c r="AV168" s="17"/>
      <c r="AW168" s="13"/>
      <c r="AX168" s="13"/>
      <c r="AY168" s="13"/>
      <c r="AZ168" s="14"/>
      <c r="BA168" s="9"/>
      <c r="BB168" s="16"/>
      <c r="BC168" s="10"/>
      <c r="BD168" s="10"/>
      <c r="BE168" s="10"/>
      <c r="BF168" s="11"/>
      <c r="BG168" s="12"/>
      <c r="BH168" s="17"/>
      <c r="BI168" s="13"/>
      <c r="BJ168" s="13"/>
      <c r="BK168" s="13"/>
      <c r="BL168" s="14"/>
      <c r="BM168" s="9"/>
      <c r="BN168" s="16"/>
      <c r="BO168" s="10"/>
      <c r="BP168" s="10"/>
      <c r="BQ168" s="10"/>
      <c r="BR168" s="11"/>
      <c r="BS168" s="12"/>
      <c r="BT168" s="17"/>
      <c r="BU168" s="13"/>
      <c r="BV168" s="13"/>
      <c r="BW168" s="13"/>
      <c r="BX168" s="14"/>
      <c r="BY168" s="9"/>
      <c r="BZ168" s="16"/>
      <c r="CA168" s="10"/>
      <c r="CB168" s="10"/>
      <c r="CC168" s="10"/>
      <c r="CD168" s="11"/>
      <c r="CE168" s="12"/>
      <c r="CF168" s="17"/>
      <c r="CG168" s="13"/>
      <c r="CH168" s="13"/>
      <c r="CI168" s="13"/>
      <c r="CJ168" s="14"/>
      <c r="CK168" s="9"/>
      <c r="CL168" s="16"/>
      <c r="CM168" s="10"/>
      <c r="CN168" s="10"/>
      <c r="CO168" s="10"/>
      <c r="CP168" s="11"/>
      <c r="CQ168" s="12"/>
      <c r="CR168" s="17"/>
      <c r="CS168" s="13"/>
      <c r="CT168" s="13"/>
      <c r="CU168" s="13"/>
      <c r="CV168" s="14"/>
      <c r="CW168" s="9"/>
      <c r="CX168" s="16"/>
      <c r="CY168" s="10"/>
      <c r="CZ168" s="10"/>
      <c r="DA168" s="10"/>
      <c r="DB168" s="11"/>
      <c r="DC168" s="12"/>
      <c r="DD168" s="17"/>
      <c r="DE168" s="13"/>
      <c r="DF168" s="13"/>
      <c r="DG168" s="13"/>
      <c r="DH168" s="14"/>
      <c r="DI168" s="8">
        <f t="shared" si="45"/>
        <v>316</v>
      </c>
      <c r="DJ168" s="8">
        <f t="shared" si="46"/>
        <v>237</v>
      </c>
      <c r="DK168" s="8">
        <f t="shared" si="47"/>
        <v>222</v>
      </c>
      <c r="DL168" s="8">
        <f t="shared" si="48"/>
        <v>144</v>
      </c>
      <c r="DM168" s="8">
        <f t="shared" si="49"/>
        <v>316</v>
      </c>
      <c r="DN168" s="8">
        <f t="shared" si="50"/>
        <v>222</v>
      </c>
      <c r="DO168" s="15">
        <f t="shared" si="51"/>
        <v>21.947855013189784</v>
      </c>
      <c r="DP168" s="15" t="str">
        <f t="shared" si="52"/>
        <v>OK - No Upgrade</v>
      </c>
      <c r="DQ168" s="15" t="str">
        <f t="shared" si="53"/>
        <v>Need to Balance</v>
      </c>
    </row>
    <row r="169" spans="1:121" ht="15.75" customHeight="1" x14ac:dyDescent="0.25">
      <c r="A169" s="8" t="s">
        <v>1459</v>
      </c>
      <c r="B169" s="8" t="s">
        <v>1713</v>
      </c>
      <c r="C169" s="8" t="s">
        <v>394</v>
      </c>
      <c r="D169" s="8" t="s">
        <v>2168</v>
      </c>
      <c r="E169" s="8" t="s">
        <v>2169</v>
      </c>
      <c r="F169" s="8" t="s">
        <v>43</v>
      </c>
      <c r="G169" s="8"/>
      <c r="H169" s="8">
        <v>315</v>
      </c>
      <c r="I169" s="8" t="s">
        <v>1039</v>
      </c>
      <c r="J169" s="8">
        <v>1</v>
      </c>
      <c r="K169" s="8">
        <v>230</v>
      </c>
      <c r="L169" s="8">
        <v>231</v>
      </c>
      <c r="M169" s="8">
        <v>231</v>
      </c>
      <c r="N169" s="8">
        <v>400</v>
      </c>
      <c r="O169" s="8">
        <v>400</v>
      </c>
      <c r="P169" s="8">
        <v>400</v>
      </c>
      <c r="Q169" s="9" t="s">
        <v>47</v>
      </c>
      <c r="R169" s="16"/>
      <c r="S169" s="10">
        <v>56</v>
      </c>
      <c r="T169" s="10">
        <v>61</v>
      </c>
      <c r="U169" s="10">
        <v>47</v>
      </c>
      <c r="V169" s="11">
        <v>14</v>
      </c>
      <c r="W169" s="12" t="s">
        <v>70</v>
      </c>
      <c r="X169" s="17"/>
      <c r="Y169" s="13">
        <v>28</v>
      </c>
      <c r="Z169" s="13">
        <v>59</v>
      </c>
      <c r="AA169" s="13">
        <v>50</v>
      </c>
      <c r="AB169" s="14">
        <v>23</v>
      </c>
      <c r="AC169" s="9"/>
      <c r="AD169" s="16"/>
      <c r="AE169" s="10"/>
      <c r="AF169" s="10"/>
      <c r="AG169" s="10"/>
      <c r="AH169" s="11"/>
      <c r="AI169" s="12"/>
      <c r="AJ169" s="17"/>
      <c r="AK169" s="13"/>
      <c r="AL169" s="13"/>
      <c r="AM169" s="13"/>
      <c r="AN169" s="14"/>
      <c r="AO169" s="9"/>
      <c r="AP169" s="16"/>
      <c r="AQ169" s="10"/>
      <c r="AR169" s="10"/>
      <c r="AS169" s="10"/>
      <c r="AT169" s="11"/>
      <c r="AU169" s="12"/>
      <c r="AV169" s="17"/>
      <c r="AW169" s="13"/>
      <c r="AX169" s="13"/>
      <c r="AY169" s="13"/>
      <c r="AZ169" s="14"/>
      <c r="BA169" s="9"/>
      <c r="BB169" s="16"/>
      <c r="BC169" s="10"/>
      <c r="BD169" s="10"/>
      <c r="BE169" s="10"/>
      <c r="BF169" s="11"/>
      <c r="BG169" s="12"/>
      <c r="BH169" s="17"/>
      <c r="BI169" s="13"/>
      <c r="BJ169" s="13"/>
      <c r="BK169" s="13"/>
      <c r="BL169" s="14"/>
      <c r="BM169" s="9"/>
      <c r="BN169" s="16"/>
      <c r="BO169" s="10"/>
      <c r="BP169" s="10"/>
      <c r="BQ169" s="10"/>
      <c r="BR169" s="11"/>
      <c r="BS169" s="12"/>
      <c r="BT169" s="17"/>
      <c r="BU169" s="13"/>
      <c r="BV169" s="13"/>
      <c r="BW169" s="13"/>
      <c r="BX169" s="14"/>
      <c r="BY169" s="9"/>
      <c r="BZ169" s="16"/>
      <c r="CA169" s="10"/>
      <c r="CB169" s="10"/>
      <c r="CC169" s="10"/>
      <c r="CD169" s="11"/>
      <c r="CE169" s="12"/>
      <c r="CF169" s="17"/>
      <c r="CG169" s="13"/>
      <c r="CH169" s="13"/>
      <c r="CI169" s="13"/>
      <c r="CJ169" s="14"/>
      <c r="CK169" s="9"/>
      <c r="CL169" s="16"/>
      <c r="CM169" s="10"/>
      <c r="CN169" s="10"/>
      <c r="CO169" s="10"/>
      <c r="CP169" s="11"/>
      <c r="CQ169" s="12"/>
      <c r="CR169" s="17"/>
      <c r="CS169" s="13"/>
      <c r="CT169" s="13"/>
      <c r="CU169" s="13"/>
      <c r="CV169" s="14"/>
      <c r="CW169" s="9"/>
      <c r="CX169" s="16"/>
      <c r="CY169" s="10"/>
      <c r="CZ169" s="10"/>
      <c r="DA169" s="10"/>
      <c r="DB169" s="11"/>
      <c r="DC169" s="12"/>
      <c r="DD169" s="17"/>
      <c r="DE169" s="13"/>
      <c r="DF169" s="13"/>
      <c r="DG169" s="13"/>
      <c r="DH169" s="14"/>
      <c r="DI169" s="8">
        <f t="shared" si="45"/>
        <v>84</v>
      </c>
      <c r="DJ169" s="8">
        <f t="shared" si="46"/>
        <v>120</v>
      </c>
      <c r="DK169" s="8">
        <f t="shared" si="47"/>
        <v>97</v>
      </c>
      <c r="DL169" s="8">
        <f t="shared" si="48"/>
        <v>37</v>
      </c>
      <c r="DM169" s="8">
        <f t="shared" si="49"/>
        <v>120</v>
      </c>
      <c r="DN169" s="8">
        <f t="shared" si="50"/>
        <v>84</v>
      </c>
      <c r="DO169" s="15">
        <f t="shared" si="51"/>
        <v>26.393155162954319</v>
      </c>
      <c r="DP169" s="15" t="str">
        <f t="shared" si="52"/>
        <v>OK - No Upgrade</v>
      </c>
      <c r="DQ169" s="15" t="str">
        <f t="shared" si="53"/>
        <v>Need to Balance</v>
      </c>
    </row>
    <row r="170" spans="1:121" ht="15.75" customHeight="1" x14ac:dyDescent="0.25">
      <c r="A170" s="8" t="s">
        <v>1459</v>
      </c>
      <c r="B170" s="8" t="s">
        <v>1713</v>
      </c>
      <c r="C170" s="8" t="s">
        <v>394</v>
      </c>
      <c r="D170" s="8" t="s">
        <v>2170</v>
      </c>
      <c r="E170" s="8" t="s">
        <v>2171</v>
      </c>
      <c r="F170" s="8" t="s">
        <v>43</v>
      </c>
      <c r="G170" s="8"/>
      <c r="H170" s="8">
        <v>100</v>
      </c>
      <c r="I170" s="8" t="s">
        <v>2172</v>
      </c>
      <c r="J170" s="8">
        <v>1</v>
      </c>
      <c r="K170" s="8">
        <v>231</v>
      </c>
      <c r="L170" s="8">
        <v>233</v>
      </c>
      <c r="M170" s="8">
        <v>233</v>
      </c>
      <c r="N170" s="8">
        <v>402</v>
      </c>
      <c r="O170" s="8">
        <v>405</v>
      </c>
      <c r="P170" s="8">
        <v>402</v>
      </c>
      <c r="Q170" s="9" t="s">
        <v>46</v>
      </c>
      <c r="R170" s="16"/>
      <c r="S170" s="10">
        <v>13</v>
      </c>
      <c r="T170" s="10">
        <v>3</v>
      </c>
      <c r="U170" s="10">
        <v>5</v>
      </c>
      <c r="V170" s="11">
        <v>8</v>
      </c>
      <c r="W170" s="12"/>
      <c r="X170" s="17"/>
      <c r="Y170" s="13"/>
      <c r="Z170" s="13"/>
      <c r="AA170" s="13"/>
      <c r="AB170" s="14"/>
      <c r="AC170" s="9"/>
      <c r="AD170" s="16"/>
      <c r="AE170" s="10"/>
      <c r="AF170" s="10"/>
      <c r="AG170" s="10"/>
      <c r="AH170" s="11"/>
      <c r="AI170" s="12"/>
      <c r="AJ170" s="17"/>
      <c r="AK170" s="13"/>
      <c r="AL170" s="13"/>
      <c r="AM170" s="13"/>
      <c r="AN170" s="14"/>
      <c r="AO170" s="9"/>
      <c r="AP170" s="16"/>
      <c r="AQ170" s="10"/>
      <c r="AR170" s="10"/>
      <c r="AS170" s="10"/>
      <c r="AT170" s="11"/>
      <c r="AU170" s="12"/>
      <c r="AV170" s="17"/>
      <c r="AW170" s="13"/>
      <c r="AX170" s="13"/>
      <c r="AY170" s="13"/>
      <c r="AZ170" s="14"/>
      <c r="BA170" s="9"/>
      <c r="BB170" s="16"/>
      <c r="BC170" s="10"/>
      <c r="BD170" s="10"/>
      <c r="BE170" s="10"/>
      <c r="BF170" s="11"/>
      <c r="BG170" s="12"/>
      <c r="BH170" s="17"/>
      <c r="BI170" s="13"/>
      <c r="BJ170" s="13"/>
      <c r="BK170" s="13"/>
      <c r="BL170" s="14"/>
      <c r="BM170" s="9"/>
      <c r="BN170" s="16"/>
      <c r="BO170" s="10"/>
      <c r="BP170" s="10"/>
      <c r="BQ170" s="10"/>
      <c r="BR170" s="11"/>
      <c r="BS170" s="12"/>
      <c r="BT170" s="17"/>
      <c r="BU170" s="13"/>
      <c r="BV170" s="13"/>
      <c r="BW170" s="13"/>
      <c r="BX170" s="14"/>
      <c r="BY170" s="9"/>
      <c r="BZ170" s="16"/>
      <c r="CA170" s="10"/>
      <c r="CB170" s="10"/>
      <c r="CC170" s="10"/>
      <c r="CD170" s="11"/>
      <c r="CE170" s="12"/>
      <c r="CF170" s="17"/>
      <c r="CG170" s="13"/>
      <c r="CH170" s="13"/>
      <c r="CI170" s="13"/>
      <c r="CJ170" s="14"/>
      <c r="CK170" s="9"/>
      <c r="CL170" s="16"/>
      <c r="CM170" s="10"/>
      <c r="CN170" s="10"/>
      <c r="CO170" s="10"/>
      <c r="CP170" s="11"/>
      <c r="CQ170" s="12"/>
      <c r="CR170" s="17"/>
      <c r="CS170" s="13"/>
      <c r="CT170" s="13"/>
      <c r="CU170" s="13"/>
      <c r="CV170" s="14"/>
      <c r="CW170" s="9"/>
      <c r="CX170" s="16"/>
      <c r="CY170" s="10"/>
      <c r="CZ170" s="10"/>
      <c r="DA170" s="10"/>
      <c r="DB170" s="11"/>
      <c r="DC170" s="12"/>
      <c r="DD170" s="17"/>
      <c r="DE170" s="13"/>
      <c r="DF170" s="13"/>
      <c r="DG170" s="13"/>
      <c r="DH170" s="14"/>
      <c r="DI170" s="8">
        <f t="shared" si="45"/>
        <v>13</v>
      </c>
      <c r="DJ170" s="8">
        <f t="shared" si="46"/>
        <v>3</v>
      </c>
      <c r="DK170" s="8">
        <f t="shared" si="47"/>
        <v>5</v>
      </c>
      <c r="DL170" s="8">
        <f t="shared" si="48"/>
        <v>8</v>
      </c>
      <c r="DM170" s="8">
        <f t="shared" si="49"/>
        <v>13</v>
      </c>
      <c r="DN170" s="8">
        <f t="shared" si="50"/>
        <v>3</v>
      </c>
      <c r="DO170" s="15">
        <f t="shared" si="51"/>
        <v>9.0516975203549528</v>
      </c>
      <c r="DP170" s="15" t="str">
        <f t="shared" si="52"/>
        <v>OK - No Upgrade</v>
      </c>
      <c r="DQ170" s="15" t="str">
        <f t="shared" si="53"/>
        <v>Need to Balance</v>
      </c>
    </row>
    <row r="171" spans="1:121" ht="15.75" customHeight="1" x14ac:dyDescent="0.25">
      <c r="A171" s="8" t="s">
        <v>1459</v>
      </c>
      <c r="B171" s="8" t="s">
        <v>1713</v>
      </c>
      <c r="C171" s="8" t="s">
        <v>394</v>
      </c>
      <c r="D171" s="8" t="s">
        <v>2173</v>
      </c>
      <c r="E171" s="8" t="s">
        <v>2174</v>
      </c>
      <c r="F171" s="8" t="s">
        <v>43</v>
      </c>
      <c r="G171" s="8"/>
      <c r="H171" s="8">
        <v>315</v>
      </c>
      <c r="I171" s="8" t="s">
        <v>2175</v>
      </c>
      <c r="J171" s="8">
        <v>1</v>
      </c>
      <c r="K171" s="8">
        <v>233</v>
      </c>
      <c r="L171" s="8">
        <v>235</v>
      </c>
      <c r="M171" s="8">
        <v>234</v>
      </c>
      <c r="N171" s="8">
        <v>404</v>
      </c>
      <c r="O171" s="8">
        <v>407</v>
      </c>
      <c r="P171" s="8">
        <v>404</v>
      </c>
      <c r="Q171" s="9" t="s">
        <v>47</v>
      </c>
      <c r="R171" s="16"/>
      <c r="S171" s="10">
        <v>15</v>
      </c>
      <c r="T171" s="10">
        <v>9</v>
      </c>
      <c r="U171" s="10">
        <v>8</v>
      </c>
      <c r="V171" s="11">
        <v>8</v>
      </c>
      <c r="W171" s="12" t="s">
        <v>47</v>
      </c>
      <c r="X171" s="17"/>
      <c r="Y171" s="13">
        <v>22</v>
      </c>
      <c r="Z171" s="13">
        <v>10</v>
      </c>
      <c r="AA171" s="13">
        <v>16</v>
      </c>
      <c r="AB171" s="14">
        <v>11</v>
      </c>
      <c r="AC171" s="9"/>
      <c r="AD171" s="16"/>
      <c r="AE171" s="10"/>
      <c r="AF171" s="10"/>
      <c r="AG171" s="10"/>
      <c r="AH171" s="11"/>
      <c r="AI171" s="12"/>
      <c r="AJ171" s="17"/>
      <c r="AK171" s="13"/>
      <c r="AL171" s="13"/>
      <c r="AM171" s="13"/>
      <c r="AN171" s="14"/>
      <c r="AO171" s="9"/>
      <c r="AP171" s="16"/>
      <c r="AQ171" s="10"/>
      <c r="AR171" s="10"/>
      <c r="AS171" s="10"/>
      <c r="AT171" s="11"/>
      <c r="AU171" s="12"/>
      <c r="AV171" s="17"/>
      <c r="AW171" s="13"/>
      <c r="AX171" s="13"/>
      <c r="AY171" s="13"/>
      <c r="AZ171" s="14"/>
      <c r="BA171" s="9"/>
      <c r="BB171" s="16"/>
      <c r="BC171" s="10"/>
      <c r="BD171" s="10"/>
      <c r="BE171" s="10"/>
      <c r="BF171" s="11"/>
      <c r="BG171" s="12"/>
      <c r="BH171" s="17"/>
      <c r="BI171" s="13"/>
      <c r="BJ171" s="13"/>
      <c r="BK171" s="13"/>
      <c r="BL171" s="14"/>
      <c r="BM171" s="9"/>
      <c r="BN171" s="16"/>
      <c r="BO171" s="10"/>
      <c r="BP171" s="10"/>
      <c r="BQ171" s="10"/>
      <c r="BR171" s="11"/>
      <c r="BS171" s="12"/>
      <c r="BT171" s="17"/>
      <c r="BU171" s="13"/>
      <c r="BV171" s="13"/>
      <c r="BW171" s="13"/>
      <c r="BX171" s="14"/>
      <c r="BY171" s="9"/>
      <c r="BZ171" s="16"/>
      <c r="CA171" s="10"/>
      <c r="CB171" s="10"/>
      <c r="CC171" s="10"/>
      <c r="CD171" s="11"/>
      <c r="CE171" s="12"/>
      <c r="CF171" s="17"/>
      <c r="CG171" s="13"/>
      <c r="CH171" s="13"/>
      <c r="CI171" s="13"/>
      <c r="CJ171" s="14"/>
      <c r="CK171" s="9"/>
      <c r="CL171" s="16"/>
      <c r="CM171" s="10"/>
      <c r="CN171" s="10"/>
      <c r="CO171" s="10"/>
      <c r="CP171" s="11"/>
      <c r="CQ171" s="12"/>
      <c r="CR171" s="17"/>
      <c r="CS171" s="13"/>
      <c r="CT171" s="13"/>
      <c r="CU171" s="13"/>
      <c r="CV171" s="14"/>
      <c r="CW171" s="9"/>
      <c r="CX171" s="16"/>
      <c r="CY171" s="10"/>
      <c r="CZ171" s="10"/>
      <c r="DA171" s="10"/>
      <c r="DB171" s="11"/>
      <c r="DC171" s="12"/>
      <c r="DD171" s="17"/>
      <c r="DE171" s="13"/>
      <c r="DF171" s="13"/>
      <c r="DG171" s="13"/>
      <c r="DH171" s="14"/>
      <c r="DI171" s="8">
        <f t="shared" si="45"/>
        <v>37</v>
      </c>
      <c r="DJ171" s="8">
        <f t="shared" si="46"/>
        <v>19</v>
      </c>
      <c r="DK171" s="8">
        <f t="shared" si="47"/>
        <v>24</v>
      </c>
      <c r="DL171" s="8">
        <f t="shared" si="48"/>
        <v>19</v>
      </c>
      <c r="DM171" s="8">
        <f t="shared" si="49"/>
        <v>37</v>
      </c>
      <c r="DN171" s="8">
        <f t="shared" si="50"/>
        <v>19</v>
      </c>
      <c r="DO171" s="15">
        <f t="shared" si="51"/>
        <v>8.2192684036633565</v>
      </c>
      <c r="DP171" s="15" t="str">
        <f t="shared" si="52"/>
        <v>OK - No Upgrade</v>
      </c>
      <c r="DQ171" s="15" t="str">
        <f t="shared" si="53"/>
        <v>Need to Balance</v>
      </c>
    </row>
    <row r="172" spans="1:121" ht="15.75" customHeight="1" x14ac:dyDescent="0.25">
      <c r="A172" s="8" t="s">
        <v>1459</v>
      </c>
      <c r="B172" s="8" t="s">
        <v>1713</v>
      </c>
      <c r="C172" s="8" t="s">
        <v>394</v>
      </c>
      <c r="D172" s="8" t="s">
        <v>2176</v>
      </c>
      <c r="E172" s="8" t="s">
        <v>2177</v>
      </c>
      <c r="F172" s="8" t="s">
        <v>43</v>
      </c>
      <c r="G172" s="8"/>
      <c r="H172" s="8">
        <v>100</v>
      </c>
      <c r="I172" s="8" t="s">
        <v>2178</v>
      </c>
      <c r="J172" s="8">
        <v>1</v>
      </c>
      <c r="K172" s="8">
        <v>232</v>
      </c>
      <c r="L172" s="8">
        <v>234</v>
      </c>
      <c r="M172" s="8">
        <v>236</v>
      </c>
      <c r="N172" s="8">
        <v>406</v>
      </c>
      <c r="O172" s="8">
        <v>406</v>
      </c>
      <c r="P172" s="8">
        <v>402</v>
      </c>
      <c r="Q172" s="9" t="s">
        <v>46</v>
      </c>
      <c r="R172" s="16"/>
      <c r="S172" s="10">
        <v>31</v>
      </c>
      <c r="T172" s="10">
        <v>31</v>
      </c>
      <c r="U172" s="10">
        <v>7</v>
      </c>
      <c r="V172" s="11">
        <v>19</v>
      </c>
      <c r="W172" s="12" t="s">
        <v>132</v>
      </c>
      <c r="X172" s="17"/>
      <c r="Y172" s="13">
        <v>0</v>
      </c>
      <c r="Z172" s="13">
        <v>0</v>
      </c>
      <c r="AA172" s="13">
        <v>0</v>
      </c>
      <c r="AB172" s="14">
        <v>0</v>
      </c>
      <c r="AC172" s="9"/>
      <c r="AD172" s="16"/>
      <c r="AE172" s="10"/>
      <c r="AF172" s="10"/>
      <c r="AG172" s="10"/>
      <c r="AH172" s="11"/>
      <c r="AI172" s="12"/>
      <c r="AJ172" s="17"/>
      <c r="AK172" s="13"/>
      <c r="AL172" s="13"/>
      <c r="AM172" s="13"/>
      <c r="AN172" s="14"/>
      <c r="AO172" s="9"/>
      <c r="AP172" s="16"/>
      <c r="AQ172" s="10"/>
      <c r="AR172" s="10"/>
      <c r="AS172" s="10"/>
      <c r="AT172" s="11"/>
      <c r="AU172" s="12"/>
      <c r="AV172" s="17"/>
      <c r="AW172" s="13"/>
      <c r="AX172" s="13"/>
      <c r="AY172" s="13"/>
      <c r="AZ172" s="14"/>
      <c r="BA172" s="9"/>
      <c r="BB172" s="16"/>
      <c r="BC172" s="10"/>
      <c r="BD172" s="10"/>
      <c r="BE172" s="10"/>
      <c r="BF172" s="11"/>
      <c r="BG172" s="12"/>
      <c r="BH172" s="17"/>
      <c r="BI172" s="13"/>
      <c r="BJ172" s="13"/>
      <c r="BK172" s="13"/>
      <c r="BL172" s="14"/>
      <c r="BM172" s="9"/>
      <c r="BN172" s="16"/>
      <c r="BO172" s="10"/>
      <c r="BP172" s="10"/>
      <c r="BQ172" s="10"/>
      <c r="BR172" s="11"/>
      <c r="BS172" s="12"/>
      <c r="BT172" s="17"/>
      <c r="BU172" s="13"/>
      <c r="BV172" s="13"/>
      <c r="BW172" s="13"/>
      <c r="BX172" s="14"/>
      <c r="BY172" s="9"/>
      <c r="BZ172" s="16"/>
      <c r="CA172" s="10"/>
      <c r="CB172" s="10"/>
      <c r="CC172" s="10"/>
      <c r="CD172" s="11"/>
      <c r="CE172" s="12"/>
      <c r="CF172" s="17"/>
      <c r="CG172" s="13"/>
      <c r="CH172" s="13"/>
      <c r="CI172" s="13"/>
      <c r="CJ172" s="14"/>
      <c r="CK172" s="9"/>
      <c r="CL172" s="16"/>
      <c r="CM172" s="10"/>
      <c r="CN172" s="10"/>
      <c r="CO172" s="10"/>
      <c r="CP172" s="11"/>
      <c r="CQ172" s="12"/>
      <c r="CR172" s="17"/>
      <c r="CS172" s="13"/>
      <c r="CT172" s="13"/>
      <c r="CU172" s="13"/>
      <c r="CV172" s="14"/>
      <c r="CW172" s="9"/>
      <c r="CX172" s="16"/>
      <c r="CY172" s="10"/>
      <c r="CZ172" s="10"/>
      <c r="DA172" s="10"/>
      <c r="DB172" s="11"/>
      <c r="DC172" s="12"/>
      <c r="DD172" s="17"/>
      <c r="DE172" s="13"/>
      <c r="DF172" s="13"/>
      <c r="DG172" s="13"/>
      <c r="DH172" s="14"/>
      <c r="DI172" s="8">
        <f t="shared" si="45"/>
        <v>31</v>
      </c>
      <c r="DJ172" s="8">
        <f t="shared" si="46"/>
        <v>31</v>
      </c>
      <c r="DK172" s="8">
        <f t="shared" si="47"/>
        <v>7</v>
      </c>
      <c r="DL172" s="8">
        <f t="shared" si="48"/>
        <v>19</v>
      </c>
      <c r="DM172" s="8">
        <f t="shared" si="49"/>
        <v>31</v>
      </c>
      <c r="DN172" s="8">
        <f t="shared" si="50"/>
        <v>7</v>
      </c>
      <c r="DO172" s="15">
        <f t="shared" si="51"/>
        <v>21.799591464061891</v>
      </c>
      <c r="DP172" s="15" t="str">
        <f t="shared" si="52"/>
        <v>OK - No Upgrade</v>
      </c>
      <c r="DQ172" s="15" t="str">
        <f t="shared" si="53"/>
        <v>Need to Balance</v>
      </c>
    </row>
    <row r="173" spans="1:121" ht="15.75" customHeight="1" x14ac:dyDescent="0.25">
      <c r="A173" s="8" t="s">
        <v>1459</v>
      </c>
      <c r="B173" s="8" t="s">
        <v>1713</v>
      </c>
      <c r="C173" s="8" t="s">
        <v>394</v>
      </c>
      <c r="D173" s="8" t="s">
        <v>2179</v>
      </c>
      <c r="E173" s="8" t="s">
        <v>2180</v>
      </c>
      <c r="F173" s="8" t="s">
        <v>43</v>
      </c>
      <c r="G173" s="8"/>
      <c r="H173" s="8">
        <v>315</v>
      </c>
      <c r="I173" s="8" t="s">
        <v>2181</v>
      </c>
      <c r="J173" s="8">
        <v>1</v>
      </c>
      <c r="K173" s="8">
        <v>231</v>
      </c>
      <c r="L173" s="8">
        <v>233</v>
      </c>
      <c r="M173" s="8">
        <v>232</v>
      </c>
      <c r="N173" s="8">
        <v>400</v>
      </c>
      <c r="O173" s="8">
        <v>400</v>
      </c>
      <c r="P173" s="8">
        <v>404</v>
      </c>
      <c r="Q173" s="9" t="s">
        <v>47</v>
      </c>
      <c r="R173" s="16"/>
      <c r="S173" s="10">
        <v>70</v>
      </c>
      <c r="T173" s="10">
        <v>60</v>
      </c>
      <c r="U173" s="10">
        <v>122</v>
      </c>
      <c r="V173" s="11">
        <v>59</v>
      </c>
      <c r="W173" s="12"/>
      <c r="X173" s="17"/>
      <c r="Y173" s="13"/>
      <c r="Z173" s="13"/>
      <c r="AA173" s="13"/>
      <c r="AB173" s="14"/>
      <c r="AC173" s="9"/>
      <c r="AD173" s="16"/>
      <c r="AE173" s="10"/>
      <c r="AF173" s="10"/>
      <c r="AG173" s="10"/>
      <c r="AH173" s="11"/>
      <c r="AI173" s="12"/>
      <c r="AJ173" s="17"/>
      <c r="AK173" s="13"/>
      <c r="AL173" s="13"/>
      <c r="AM173" s="13"/>
      <c r="AN173" s="14"/>
      <c r="AO173" s="9"/>
      <c r="AP173" s="16"/>
      <c r="AQ173" s="10"/>
      <c r="AR173" s="10"/>
      <c r="AS173" s="10"/>
      <c r="AT173" s="11"/>
      <c r="AU173" s="12"/>
      <c r="AV173" s="17"/>
      <c r="AW173" s="13"/>
      <c r="AX173" s="13"/>
      <c r="AY173" s="13"/>
      <c r="AZ173" s="14"/>
      <c r="BA173" s="9"/>
      <c r="BB173" s="16"/>
      <c r="BC173" s="10"/>
      <c r="BD173" s="10"/>
      <c r="BE173" s="10"/>
      <c r="BF173" s="11"/>
      <c r="BG173" s="12"/>
      <c r="BH173" s="17"/>
      <c r="BI173" s="13"/>
      <c r="BJ173" s="13"/>
      <c r="BK173" s="13"/>
      <c r="BL173" s="14"/>
      <c r="BM173" s="9"/>
      <c r="BN173" s="16"/>
      <c r="BO173" s="10"/>
      <c r="BP173" s="10"/>
      <c r="BQ173" s="10"/>
      <c r="BR173" s="11"/>
      <c r="BS173" s="12"/>
      <c r="BT173" s="17"/>
      <c r="BU173" s="13"/>
      <c r="BV173" s="13"/>
      <c r="BW173" s="13"/>
      <c r="BX173" s="14"/>
      <c r="BY173" s="9"/>
      <c r="BZ173" s="16"/>
      <c r="CA173" s="10"/>
      <c r="CB173" s="10"/>
      <c r="CC173" s="10"/>
      <c r="CD173" s="11"/>
      <c r="CE173" s="12"/>
      <c r="CF173" s="17"/>
      <c r="CG173" s="13"/>
      <c r="CH173" s="13"/>
      <c r="CI173" s="13"/>
      <c r="CJ173" s="14"/>
      <c r="CK173" s="9"/>
      <c r="CL173" s="16"/>
      <c r="CM173" s="10"/>
      <c r="CN173" s="10"/>
      <c r="CO173" s="10"/>
      <c r="CP173" s="11"/>
      <c r="CQ173" s="12"/>
      <c r="CR173" s="17"/>
      <c r="CS173" s="13"/>
      <c r="CT173" s="13"/>
      <c r="CU173" s="13"/>
      <c r="CV173" s="14"/>
      <c r="CW173" s="9"/>
      <c r="CX173" s="16"/>
      <c r="CY173" s="10"/>
      <c r="CZ173" s="10"/>
      <c r="DA173" s="10"/>
      <c r="DB173" s="11"/>
      <c r="DC173" s="12"/>
      <c r="DD173" s="17"/>
      <c r="DE173" s="13"/>
      <c r="DF173" s="13"/>
      <c r="DG173" s="13"/>
      <c r="DH173" s="14"/>
      <c r="DI173" s="8">
        <f t="shared" si="45"/>
        <v>70</v>
      </c>
      <c r="DJ173" s="8">
        <f t="shared" si="46"/>
        <v>60</v>
      </c>
      <c r="DK173" s="8">
        <f t="shared" si="47"/>
        <v>122</v>
      </c>
      <c r="DL173" s="8">
        <f t="shared" si="48"/>
        <v>59</v>
      </c>
      <c r="DM173" s="8">
        <f t="shared" si="49"/>
        <v>122</v>
      </c>
      <c r="DN173" s="8">
        <f t="shared" si="50"/>
        <v>60</v>
      </c>
      <c r="DO173" s="15">
        <f t="shared" si="51"/>
        <v>26.833041082336891</v>
      </c>
      <c r="DP173" s="15" t="str">
        <f t="shared" si="52"/>
        <v>OK - No Upgrade</v>
      </c>
      <c r="DQ173" s="15" t="str">
        <f t="shared" si="53"/>
        <v>Need to Balance</v>
      </c>
    </row>
    <row r="174" spans="1:121" ht="15.75" customHeight="1" x14ac:dyDescent="0.25">
      <c r="A174" s="8" t="s">
        <v>1459</v>
      </c>
      <c r="B174" s="8" t="s">
        <v>1713</v>
      </c>
      <c r="C174" s="8" t="s">
        <v>394</v>
      </c>
      <c r="D174" s="8" t="s">
        <v>2182</v>
      </c>
      <c r="E174" s="8" t="s">
        <v>2183</v>
      </c>
      <c r="F174" s="8" t="s">
        <v>43</v>
      </c>
      <c r="G174" s="8"/>
      <c r="H174" s="8">
        <v>100</v>
      </c>
      <c r="I174" s="8" t="s">
        <v>2184</v>
      </c>
      <c r="J174" s="8">
        <v>1</v>
      </c>
      <c r="K174" s="8">
        <v>222</v>
      </c>
      <c r="L174" s="8">
        <v>223</v>
      </c>
      <c r="M174" s="8">
        <v>223</v>
      </c>
      <c r="N174" s="8">
        <v>385</v>
      </c>
      <c r="O174" s="8">
        <v>385</v>
      </c>
      <c r="P174" s="8">
        <v>388</v>
      </c>
      <c r="Q174" s="9" t="s">
        <v>47</v>
      </c>
      <c r="R174" s="16"/>
      <c r="S174" s="10">
        <v>7</v>
      </c>
      <c r="T174" s="10">
        <v>1</v>
      </c>
      <c r="U174" s="10">
        <v>15</v>
      </c>
      <c r="V174" s="11">
        <v>8</v>
      </c>
      <c r="W174" s="12"/>
      <c r="X174" s="17"/>
      <c r="Y174" s="13"/>
      <c r="Z174" s="13"/>
      <c r="AA174" s="13"/>
      <c r="AB174" s="14"/>
      <c r="AC174" s="9"/>
      <c r="AD174" s="16"/>
      <c r="AE174" s="10"/>
      <c r="AF174" s="10"/>
      <c r="AG174" s="10"/>
      <c r="AH174" s="11"/>
      <c r="AI174" s="12"/>
      <c r="AJ174" s="17"/>
      <c r="AK174" s="13"/>
      <c r="AL174" s="13"/>
      <c r="AM174" s="13"/>
      <c r="AN174" s="14"/>
      <c r="AO174" s="9"/>
      <c r="AP174" s="16"/>
      <c r="AQ174" s="10"/>
      <c r="AR174" s="10"/>
      <c r="AS174" s="10"/>
      <c r="AT174" s="11"/>
      <c r="AU174" s="12"/>
      <c r="AV174" s="17"/>
      <c r="AW174" s="13"/>
      <c r="AX174" s="13"/>
      <c r="AY174" s="13"/>
      <c r="AZ174" s="14"/>
      <c r="BA174" s="9"/>
      <c r="BB174" s="16"/>
      <c r="BC174" s="10"/>
      <c r="BD174" s="10"/>
      <c r="BE174" s="10"/>
      <c r="BF174" s="11"/>
      <c r="BG174" s="12"/>
      <c r="BH174" s="17"/>
      <c r="BI174" s="13"/>
      <c r="BJ174" s="13"/>
      <c r="BK174" s="13"/>
      <c r="BL174" s="14"/>
      <c r="BM174" s="9"/>
      <c r="BN174" s="16"/>
      <c r="BO174" s="10"/>
      <c r="BP174" s="10"/>
      <c r="BQ174" s="10"/>
      <c r="BR174" s="11"/>
      <c r="BS174" s="12"/>
      <c r="BT174" s="17"/>
      <c r="BU174" s="13"/>
      <c r="BV174" s="13"/>
      <c r="BW174" s="13"/>
      <c r="BX174" s="14"/>
      <c r="BY174" s="9"/>
      <c r="BZ174" s="16"/>
      <c r="CA174" s="10"/>
      <c r="CB174" s="10"/>
      <c r="CC174" s="10"/>
      <c r="CD174" s="11"/>
      <c r="CE174" s="12"/>
      <c r="CF174" s="17"/>
      <c r="CG174" s="13"/>
      <c r="CH174" s="13"/>
      <c r="CI174" s="13"/>
      <c r="CJ174" s="14"/>
      <c r="CK174" s="9"/>
      <c r="CL174" s="16"/>
      <c r="CM174" s="10"/>
      <c r="CN174" s="10"/>
      <c r="CO174" s="10"/>
      <c r="CP174" s="11"/>
      <c r="CQ174" s="12"/>
      <c r="CR174" s="17"/>
      <c r="CS174" s="13"/>
      <c r="CT174" s="13"/>
      <c r="CU174" s="13"/>
      <c r="CV174" s="14"/>
      <c r="CW174" s="9"/>
      <c r="CX174" s="16"/>
      <c r="CY174" s="10"/>
      <c r="CZ174" s="10"/>
      <c r="DA174" s="10"/>
      <c r="DB174" s="11"/>
      <c r="DC174" s="12"/>
      <c r="DD174" s="17"/>
      <c r="DE174" s="13"/>
      <c r="DF174" s="13"/>
      <c r="DG174" s="13"/>
      <c r="DH174" s="14"/>
      <c r="DI174" s="8">
        <f t="shared" si="45"/>
        <v>7</v>
      </c>
      <c r="DJ174" s="8">
        <f t="shared" si="46"/>
        <v>1</v>
      </c>
      <c r="DK174" s="8">
        <f t="shared" si="47"/>
        <v>15</v>
      </c>
      <c r="DL174" s="8">
        <f t="shared" si="48"/>
        <v>8</v>
      </c>
      <c r="DM174" s="8">
        <f t="shared" si="49"/>
        <v>15</v>
      </c>
      <c r="DN174" s="8">
        <f t="shared" si="50"/>
        <v>1</v>
      </c>
      <c r="DO174" s="15">
        <f t="shared" si="51"/>
        <v>10.002593413710265</v>
      </c>
      <c r="DP174" s="15" t="str">
        <f t="shared" si="52"/>
        <v>OK - No Upgrade</v>
      </c>
      <c r="DQ174" s="15" t="str">
        <f t="shared" si="53"/>
        <v>Need to Balance</v>
      </c>
    </row>
    <row r="175" spans="1:121" ht="15.75" customHeight="1" x14ac:dyDescent="0.25">
      <c r="A175" s="8" t="s">
        <v>1459</v>
      </c>
      <c r="B175" s="8" t="s">
        <v>1713</v>
      </c>
      <c r="C175" s="8" t="s">
        <v>394</v>
      </c>
      <c r="D175" s="8" t="s">
        <v>2185</v>
      </c>
      <c r="E175" s="8" t="s">
        <v>2186</v>
      </c>
      <c r="F175" s="8" t="s">
        <v>43</v>
      </c>
      <c r="G175" s="8"/>
      <c r="H175" s="8">
        <v>315</v>
      </c>
      <c r="I175" s="8" t="s">
        <v>2187</v>
      </c>
      <c r="J175" s="8">
        <v>1</v>
      </c>
      <c r="K175" s="8">
        <v>233</v>
      </c>
      <c r="L175" s="8">
        <v>234</v>
      </c>
      <c r="M175" s="8">
        <v>235</v>
      </c>
      <c r="N175" s="8">
        <v>404</v>
      </c>
      <c r="O175" s="8">
        <v>405</v>
      </c>
      <c r="P175" s="8">
        <v>404</v>
      </c>
      <c r="Q175" s="9" t="s">
        <v>46</v>
      </c>
      <c r="R175" s="16"/>
      <c r="S175" s="10">
        <v>98</v>
      </c>
      <c r="T175" s="10">
        <v>84</v>
      </c>
      <c r="U175" s="10">
        <v>85</v>
      </c>
      <c r="V175" s="11">
        <v>49</v>
      </c>
      <c r="W175" s="12"/>
      <c r="X175" s="17"/>
      <c r="Y175" s="13"/>
      <c r="Z175" s="13"/>
      <c r="AA175" s="13"/>
      <c r="AB175" s="14"/>
      <c r="AC175" s="9"/>
      <c r="AD175" s="16"/>
      <c r="AE175" s="10"/>
      <c r="AF175" s="10"/>
      <c r="AG175" s="10"/>
      <c r="AH175" s="11"/>
      <c r="AI175" s="12"/>
      <c r="AJ175" s="17"/>
      <c r="AK175" s="13"/>
      <c r="AL175" s="13"/>
      <c r="AM175" s="13"/>
      <c r="AN175" s="14"/>
      <c r="AO175" s="9"/>
      <c r="AP175" s="16"/>
      <c r="AQ175" s="10"/>
      <c r="AR175" s="10"/>
      <c r="AS175" s="10"/>
      <c r="AT175" s="11"/>
      <c r="AU175" s="12"/>
      <c r="AV175" s="17"/>
      <c r="AW175" s="13"/>
      <c r="AX175" s="13"/>
      <c r="AY175" s="13"/>
      <c r="AZ175" s="14"/>
      <c r="BA175" s="9"/>
      <c r="BB175" s="16"/>
      <c r="BC175" s="10"/>
      <c r="BD175" s="10"/>
      <c r="BE175" s="10"/>
      <c r="BF175" s="11"/>
      <c r="BG175" s="12"/>
      <c r="BH175" s="17"/>
      <c r="BI175" s="13"/>
      <c r="BJ175" s="13"/>
      <c r="BK175" s="13"/>
      <c r="BL175" s="14"/>
      <c r="BM175" s="9"/>
      <c r="BN175" s="16"/>
      <c r="BO175" s="10"/>
      <c r="BP175" s="10"/>
      <c r="BQ175" s="10"/>
      <c r="BR175" s="11"/>
      <c r="BS175" s="12"/>
      <c r="BT175" s="17"/>
      <c r="BU175" s="13"/>
      <c r="BV175" s="13"/>
      <c r="BW175" s="13"/>
      <c r="BX175" s="14"/>
      <c r="BY175" s="9"/>
      <c r="BZ175" s="16"/>
      <c r="CA175" s="10"/>
      <c r="CB175" s="10"/>
      <c r="CC175" s="10"/>
      <c r="CD175" s="11"/>
      <c r="CE175" s="12"/>
      <c r="CF175" s="17"/>
      <c r="CG175" s="13"/>
      <c r="CH175" s="13"/>
      <c r="CI175" s="13"/>
      <c r="CJ175" s="14"/>
      <c r="CK175" s="9"/>
      <c r="CL175" s="16"/>
      <c r="CM175" s="10"/>
      <c r="CN175" s="10"/>
      <c r="CO175" s="10"/>
      <c r="CP175" s="11"/>
      <c r="CQ175" s="12"/>
      <c r="CR175" s="17"/>
      <c r="CS175" s="13"/>
      <c r="CT175" s="13"/>
      <c r="CU175" s="13"/>
      <c r="CV175" s="14"/>
      <c r="CW175" s="9"/>
      <c r="CX175" s="16"/>
      <c r="CY175" s="10"/>
      <c r="CZ175" s="10"/>
      <c r="DA175" s="10"/>
      <c r="DB175" s="11"/>
      <c r="DC175" s="12"/>
      <c r="DD175" s="17"/>
      <c r="DE175" s="13"/>
      <c r="DF175" s="13"/>
      <c r="DG175" s="13"/>
      <c r="DH175" s="14"/>
      <c r="DI175" s="8">
        <f t="shared" si="45"/>
        <v>98</v>
      </c>
      <c r="DJ175" s="8">
        <f t="shared" si="46"/>
        <v>84</v>
      </c>
      <c r="DK175" s="8">
        <f t="shared" si="47"/>
        <v>85</v>
      </c>
      <c r="DL175" s="8">
        <f t="shared" si="48"/>
        <v>49</v>
      </c>
      <c r="DM175" s="8">
        <f t="shared" si="49"/>
        <v>98</v>
      </c>
      <c r="DN175" s="8">
        <f t="shared" si="50"/>
        <v>84</v>
      </c>
      <c r="DO175" s="15">
        <f t="shared" si="51"/>
        <v>21.769954150243485</v>
      </c>
      <c r="DP175" s="15" t="str">
        <f t="shared" si="52"/>
        <v>OK - No Upgrade</v>
      </c>
      <c r="DQ175" s="15" t="str">
        <f t="shared" si="53"/>
        <v>Need to Balance</v>
      </c>
    </row>
    <row r="176" spans="1:121" ht="15.75" customHeight="1" x14ac:dyDescent="0.25">
      <c r="A176" s="8" t="s">
        <v>1459</v>
      </c>
      <c r="B176" s="8" t="s">
        <v>1713</v>
      </c>
      <c r="C176" s="8" t="s">
        <v>394</v>
      </c>
      <c r="D176" s="8" t="s">
        <v>2188</v>
      </c>
      <c r="E176" s="8" t="s">
        <v>2189</v>
      </c>
      <c r="F176" s="8" t="s">
        <v>43</v>
      </c>
      <c r="G176" s="8"/>
      <c r="H176" s="8">
        <v>315</v>
      </c>
      <c r="I176" s="8" t="s">
        <v>2190</v>
      </c>
      <c r="J176" s="8">
        <v>1</v>
      </c>
      <c r="K176" s="8">
        <v>236</v>
      </c>
      <c r="L176" s="8">
        <v>237</v>
      </c>
      <c r="M176" s="8">
        <v>238</v>
      </c>
      <c r="N176" s="8">
        <v>409</v>
      </c>
      <c r="O176" s="8">
        <v>412</v>
      </c>
      <c r="P176" s="8">
        <v>410</v>
      </c>
      <c r="Q176" s="9" t="s">
        <v>47</v>
      </c>
      <c r="R176" s="16"/>
      <c r="S176" s="10">
        <v>12</v>
      </c>
      <c r="T176" s="10">
        <v>15</v>
      </c>
      <c r="U176" s="10">
        <v>10</v>
      </c>
      <c r="V176" s="11">
        <v>8</v>
      </c>
      <c r="W176" s="12" t="s">
        <v>47</v>
      </c>
      <c r="X176" s="17"/>
      <c r="Y176" s="13">
        <v>14</v>
      </c>
      <c r="Z176" s="13">
        <v>40</v>
      </c>
      <c r="AA176" s="13">
        <v>23</v>
      </c>
      <c r="AB176" s="14">
        <v>16</v>
      </c>
      <c r="AC176" s="9"/>
      <c r="AD176" s="16"/>
      <c r="AE176" s="10"/>
      <c r="AF176" s="10"/>
      <c r="AG176" s="10"/>
      <c r="AH176" s="11"/>
      <c r="AI176" s="12"/>
      <c r="AJ176" s="17"/>
      <c r="AK176" s="13"/>
      <c r="AL176" s="13"/>
      <c r="AM176" s="13"/>
      <c r="AN176" s="14"/>
      <c r="AO176" s="9"/>
      <c r="AP176" s="16"/>
      <c r="AQ176" s="10"/>
      <c r="AR176" s="10"/>
      <c r="AS176" s="10"/>
      <c r="AT176" s="11"/>
      <c r="AU176" s="12"/>
      <c r="AV176" s="17"/>
      <c r="AW176" s="13"/>
      <c r="AX176" s="13"/>
      <c r="AY176" s="13"/>
      <c r="AZ176" s="14"/>
      <c r="BA176" s="9"/>
      <c r="BB176" s="16"/>
      <c r="BC176" s="10"/>
      <c r="BD176" s="10"/>
      <c r="BE176" s="10"/>
      <c r="BF176" s="11"/>
      <c r="BG176" s="12"/>
      <c r="BH176" s="17"/>
      <c r="BI176" s="13"/>
      <c r="BJ176" s="13"/>
      <c r="BK176" s="13"/>
      <c r="BL176" s="14"/>
      <c r="BM176" s="9"/>
      <c r="BN176" s="16"/>
      <c r="BO176" s="10"/>
      <c r="BP176" s="10"/>
      <c r="BQ176" s="10"/>
      <c r="BR176" s="11"/>
      <c r="BS176" s="12"/>
      <c r="BT176" s="17"/>
      <c r="BU176" s="13"/>
      <c r="BV176" s="13"/>
      <c r="BW176" s="13"/>
      <c r="BX176" s="14"/>
      <c r="BY176" s="9"/>
      <c r="BZ176" s="16"/>
      <c r="CA176" s="10"/>
      <c r="CB176" s="10"/>
      <c r="CC176" s="10"/>
      <c r="CD176" s="11"/>
      <c r="CE176" s="12"/>
      <c r="CF176" s="17"/>
      <c r="CG176" s="13"/>
      <c r="CH176" s="13"/>
      <c r="CI176" s="13"/>
      <c r="CJ176" s="14"/>
      <c r="CK176" s="9"/>
      <c r="CL176" s="16"/>
      <c r="CM176" s="10"/>
      <c r="CN176" s="10"/>
      <c r="CO176" s="10"/>
      <c r="CP176" s="11"/>
      <c r="CQ176" s="12"/>
      <c r="CR176" s="17"/>
      <c r="CS176" s="13"/>
      <c r="CT176" s="13"/>
      <c r="CU176" s="13"/>
      <c r="CV176" s="14"/>
      <c r="CW176" s="9"/>
      <c r="CX176" s="16"/>
      <c r="CY176" s="10"/>
      <c r="CZ176" s="10"/>
      <c r="DA176" s="10"/>
      <c r="DB176" s="11"/>
      <c r="DC176" s="12"/>
      <c r="DD176" s="17"/>
      <c r="DE176" s="13"/>
      <c r="DF176" s="13"/>
      <c r="DG176" s="13"/>
      <c r="DH176" s="14"/>
      <c r="DI176" s="8">
        <f t="shared" si="45"/>
        <v>26</v>
      </c>
      <c r="DJ176" s="8">
        <f t="shared" si="46"/>
        <v>55</v>
      </c>
      <c r="DK176" s="8">
        <f t="shared" si="47"/>
        <v>33</v>
      </c>
      <c r="DL176" s="8">
        <f t="shared" si="48"/>
        <v>24</v>
      </c>
      <c r="DM176" s="8">
        <f t="shared" si="49"/>
        <v>55</v>
      </c>
      <c r="DN176" s="8">
        <f t="shared" si="50"/>
        <v>26</v>
      </c>
      <c r="DO176" s="15">
        <f t="shared" si="51"/>
        <v>12.369042195638697</v>
      </c>
      <c r="DP176" s="15" t="str">
        <f t="shared" si="52"/>
        <v>OK - No Upgrade</v>
      </c>
      <c r="DQ176" s="15" t="str">
        <f t="shared" si="53"/>
        <v>Need to Balance</v>
      </c>
    </row>
    <row r="177" spans="1:121" ht="15.75" customHeight="1" x14ac:dyDescent="0.25">
      <c r="A177" s="8" t="s">
        <v>1459</v>
      </c>
      <c r="B177" s="8" t="s">
        <v>1713</v>
      </c>
      <c r="C177" s="8" t="s">
        <v>394</v>
      </c>
      <c r="D177" s="8" t="s">
        <v>2191</v>
      </c>
      <c r="E177" s="8" t="s">
        <v>2192</v>
      </c>
      <c r="F177" s="8" t="s">
        <v>43</v>
      </c>
      <c r="G177" s="8"/>
      <c r="H177" s="8">
        <v>315</v>
      </c>
      <c r="I177" s="8" t="s">
        <v>2193</v>
      </c>
      <c r="J177" s="8">
        <v>1</v>
      </c>
      <c r="K177" s="8">
        <v>238</v>
      </c>
      <c r="L177" s="8">
        <v>239</v>
      </c>
      <c r="M177" s="8">
        <v>240</v>
      </c>
      <c r="N177" s="8">
        <v>414</v>
      </c>
      <c r="O177" s="8">
        <v>415</v>
      </c>
      <c r="P177" s="8">
        <v>411</v>
      </c>
      <c r="Q177" s="9" t="s">
        <v>47</v>
      </c>
      <c r="R177" s="16"/>
      <c r="S177" s="10">
        <v>0</v>
      </c>
      <c r="T177" s="10">
        <v>0</v>
      </c>
      <c r="U177" s="10">
        <v>0</v>
      </c>
      <c r="V177" s="11">
        <v>0</v>
      </c>
      <c r="W177" s="12" t="s">
        <v>46</v>
      </c>
      <c r="X177" s="17"/>
      <c r="Y177" s="13">
        <v>10</v>
      </c>
      <c r="Z177" s="13">
        <v>9</v>
      </c>
      <c r="AA177" s="13">
        <v>5</v>
      </c>
      <c r="AB177" s="14">
        <v>7</v>
      </c>
      <c r="AC177" s="9"/>
      <c r="AD177" s="16"/>
      <c r="AE177" s="10"/>
      <c r="AF177" s="10"/>
      <c r="AG177" s="10"/>
      <c r="AH177" s="11"/>
      <c r="AI177" s="12"/>
      <c r="AJ177" s="17"/>
      <c r="AK177" s="13"/>
      <c r="AL177" s="13"/>
      <c r="AM177" s="13"/>
      <c r="AN177" s="14"/>
      <c r="AO177" s="9"/>
      <c r="AP177" s="16"/>
      <c r="AQ177" s="10"/>
      <c r="AR177" s="10"/>
      <c r="AS177" s="10"/>
      <c r="AT177" s="11"/>
      <c r="AU177" s="12"/>
      <c r="AV177" s="17"/>
      <c r="AW177" s="13"/>
      <c r="AX177" s="13"/>
      <c r="AY177" s="13"/>
      <c r="AZ177" s="14"/>
      <c r="BA177" s="9"/>
      <c r="BB177" s="16"/>
      <c r="BC177" s="10"/>
      <c r="BD177" s="10"/>
      <c r="BE177" s="10"/>
      <c r="BF177" s="11"/>
      <c r="BG177" s="12"/>
      <c r="BH177" s="17"/>
      <c r="BI177" s="13"/>
      <c r="BJ177" s="13"/>
      <c r="BK177" s="13"/>
      <c r="BL177" s="14"/>
      <c r="BM177" s="9"/>
      <c r="BN177" s="16"/>
      <c r="BO177" s="10"/>
      <c r="BP177" s="10"/>
      <c r="BQ177" s="10"/>
      <c r="BR177" s="11"/>
      <c r="BS177" s="12"/>
      <c r="BT177" s="17"/>
      <c r="BU177" s="13"/>
      <c r="BV177" s="13"/>
      <c r="BW177" s="13"/>
      <c r="BX177" s="14"/>
      <c r="BY177" s="9"/>
      <c r="BZ177" s="16"/>
      <c r="CA177" s="10"/>
      <c r="CB177" s="10"/>
      <c r="CC177" s="10"/>
      <c r="CD177" s="11"/>
      <c r="CE177" s="12"/>
      <c r="CF177" s="17"/>
      <c r="CG177" s="13"/>
      <c r="CH177" s="13"/>
      <c r="CI177" s="13"/>
      <c r="CJ177" s="14"/>
      <c r="CK177" s="9"/>
      <c r="CL177" s="16"/>
      <c r="CM177" s="10"/>
      <c r="CN177" s="10"/>
      <c r="CO177" s="10"/>
      <c r="CP177" s="11"/>
      <c r="CQ177" s="12"/>
      <c r="CR177" s="17"/>
      <c r="CS177" s="13"/>
      <c r="CT177" s="13"/>
      <c r="CU177" s="13"/>
      <c r="CV177" s="14"/>
      <c r="CW177" s="9"/>
      <c r="CX177" s="16"/>
      <c r="CY177" s="10"/>
      <c r="CZ177" s="10"/>
      <c r="DA177" s="10"/>
      <c r="DB177" s="11"/>
      <c r="DC177" s="12"/>
      <c r="DD177" s="17"/>
      <c r="DE177" s="13"/>
      <c r="DF177" s="13"/>
      <c r="DG177" s="13"/>
      <c r="DH177" s="14"/>
      <c r="DI177" s="8">
        <f t="shared" si="45"/>
        <v>10</v>
      </c>
      <c r="DJ177" s="8">
        <f t="shared" si="46"/>
        <v>9</v>
      </c>
      <c r="DK177" s="8">
        <f t="shared" si="47"/>
        <v>5</v>
      </c>
      <c r="DL177" s="8">
        <f t="shared" si="48"/>
        <v>7</v>
      </c>
      <c r="DM177" s="8">
        <f t="shared" si="49"/>
        <v>10</v>
      </c>
      <c r="DN177" s="8">
        <f t="shared" si="50"/>
        <v>5</v>
      </c>
      <c r="DO177" s="15">
        <f t="shared" si="51"/>
        <v>2.2764096328048096</v>
      </c>
      <c r="DP177" s="15" t="str">
        <f t="shared" si="52"/>
        <v>OK - No Upgrade</v>
      </c>
      <c r="DQ177" s="15" t="str">
        <f t="shared" si="53"/>
        <v>Need to Balance</v>
      </c>
    </row>
  </sheetData>
  <mergeCells count="135">
    <mergeCell ref="DD2:DD3"/>
    <mergeCell ref="DO1:DO3"/>
    <mergeCell ref="AJ2:AJ3"/>
    <mergeCell ref="AY2:AY3"/>
    <mergeCell ref="DQ1:DQ3"/>
    <mergeCell ref="J1:J3"/>
    <mergeCell ref="DA2:DA3"/>
    <mergeCell ref="BK2:BK3"/>
    <mergeCell ref="DC1:DH1"/>
    <mergeCell ref="BY1:CD1"/>
    <mergeCell ref="CY2:CY3"/>
    <mergeCell ref="R2:R3"/>
    <mergeCell ref="AZ2:AZ3"/>
    <mergeCell ref="BB2:BB3"/>
    <mergeCell ref="BL2:BL3"/>
    <mergeCell ref="BN2:BN3"/>
    <mergeCell ref="AU1:AZ1"/>
    <mergeCell ref="CW1:DB1"/>
    <mergeCell ref="CO2:CO3"/>
    <mergeCell ref="BR2:BR3"/>
    <mergeCell ref="AL2:AL3"/>
    <mergeCell ref="A1:A3"/>
    <mergeCell ref="BA1:BF1"/>
    <mergeCell ref="CP2:CP3"/>
    <mergeCell ref="H1:H3"/>
    <mergeCell ref="AR2:AR3"/>
    <mergeCell ref="AT2:AT3"/>
    <mergeCell ref="E1:E3"/>
    <mergeCell ref="DK2:DK3"/>
    <mergeCell ref="BF2:BF3"/>
    <mergeCell ref="BZ2:BZ3"/>
    <mergeCell ref="BI2:BI3"/>
    <mergeCell ref="AE2:AE3"/>
    <mergeCell ref="AG2:AG3"/>
    <mergeCell ref="CX2:CX3"/>
    <mergeCell ref="CG2:CG3"/>
    <mergeCell ref="Y2:Y3"/>
    <mergeCell ref="AQ2:AQ3"/>
    <mergeCell ref="CI2:CI3"/>
    <mergeCell ref="AS2:AS3"/>
    <mergeCell ref="CA2:CA3"/>
    <mergeCell ref="K2:M2"/>
    <mergeCell ref="F1:F3"/>
    <mergeCell ref="CU2:CU3"/>
    <mergeCell ref="CW2:CW3"/>
    <mergeCell ref="DN1:DN3"/>
    <mergeCell ref="CV2:CV3"/>
    <mergeCell ref="Q2:Q3"/>
    <mergeCell ref="CH2:CH3"/>
    <mergeCell ref="AI2:AI3"/>
    <mergeCell ref="AK2:AK3"/>
    <mergeCell ref="DB2:DB3"/>
    <mergeCell ref="AU2:AU3"/>
    <mergeCell ref="AW2:AW3"/>
    <mergeCell ref="CE2:CE3"/>
    <mergeCell ref="DF2:DF3"/>
    <mergeCell ref="DH2:DH3"/>
    <mergeCell ref="S2:S3"/>
    <mergeCell ref="BA2:BA3"/>
    <mergeCell ref="BC2:BC3"/>
    <mergeCell ref="BU2:BU3"/>
    <mergeCell ref="DM1:DM3"/>
    <mergeCell ref="BW2:BW3"/>
    <mergeCell ref="BM2:BM3"/>
    <mergeCell ref="DE2:DE3"/>
    <mergeCell ref="BO2:BO3"/>
    <mergeCell ref="BM1:BR1"/>
    <mergeCell ref="W1:AB1"/>
    <mergeCell ref="Q1:V1"/>
    <mergeCell ref="DC2:DC3"/>
    <mergeCell ref="AV2:AV3"/>
    <mergeCell ref="AX2:AX3"/>
    <mergeCell ref="I1:I3"/>
    <mergeCell ref="BH2:BH3"/>
    <mergeCell ref="BJ2:BJ3"/>
    <mergeCell ref="CD2:CD3"/>
    <mergeCell ref="DL2:DL3"/>
    <mergeCell ref="AF2:AF3"/>
    <mergeCell ref="AH2:AH3"/>
    <mergeCell ref="CJ2:CJ3"/>
    <mergeCell ref="K1:P1"/>
    <mergeCell ref="BP2:BP3"/>
    <mergeCell ref="AC1:AH1"/>
    <mergeCell ref="CE1:CJ1"/>
    <mergeCell ref="AO1:AT1"/>
    <mergeCell ref="BY2:BY3"/>
    <mergeCell ref="Z2:Z3"/>
    <mergeCell ref="CQ1:CV1"/>
    <mergeCell ref="AB2:AB3"/>
    <mergeCell ref="AD2:AD3"/>
    <mergeCell ref="T2:T3"/>
    <mergeCell ref="CS2:CS3"/>
    <mergeCell ref="CK2:CK3"/>
    <mergeCell ref="B1:B3"/>
    <mergeCell ref="CQ2:CQ3"/>
    <mergeCell ref="AI1:AN1"/>
    <mergeCell ref="CK1:CP1"/>
    <mergeCell ref="CC2:CC3"/>
    <mergeCell ref="V2:V3"/>
    <mergeCell ref="X2:X3"/>
    <mergeCell ref="CB2:CB3"/>
    <mergeCell ref="BG1:BL1"/>
    <mergeCell ref="BD2:BD3"/>
    <mergeCell ref="BS1:BX1"/>
    <mergeCell ref="C1:C3"/>
    <mergeCell ref="D1:D2"/>
    <mergeCell ref="AN2:AN3"/>
    <mergeCell ref="CM2:CM3"/>
    <mergeCell ref="BV2:BV3"/>
    <mergeCell ref="AP2:AP3"/>
    <mergeCell ref="BX2:BX3"/>
    <mergeCell ref="CL2:CL3"/>
    <mergeCell ref="CN2:CN3"/>
    <mergeCell ref="N2:P2"/>
    <mergeCell ref="G1:G3"/>
    <mergeCell ref="DP1:DP3"/>
    <mergeCell ref="CF2:CF3"/>
    <mergeCell ref="CZ2:CZ3"/>
    <mergeCell ref="U2:U3"/>
    <mergeCell ref="CR2:CR3"/>
    <mergeCell ref="DJ2:DJ3"/>
    <mergeCell ref="BT2:BT3"/>
    <mergeCell ref="BE2:BE3"/>
    <mergeCell ref="W2:W3"/>
    <mergeCell ref="BG2:BG3"/>
    <mergeCell ref="DG2:DG3"/>
    <mergeCell ref="BQ2:BQ3"/>
    <mergeCell ref="DI2:DI3"/>
    <mergeCell ref="BS2:BS3"/>
    <mergeCell ref="AA2:AA3"/>
    <mergeCell ref="AC2:AC3"/>
    <mergeCell ref="CT2:CT3"/>
    <mergeCell ref="AM2:AM3"/>
    <mergeCell ref="AO2:AO3"/>
    <mergeCell ref="DI1:DL1"/>
  </mergeCells>
  <dataValidations count="1">
    <dataValidation type="list" allowBlank="1" errorTitle="Invalid value" error="Please choose Cu or Al" promptTitle="Cable Type" prompt="Choose cable material" sqref="R4:R177 DD4:DD177 CX4:CX177 CR4:CR177 CL4:CL177 CF4:CF177 BZ4:BZ177 BT4:BT177 BN4:BN177 BH4:BH177 BB4:BB177 AV4:AV177 AP4:AP177 AJ4:AJ177 AD4:AD177 X4:X177" xr:uid="{00000000-0002-0000-0A00-000000000000}">
      <formula1>"Cu,Al"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W6"/>
  <sheetViews>
    <sheetView workbookViewId="0"/>
  </sheetViews>
  <sheetFormatPr defaultRowHeight="15" x14ac:dyDescent="0.25"/>
  <cols>
    <col min="1" max="1" width="12.85546875" customWidth="1"/>
    <col min="2" max="2" width="14.85546875" customWidth="1"/>
    <col min="3" max="3" width="9.85546875" customWidth="1"/>
    <col min="4" max="4" width="20.85546875" customWidth="1"/>
    <col min="5" max="5" width="8.85546875" customWidth="1"/>
    <col min="6" max="6" width="10.85546875" customWidth="1"/>
    <col min="7" max="7" width="5.85546875" customWidth="1"/>
    <col min="8" max="8" width="9.85546875" customWidth="1"/>
    <col min="9" max="9" width="10.85546875" customWidth="1"/>
    <col min="10" max="10" width="5.85546875" customWidth="1"/>
    <col min="11" max="11" width="7.85546875" customWidth="1"/>
    <col min="12" max="16" width="6.85546875" customWidth="1"/>
    <col min="17" max="17" width="8.85546875" customWidth="1"/>
    <col min="18" max="21" width="6.85546875" customWidth="1"/>
    <col min="22" max="22" width="8.85546875" customWidth="1"/>
    <col min="23" max="26" width="6.85546875" customWidth="1"/>
    <col min="27" max="27" width="8.85546875" customWidth="1"/>
    <col min="28" max="31" width="6.85546875" customWidth="1"/>
    <col min="32" max="32" width="8.85546875" customWidth="1"/>
    <col min="33" max="40" width="6.85546875" customWidth="1"/>
    <col min="41" max="42" width="7.85546875" customWidth="1"/>
    <col min="43" max="43" width="9.85546875" customWidth="1"/>
    <col min="44" max="45" width="24.85546875" customWidth="1"/>
  </cols>
  <sheetData>
    <row r="1" spans="1:49" ht="19.5" customHeight="1" x14ac:dyDescent="0.25">
      <c r="A1" s="21" t="s">
        <v>0</v>
      </c>
      <c r="B1" s="21" t="s">
        <v>1</v>
      </c>
      <c r="C1" s="21" t="s">
        <v>2</v>
      </c>
      <c r="D1" s="38" t="s">
        <v>3</v>
      </c>
      <c r="E1" s="21" t="s">
        <v>4</v>
      </c>
      <c r="F1" s="40" t="s">
        <v>5</v>
      </c>
      <c r="G1" s="21" t="s">
        <v>6</v>
      </c>
      <c r="H1" s="21" t="s">
        <v>7</v>
      </c>
      <c r="I1" s="21" t="s">
        <v>8</v>
      </c>
      <c r="J1" s="41" t="s">
        <v>9</v>
      </c>
      <c r="K1" s="18" t="s">
        <v>10</v>
      </c>
      <c r="L1" s="19"/>
      <c r="M1" s="19"/>
      <c r="N1" s="19"/>
      <c r="O1" s="19"/>
      <c r="P1" s="20"/>
      <c r="Q1" s="29" t="s">
        <v>11</v>
      </c>
      <c r="R1" s="30"/>
      <c r="S1" s="30"/>
      <c r="T1" s="30"/>
      <c r="U1" s="30"/>
      <c r="V1" s="31"/>
      <c r="W1" s="29" t="s">
        <v>12</v>
      </c>
      <c r="X1" s="30"/>
      <c r="Y1" s="30"/>
      <c r="Z1" s="30"/>
      <c r="AA1" s="30"/>
      <c r="AB1" s="31"/>
      <c r="AC1" s="29" t="s">
        <v>13</v>
      </c>
      <c r="AD1" s="30"/>
      <c r="AE1" s="30"/>
      <c r="AF1" s="30"/>
      <c r="AG1" s="30"/>
      <c r="AH1" s="31"/>
      <c r="AI1" s="29" t="s">
        <v>14</v>
      </c>
      <c r="AJ1" s="30"/>
      <c r="AK1" s="30"/>
      <c r="AL1" s="30"/>
      <c r="AM1" s="30"/>
      <c r="AN1" s="31"/>
      <c r="AO1" s="37" t="s">
        <v>19</v>
      </c>
      <c r="AP1" s="19"/>
      <c r="AQ1" s="19"/>
      <c r="AR1" s="20"/>
      <c r="AS1" s="18" t="s">
        <v>20</v>
      </c>
      <c r="AT1" s="18" t="s">
        <v>21</v>
      </c>
      <c r="AU1" s="39" t="s">
        <v>22</v>
      </c>
      <c r="AV1" s="26" t="s">
        <v>23</v>
      </c>
      <c r="AW1" s="26" t="s">
        <v>24</v>
      </c>
    </row>
    <row r="2" spans="1:49" ht="19.5" customHeight="1" x14ac:dyDescent="0.25">
      <c r="A2" s="22"/>
      <c r="B2" s="22"/>
      <c r="C2" s="22"/>
      <c r="D2" s="23"/>
      <c r="E2" s="22"/>
      <c r="F2" s="22"/>
      <c r="G2" s="22"/>
      <c r="H2" s="22"/>
      <c r="I2" s="22"/>
      <c r="J2" s="22"/>
      <c r="K2" s="18" t="s">
        <v>25</v>
      </c>
      <c r="L2" s="19"/>
      <c r="M2" s="20"/>
      <c r="N2" s="18" t="s">
        <v>26</v>
      </c>
      <c r="O2" s="19"/>
      <c r="P2" s="20"/>
      <c r="Q2" s="27" t="s">
        <v>27</v>
      </c>
      <c r="R2" s="34" t="s">
        <v>5</v>
      </c>
      <c r="S2" s="36" t="s">
        <v>28</v>
      </c>
      <c r="T2" s="35" t="s">
        <v>29</v>
      </c>
      <c r="U2" s="24" t="s">
        <v>30</v>
      </c>
      <c r="V2" s="32" t="s">
        <v>31</v>
      </c>
      <c r="W2" s="27" t="s">
        <v>27</v>
      </c>
      <c r="X2" s="34" t="s">
        <v>5</v>
      </c>
      <c r="Y2" s="36" t="s">
        <v>28</v>
      </c>
      <c r="Z2" s="35" t="s">
        <v>29</v>
      </c>
      <c r="AA2" s="24" t="s">
        <v>30</v>
      </c>
      <c r="AB2" s="32" t="s">
        <v>31</v>
      </c>
      <c r="AC2" s="27" t="s">
        <v>27</v>
      </c>
      <c r="AD2" s="34" t="s">
        <v>5</v>
      </c>
      <c r="AE2" s="36" t="s">
        <v>28</v>
      </c>
      <c r="AF2" s="35" t="s">
        <v>29</v>
      </c>
      <c r="AG2" s="24" t="s">
        <v>30</v>
      </c>
      <c r="AH2" s="32" t="s">
        <v>31</v>
      </c>
      <c r="AI2" s="27" t="s">
        <v>27</v>
      </c>
      <c r="AJ2" s="34" t="s">
        <v>5</v>
      </c>
      <c r="AK2" s="36" t="s">
        <v>28</v>
      </c>
      <c r="AL2" s="35" t="s">
        <v>29</v>
      </c>
      <c r="AM2" s="24" t="s">
        <v>30</v>
      </c>
      <c r="AN2" s="32" t="s">
        <v>31</v>
      </c>
      <c r="AO2" s="37" t="s">
        <v>28</v>
      </c>
      <c r="AP2" s="37" t="s">
        <v>29</v>
      </c>
      <c r="AQ2" s="37" t="s">
        <v>30</v>
      </c>
      <c r="AR2" s="37" t="s">
        <v>31</v>
      </c>
      <c r="AS2" s="22"/>
      <c r="AT2" s="22"/>
      <c r="AU2" s="22"/>
      <c r="AV2" s="22"/>
      <c r="AW2" s="22"/>
    </row>
    <row r="3" spans="1:49" ht="19.5" customHeight="1" x14ac:dyDescent="0.25">
      <c r="A3" s="23"/>
      <c r="B3" s="23"/>
      <c r="C3" s="23"/>
      <c r="D3" s="1"/>
      <c r="E3" s="23"/>
      <c r="F3" s="23"/>
      <c r="G3" s="23"/>
      <c r="H3" s="23"/>
      <c r="I3" s="23"/>
      <c r="J3" s="23"/>
      <c r="K3" s="2" t="s">
        <v>32</v>
      </c>
      <c r="L3" s="3" t="s">
        <v>33</v>
      </c>
      <c r="M3" s="4" t="s">
        <v>34</v>
      </c>
      <c r="N3" s="5" t="s">
        <v>35</v>
      </c>
      <c r="O3" s="6" t="s">
        <v>36</v>
      </c>
      <c r="P3" s="7" t="s">
        <v>37</v>
      </c>
      <c r="Q3" s="28"/>
      <c r="R3" s="25"/>
      <c r="S3" s="25"/>
      <c r="T3" s="25"/>
      <c r="U3" s="25"/>
      <c r="V3" s="33"/>
      <c r="W3" s="28"/>
      <c r="X3" s="25"/>
      <c r="Y3" s="25"/>
      <c r="Z3" s="25"/>
      <c r="AA3" s="25"/>
      <c r="AB3" s="33"/>
      <c r="AC3" s="28"/>
      <c r="AD3" s="25"/>
      <c r="AE3" s="25"/>
      <c r="AF3" s="25"/>
      <c r="AG3" s="25"/>
      <c r="AH3" s="33"/>
      <c r="AI3" s="28"/>
      <c r="AJ3" s="25"/>
      <c r="AK3" s="25"/>
      <c r="AL3" s="25"/>
      <c r="AM3" s="25"/>
      <c r="AN3" s="33"/>
      <c r="AO3" s="23"/>
      <c r="AP3" s="23"/>
      <c r="AQ3" s="23"/>
      <c r="AR3" s="23"/>
      <c r="AS3" s="23"/>
      <c r="AT3" s="23"/>
      <c r="AU3" s="23"/>
      <c r="AV3" s="23"/>
      <c r="AW3" s="23"/>
    </row>
    <row r="4" spans="1:49" ht="15.75" customHeight="1" x14ac:dyDescent="0.25">
      <c r="A4" s="8" t="s">
        <v>1021</v>
      </c>
      <c r="B4" s="8" t="s">
        <v>2194</v>
      </c>
      <c r="C4" s="8" t="s">
        <v>265</v>
      </c>
      <c r="D4" s="8" t="s">
        <v>2195</v>
      </c>
      <c r="E4" s="8" t="s">
        <v>1381</v>
      </c>
      <c r="F4" s="8" t="s">
        <v>43</v>
      </c>
      <c r="G4" s="8"/>
      <c r="H4" s="8">
        <v>315</v>
      </c>
      <c r="I4" s="8" t="s">
        <v>1665</v>
      </c>
      <c r="J4" s="8">
        <v>1</v>
      </c>
      <c r="K4" s="8">
        <v>257</v>
      </c>
      <c r="L4" s="8">
        <v>256</v>
      </c>
      <c r="M4" s="8">
        <v>257</v>
      </c>
      <c r="N4" s="8">
        <v>444</v>
      </c>
      <c r="O4" s="8">
        <v>442</v>
      </c>
      <c r="P4" s="8">
        <v>443</v>
      </c>
      <c r="Q4" s="9" t="s">
        <v>46</v>
      </c>
      <c r="R4" s="16"/>
      <c r="S4" s="10">
        <v>1</v>
      </c>
      <c r="T4" s="10">
        <v>4</v>
      </c>
      <c r="U4" s="10">
        <v>2</v>
      </c>
      <c r="V4" s="11">
        <v>8</v>
      </c>
      <c r="W4" s="12"/>
      <c r="X4" s="17"/>
      <c r="Y4" s="13"/>
      <c r="Z4" s="13"/>
      <c r="AA4" s="13"/>
      <c r="AB4" s="14"/>
      <c r="AC4" s="9"/>
      <c r="AD4" s="16"/>
      <c r="AE4" s="10"/>
      <c r="AF4" s="10"/>
      <c r="AG4" s="10"/>
      <c r="AH4" s="11"/>
      <c r="AI4" s="12"/>
      <c r="AJ4" s="17"/>
      <c r="AK4" s="13"/>
      <c r="AL4" s="13"/>
      <c r="AM4" s="13"/>
      <c r="AN4" s="14"/>
      <c r="AO4" s="8">
        <f t="shared" ref="AO4:AR6" si="0">SUM(S4,Y4,AE4,AK4)</f>
        <v>1</v>
      </c>
      <c r="AP4" s="8">
        <f t="shared" si="0"/>
        <v>4</v>
      </c>
      <c r="AQ4" s="8">
        <f t="shared" si="0"/>
        <v>2</v>
      </c>
      <c r="AR4" s="8">
        <f t="shared" si="0"/>
        <v>8</v>
      </c>
      <c r="AS4" s="8">
        <f>MAX(AO4:AQ4)</f>
        <v>4</v>
      </c>
      <c r="AT4" s="8">
        <f>MIN(AO4:AQ4)</f>
        <v>1</v>
      </c>
      <c r="AU4" s="15">
        <f>IF(H4&gt;0,(AS4*SQRT(3)*IF(N4&gt;0,N4,IF(O4&gt;0,O4,IF(P4&gt;0,P4,415)))/(H4*1000))*100,0)</f>
        <v>0.97654674102930983</v>
      </c>
      <c r="AV4" s="15" t="str">
        <f>IF(AU4&gt;70,"Upgrade","OK - No Upgrade")</f>
        <v>OK - No Upgrade</v>
      </c>
      <c r="AW4" s="15" t="str">
        <f>IF(IF(AVERAGE(AO4:AQ4)&gt;0,((AS4-AVERAGE(AO4:AQ4))/AVERAGE(AO4:AQ4))*100,0)&gt;10,"Need to Balance","OK - Balanced")</f>
        <v>Need to Balance</v>
      </c>
    </row>
    <row r="5" spans="1:49" ht="15.75" customHeight="1" x14ac:dyDescent="0.25">
      <c r="A5" s="8" t="s">
        <v>1021</v>
      </c>
      <c r="B5" s="8" t="s">
        <v>2194</v>
      </c>
      <c r="C5" s="8" t="s">
        <v>265</v>
      </c>
      <c r="D5" s="8" t="s">
        <v>2196</v>
      </c>
      <c r="E5" s="8" t="s">
        <v>1384</v>
      </c>
      <c r="F5" s="8" t="s">
        <v>43</v>
      </c>
      <c r="G5" s="8"/>
      <c r="H5" s="8">
        <v>100</v>
      </c>
      <c r="I5" s="8" t="s">
        <v>1039</v>
      </c>
      <c r="J5" s="8">
        <v>1</v>
      </c>
      <c r="K5" s="8">
        <v>241</v>
      </c>
      <c r="L5" s="8">
        <v>241</v>
      </c>
      <c r="M5" s="8">
        <v>242</v>
      </c>
      <c r="N5" s="8">
        <v>417</v>
      </c>
      <c r="O5" s="8">
        <v>418</v>
      </c>
      <c r="P5" s="8">
        <v>418</v>
      </c>
      <c r="Q5" s="9" t="s">
        <v>46</v>
      </c>
      <c r="R5" s="16"/>
      <c r="S5" s="10">
        <v>2</v>
      </c>
      <c r="T5" s="10">
        <v>2</v>
      </c>
      <c r="U5" s="10">
        <v>1</v>
      </c>
      <c r="V5" s="11">
        <v>1</v>
      </c>
      <c r="W5" s="12"/>
      <c r="X5" s="17"/>
      <c r="Y5" s="13"/>
      <c r="Z5" s="13"/>
      <c r="AA5" s="13"/>
      <c r="AB5" s="14"/>
      <c r="AC5" s="9"/>
      <c r="AD5" s="16"/>
      <c r="AE5" s="10"/>
      <c r="AF5" s="10"/>
      <c r="AG5" s="10"/>
      <c r="AH5" s="11"/>
      <c r="AI5" s="12"/>
      <c r="AJ5" s="17"/>
      <c r="AK5" s="13"/>
      <c r="AL5" s="13"/>
      <c r="AM5" s="13"/>
      <c r="AN5" s="14"/>
      <c r="AO5" s="8">
        <f t="shared" si="0"/>
        <v>2</v>
      </c>
      <c r="AP5" s="8">
        <f t="shared" si="0"/>
        <v>2</v>
      </c>
      <c r="AQ5" s="8">
        <f t="shared" si="0"/>
        <v>1</v>
      </c>
      <c r="AR5" s="8">
        <f t="shared" si="0"/>
        <v>1</v>
      </c>
      <c r="AS5" s="8">
        <f>MAX(AO5:AQ5)</f>
        <v>2</v>
      </c>
      <c r="AT5" s="8">
        <f>MIN(AO5:AQ5)</f>
        <v>1</v>
      </c>
      <c r="AU5" s="15">
        <f>IF(H5&gt;0,(AS5*SQRT(3)*IF(N5&gt;0,N5,IF(O5&gt;0,O5,IF(P5&gt;0,P5,415)))/(H5*1000))*100,0)</f>
        <v>1.4445303735124435</v>
      </c>
      <c r="AV5" s="15" t="str">
        <f>IF(AU5&gt;70,"Upgrade","OK - No Upgrade")</f>
        <v>OK - No Upgrade</v>
      </c>
      <c r="AW5" s="15" t="str">
        <f>IF(IF(AVERAGE(AO5:AQ5)&gt;0,((AS5-AVERAGE(AO5:AQ5))/AVERAGE(AO5:AQ5))*100,0)&gt;10,"Need to Balance","OK - Balanced")</f>
        <v>Need to Balance</v>
      </c>
    </row>
    <row r="6" spans="1:49" ht="15.75" customHeight="1" x14ac:dyDescent="0.25">
      <c r="A6" s="8" t="s">
        <v>1021</v>
      </c>
      <c r="B6" s="8" t="s">
        <v>2194</v>
      </c>
      <c r="C6" s="8" t="s">
        <v>265</v>
      </c>
      <c r="D6" s="8" t="s">
        <v>2197</v>
      </c>
      <c r="E6" s="8" t="s">
        <v>44</v>
      </c>
      <c r="F6" s="8" t="s">
        <v>43</v>
      </c>
      <c r="G6" s="8"/>
      <c r="H6" s="8">
        <v>100</v>
      </c>
      <c r="I6" s="8" t="s">
        <v>2190</v>
      </c>
      <c r="J6" s="8">
        <v>1</v>
      </c>
      <c r="K6" s="8">
        <v>246</v>
      </c>
      <c r="L6" s="8">
        <v>246</v>
      </c>
      <c r="M6" s="8">
        <v>247</v>
      </c>
      <c r="N6" s="8">
        <v>425</v>
      </c>
      <c r="O6" s="8">
        <v>427</v>
      </c>
      <c r="P6" s="8">
        <v>427</v>
      </c>
      <c r="Q6" s="9" t="s">
        <v>46</v>
      </c>
      <c r="R6" s="16"/>
      <c r="S6" s="10">
        <v>4</v>
      </c>
      <c r="T6" s="10">
        <v>2</v>
      </c>
      <c r="U6" s="10">
        <v>1</v>
      </c>
      <c r="V6" s="11">
        <v>5</v>
      </c>
      <c r="W6" s="12"/>
      <c r="X6" s="17"/>
      <c r="Y6" s="13"/>
      <c r="Z6" s="13"/>
      <c r="AA6" s="13"/>
      <c r="AB6" s="14"/>
      <c r="AC6" s="9"/>
      <c r="AD6" s="16"/>
      <c r="AE6" s="10"/>
      <c r="AF6" s="10"/>
      <c r="AG6" s="10"/>
      <c r="AH6" s="11"/>
      <c r="AI6" s="12"/>
      <c r="AJ6" s="17"/>
      <c r="AK6" s="13"/>
      <c r="AL6" s="13"/>
      <c r="AM6" s="13"/>
      <c r="AN6" s="14"/>
      <c r="AO6" s="8">
        <f t="shared" si="0"/>
        <v>4</v>
      </c>
      <c r="AP6" s="8">
        <f t="shared" si="0"/>
        <v>2</v>
      </c>
      <c r="AQ6" s="8">
        <f t="shared" si="0"/>
        <v>1</v>
      </c>
      <c r="AR6" s="8">
        <f t="shared" si="0"/>
        <v>5</v>
      </c>
      <c r="AS6" s="8">
        <f>MAX(AO6:AQ6)</f>
        <v>4</v>
      </c>
      <c r="AT6" s="8">
        <f>MIN(AO6:AQ6)</f>
        <v>1</v>
      </c>
      <c r="AU6" s="15">
        <f>IF(H6&gt;0,(AS6*SQRT(3)*IF(N6&gt;0,N6,IF(O6&gt;0,O6,IF(P6&gt;0,P6,415)))/(H6*1000))*100,0)</f>
        <v>2.9444863728670914</v>
      </c>
      <c r="AV6" s="15" t="str">
        <f>IF(AU6&gt;70,"Upgrade","OK - No Upgrade")</f>
        <v>OK - No Upgrade</v>
      </c>
      <c r="AW6" s="15" t="str">
        <f>IF(IF(AVERAGE(AO6:AQ6)&gt;0,((AS6-AVERAGE(AO6:AQ6))/AVERAGE(AO6:AQ6))*100,0)&gt;10,"Need to Balance","OK - Balanced")</f>
        <v>Need to Balance</v>
      </c>
    </row>
  </sheetData>
  <mergeCells count="51">
    <mergeCell ref="C1:C3"/>
    <mergeCell ref="AI1:AN1"/>
    <mergeCell ref="D1:D2"/>
    <mergeCell ref="V2:V3"/>
    <mergeCell ref="X2:X3"/>
    <mergeCell ref="AJ2:AJ3"/>
    <mergeCell ref="AL2:AL3"/>
    <mergeCell ref="A1:A3"/>
    <mergeCell ref="AP2:AP3"/>
    <mergeCell ref="AU1:AU3"/>
    <mergeCell ref="H1:H3"/>
    <mergeCell ref="AR2:AR3"/>
    <mergeCell ref="AA2:AA3"/>
    <mergeCell ref="Q2:Q3"/>
    <mergeCell ref="R2:R3"/>
    <mergeCell ref="E1:E3"/>
    <mergeCell ref="AC2:AC3"/>
    <mergeCell ref="AI2:AI3"/>
    <mergeCell ref="AK2:AK3"/>
    <mergeCell ref="AS1:AS3"/>
    <mergeCell ref="AM2:AM3"/>
    <mergeCell ref="AO2:AO3"/>
    <mergeCell ref="B1:B3"/>
    <mergeCell ref="F1:F3"/>
    <mergeCell ref="S2:S3"/>
    <mergeCell ref="Z2:Z3"/>
    <mergeCell ref="AB2:AB3"/>
    <mergeCell ref="T2:T3"/>
    <mergeCell ref="W2:W3"/>
    <mergeCell ref="J1:J3"/>
    <mergeCell ref="AW1:AW3"/>
    <mergeCell ref="AQ2:AQ3"/>
    <mergeCell ref="AT1:AT3"/>
    <mergeCell ref="AC1:AH1"/>
    <mergeCell ref="K2:M2"/>
    <mergeCell ref="AV1:AV3"/>
    <mergeCell ref="AF2:AF3"/>
    <mergeCell ref="AD2:AD3"/>
    <mergeCell ref="AH2:AH3"/>
    <mergeCell ref="AN2:AN3"/>
    <mergeCell ref="AO1:AR1"/>
    <mergeCell ref="K1:P1"/>
    <mergeCell ref="N2:P2"/>
    <mergeCell ref="G1:G3"/>
    <mergeCell ref="W1:AB1"/>
    <mergeCell ref="AG2:AG3"/>
    <mergeCell ref="U2:U3"/>
    <mergeCell ref="AE2:AE3"/>
    <mergeCell ref="I1:I3"/>
    <mergeCell ref="Y2:Y3"/>
    <mergeCell ref="Q1:V1"/>
  </mergeCells>
  <dataValidations count="1">
    <dataValidation type="list" allowBlank="1" errorTitle="Invalid value" error="Please choose Cu or Al" promptTitle="Cable Type" prompt="Choose cable material" sqref="R4:R6 AJ4:AJ6 AD4:AD6 X4:X6" xr:uid="{00000000-0002-0000-0B00-000000000000}">
      <formula1>"Cu,Al"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W7"/>
  <sheetViews>
    <sheetView workbookViewId="0"/>
  </sheetViews>
  <sheetFormatPr defaultRowHeight="15" x14ac:dyDescent="0.25"/>
  <cols>
    <col min="1" max="1" width="12.85546875" customWidth="1"/>
    <col min="2" max="2" width="14.85546875" customWidth="1"/>
    <col min="3" max="3" width="9.85546875" customWidth="1"/>
    <col min="4" max="4" width="20.85546875" customWidth="1"/>
    <col min="5" max="5" width="8.85546875" customWidth="1"/>
    <col min="6" max="6" width="10.85546875" customWidth="1"/>
    <col min="7" max="7" width="5.85546875" customWidth="1"/>
    <col min="8" max="8" width="9.85546875" customWidth="1"/>
    <col min="9" max="9" width="10.85546875" customWidth="1"/>
    <col min="10" max="10" width="5.85546875" customWidth="1"/>
    <col min="11" max="11" width="7.85546875" customWidth="1"/>
    <col min="12" max="16" width="6.85546875" customWidth="1"/>
    <col min="17" max="17" width="8.85546875" customWidth="1"/>
    <col min="18" max="21" width="6.85546875" customWidth="1"/>
    <col min="22" max="22" width="8.85546875" customWidth="1"/>
    <col min="23" max="26" width="6.85546875" customWidth="1"/>
    <col min="27" max="27" width="8.85546875" customWidth="1"/>
    <col min="28" max="31" width="6.85546875" customWidth="1"/>
    <col min="32" max="32" width="8.85546875" customWidth="1"/>
    <col min="33" max="40" width="6.85546875" customWidth="1"/>
    <col min="41" max="42" width="7.85546875" customWidth="1"/>
    <col min="43" max="43" width="9.85546875" customWidth="1"/>
    <col min="44" max="45" width="24.85546875" customWidth="1"/>
  </cols>
  <sheetData>
    <row r="1" spans="1:49" ht="19.5" customHeight="1" x14ac:dyDescent="0.25">
      <c r="A1" s="21" t="s">
        <v>0</v>
      </c>
      <c r="B1" s="21" t="s">
        <v>1</v>
      </c>
      <c r="C1" s="21" t="s">
        <v>2</v>
      </c>
      <c r="D1" s="38" t="s">
        <v>3</v>
      </c>
      <c r="E1" s="21" t="s">
        <v>4</v>
      </c>
      <c r="F1" s="40" t="s">
        <v>5</v>
      </c>
      <c r="G1" s="21" t="s">
        <v>6</v>
      </c>
      <c r="H1" s="21" t="s">
        <v>7</v>
      </c>
      <c r="I1" s="21" t="s">
        <v>8</v>
      </c>
      <c r="J1" s="41" t="s">
        <v>9</v>
      </c>
      <c r="K1" s="18" t="s">
        <v>10</v>
      </c>
      <c r="L1" s="19"/>
      <c r="M1" s="19"/>
      <c r="N1" s="19"/>
      <c r="O1" s="19"/>
      <c r="P1" s="20"/>
      <c r="Q1" s="29" t="s">
        <v>11</v>
      </c>
      <c r="R1" s="30"/>
      <c r="S1" s="30"/>
      <c r="T1" s="30"/>
      <c r="U1" s="30"/>
      <c r="V1" s="31"/>
      <c r="W1" s="29" t="s">
        <v>12</v>
      </c>
      <c r="X1" s="30"/>
      <c r="Y1" s="30"/>
      <c r="Z1" s="30"/>
      <c r="AA1" s="30"/>
      <c r="AB1" s="31"/>
      <c r="AC1" s="29" t="s">
        <v>13</v>
      </c>
      <c r="AD1" s="30"/>
      <c r="AE1" s="30"/>
      <c r="AF1" s="30"/>
      <c r="AG1" s="30"/>
      <c r="AH1" s="31"/>
      <c r="AI1" s="29" t="s">
        <v>14</v>
      </c>
      <c r="AJ1" s="30"/>
      <c r="AK1" s="30"/>
      <c r="AL1" s="30"/>
      <c r="AM1" s="30"/>
      <c r="AN1" s="31"/>
      <c r="AO1" s="37" t="s">
        <v>19</v>
      </c>
      <c r="AP1" s="19"/>
      <c r="AQ1" s="19"/>
      <c r="AR1" s="20"/>
      <c r="AS1" s="18" t="s">
        <v>20</v>
      </c>
      <c r="AT1" s="18" t="s">
        <v>21</v>
      </c>
      <c r="AU1" s="39" t="s">
        <v>22</v>
      </c>
      <c r="AV1" s="26" t="s">
        <v>23</v>
      </c>
      <c r="AW1" s="26" t="s">
        <v>24</v>
      </c>
    </row>
    <row r="2" spans="1:49" ht="19.5" customHeight="1" x14ac:dyDescent="0.25">
      <c r="A2" s="22"/>
      <c r="B2" s="22"/>
      <c r="C2" s="22"/>
      <c r="D2" s="23"/>
      <c r="E2" s="22"/>
      <c r="F2" s="22"/>
      <c r="G2" s="22"/>
      <c r="H2" s="22"/>
      <c r="I2" s="22"/>
      <c r="J2" s="22"/>
      <c r="K2" s="18" t="s">
        <v>25</v>
      </c>
      <c r="L2" s="19"/>
      <c r="M2" s="20"/>
      <c r="N2" s="18" t="s">
        <v>26</v>
      </c>
      <c r="O2" s="19"/>
      <c r="P2" s="20"/>
      <c r="Q2" s="27" t="s">
        <v>27</v>
      </c>
      <c r="R2" s="34" t="s">
        <v>5</v>
      </c>
      <c r="S2" s="36" t="s">
        <v>28</v>
      </c>
      <c r="T2" s="35" t="s">
        <v>29</v>
      </c>
      <c r="U2" s="24" t="s">
        <v>30</v>
      </c>
      <c r="V2" s="32" t="s">
        <v>31</v>
      </c>
      <c r="W2" s="27" t="s">
        <v>27</v>
      </c>
      <c r="X2" s="34" t="s">
        <v>5</v>
      </c>
      <c r="Y2" s="36" t="s">
        <v>28</v>
      </c>
      <c r="Z2" s="35" t="s">
        <v>29</v>
      </c>
      <c r="AA2" s="24" t="s">
        <v>30</v>
      </c>
      <c r="AB2" s="32" t="s">
        <v>31</v>
      </c>
      <c r="AC2" s="27" t="s">
        <v>27</v>
      </c>
      <c r="AD2" s="34" t="s">
        <v>5</v>
      </c>
      <c r="AE2" s="36" t="s">
        <v>28</v>
      </c>
      <c r="AF2" s="35" t="s">
        <v>29</v>
      </c>
      <c r="AG2" s="24" t="s">
        <v>30</v>
      </c>
      <c r="AH2" s="32" t="s">
        <v>31</v>
      </c>
      <c r="AI2" s="27" t="s">
        <v>27</v>
      </c>
      <c r="AJ2" s="34" t="s">
        <v>5</v>
      </c>
      <c r="AK2" s="36" t="s">
        <v>28</v>
      </c>
      <c r="AL2" s="35" t="s">
        <v>29</v>
      </c>
      <c r="AM2" s="24" t="s">
        <v>30</v>
      </c>
      <c r="AN2" s="32" t="s">
        <v>31</v>
      </c>
      <c r="AO2" s="37" t="s">
        <v>28</v>
      </c>
      <c r="AP2" s="37" t="s">
        <v>29</v>
      </c>
      <c r="AQ2" s="37" t="s">
        <v>30</v>
      </c>
      <c r="AR2" s="37" t="s">
        <v>31</v>
      </c>
      <c r="AS2" s="22"/>
      <c r="AT2" s="22"/>
      <c r="AU2" s="22"/>
      <c r="AV2" s="22"/>
      <c r="AW2" s="22"/>
    </row>
    <row r="3" spans="1:49" ht="19.5" customHeight="1" x14ac:dyDescent="0.25">
      <c r="A3" s="23"/>
      <c r="B3" s="23"/>
      <c r="C3" s="23"/>
      <c r="D3" s="1"/>
      <c r="E3" s="23"/>
      <c r="F3" s="23"/>
      <c r="G3" s="23"/>
      <c r="H3" s="23"/>
      <c r="I3" s="23"/>
      <c r="J3" s="23"/>
      <c r="K3" s="2" t="s">
        <v>32</v>
      </c>
      <c r="L3" s="3" t="s">
        <v>33</v>
      </c>
      <c r="M3" s="4" t="s">
        <v>34</v>
      </c>
      <c r="N3" s="5" t="s">
        <v>35</v>
      </c>
      <c r="O3" s="6" t="s">
        <v>36</v>
      </c>
      <c r="P3" s="7" t="s">
        <v>37</v>
      </c>
      <c r="Q3" s="28"/>
      <c r="R3" s="25"/>
      <c r="S3" s="25"/>
      <c r="T3" s="25"/>
      <c r="U3" s="25"/>
      <c r="V3" s="33"/>
      <c r="W3" s="28"/>
      <c r="X3" s="25"/>
      <c r="Y3" s="25"/>
      <c r="Z3" s="25"/>
      <c r="AA3" s="25"/>
      <c r="AB3" s="33"/>
      <c r="AC3" s="28"/>
      <c r="AD3" s="25"/>
      <c r="AE3" s="25"/>
      <c r="AF3" s="25"/>
      <c r="AG3" s="25"/>
      <c r="AH3" s="33"/>
      <c r="AI3" s="28"/>
      <c r="AJ3" s="25"/>
      <c r="AK3" s="25"/>
      <c r="AL3" s="25"/>
      <c r="AM3" s="25"/>
      <c r="AN3" s="33"/>
      <c r="AO3" s="23"/>
      <c r="AP3" s="23"/>
      <c r="AQ3" s="23"/>
      <c r="AR3" s="23"/>
      <c r="AS3" s="23"/>
      <c r="AT3" s="23"/>
      <c r="AU3" s="23"/>
      <c r="AV3" s="23"/>
      <c r="AW3" s="23"/>
    </row>
    <row r="4" spans="1:49" ht="15.75" customHeight="1" x14ac:dyDescent="0.25">
      <c r="A4" s="8" t="s">
        <v>1021</v>
      </c>
      <c r="B4" s="8" t="s">
        <v>2198</v>
      </c>
      <c r="C4" s="8" t="s">
        <v>265</v>
      </c>
      <c r="D4" s="8" t="s">
        <v>2199</v>
      </c>
      <c r="E4" s="8" t="s">
        <v>44</v>
      </c>
      <c r="F4" s="8" t="s">
        <v>43</v>
      </c>
      <c r="G4" s="8"/>
      <c r="H4" s="8">
        <v>100</v>
      </c>
      <c r="I4" s="8" t="s">
        <v>2172</v>
      </c>
      <c r="J4" s="8">
        <v>1</v>
      </c>
      <c r="K4" s="8">
        <v>252</v>
      </c>
      <c r="L4" s="8">
        <v>248</v>
      </c>
      <c r="M4" s="8">
        <v>253</v>
      </c>
      <c r="N4" s="8">
        <v>427</v>
      </c>
      <c r="O4" s="8">
        <v>430</v>
      </c>
      <c r="P4" s="8">
        <v>438</v>
      </c>
      <c r="Q4" s="9"/>
      <c r="R4" s="16"/>
      <c r="S4" s="10">
        <v>2</v>
      </c>
      <c r="T4" s="10">
        <v>1</v>
      </c>
      <c r="U4" s="10">
        <v>1</v>
      </c>
      <c r="V4" s="11">
        <v>1</v>
      </c>
      <c r="W4" s="12"/>
      <c r="X4" s="17"/>
      <c r="Y4" s="13"/>
      <c r="Z4" s="13"/>
      <c r="AA4" s="13"/>
      <c r="AB4" s="14"/>
      <c r="AC4" s="9"/>
      <c r="AD4" s="16"/>
      <c r="AE4" s="10"/>
      <c r="AF4" s="10"/>
      <c r="AG4" s="10"/>
      <c r="AH4" s="11"/>
      <c r="AI4" s="12"/>
      <c r="AJ4" s="17"/>
      <c r="AK4" s="13"/>
      <c r="AL4" s="13"/>
      <c r="AM4" s="13"/>
      <c r="AN4" s="14"/>
      <c r="AO4" s="8">
        <f t="shared" ref="AO4:AR7" si="0">SUM(S4,Y4,AE4,AK4)</f>
        <v>2</v>
      </c>
      <c r="AP4" s="8">
        <f t="shared" si="0"/>
        <v>1</v>
      </c>
      <c r="AQ4" s="8">
        <f t="shared" si="0"/>
        <v>1</v>
      </c>
      <c r="AR4" s="8">
        <f t="shared" si="0"/>
        <v>1</v>
      </c>
      <c r="AS4" s="8">
        <f>MAX(AO4:AQ4)</f>
        <v>2</v>
      </c>
      <c r="AT4" s="8">
        <f>MIN(AO4:AQ4)</f>
        <v>1</v>
      </c>
      <c r="AU4" s="15">
        <f>IF(H4&gt;0,(AS4*SQRT(3)*IF(N4&gt;0,N4,IF(O4&gt;0,O4,IF(P4&gt;0,P4,415)))/(H4*1000))*100,0)</f>
        <v>1.4791713896638212</v>
      </c>
      <c r="AV4" s="15" t="str">
        <f>IF(AU4&gt;70,"Upgrade","OK - No Upgrade")</f>
        <v>OK - No Upgrade</v>
      </c>
      <c r="AW4" s="15" t="str">
        <f>IF(IF(AVERAGE(AO4:AQ4)&gt;0,((AS4-AVERAGE(AO4:AQ4))/AVERAGE(AO4:AQ4))*100,0)&gt;10,"Need to Balance","OK - Balanced")</f>
        <v>Need to Balance</v>
      </c>
    </row>
    <row r="5" spans="1:49" ht="15.75" customHeight="1" x14ac:dyDescent="0.25">
      <c r="A5" s="8" t="s">
        <v>1021</v>
      </c>
      <c r="B5" s="8" t="s">
        <v>2198</v>
      </c>
      <c r="C5" s="8" t="s">
        <v>265</v>
      </c>
      <c r="D5" s="8" t="s">
        <v>2200</v>
      </c>
      <c r="E5" s="8" t="s">
        <v>1384</v>
      </c>
      <c r="F5" s="8" t="s">
        <v>43</v>
      </c>
      <c r="G5" s="8"/>
      <c r="H5" s="8">
        <v>200</v>
      </c>
      <c r="I5" s="8" t="s">
        <v>2201</v>
      </c>
      <c r="J5" s="8">
        <v>1</v>
      </c>
      <c r="K5" s="8">
        <v>252</v>
      </c>
      <c r="L5" s="8">
        <v>253</v>
      </c>
      <c r="M5" s="8">
        <v>252</v>
      </c>
      <c r="N5" s="8">
        <v>436</v>
      </c>
      <c r="O5" s="8">
        <v>437</v>
      </c>
      <c r="P5" s="8">
        <v>438</v>
      </c>
      <c r="Q5" s="9" t="s">
        <v>46</v>
      </c>
      <c r="R5" s="16"/>
      <c r="S5" s="10">
        <v>2</v>
      </c>
      <c r="T5" s="10">
        <v>4</v>
      </c>
      <c r="U5" s="10">
        <v>24</v>
      </c>
      <c r="V5" s="11">
        <v>42</v>
      </c>
      <c r="W5" s="12" t="s">
        <v>46</v>
      </c>
      <c r="X5" s="17"/>
      <c r="Y5" s="13">
        <v>9</v>
      </c>
      <c r="Z5" s="13">
        <v>3</v>
      </c>
      <c r="AA5" s="13">
        <v>47</v>
      </c>
      <c r="AB5" s="14">
        <v>39</v>
      </c>
      <c r="AC5" s="9"/>
      <c r="AD5" s="16"/>
      <c r="AE5" s="10"/>
      <c r="AF5" s="10"/>
      <c r="AG5" s="10"/>
      <c r="AH5" s="11"/>
      <c r="AI5" s="12"/>
      <c r="AJ5" s="17"/>
      <c r="AK5" s="13"/>
      <c r="AL5" s="13"/>
      <c r="AM5" s="13"/>
      <c r="AN5" s="14"/>
      <c r="AO5" s="8">
        <f t="shared" si="0"/>
        <v>11</v>
      </c>
      <c r="AP5" s="8">
        <f t="shared" si="0"/>
        <v>7</v>
      </c>
      <c r="AQ5" s="8">
        <f t="shared" si="0"/>
        <v>71</v>
      </c>
      <c r="AR5" s="8">
        <f t="shared" si="0"/>
        <v>81</v>
      </c>
      <c r="AS5" s="8">
        <f>MAX(AO5:AQ5)</f>
        <v>71</v>
      </c>
      <c r="AT5" s="8">
        <f>MIN(AO5:AQ5)</f>
        <v>7</v>
      </c>
      <c r="AU5" s="15">
        <f>IF(H5&gt;0,(AS5*SQRT(3)*IF(N5&gt;0,N5,IF(O5&gt;0,O5,IF(P5&gt;0,P5,415)))/(H5*1000))*100,0)</f>
        <v>26.808682399551081</v>
      </c>
      <c r="AV5" s="15" t="str">
        <f>IF(AU5&gt;70,"Upgrade","OK - No Upgrade")</f>
        <v>OK - No Upgrade</v>
      </c>
      <c r="AW5" s="15" t="str">
        <f>IF(IF(AVERAGE(AO5:AQ5)&gt;0,((AS5-AVERAGE(AO5:AQ5))/AVERAGE(AO5:AQ5))*100,0)&gt;10,"Need to Balance","OK - Balanced")</f>
        <v>Need to Balance</v>
      </c>
    </row>
    <row r="6" spans="1:49" ht="15.75" customHeight="1" x14ac:dyDescent="0.25">
      <c r="A6" s="8" t="s">
        <v>1021</v>
      </c>
      <c r="B6" s="8" t="s">
        <v>2198</v>
      </c>
      <c r="C6" s="8" t="s">
        <v>265</v>
      </c>
      <c r="D6" s="8" t="s">
        <v>2202</v>
      </c>
      <c r="E6" s="8" t="s">
        <v>469</v>
      </c>
      <c r="F6" s="8" t="s">
        <v>43</v>
      </c>
      <c r="G6" s="8"/>
      <c r="H6" s="8">
        <v>100</v>
      </c>
      <c r="I6" s="8" t="s">
        <v>2203</v>
      </c>
      <c r="J6" s="8">
        <v>1</v>
      </c>
      <c r="K6" s="8">
        <v>240</v>
      </c>
      <c r="L6" s="8">
        <v>241</v>
      </c>
      <c r="M6" s="8">
        <v>242</v>
      </c>
      <c r="N6" s="8">
        <v>407</v>
      </c>
      <c r="O6" s="8">
        <v>412</v>
      </c>
      <c r="P6" s="8">
        <v>418</v>
      </c>
      <c r="Q6" s="9" t="s">
        <v>46</v>
      </c>
      <c r="R6" s="16"/>
      <c r="S6" s="10">
        <v>4</v>
      </c>
      <c r="T6" s="10">
        <v>1</v>
      </c>
      <c r="U6" s="10">
        <v>2</v>
      </c>
      <c r="V6" s="11">
        <v>1</v>
      </c>
      <c r="W6" s="12"/>
      <c r="X6" s="17"/>
      <c r="Y6" s="13"/>
      <c r="Z6" s="13"/>
      <c r="AA6" s="13"/>
      <c r="AB6" s="14"/>
      <c r="AC6" s="9"/>
      <c r="AD6" s="16"/>
      <c r="AE6" s="10"/>
      <c r="AF6" s="10"/>
      <c r="AG6" s="10"/>
      <c r="AH6" s="11"/>
      <c r="AI6" s="12"/>
      <c r="AJ6" s="17"/>
      <c r="AK6" s="13"/>
      <c r="AL6" s="13"/>
      <c r="AM6" s="13"/>
      <c r="AN6" s="14"/>
      <c r="AO6" s="8">
        <f t="shared" si="0"/>
        <v>4</v>
      </c>
      <c r="AP6" s="8">
        <f t="shared" si="0"/>
        <v>1</v>
      </c>
      <c r="AQ6" s="8">
        <f t="shared" si="0"/>
        <v>2</v>
      </c>
      <c r="AR6" s="8">
        <f t="shared" si="0"/>
        <v>1</v>
      </c>
      <c r="AS6" s="8">
        <f>MAX(AO6:AQ6)</f>
        <v>4</v>
      </c>
      <c r="AT6" s="8">
        <f>MIN(AO6:AQ6)</f>
        <v>1</v>
      </c>
      <c r="AU6" s="15">
        <f>IF(H6&gt;0,(AS6*SQRT(3)*IF(N6&gt;0,N6,IF(O6&gt;0,O6,IF(P6&gt;0,P6,415)))/(H6*1000))*100,0)</f>
        <v>2.819778714722132</v>
      </c>
      <c r="AV6" s="15" t="str">
        <f>IF(AU6&gt;70,"Upgrade","OK - No Upgrade")</f>
        <v>OK - No Upgrade</v>
      </c>
      <c r="AW6" s="15" t="str">
        <f>IF(IF(AVERAGE(AO6:AQ6)&gt;0,((AS6-AVERAGE(AO6:AQ6))/AVERAGE(AO6:AQ6))*100,0)&gt;10,"Need to Balance","OK - Balanced")</f>
        <v>Need to Balance</v>
      </c>
    </row>
    <row r="7" spans="1:49" ht="15.75" customHeight="1" x14ac:dyDescent="0.25">
      <c r="A7" s="8" t="s">
        <v>1021</v>
      </c>
      <c r="B7" s="8" t="s">
        <v>2198</v>
      </c>
      <c r="C7" s="8" t="s">
        <v>265</v>
      </c>
      <c r="D7" s="8" t="s">
        <v>2204</v>
      </c>
      <c r="E7" s="8" t="s">
        <v>1381</v>
      </c>
      <c r="F7" s="8" t="s">
        <v>43</v>
      </c>
      <c r="G7" s="8"/>
      <c r="H7" s="8">
        <v>100</v>
      </c>
      <c r="I7" s="8" t="s">
        <v>2184</v>
      </c>
      <c r="J7" s="8">
        <v>1</v>
      </c>
      <c r="K7" s="8">
        <v>249</v>
      </c>
      <c r="L7" s="8">
        <v>252</v>
      </c>
      <c r="M7" s="8">
        <v>250</v>
      </c>
      <c r="N7" s="8">
        <v>432</v>
      </c>
      <c r="O7" s="8">
        <v>431</v>
      </c>
      <c r="P7" s="8">
        <v>436</v>
      </c>
      <c r="Q7" s="9" t="s">
        <v>46</v>
      </c>
      <c r="R7" s="16"/>
      <c r="S7" s="10">
        <v>39</v>
      </c>
      <c r="T7" s="10">
        <v>6</v>
      </c>
      <c r="U7" s="10">
        <v>44</v>
      </c>
      <c r="V7" s="11">
        <v>34</v>
      </c>
      <c r="W7" s="12" t="s">
        <v>46</v>
      </c>
      <c r="X7" s="17"/>
      <c r="Y7" s="13">
        <v>0</v>
      </c>
      <c r="Z7" s="13">
        <v>0</v>
      </c>
      <c r="AA7" s="13">
        <v>0</v>
      </c>
      <c r="AB7" s="14">
        <v>0</v>
      </c>
      <c r="AC7" s="9"/>
      <c r="AD7" s="16"/>
      <c r="AE7" s="10"/>
      <c r="AF7" s="10"/>
      <c r="AG7" s="10"/>
      <c r="AH7" s="11"/>
      <c r="AI7" s="12"/>
      <c r="AJ7" s="17"/>
      <c r="AK7" s="13"/>
      <c r="AL7" s="13"/>
      <c r="AM7" s="13"/>
      <c r="AN7" s="14"/>
      <c r="AO7" s="8">
        <f t="shared" si="0"/>
        <v>39</v>
      </c>
      <c r="AP7" s="8">
        <f t="shared" si="0"/>
        <v>6</v>
      </c>
      <c r="AQ7" s="8">
        <f t="shared" si="0"/>
        <v>44</v>
      </c>
      <c r="AR7" s="8">
        <f t="shared" si="0"/>
        <v>34</v>
      </c>
      <c r="AS7" s="8">
        <f>MAX(AO7:AQ7)</f>
        <v>44</v>
      </c>
      <c r="AT7" s="8">
        <f>MIN(AO7:AQ7)</f>
        <v>6</v>
      </c>
      <c r="AU7" s="15">
        <f>IF(H7&gt;0,(AS7*SQRT(3)*IF(N7&gt;0,N7,IF(O7&gt;0,O7,IF(P7&gt;0,P7,415)))/(H7*1000))*100,0)</f>
        <v>32.922821750269222</v>
      </c>
      <c r="AV7" s="15" t="str">
        <f>IF(AU7&gt;70,"Upgrade","OK - No Upgrade")</f>
        <v>OK - No Upgrade</v>
      </c>
      <c r="AW7" s="15" t="str">
        <f>IF(IF(AVERAGE(AO7:AQ7)&gt;0,((AS7-AVERAGE(AO7:AQ7))/AVERAGE(AO7:AQ7))*100,0)&gt;10,"Need to Balance","OK - Balanced")</f>
        <v>Need to Balance</v>
      </c>
    </row>
  </sheetData>
  <mergeCells count="51">
    <mergeCell ref="C1:C3"/>
    <mergeCell ref="AI1:AN1"/>
    <mergeCell ref="D1:D2"/>
    <mergeCell ref="V2:V3"/>
    <mergeCell ref="X2:X3"/>
    <mergeCell ref="AJ2:AJ3"/>
    <mergeCell ref="AL2:AL3"/>
    <mergeCell ref="A1:A3"/>
    <mergeCell ref="AP2:AP3"/>
    <mergeCell ref="AU1:AU3"/>
    <mergeCell ref="H1:H3"/>
    <mergeCell ref="AR2:AR3"/>
    <mergeCell ref="AA2:AA3"/>
    <mergeCell ref="Q2:Q3"/>
    <mergeCell ref="R2:R3"/>
    <mergeCell ref="E1:E3"/>
    <mergeCell ref="AC2:AC3"/>
    <mergeCell ref="AI2:AI3"/>
    <mergeCell ref="AK2:AK3"/>
    <mergeCell ref="AS1:AS3"/>
    <mergeCell ref="AM2:AM3"/>
    <mergeCell ref="AO2:AO3"/>
    <mergeCell ref="B1:B3"/>
    <mergeCell ref="F1:F3"/>
    <mergeCell ref="S2:S3"/>
    <mergeCell ref="Z2:Z3"/>
    <mergeCell ref="AB2:AB3"/>
    <mergeCell ref="T2:T3"/>
    <mergeCell ref="W2:W3"/>
    <mergeCell ref="J1:J3"/>
    <mergeCell ref="AW1:AW3"/>
    <mergeCell ref="AQ2:AQ3"/>
    <mergeCell ref="AT1:AT3"/>
    <mergeCell ref="AC1:AH1"/>
    <mergeCell ref="K2:M2"/>
    <mergeCell ref="AV1:AV3"/>
    <mergeCell ref="AF2:AF3"/>
    <mergeCell ref="AD2:AD3"/>
    <mergeCell ref="AH2:AH3"/>
    <mergeCell ref="AN2:AN3"/>
    <mergeCell ref="AO1:AR1"/>
    <mergeCell ref="K1:P1"/>
    <mergeCell ref="N2:P2"/>
    <mergeCell ref="G1:G3"/>
    <mergeCell ref="W1:AB1"/>
    <mergeCell ref="AG2:AG3"/>
    <mergeCell ref="U2:U3"/>
    <mergeCell ref="AE2:AE3"/>
    <mergeCell ref="I1:I3"/>
    <mergeCell ref="Y2:Y3"/>
    <mergeCell ref="Q1:V1"/>
  </mergeCells>
  <dataValidations count="1">
    <dataValidation type="list" allowBlank="1" errorTitle="Invalid value" error="Please choose Cu or Al" promptTitle="Cable Type" prompt="Choose cable material" sqref="R4:R7 AJ4:AJ7 AD4:AD7 X4:X7" xr:uid="{00000000-0002-0000-0C00-000000000000}">
      <formula1>"Cu,Al"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U126"/>
  <sheetViews>
    <sheetView workbookViewId="0"/>
  </sheetViews>
  <sheetFormatPr defaultRowHeight="15" x14ac:dyDescent="0.25"/>
  <cols>
    <col min="1" max="1" width="12.85546875" customWidth="1"/>
    <col min="2" max="2" width="14.85546875" customWidth="1"/>
    <col min="3" max="3" width="9.85546875" customWidth="1"/>
    <col min="4" max="4" width="20.85546875" customWidth="1"/>
    <col min="5" max="5" width="8.85546875" customWidth="1"/>
    <col min="6" max="6" width="10.85546875" customWidth="1"/>
    <col min="7" max="7" width="5.85546875" customWidth="1"/>
    <col min="8" max="8" width="9.85546875" customWidth="1"/>
    <col min="9" max="9" width="10.85546875" customWidth="1"/>
    <col min="10" max="10" width="5.85546875" customWidth="1"/>
    <col min="11" max="11" width="7.85546875" customWidth="1"/>
    <col min="12" max="16" width="6.85546875" customWidth="1"/>
    <col min="17" max="17" width="8.85546875" customWidth="1"/>
    <col min="18" max="21" width="6.85546875" customWidth="1"/>
    <col min="22" max="22" width="8.85546875" customWidth="1"/>
    <col min="23" max="26" width="6.85546875" customWidth="1"/>
    <col min="27" max="27" width="8.85546875" customWidth="1"/>
    <col min="28" max="31" width="6.85546875" customWidth="1"/>
    <col min="32" max="32" width="8.85546875" customWidth="1"/>
    <col min="33" max="36" width="6.85546875" customWidth="1"/>
    <col min="37" max="37" width="8.85546875" customWidth="1"/>
    <col min="38" max="41" width="6.85546875" customWidth="1"/>
    <col min="42" max="42" width="8.85546875" customWidth="1"/>
    <col min="43" max="46" width="6.85546875" customWidth="1"/>
    <col min="47" max="47" width="8.85546875" customWidth="1"/>
    <col min="48" max="51" width="6.85546875" customWidth="1"/>
    <col min="52" max="52" width="8.85546875" customWidth="1"/>
    <col min="53" max="60" width="6.85546875" customWidth="1"/>
    <col min="61" max="62" width="7.85546875" customWidth="1"/>
    <col min="63" max="63" width="9.85546875" customWidth="1"/>
    <col min="64" max="65" width="24.85546875" customWidth="1"/>
  </cols>
  <sheetData>
    <row r="1" spans="1:73" ht="19.5" customHeight="1" x14ac:dyDescent="0.25">
      <c r="A1" s="21" t="s">
        <v>0</v>
      </c>
      <c r="B1" s="21" t="s">
        <v>1</v>
      </c>
      <c r="C1" s="21" t="s">
        <v>2</v>
      </c>
      <c r="D1" s="38" t="s">
        <v>3</v>
      </c>
      <c r="E1" s="21" t="s">
        <v>4</v>
      </c>
      <c r="F1" s="40" t="s">
        <v>5</v>
      </c>
      <c r="G1" s="21" t="s">
        <v>6</v>
      </c>
      <c r="H1" s="21" t="s">
        <v>7</v>
      </c>
      <c r="I1" s="21" t="s">
        <v>8</v>
      </c>
      <c r="J1" s="41" t="s">
        <v>9</v>
      </c>
      <c r="K1" s="18" t="s">
        <v>10</v>
      </c>
      <c r="L1" s="19"/>
      <c r="M1" s="19"/>
      <c r="N1" s="19"/>
      <c r="O1" s="19"/>
      <c r="P1" s="20"/>
      <c r="Q1" s="29" t="s">
        <v>11</v>
      </c>
      <c r="R1" s="30"/>
      <c r="S1" s="30"/>
      <c r="T1" s="30"/>
      <c r="U1" s="30"/>
      <c r="V1" s="31"/>
      <c r="W1" s="29" t="s">
        <v>12</v>
      </c>
      <c r="X1" s="30"/>
      <c r="Y1" s="30"/>
      <c r="Z1" s="30"/>
      <c r="AA1" s="30"/>
      <c r="AB1" s="31"/>
      <c r="AC1" s="29" t="s">
        <v>13</v>
      </c>
      <c r="AD1" s="30"/>
      <c r="AE1" s="30"/>
      <c r="AF1" s="30"/>
      <c r="AG1" s="30"/>
      <c r="AH1" s="31"/>
      <c r="AI1" s="29" t="s">
        <v>14</v>
      </c>
      <c r="AJ1" s="30"/>
      <c r="AK1" s="30"/>
      <c r="AL1" s="30"/>
      <c r="AM1" s="30"/>
      <c r="AN1" s="31"/>
      <c r="AO1" s="29" t="s">
        <v>15</v>
      </c>
      <c r="AP1" s="30"/>
      <c r="AQ1" s="30"/>
      <c r="AR1" s="30"/>
      <c r="AS1" s="30"/>
      <c r="AT1" s="31"/>
      <c r="AU1" s="29" t="s">
        <v>16</v>
      </c>
      <c r="AV1" s="30"/>
      <c r="AW1" s="30"/>
      <c r="AX1" s="30"/>
      <c r="AY1" s="30"/>
      <c r="AZ1" s="31"/>
      <c r="BA1" s="29" t="s">
        <v>17</v>
      </c>
      <c r="BB1" s="30"/>
      <c r="BC1" s="30"/>
      <c r="BD1" s="30"/>
      <c r="BE1" s="30"/>
      <c r="BF1" s="31"/>
      <c r="BG1" s="29" t="s">
        <v>18</v>
      </c>
      <c r="BH1" s="30"/>
      <c r="BI1" s="30"/>
      <c r="BJ1" s="30"/>
      <c r="BK1" s="30"/>
      <c r="BL1" s="31"/>
      <c r="BM1" s="37" t="s">
        <v>19</v>
      </c>
      <c r="BN1" s="19"/>
      <c r="BO1" s="19"/>
      <c r="BP1" s="20"/>
      <c r="BQ1" s="18" t="s">
        <v>20</v>
      </c>
      <c r="BR1" s="18" t="s">
        <v>21</v>
      </c>
      <c r="BS1" s="39" t="s">
        <v>22</v>
      </c>
      <c r="BT1" s="26" t="s">
        <v>23</v>
      </c>
      <c r="BU1" s="26" t="s">
        <v>24</v>
      </c>
    </row>
    <row r="2" spans="1:73" ht="19.5" customHeight="1" x14ac:dyDescent="0.25">
      <c r="A2" s="22"/>
      <c r="B2" s="22"/>
      <c r="C2" s="22"/>
      <c r="D2" s="23"/>
      <c r="E2" s="22"/>
      <c r="F2" s="22"/>
      <c r="G2" s="22"/>
      <c r="H2" s="22"/>
      <c r="I2" s="22"/>
      <c r="J2" s="22"/>
      <c r="K2" s="18" t="s">
        <v>25</v>
      </c>
      <c r="L2" s="19"/>
      <c r="M2" s="20"/>
      <c r="N2" s="18" t="s">
        <v>26</v>
      </c>
      <c r="O2" s="19"/>
      <c r="P2" s="20"/>
      <c r="Q2" s="27" t="s">
        <v>27</v>
      </c>
      <c r="R2" s="34" t="s">
        <v>5</v>
      </c>
      <c r="S2" s="36" t="s">
        <v>28</v>
      </c>
      <c r="T2" s="35" t="s">
        <v>29</v>
      </c>
      <c r="U2" s="24" t="s">
        <v>30</v>
      </c>
      <c r="V2" s="32" t="s">
        <v>31</v>
      </c>
      <c r="W2" s="27" t="s">
        <v>27</v>
      </c>
      <c r="X2" s="34" t="s">
        <v>5</v>
      </c>
      <c r="Y2" s="36" t="s">
        <v>28</v>
      </c>
      <c r="Z2" s="35" t="s">
        <v>29</v>
      </c>
      <c r="AA2" s="24" t="s">
        <v>30</v>
      </c>
      <c r="AB2" s="32" t="s">
        <v>31</v>
      </c>
      <c r="AC2" s="27" t="s">
        <v>27</v>
      </c>
      <c r="AD2" s="34" t="s">
        <v>5</v>
      </c>
      <c r="AE2" s="36" t="s">
        <v>28</v>
      </c>
      <c r="AF2" s="35" t="s">
        <v>29</v>
      </c>
      <c r="AG2" s="24" t="s">
        <v>30</v>
      </c>
      <c r="AH2" s="32" t="s">
        <v>31</v>
      </c>
      <c r="AI2" s="27" t="s">
        <v>27</v>
      </c>
      <c r="AJ2" s="34" t="s">
        <v>5</v>
      </c>
      <c r="AK2" s="36" t="s">
        <v>28</v>
      </c>
      <c r="AL2" s="35" t="s">
        <v>29</v>
      </c>
      <c r="AM2" s="24" t="s">
        <v>30</v>
      </c>
      <c r="AN2" s="32" t="s">
        <v>31</v>
      </c>
      <c r="AO2" s="27" t="s">
        <v>27</v>
      </c>
      <c r="AP2" s="34" t="s">
        <v>5</v>
      </c>
      <c r="AQ2" s="36" t="s">
        <v>28</v>
      </c>
      <c r="AR2" s="35" t="s">
        <v>29</v>
      </c>
      <c r="AS2" s="24" t="s">
        <v>30</v>
      </c>
      <c r="AT2" s="32" t="s">
        <v>31</v>
      </c>
      <c r="AU2" s="27" t="s">
        <v>27</v>
      </c>
      <c r="AV2" s="34" t="s">
        <v>5</v>
      </c>
      <c r="AW2" s="36" t="s">
        <v>28</v>
      </c>
      <c r="AX2" s="35" t="s">
        <v>29</v>
      </c>
      <c r="AY2" s="24" t="s">
        <v>30</v>
      </c>
      <c r="AZ2" s="32" t="s">
        <v>31</v>
      </c>
      <c r="BA2" s="27" t="s">
        <v>27</v>
      </c>
      <c r="BB2" s="34" t="s">
        <v>5</v>
      </c>
      <c r="BC2" s="36" t="s">
        <v>28</v>
      </c>
      <c r="BD2" s="35" t="s">
        <v>29</v>
      </c>
      <c r="BE2" s="24" t="s">
        <v>30</v>
      </c>
      <c r="BF2" s="32" t="s">
        <v>31</v>
      </c>
      <c r="BG2" s="27" t="s">
        <v>27</v>
      </c>
      <c r="BH2" s="34" t="s">
        <v>5</v>
      </c>
      <c r="BI2" s="36" t="s">
        <v>28</v>
      </c>
      <c r="BJ2" s="35" t="s">
        <v>29</v>
      </c>
      <c r="BK2" s="24" t="s">
        <v>30</v>
      </c>
      <c r="BL2" s="32" t="s">
        <v>31</v>
      </c>
      <c r="BM2" s="37" t="s">
        <v>28</v>
      </c>
      <c r="BN2" s="37" t="s">
        <v>29</v>
      </c>
      <c r="BO2" s="37" t="s">
        <v>30</v>
      </c>
      <c r="BP2" s="37" t="s">
        <v>31</v>
      </c>
      <c r="BQ2" s="22"/>
      <c r="BR2" s="22"/>
      <c r="BS2" s="22"/>
      <c r="BT2" s="22"/>
      <c r="BU2" s="22"/>
    </row>
    <row r="3" spans="1:73" ht="19.5" customHeight="1" x14ac:dyDescent="0.25">
      <c r="A3" s="23"/>
      <c r="B3" s="23"/>
      <c r="C3" s="23"/>
      <c r="D3" s="1"/>
      <c r="E3" s="23"/>
      <c r="F3" s="23"/>
      <c r="G3" s="23"/>
      <c r="H3" s="23"/>
      <c r="I3" s="23"/>
      <c r="J3" s="23"/>
      <c r="K3" s="2" t="s">
        <v>32</v>
      </c>
      <c r="L3" s="3" t="s">
        <v>33</v>
      </c>
      <c r="M3" s="4" t="s">
        <v>34</v>
      </c>
      <c r="N3" s="5" t="s">
        <v>35</v>
      </c>
      <c r="O3" s="6" t="s">
        <v>36</v>
      </c>
      <c r="P3" s="7" t="s">
        <v>37</v>
      </c>
      <c r="Q3" s="28"/>
      <c r="R3" s="25"/>
      <c r="S3" s="25"/>
      <c r="T3" s="25"/>
      <c r="U3" s="25"/>
      <c r="V3" s="33"/>
      <c r="W3" s="28"/>
      <c r="X3" s="25"/>
      <c r="Y3" s="25"/>
      <c r="Z3" s="25"/>
      <c r="AA3" s="25"/>
      <c r="AB3" s="33"/>
      <c r="AC3" s="28"/>
      <c r="AD3" s="25"/>
      <c r="AE3" s="25"/>
      <c r="AF3" s="25"/>
      <c r="AG3" s="25"/>
      <c r="AH3" s="33"/>
      <c r="AI3" s="28"/>
      <c r="AJ3" s="25"/>
      <c r="AK3" s="25"/>
      <c r="AL3" s="25"/>
      <c r="AM3" s="25"/>
      <c r="AN3" s="33"/>
      <c r="AO3" s="28"/>
      <c r="AP3" s="25"/>
      <c r="AQ3" s="25"/>
      <c r="AR3" s="25"/>
      <c r="AS3" s="25"/>
      <c r="AT3" s="33"/>
      <c r="AU3" s="28"/>
      <c r="AV3" s="25"/>
      <c r="AW3" s="25"/>
      <c r="AX3" s="25"/>
      <c r="AY3" s="25"/>
      <c r="AZ3" s="33"/>
      <c r="BA3" s="28"/>
      <c r="BB3" s="25"/>
      <c r="BC3" s="25"/>
      <c r="BD3" s="25"/>
      <c r="BE3" s="25"/>
      <c r="BF3" s="33"/>
      <c r="BG3" s="28"/>
      <c r="BH3" s="25"/>
      <c r="BI3" s="25"/>
      <c r="BJ3" s="25"/>
      <c r="BK3" s="25"/>
      <c r="BL3" s="33"/>
      <c r="BM3" s="23"/>
      <c r="BN3" s="23"/>
      <c r="BO3" s="23"/>
      <c r="BP3" s="23"/>
      <c r="BQ3" s="23"/>
      <c r="BR3" s="23"/>
      <c r="BS3" s="23"/>
      <c r="BT3" s="23"/>
      <c r="BU3" s="23"/>
    </row>
    <row r="4" spans="1:73" ht="15.75" customHeight="1" x14ac:dyDescent="0.25">
      <c r="A4" s="8" t="s">
        <v>1459</v>
      </c>
      <c r="B4" s="8" t="s">
        <v>2205</v>
      </c>
      <c r="C4" s="8" t="s">
        <v>2206</v>
      </c>
      <c r="D4" s="8" t="s">
        <v>2207</v>
      </c>
      <c r="E4" s="8" t="s">
        <v>2208</v>
      </c>
      <c r="F4" s="8" t="s">
        <v>43</v>
      </c>
      <c r="G4" s="8" t="s">
        <v>44</v>
      </c>
      <c r="H4" s="8">
        <v>200</v>
      </c>
      <c r="I4" s="8" t="s">
        <v>2209</v>
      </c>
      <c r="J4" s="8">
        <v>1</v>
      </c>
      <c r="K4" s="8">
        <v>235</v>
      </c>
      <c r="L4" s="8">
        <v>236</v>
      </c>
      <c r="M4" s="8">
        <v>236</v>
      </c>
      <c r="N4" s="8">
        <v>410</v>
      </c>
      <c r="O4" s="8">
        <v>411</v>
      </c>
      <c r="P4" s="8">
        <v>410</v>
      </c>
      <c r="Q4" s="9" t="s">
        <v>47</v>
      </c>
      <c r="R4" s="16"/>
      <c r="S4" s="10">
        <v>10</v>
      </c>
      <c r="T4" s="10">
        <v>15</v>
      </c>
      <c r="U4" s="10">
        <v>5</v>
      </c>
      <c r="V4" s="11">
        <v>10</v>
      </c>
      <c r="W4" s="12" t="s">
        <v>47</v>
      </c>
      <c r="X4" s="17"/>
      <c r="Y4" s="13">
        <v>28</v>
      </c>
      <c r="Z4" s="13">
        <v>30</v>
      </c>
      <c r="AA4" s="13">
        <v>40</v>
      </c>
      <c r="AB4" s="14">
        <v>22</v>
      </c>
      <c r="AC4" s="9"/>
      <c r="AD4" s="16"/>
      <c r="AE4" s="10"/>
      <c r="AF4" s="10"/>
      <c r="AG4" s="10"/>
      <c r="AH4" s="11"/>
      <c r="AI4" s="12"/>
      <c r="AJ4" s="17"/>
      <c r="AK4" s="13"/>
      <c r="AL4" s="13"/>
      <c r="AM4" s="13"/>
      <c r="AN4" s="14"/>
      <c r="AO4" s="9"/>
      <c r="AP4" s="16"/>
      <c r="AQ4" s="10"/>
      <c r="AR4" s="10"/>
      <c r="AS4" s="10"/>
      <c r="AT4" s="11"/>
      <c r="AU4" s="12"/>
      <c r="AV4" s="17"/>
      <c r="AW4" s="13"/>
      <c r="AX4" s="13"/>
      <c r="AY4" s="13"/>
      <c r="AZ4" s="14"/>
      <c r="BA4" s="9"/>
      <c r="BB4" s="16"/>
      <c r="BC4" s="10"/>
      <c r="BD4" s="10"/>
      <c r="BE4" s="10"/>
      <c r="BF4" s="11"/>
      <c r="BG4" s="12"/>
      <c r="BH4" s="17"/>
      <c r="BI4" s="13"/>
      <c r="BJ4" s="13"/>
      <c r="BK4" s="13"/>
      <c r="BL4" s="14"/>
      <c r="BM4" s="8">
        <f t="shared" ref="BM4:BM35" si="0">SUM(S4,Y4,AE4,AK4,AQ4,AW4,BC4,BI4)</f>
        <v>38</v>
      </c>
      <c r="BN4" s="8">
        <f t="shared" ref="BN4:BN35" si="1">SUM(T4,Z4,AF4,AL4,AR4,AX4,BD4,BJ4)</f>
        <v>45</v>
      </c>
      <c r="BO4" s="8">
        <f t="shared" ref="BO4:BO35" si="2">SUM(U4,AA4,AG4,AM4,AS4,AY4,BE4,BK4)</f>
        <v>45</v>
      </c>
      <c r="BP4" s="8">
        <f t="shared" ref="BP4:BP35" si="3">SUM(V4,AB4,AH4,AN4,AT4,AZ4,BF4,BL4)</f>
        <v>32</v>
      </c>
      <c r="BQ4" s="8">
        <f t="shared" ref="BQ4:BQ35" si="4">MAX(BM4:BO4)</f>
        <v>45</v>
      </c>
      <c r="BR4" s="8">
        <f t="shared" ref="BR4:BR35" si="5">MIN(BM4:BO4)</f>
        <v>38</v>
      </c>
      <c r="BS4" s="15">
        <f t="shared" ref="BS4:BS35" si="6">IF(H4&gt;0,(BQ4*SQRT(3)*IF(N4&gt;0,N4,IF(O4&gt;0,O4,IF(P4&gt;0,P4,415)))/(H4*1000))*100,0)</f>
        <v>15.978168699822895</v>
      </c>
      <c r="BT4" s="15" t="str">
        <f t="shared" ref="BT4:BT35" si="7">IF(BS4&gt;70,"Upgrade","OK - No Upgrade")</f>
        <v>OK - No Upgrade</v>
      </c>
      <c r="BU4" s="15" t="str">
        <f t="shared" ref="BU4:BU35" si="8">IF(IF(AVERAGE(BM4:BO4)&gt;0,((BQ4-AVERAGE(BM4:BO4))/AVERAGE(BM4:BO4))*100,0)&gt;10,"Need to Balance","OK - Balanced")</f>
        <v>OK - Balanced</v>
      </c>
    </row>
    <row r="5" spans="1:73" ht="15.75" customHeight="1" x14ac:dyDescent="0.25">
      <c r="A5" s="8" t="s">
        <v>1459</v>
      </c>
      <c r="B5" s="8" t="s">
        <v>2205</v>
      </c>
      <c r="C5" s="8" t="s">
        <v>2206</v>
      </c>
      <c r="D5" s="8" t="s">
        <v>2210</v>
      </c>
      <c r="E5" s="8" t="s">
        <v>2211</v>
      </c>
      <c r="F5" s="8" t="s">
        <v>43</v>
      </c>
      <c r="G5" s="8" t="s">
        <v>44</v>
      </c>
      <c r="H5" s="8">
        <v>100</v>
      </c>
      <c r="I5" s="8" t="s">
        <v>2212</v>
      </c>
      <c r="J5" s="8">
        <v>1</v>
      </c>
      <c r="K5" s="8">
        <v>240</v>
      </c>
      <c r="L5" s="8">
        <v>240</v>
      </c>
      <c r="M5" s="8">
        <v>241</v>
      </c>
      <c r="N5" s="8">
        <v>420</v>
      </c>
      <c r="O5" s="8">
        <v>421</v>
      </c>
      <c r="P5" s="8">
        <v>421</v>
      </c>
      <c r="Q5" s="9" t="s">
        <v>46</v>
      </c>
      <c r="R5" s="16"/>
      <c r="S5" s="10">
        <v>10</v>
      </c>
      <c r="T5" s="10">
        <v>11</v>
      </c>
      <c r="U5" s="10">
        <v>9</v>
      </c>
      <c r="V5" s="11">
        <v>9</v>
      </c>
      <c r="W5" s="12"/>
      <c r="X5" s="17"/>
      <c r="Y5" s="13"/>
      <c r="Z5" s="13"/>
      <c r="AA5" s="13"/>
      <c r="AB5" s="14"/>
      <c r="AC5" s="9"/>
      <c r="AD5" s="16"/>
      <c r="AE5" s="10"/>
      <c r="AF5" s="10"/>
      <c r="AG5" s="10"/>
      <c r="AH5" s="11"/>
      <c r="AI5" s="12"/>
      <c r="AJ5" s="17"/>
      <c r="AK5" s="13"/>
      <c r="AL5" s="13"/>
      <c r="AM5" s="13"/>
      <c r="AN5" s="14"/>
      <c r="AO5" s="9"/>
      <c r="AP5" s="16"/>
      <c r="AQ5" s="10"/>
      <c r="AR5" s="10"/>
      <c r="AS5" s="10"/>
      <c r="AT5" s="11"/>
      <c r="AU5" s="12"/>
      <c r="AV5" s="17"/>
      <c r="AW5" s="13"/>
      <c r="AX5" s="13"/>
      <c r="AY5" s="13"/>
      <c r="AZ5" s="14"/>
      <c r="BA5" s="9"/>
      <c r="BB5" s="16"/>
      <c r="BC5" s="10"/>
      <c r="BD5" s="10"/>
      <c r="BE5" s="10"/>
      <c r="BF5" s="11"/>
      <c r="BG5" s="12"/>
      <c r="BH5" s="17"/>
      <c r="BI5" s="13"/>
      <c r="BJ5" s="13"/>
      <c r="BK5" s="13"/>
      <c r="BL5" s="14"/>
      <c r="BM5" s="8">
        <f t="shared" si="0"/>
        <v>10</v>
      </c>
      <c r="BN5" s="8">
        <f t="shared" si="1"/>
        <v>11</v>
      </c>
      <c r="BO5" s="8">
        <f t="shared" si="2"/>
        <v>9</v>
      </c>
      <c r="BP5" s="8">
        <f t="shared" si="3"/>
        <v>9</v>
      </c>
      <c r="BQ5" s="8">
        <f t="shared" si="4"/>
        <v>11</v>
      </c>
      <c r="BR5" s="8">
        <f t="shared" si="5"/>
        <v>9</v>
      </c>
      <c r="BS5" s="15">
        <f t="shared" si="6"/>
        <v>8.0020747309682125</v>
      </c>
      <c r="BT5" s="15" t="str">
        <f t="shared" si="7"/>
        <v>OK - No Upgrade</v>
      </c>
      <c r="BU5" s="15" t="str">
        <f t="shared" si="8"/>
        <v>OK - Balanced</v>
      </c>
    </row>
    <row r="6" spans="1:73" ht="15.75" customHeight="1" x14ac:dyDescent="0.25">
      <c r="A6" s="8" t="s">
        <v>1459</v>
      </c>
      <c r="B6" s="8" t="s">
        <v>2205</v>
      </c>
      <c r="C6" s="8" t="s">
        <v>2206</v>
      </c>
      <c r="D6" s="8" t="s">
        <v>2213</v>
      </c>
      <c r="E6" s="8" t="s">
        <v>2214</v>
      </c>
      <c r="F6" s="8" t="s">
        <v>43</v>
      </c>
      <c r="G6" s="8" t="s">
        <v>44</v>
      </c>
      <c r="H6" s="8">
        <v>200</v>
      </c>
      <c r="I6" s="8" t="s">
        <v>2215</v>
      </c>
      <c r="J6" s="8">
        <v>1</v>
      </c>
      <c r="K6" s="8">
        <v>239</v>
      </c>
      <c r="L6" s="8">
        <v>240</v>
      </c>
      <c r="M6" s="8">
        <v>241</v>
      </c>
      <c r="N6" s="8">
        <v>425</v>
      </c>
      <c r="O6" s="8">
        <v>424</v>
      </c>
      <c r="P6" s="8">
        <v>423</v>
      </c>
      <c r="Q6" s="9" t="s">
        <v>46</v>
      </c>
      <c r="R6" s="16"/>
      <c r="S6" s="10">
        <v>14</v>
      </c>
      <c r="T6" s="10">
        <v>16</v>
      </c>
      <c r="U6" s="10">
        <v>15</v>
      </c>
      <c r="V6" s="11">
        <v>11</v>
      </c>
      <c r="W6" s="12" t="s">
        <v>46</v>
      </c>
      <c r="X6" s="17"/>
      <c r="Y6" s="13">
        <v>0</v>
      </c>
      <c r="Z6" s="13">
        <v>0</v>
      </c>
      <c r="AA6" s="13">
        <v>0</v>
      </c>
      <c r="AB6" s="14">
        <v>0</v>
      </c>
      <c r="AC6" s="9"/>
      <c r="AD6" s="16"/>
      <c r="AE6" s="10"/>
      <c r="AF6" s="10"/>
      <c r="AG6" s="10"/>
      <c r="AH6" s="11"/>
      <c r="AI6" s="12"/>
      <c r="AJ6" s="17"/>
      <c r="AK6" s="13"/>
      <c r="AL6" s="13"/>
      <c r="AM6" s="13"/>
      <c r="AN6" s="14"/>
      <c r="AO6" s="9"/>
      <c r="AP6" s="16"/>
      <c r="AQ6" s="10"/>
      <c r="AR6" s="10"/>
      <c r="AS6" s="10"/>
      <c r="AT6" s="11"/>
      <c r="AU6" s="12"/>
      <c r="AV6" s="17"/>
      <c r="AW6" s="13"/>
      <c r="AX6" s="13"/>
      <c r="AY6" s="13"/>
      <c r="AZ6" s="14"/>
      <c r="BA6" s="9"/>
      <c r="BB6" s="16"/>
      <c r="BC6" s="10"/>
      <c r="BD6" s="10"/>
      <c r="BE6" s="10"/>
      <c r="BF6" s="11"/>
      <c r="BG6" s="12"/>
      <c r="BH6" s="17"/>
      <c r="BI6" s="13"/>
      <c r="BJ6" s="13"/>
      <c r="BK6" s="13"/>
      <c r="BL6" s="14"/>
      <c r="BM6" s="8">
        <f t="shared" si="0"/>
        <v>14</v>
      </c>
      <c r="BN6" s="8">
        <f t="shared" si="1"/>
        <v>16</v>
      </c>
      <c r="BO6" s="8">
        <f t="shared" si="2"/>
        <v>15</v>
      </c>
      <c r="BP6" s="8">
        <f t="shared" si="3"/>
        <v>11</v>
      </c>
      <c r="BQ6" s="8">
        <f t="shared" si="4"/>
        <v>16</v>
      </c>
      <c r="BR6" s="8">
        <f t="shared" si="5"/>
        <v>14</v>
      </c>
      <c r="BS6" s="15">
        <f t="shared" si="6"/>
        <v>5.8889727457341827</v>
      </c>
      <c r="BT6" s="15" t="str">
        <f t="shared" si="7"/>
        <v>OK - No Upgrade</v>
      </c>
      <c r="BU6" s="15" t="str">
        <f t="shared" si="8"/>
        <v>OK - Balanced</v>
      </c>
    </row>
    <row r="7" spans="1:73" ht="15.75" customHeight="1" x14ac:dyDescent="0.25">
      <c r="A7" s="8" t="s">
        <v>1459</v>
      </c>
      <c r="B7" s="8" t="s">
        <v>2205</v>
      </c>
      <c r="C7" s="8" t="s">
        <v>2206</v>
      </c>
      <c r="D7" s="8" t="s">
        <v>2216</v>
      </c>
      <c r="E7" s="8" t="s">
        <v>2217</v>
      </c>
      <c r="F7" s="8" t="s">
        <v>43</v>
      </c>
      <c r="G7" s="8" t="s">
        <v>44</v>
      </c>
      <c r="H7" s="8">
        <v>200</v>
      </c>
      <c r="I7" s="8" t="s">
        <v>2218</v>
      </c>
      <c r="J7" s="8">
        <v>1</v>
      </c>
      <c r="K7" s="8">
        <v>240</v>
      </c>
      <c r="L7" s="8">
        <v>241</v>
      </c>
      <c r="M7" s="8">
        <v>242</v>
      </c>
      <c r="N7" s="8">
        <v>420</v>
      </c>
      <c r="O7" s="8">
        <v>421</v>
      </c>
      <c r="P7" s="8">
        <v>421</v>
      </c>
      <c r="Q7" s="9" t="s">
        <v>46</v>
      </c>
      <c r="R7" s="16"/>
      <c r="S7" s="10">
        <v>11</v>
      </c>
      <c r="T7" s="10">
        <v>10</v>
      </c>
      <c r="U7" s="10">
        <v>9</v>
      </c>
      <c r="V7" s="11">
        <v>8</v>
      </c>
      <c r="W7" s="12"/>
      <c r="X7" s="17"/>
      <c r="Y7" s="13"/>
      <c r="Z7" s="13"/>
      <c r="AA7" s="13"/>
      <c r="AB7" s="14"/>
      <c r="AC7" s="9"/>
      <c r="AD7" s="16"/>
      <c r="AE7" s="10"/>
      <c r="AF7" s="10"/>
      <c r="AG7" s="10"/>
      <c r="AH7" s="11"/>
      <c r="AI7" s="12"/>
      <c r="AJ7" s="17"/>
      <c r="AK7" s="13"/>
      <c r="AL7" s="13"/>
      <c r="AM7" s="13"/>
      <c r="AN7" s="14"/>
      <c r="AO7" s="9"/>
      <c r="AP7" s="16"/>
      <c r="AQ7" s="10"/>
      <c r="AR7" s="10"/>
      <c r="AS7" s="10"/>
      <c r="AT7" s="11"/>
      <c r="AU7" s="12"/>
      <c r="AV7" s="17"/>
      <c r="AW7" s="13"/>
      <c r="AX7" s="13"/>
      <c r="AY7" s="13"/>
      <c r="AZ7" s="14"/>
      <c r="BA7" s="9"/>
      <c r="BB7" s="16"/>
      <c r="BC7" s="10"/>
      <c r="BD7" s="10"/>
      <c r="BE7" s="10"/>
      <c r="BF7" s="11"/>
      <c r="BG7" s="12"/>
      <c r="BH7" s="17"/>
      <c r="BI7" s="13"/>
      <c r="BJ7" s="13"/>
      <c r="BK7" s="13"/>
      <c r="BL7" s="14"/>
      <c r="BM7" s="8">
        <f t="shared" si="0"/>
        <v>11</v>
      </c>
      <c r="BN7" s="8">
        <f t="shared" si="1"/>
        <v>10</v>
      </c>
      <c r="BO7" s="8">
        <f t="shared" si="2"/>
        <v>9</v>
      </c>
      <c r="BP7" s="8">
        <f t="shared" si="3"/>
        <v>8</v>
      </c>
      <c r="BQ7" s="8">
        <f t="shared" si="4"/>
        <v>11</v>
      </c>
      <c r="BR7" s="8">
        <f t="shared" si="5"/>
        <v>9</v>
      </c>
      <c r="BS7" s="15">
        <f t="shared" si="6"/>
        <v>4.0010373654841063</v>
      </c>
      <c r="BT7" s="15" t="str">
        <f t="shared" si="7"/>
        <v>OK - No Upgrade</v>
      </c>
      <c r="BU7" s="15" t="str">
        <f t="shared" si="8"/>
        <v>OK - Balanced</v>
      </c>
    </row>
    <row r="8" spans="1:73" ht="15.75" customHeight="1" x14ac:dyDescent="0.25">
      <c r="A8" s="8" t="s">
        <v>1459</v>
      </c>
      <c r="B8" s="8" t="s">
        <v>2205</v>
      </c>
      <c r="C8" s="8" t="s">
        <v>2206</v>
      </c>
      <c r="D8" s="8" t="s">
        <v>2219</v>
      </c>
      <c r="E8" s="8" t="s">
        <v>2220</v>
      </c>
      <c r="F8" s="8" t="s">
        <v>43</v>
      </c>
      <c r="G8" s="8" t="s">
        <v>44</v>
      </c>
      <c r="H8" s="8">
        <v>100</v>
      </c>
      <c r="I8" s="8" t="s">
        <v>2221</v>
      </c>
      <c r="J8" s="8">
        <v>1</v>
      </c>
      <c r="K8" s="8">
        <v>240</v>
      </c>
      <c r="L8" s="8">
        <v>241</v>
      </c>
      <c r="M8" s="8">
        <v>243</v>
      </c>
      <c r="N8" s="8">
        <v>419</v>
      </c>
      <c r="O8" s="8">
        <v>418</v>
      </c>
      <c r="P8" s="8">
        <v>419</v>
      </c>
      <c r="Q8" s="9" t="s">
        <v>46</v>
      </c>
      <c r="R8" s="16"/>
      <c r="S8" s="10">
        <v>0</v>
      </c>
      <c r="T8" s="10">
        <v>0</v>
      </c>
      <c r="U8" s="10">
        <v>0</v>
      </c>
      <c r="V8" s="11">
        <v>0</v>
      </c>
      <c r="W8" s="12" t="s">
        <v>46</v>
      </c>
      <c r="X8" s="17"/>
      <c r="Y8" s="13">
        <v>10</v>
      </c>
      <c r="Z8" s="13">
        <v>11</v>
      </c>
      <c r="AA8" s="13">
        <v>12</v>
      </c>
      <c r="AB8" s="14">
        <v>9</v>
      </c>
      <c r="AC8" s="9"/>
      <c r="AD8" s="16"/>
      <c r="AE8" s="10"/>
      <c r="AF8" s="10"/>
      <c r="AG8" s="10"/>
      <c r="AH8" s="11"/>
      <c r="AI8" s="12"/>
      <c r="AJ8" s="17"/>
      <c r="AK8" s="13"/>
      <c r="AL8" s="13"/>
      <c r="AM8" s="13"/>
      <c r="AN8" s="14"/>
      <c r="AO8" s="9"/>
      <c r="AP8" s="16"/>
      <c r="AQ8" s="10"/>
      <c r="AR8" s="10"/>
      <c r="AS8" s="10"/>
      <c r="AT8" s="11"/>
      <c r="AU8" s="12"/>
      <c r="AV8" s="17"/>
      <c r="AW8" s="13"/>
      <c r="AX8" s="13"/>
      <c r="AY8" s="13"/>
      <c r="AZ8" s="14"/>
      <c r="BA8" s="9"/>
      <c r="BB8" s="16"/>
      <c r="BC8" s="10"/>
      <c r="BD8" s="10"/>
      <c r="BE8" s="10"/>
      <c r="BF8" s="11"/>
      <c r="BG8" s="12"/>
      <c r="BH8" s="17"/>
      <c r="BI8" s="13"/>
      <c r="BJ8" s="13"/>
      <c r="BK8" s="13"/>
      <c r="BL8" s="14"/>
      <c r="BM8" s="8">
        <f t="shared" si="0"/>
        <v>10</v>
      </c>
      <c r="BN8" s="8">
        <f t="shared" si="1"/>
        <v>11</v>
      </c>
      <c r="BO8" s="8">
        <f t="shared" si="2"/>
        <v>12</v>
      </c>
      <c r="BP8" s="8">
        <f t="shared" si="3"/>
        <v>9</v>
      </c>
      <c r="BQ8" s="8">
        <f t="shared" si="4"/>
        <v>12</v>
      </c>
      <c r="BR8" s="8">
        <f t="shared" si="5"/>
        <v>10</v>
      </c>
      <c r="BS8" s="15">
        <f t="shared" si="6"/>
        <v>8.7087514604563161</v>
      </c>
      <c r="BT8" s="15" t="str">
        <f t="shared" si="7"/>
        <v>OK - No Upgrade</v>
      </c>
      <c r="BU8" s="15" t="str">
        <f t="shared" si="8"/>
        <v>OK - Balanced</v>
      </c>
    </row>
    <row r="9" spans="1:73" ht="15.75" customHeight="1" x14ac:dyDescent="0.25">
      <c r="A9" s="8" t="s">
        <v>1459</v>
      </c>
      <c r="B9" s="8" t="s">
        <v>2205</v>
      </c>
      <c r="C9" s="8" t="s">
        <v>2206</v>
      </c>
      <c r="D9" s="8" t="s">
        <v>2222</v>
      </c>
      <c r="E9" s="8" t="s">
        <v>2223</v>
      </c>
      <c r="F9" s="8" t="s">
        <v>43</v>
      </c>
      <c r="G9" s="8" t="s">
        <v>44</v>
      </c>
      <c r="H9" s="8">
        <v>200</v>
      </c>
      <c r="I9" s="8" t="s">
        <v>2224</v>
      </c>
      <c r="J9" s="8">
        <v>1</v>
      </c>
      <c r="K9" s="8">
        <v>247</v>
      </c>
      <c r="L9" s="8">
        <v>246</v>
      </c>
      <c r="M9" s="8">
        <v>248</v>
      </c>
      <c r="N9" s="8">
        <v>427</v>
      </c>
      <c r="O9" s="8">
        <v>428</v>
      </c>
      <c r="P9" s="8">
        <v>426</v>
      </c>
      <c r="Q9" s="9" t="s">
        <v>47</v>
      </c>
      <c r="R9" s="16"/>
      <c r="S9" s="10">
        <v>0</v>
      </c>
      <c r="T9" s="10">
        <v>10</v>
      </c>
      <c r="U9" s="10">
        <v>0</v>
      </c>
      <c r="V9" s="11">
        <v>12</v>
      </c>
      <c r="W9" s="12" t="s">
        <v>47</v>
      </c>
      <c r="X9" s="17"/>
      <c r="Y9" s="13">
        <v>68</v>
      </c>
      <c r="Z9" s="13">
        <v>117</v>
      </c>
      <c r="AA9" s="13">
        <v>51</v>
      </c>
      <c r="AB9" s="14">
        <v>51</v>
      </c>
      <c r="AC9" s="9"/>
      <c r="AD9" s="16"/>
      <c r="AE9" s="10"/>
      <c r="AF9" s="10"/>
      <c r="AG9" s="10"/>
      <c r="AH9" s="11"/>
      <c r="AI9" s="12"/>
      <c r="AJ9" s="17"/>
      <c r="AK9" s="13"/>
      <c r="AL9" s="13"/>
      <c r="AM9" s="13"/>
      <c r="AN9" s="14"/>
      <c r="AO9" s="9"/>
      <c r="AP9" s="16"/>
      <c r="AQ9" s="10"/>
      <c r="AR9" s="10"/>
      <c r="AS9" s="10"/>
      <c r="AT9" s="11"/>
      <c r="AU9" s="12"/>
      <c r="AV9" s="17"/>
      <c r="AW9" s="13"/>
      <c r="AX9" s="13"/>
      <c r="AY9" s="13"/>
      <c r="AZ9" s="14"/>
      <c r="BA9" s="9"/>
      <c r="BB9" s="16"/>
      <c r="BC9" s="10"/>
      <c r="BD9" s="10"/>
      <c r="BE9" s="10"/>
      <c r="BF9" s="11"/>
      <c r="BG9" s="12"/>
      <c r="BH9" s="17"/>
      <c r="BI9" s="13"/>
      <c r="BJ9" s="13"/>
      <c r="BK9" s="13"/>
      <c r="BL9" s="14"/>
      <c r="BM9" s="8">
        <f t="shared" si="0"/>
        <v>68</v>
      </c>
      <c r="BN9" s="8">
        <f t="shared" si="1"/>
        <v>127</v>
      </c>
      <c r="BO9" s="8">
        <f t="shared" si="2"/>
        <v>51</v>
      </c>
      <c r="BP9" s="8">
        <f t="shared" si="3"/>
        <v>63</v>
      </c>
      <c r="BQ9" s="8">
        <f t="shared" si="4"/>
        <v>127</v>
      </c>
      <c r="BR9" s="8">
        <f t="shared" si="5"/>
        <v>51</v>
      </c>
      <c r="BS9" s="15">
        <f t="shared" si="6"/>
        <v>46.963691621826321</v>
      </c>
      <c r="BT9" s="15" t="str">
        <f t="shared" si="7"/>
        <v>OK - No Upgrade</v>
      </c>
      <c r="BU9" s="15" t="str">
        <f t="shared" si="8"/>
        <v>Need to Balance</v>
      </c>
    </row>
    <row r="10" spans="1:73" ht="15.75" customHeight="1" x14ac:dyDescent="0.25">
      <c r="A10" s="8" t="s">
        <v>1459</v>
      </c>
      <c r="B10" s="8" t="s">
        <v>2205</v>
      </c>
      <c r="C10" s="8" t="s">
        <v>2206</v>
      </c>
      <c r="D10" s="8" t="s">
        <v>2225</v>
      </c>
      <c r="E10" s="8" t="s">
        <v>2226</v>
      </c>
      <c r="F10" s="8" t="s">
        <v>56</v>
      </c>
      <c r="G10" s="8" t="s">
        <v>44</v>
      </c>
      <c r="H10" s="8">
        <v>1000</v>
      </c>
      <c r="I10" s="8" t="s">
        <v>2227</v>
      </c>
      <c r="J10" s="8">
        <v>1</v>
      </c>
      <c r="K10" s="8">
        <v>246</v>
      </c>
      <c r="L10" s="8">
        <v>246</v>
      </c>
      <c r="M10" s="8">
        <v>246</v>
      </c>
      <c r="N10" s="8">
        <v>427</v>
      </c>
      <c r="O10" s="8">
        <v>426</v>
      </c>
      <c r="P10" s="8">
        <v>426</v>
      </c>
      <c r="Q10" s="9"/>
      <c r="R10" s="16"/>
      <c r="S10" s="10"/>
      <c r="T10" s="10"/>
      <c r="U10" s="10"/>
      <c r="V10" s="11"/>
      <c r="W10" s="12"/>
      <c r="X10" s="17"/>
      <c r="Y10" s="13"/>
      <c r="Z10" s="13"/>
      <c r="AA10" s="13"/>
      <c r="AB10" s="14"/>
      <c r="AC10" s="9"/>
      <c r="AD10" s="16"/>
      <c r="AE10" s="10"/>
      <c r="AF10" s="10"/>
      <c r="AG10" s="10"/>
      <c r="AH10" s="11"/>
      <c r="AI10" s="12"/>
      <c r="AJ10" s="17"/>
      <c r="AK10" s="13"/>
      <c r="AL10" s="13"/>
      <c r="AM10" s="13"/>
      <c r="AN10" s="14"/>
      <c r="AO10" s="9"/>
      <c r="AP10" s="16"/>
      <c r="AQ10" s="10"/>
      <c r="AR10" s="10"/>
      <c r="AS10" s="10"/>
      <c r="AT10" s="11"/>
      <c r="AU10" s="12" t="s">
        <v>47</v>
      </c>
      <c r="AV10" s="17"/>
      <c r="AW10" s="13">
        <v>95</v>
      </c>
      <c r="AX10" s="13">
        <v>100</v>
      </c>
      <c r="AY10" s="13">
        <v>66</v>
      </c>
      <c r="AZ10" s="14">
        <v>29</v>
      </c>
      <c r="BA10" s="9" t="s">
        <v>47</v>
      </c>
      <c r="BB10" s="16"/>
      <c r="BC10" s="10">
        <v>131</v>
      </c>
      <c r="BD10" s="10">
        <v>38</v>
      </c>
      <c r="BE10" s="10">
        <v>77</v>
      </c>
      <c r="BF10" s="11">
        <v>30</v>
      </c>
      <c r="BG10" s="12" t="s">
        <v>47</v>
      </c>
      <c r="BH10" s="17"/>
      <c r="BI10" s="13">
        <v>69</v>
      </c>
      <c r="BJ10" s="13">
        <v>35</v>
      </c>
      <c r="BK10" s="13">
        <v>40</v>
      </c>
      <c r="BL10" s="14">
        <v>20</v>
      </c>
      <c r="BM10" s="8">
        <f t="shared" si="0"/>
        <v>295</v>
      </c>
      <c r="BN10" s="8">
        <f t="shared" si="1"/>
        <v>173</v>
      </c>
      <c r="BO10" s="8">
        <f t="shared" si="2"/>
        <v>183</v>
      </c>
      <c r="BP10" s="8">
        <f t="shared" si="3"/>
        <v>79</v>
      </c>
      <c r="BQ10" s="8">
        <f t="shared" si="4"/>
        <v>295</v>
      </c>
      <c r="BR10" s="8">
        <f t="shared" si="5"/>
        <v>173</v>
      </c>
      <c r="BS10" s="15">
        <f t="shared" si="6"/>
        <v>21.817777997541359</v>
      </c>
      <c r="BT10" s="15" t="str">
        <f t="shared" si="7"/>
        <v>OK - No Upgrade</v>
      </c>
      <c r="BU10" s="15" t="str">
        <f t="shared" si="8"/>
        <v>Need to Balance</v>
      </c>
    </row>
    <row r="11" spans="1:73" ht="15.75" customHeight="1" x14ac:dyDescent="0.25">
      <c r="A11" s="8" t="s">
        <v>1459</v>
      </c>
      <c r="B11" s="8" t="s">
        <v>2205</v>
      </c>
      <c r="C11" s="8" t="s">
        <v>2206</v>
      </c>
      <c r="D11" s="8" t="s">
        <v>2228</v>
      </c>
      <c r="E11" s="8" t="s">
        <v>2229</v>
      </c>
      <c r="F11" s="8" t="s">
        <v>56</v>
      </c>
      <c r="G11" s="8" t="s">
        <v>44</v>
      </c>
      <c r="H11" s="8">
        <v>500</v>
      </c>
      <c r="I11" s="8" t="s">
        <v>2230</v>
      </c>
      <c r="J11" s="8">
        <v>1</v>
      </c>
      <c r="K11" s="8">
        <v>245</v>
      </c>
      <c r="L11" s="8">
        <v>245</v>
      </c>
      <c r="M11" s="8">
        <v>245</v>
      </c>
      <c r="N11" s="8">
        <v>423</v>
      </c>
      <c r="O11" s="8">
        <v>424</v>
      </c>
      <c r="P11" s="8">
        <v>244</v>
      </c>
      <c r="Q11" s="9"/>
      <c r="R11" s="16"/>
      <c r="S11" s="10"/>
      <c r="T11" s="10"/>
      <c r="U11" s="10"/>
      <c r="V11" s="11"/>
      <c r="W11" s="12"/>
      <c r="X11" s="17"/>
      <c r="Y11" s="13"/>
      <c r="Z11" s="13"/>
      <c r="AA11" s="13"/>
      <c r="AB11" s="14"/>
      <c r="AC11" s="9" t="s">
        <v>47</v>
      </c>
      <c r="AD11" s="16"/>
      <c r="AE11" s="10">
        <v>81</v>
      </c>
      <c r="AF11" s="10">
        <v>78</v>
      </c>
      <c r="AG11" s="10">
        <v>83</v>
      </c>
      <c r="AH11" s="11">
        <v>15</v>
      </c>
      <c r="AI11" s="12" t="s">
        <v>47</v>
      </c>
      <c r="AJ11" s="17"/>
      <c r="AK11" s="13">
        <v>0</v>
      </c>
      <c r="AL11" s="13">
        <v>0</v>
      </c>
      <c r="AM11" s="13">
        <v>0</v>
      </c>
      <c r="AN11" s="14">
        <v>0</v>
      </c>
      <c r="AO11" s="9" t="s">
        <v>47</v>
      </c>
      <c r="AP11" s="16"/>
      <c r="AQ11" s="10">
        <v>74</v>
      </c>
      <c r="AR11" s="10">
        <v>62</v>
      </c>
      <c r="AS11" s="10">
        <v>23</v>
      </c>
      <c r="AT11" s="11">
        <v>16</v>
      </c>
      <c r="AU11" s="12" t="s">
        <v>47</v>
      </c>
      <c r="AV11" s="17"/>
      <c r="AW11" s="13">
        <v>20</v>
      </c>
      <c r="AX11" s="13">
        <v>23</v>
      </c>
      <c r="AY11" s="13">
        <v>23</v>
      </c>
      <c r="AZ11" s="14">
        <v>0</v>
      </c>
      <c r="BA11" s="9"/>
      <c r="BB11" s="16"/>
      <c r="BC11" s="10"/>
      <c r="BD11" s="10"/>
      <c r="BE11" s="10"/>
      <c r="BF11" s="11"/>
      <c r="BG11" s="12" t="s">
        <v>47</v>
      </c>
      <c r="BH11" s="17"/>
      <c r="BI11" s="13">
        <v>28</v>
      </c>
      <c r="BJ11" s="13">
        <v>15</v>
      </c>
      <c r="BK11" s="13">
        <v>74</v>
      </c>
      <c r="BL11" s="14">
        <v>45</v>
      </c>
      <c r="BM11" s="8">
        <f t="shared" si="0"/>
        <v>203</v>
      </c>
      <c r="BN11" s="8">
        <f t="shared" si="1"/>
        <v>178</v>
      </c>
      <c r="BO11" s="8">
        <f t="shared" si="2"/>
        <v>203</v>
      </c>
      <c r="BP11" s="8">
        <f t="shared" si="3"/>
        <v>76</v>
      </c>
      <c r="BQ11" s="8">
        <f t="shared" si="4"/>
        <v>203</v>
      </c>
      <c r="BR11" s="8">
        <f t="shared" si="5"/>
        <v>178</v>
      </c>
      <c r="BS11" s="15">
        <f t="shared" si="6"/>
        <v>29.745894159026388</v>
      </c>
      <c r="BT11" s="15" t="str">
        <f t="shared" si="7"/>
        <v>OK - No Upgrade</v>
      </c>
      <c r="BU11" s="15" t="str">
        <f t="shared" si="8"/>
        <v>OK - Balanced</v>
      </c>
    </row>
    <row r="12" spans="1:73" ht="15.75" customHeight="1" x14ac:dyDescent="0.25">
      <c r="A12" s="8" t="s">
        <v>1459</v>
      </c>
      <c r="B12" s="8" t="s">
        <v>2205</v>
      </c>
      <c r="C12" s="8" t="s">
        <v>2206</v>
      </c>
      <c r="D12" s="8" t="s">
        <v>2231</v>
      </c>
      <c r="E12" s="8" t="s">
        <v>2232</v>
      </c>
      <c r="F12" s="8" t="s">
        <v>56</v>
      </c>
      <c r="G12" s="8" t="s">
        <v>44</v>
      </c>
      <c r="H12" s="8">
        <v>1000</v>
      </c>
      <c r="I12" s="8" t="s">
        <v>2233</v>
      </c>
      <c r="J12" s="8">
        <v>1</v>
      </c>
      <c r="K12" s="8">
        <v>244</v>
      </c>
      <c r="L12" s="8">
        <v>243</v>
      </c>
      <c r="M12" s="8">
        <v>244</v>
      </c>
      <c r="N12" s="8">
        <v>421</v>
      </c>
      <c r="O12" s="8">
        <v>422</v>
      </c>
      <c r="P12" s="8">
        <v>422</v>
      </c>
      <c r="Q12" s="9"/>
      <c r="R12" s="16"/>
      <c r="S12" s="10"/>
      <c r="T12" s="10"/>
      <c r="U12" s="10"/>
      <c r="V12" s="11"/>
      <c r="W12" s="12"/>
      <c r="X12" s="17"/>
      <c r="Y12" s="13"/>
      <c r="Z12" s="13"/>
      <c r="AA12" s="13"/>
      <c r="AB12" s="14"/>
      <c r="AC12" s="9" t="s">
        <v>47</v>
      </c>
      <c r="AD12" s="16"/>
      <c r="AE12" s="10">
        <v>83</v>
      </c>
      <c r="AF12" s="10">
        <v>78</v>
      </c>
      <c r="AG12" s="10">
        <v>93</v>
      </c>
      <c r="AH12" s="11">
        <v>0</v>
      </c>
      <c r="AI12" s="12" t="s">
        <v>47</v>
      </c>
      <c r="AJ12" s="17"/>
      <c r="AK12" s="13">
        <v>119</v>
      </c>
      <c r="AL12" s="13">
        <v>47</v>
      </c>
      <c r="AM12" s="13">
        <v>97</v>
      </c>
      <c r="AN12" s="14">
        <v>51</v>
      </c>
      <c r="AO12" s="9" t="s">
        <v>47</v>
      </c>
      <c r="AP12" s="16"/>
      <c r="AQ12" s="10">
        <v>213</v>
      </c>
      <c r="AR12" s="10">
        <v>198</v>
      </c>
      <c r="AS12" s="10">
        <v>261</v>
      </c>
      <c r="AT12" s="11">
        <v>57</v>
      </c>
      <c r="AU12" s="12" t="s">
        <v>70</v>
      </c>
      <c r="AV12" s="17"/>
      <c r="AW12" s="13">
        <v>16</v>
      </c>
      <c r="AX12" s="13">
        <v>32</v>
      </c>
      <c r="AY12" s="13">
        <v>12</v>
      </c>
      <c r="AZ12" s="14">
        <v>16</v>
      </c>
      <c r="BA12" s="9"/>
      <c r="BB12" s="16"/>
      <c r="BC12" s="10"/>
      <c r="BD12" s="10"/>
      <c r="BE12" s="10"/>
      <c r="BF12" s="11"/>
      <c r="BG12" s="12"/>
      <c r="BH12" s="17"/>
      <c r="BI12" s="13"/>
      <c r="BJ12" s="13"/>
      <c r="BK12" s="13"/>
      <c r="BL12" s="14"/>
      <c r="BM12" s="8">
        <f t="shared" si="0"/>
        <v>431</v>
      </c>
      <c r="BN12" s="8">
        <f t="shared" si="1"/>
        <v>355</v>
      </c>
      <c r="BO12" s="8">
        <f t="shared" si="2"/>
        <v>463</v>
      </c>
      <c r="BP12" s="8">
        <f t="shared" si="3"/>
        <v>124</v>
      </c>
      <c r="BQ12" s="8">
        <f t="shared" si="4"/>
        <v>463</v>
      </c>
      <c r="BR12" s="8">
        <f t="shared" si="5"/>
        <v>355</v>
      </c>
      <c r="BS12" s="15">
        <f t="shared" si="6"/>
        <v>33.761653956374829</v>
      </c>
      <c r="BT12" s="15" t="str">
        <f t="shared" si="7"/>
        <v>OK - No Upgrade</v>
      </c>
      <c r="BU12" s="15" t="str">
        <f t="shared" si="8"/>
        <v>Need to Balance</v>
      </c>
    </row>
    <row r="13" spans="1:73" ht="15.75" customHeight="1" x14ac:dyDescent="0.25">
      <c r="A13" s="8" t="s">
        <v>1459</v>
      </c>
      <c r="B13" s="8" t="s">
        <v>2205</v>
      </c>
      <c r="C13" s="8" t="s">
        <v>2206</v>
      </c>
      <c r="D13" s="8" t="s">
        <v>2234</v>
      </c>
      <c r="E13" s="8" t="s">
        <v>2235</v>
      </c>
      <c r="F13" s="8" t="s">
        <v>43</v>
      </c>
      <c r="G13" s="8" t="s">
        <v>44</v>
      </c>
      <c r="H13" s="8">
        <v>315</v>
      </c>
      <c r="I13" s="8" t="s">
        <v>2236</v>
      </c>
      <c r="J13" s="8">
        <v>1</v>
      </c>
      <c r="K13" s="8">
        <v>244</v>
      </c>
      <c r="L13" s="8">
        <v>243</v>
      </c>
      <c r="M13" s="8">
        <v>246</v>
      </c>
      <c r="N13" s="8">
        <v>422</v>
      </c>
      <c r="O13" s="8">
        <v>425</v>
      </c>
      <c r="P13" s="8">
        <v>422</v>
      </c>
      <c r="Q13" s="9" t="s">
        <v>47</v>
      </c>
      <c r="R13" s="16"/>
      <c r="S13" s="10">
        <v>58</v>
      </c>
      <c r="T13" s="10">
        <v>70</v>
      </c>
      <c r="U13" s="10">
        <v>34</v>
      </c>
      <c r="V13" s="11">
        <v>31</v>
      </c>
      <c r="W13" s="12" t="s">
        <v>47</v>
      </c>
      <c r="X13" s="17"/>
      <c r="Y13" s="13">
        <v>0</v>
      </c>
      <c r="Z13" s="13">
        <v>0</v>
      </c>
      <c r="AA13" s="13">
        <v>0</v>
      </c>
      <c r="AB13" s="14">
        <v>0</v>
      </c>
      <c r="AC13" s="9"/>
      <c r="AD13" s="16"/>
      <c r="AE13" s="10"/>
      <c r="AF13" s="10"/>
      <c r="AG13" s="10"/>
      <c r="AH13" s="11"/>
      <c r="AI13" s="12"/>
      <c r="AJ13" s="17"/>
      <c r="AK13" s="13"/>
      <c r="AL13" s="13"/>
      <c r="AM13" s="13"/>
      <c r="AN13" s="14"/>
      <c r="AO13" s="9"/>
      <c r="AP13" s="16"/>
      <c r="AQ13" s="10"/>
      <c r="AR13" s="10"/>
      <c r="AS13" s="10"/>
      <c r="AT13" s="11"/>
      <c r="AU13" s="12"/>
      <c r="AV13" s="17"/>
      <c r="AW13" s="13"/>
      <c r="AX13" s="13"/>
      <c r="AY13" s="13"/>
      <c r="AZ13" s="14"/>
      <c r="BA13" s="9"/>
      <c r="BB13" s="16"/>
      <c r="BC13" s="10"/>
      <c r="BD13" s="10"/>
      <c r="BE13" s="10"/>
      <c r="BF13" s="11"/>
      <c r="BG13" s="12"/>
      <c r="BH13" s="17"/>
      <c r="BI13" s="13"/>
      <c r="BJ13" s="13"/>
      <c r="BK13" s="13"/>
      <c r="BL13" s="14"/>
      <c r="BM13" s="8">
        <f t="shared" si="0"/>
        <v>58</v>
      </c>
      <c r="BN13" s="8">
        <f t="shared" si="1"/>
        <v>70</v>
      </c>
      <c r="BO13" s="8">
        <f t="shared" si="2"/>
        <v>34</v>
      </c>
      <c r="BP13" s="8">
        <f t="shared" si="3"/>
        <v>31</v>
      </c>
      <c r="BQ13" s="8">
        <f t="shared" si="4"/>
        <v>70</v>
      </c>
      <c r="BR13" s="8">
        <f t="shared" si="5"/>
        <v>34</v>
      </c>
      <c r="BS13" s="15">
        <f t="shared" si="6"/>
        <v>16.242787573201472</v>
      </c>
      <c r="BT13" s="15" t="str">
        <f t="shared" si="7"/>
        <v>OK - No Upgrade</v>
      </c>
      <c r="BU13" s="15" t="str">
        <f t="shared" si="8"/>
        <v>Need to Balance</v>
      </c>
    </row>
    <row r="14" spans="1:73" ht="15.75" customHeight="1" x14ac:dyDescent="0.25">
      <c r="A14" s="8" t="s">
        <v>1459</v>
      </c>
      <c r="B14" s="8" t="s">
        <v>2205</v>
      </c>
      <c r="C14" s="8" t="s">
        <v>2206</v>
      </c>
      <c r="D14" s="8" t="s">
        <v>2237</v>
      </c>
      <c r="E14" s="8" t="s">
        <v>2238</v>
      </c>
      <c r="F14" s="8" t="s">
        <v>43</v>
      </c>
      <c r="G14" s="8" t="s">
        <v>44</v>
      </c>
      <c r="H14" s="8">
        <v>315</v>
      </c>
      <c r="I14" s="8" t="s">
        <v>2239</v>
      </c>
      <c r="J14" s="8">
        <v>1</v>
      </c>
      <c r="K14" s="8">
        <v>243</v>
      </c>
      <c r="L14" s="8">
        <v>243</v>
      </c>
      <c r="M14" s="8">
        <v>243</v>
      </c>
      <c r="N14" s="8">
        <v>420</v>
      </c>
      <c r="O14" s="8">
        <v>421</v>
      </c>
      <c r="P14" s="8">
        <v>420</v>
      </c>
      <c r="Q14" s="9" t="s">
        <v>47</v>
      </c>
      <c r="R14" s="16"/>
      <c r="S14" s="10">
        <v>32</v>
      </c>
      <c r="T14" s="10">
        <v>26</v>
      </c>
      <c r="U14" s="10">
        <v>19</v>
      </c>
      <c r="V14" s="11">
        <v>15</v>
      </c>
      <c r="W14" s="12" t="s">
        <v>47</v>
      </c>
      <c r="X14" s="17"/>
      <c r="Y14" s="13">
        <v>17</v>
      </c>
      <c r="Z14" s="13">
        <v>21</v>
      </c>
      <c r="AA14" s="13">
        <v>35</v>
      </c>
      <c r="AB14" s="14">
        <v>14</v>
      </c>
      <c r="AC14" s="9"/>
      <c r="AD14" s="16"/>
      <c r="AE14" s="10"/>
      <c r="AF14" s="10"/>
      <c r="AG14" s="10"/>
      <c r="AH14" s="11"/>
      <c r="AI14" s="12"/>
      <c r="AJ14" s="17"/>
      <c r="AK14" s="13"/>
      <c r="AL14" s="13"/>
      <c r="AM14" s="13"/>
      <c r="AN14" s="14"/>
      <c r="AO14" s="9"/>
      <c r="AP14" s="16"/>
      <c r="AQ14" s="10"/>
      <c r="AR14" s="10"/>
      <c r="AS14" s="10"/>
      <c r="AT14" s="11"/>
      <c r="AU14" s="12"/>
      <c r="AV14" s="17"/>
      <c r="AW14" s="13"/>
      <c r="AX14" s="13"/>
      <c r="AY14" s="13"/>
      <c r="AZ14" s="14"/>
      <c r="BA14" s="9"/>
      <c r="BB14" s="16"/>
      <c r="BC14" s="10"/>
      <c r="BD14" s="10"/>
      <c r="BE14" s="10"/>
      <c r="BF14" s="11"/>
      <c r="BG14" s="12"/>
      <c r="BH14" s="17"/>
      <c r="BI14" s="13"/>
      <c r="BJ14" s="13"/>
      <c r="BK14" s="13"/>
      <c r="BL14" s="14"/>
      <c r="BM14" s="8">
        <f t="shared" si="0"/>
        <v>49</v>
      </c>
      <c r="BN14" s="8">
        <f t="shared" si="1"/>
        <v>47</v>
      </c>
      <c r="BO14" s="8">
        <f t="shared" si="2"/>
        <v>54</v>
      </c>
      <c r="BP14" s="8">
        <f t="shared" si="3"/>
        <v>29</v>
      </c>
      <c r="BQ14" s="8">
        <f t="shared" si="4"/>
        <v>54</v>
      </c>
      <c r="BR14" s="8">
        <f t="shared" si="5"/>
        <v>47</v>
      </c>
      <c r="BS14" s="15">
        <f t="shared" si="6"/>
        <v>12.470765814495916</v>
      </c>
      <c r="BT14" s="15" t="str">
        <f t="shared" si="7"/>
        <v>OK - No Upgrade</v>
      </c>
      <c r="BU14" s="15" t="str">
        <f t="shared" si="8"/>
        <v>OK - Balanced</v>
      </c>
    </row>
    <row r="15" spans="1:73" ht="15.75" customHeight="1" x14ac:dyDescent="0.25">
      <c r="A15" s="8" t="s">
        <v>1459</v>
      </c>
      <c r="B15" s="8" t="s">
        <v>2205</v>
      </c>
      <c r="C15" s="8" t="s">
        <v>2206</v>
      </c>
      <c r="D15" s="8" t="s">
        <v>2240</v>
      </c>
      <c r="E15" s="8" t="s">
        <v>2241</v>
      </c>
      <c r="F15" s="8" t="s">
        <v>43</v>
      </c>
      <c r="G15" s="8" t="s">
        <v>44</v>
      </c>
      <c r="H15" s="8">
        <v>100</v>
      </c>
      <c r="I15" s="8" t="s">
        <v>2242</v>
      </c>
      <c r="J15" s="8">
        <v>1</v>
      </c>
      <c r="K15" s="8">
        <v>243</v>
      </c>
      <c r="L15" s="8">
        <v>243</v>
      </c>
      <c r="M15" s="8">
        <v>243</v>
      </c>
      <c r="N15" s="8">
        <v>419</v>
      </c>
      <c r="O15" s="8">
        <v>421</v>
      </c>
      <c r="P15" s="8">
        <v>240</v>
      </c>
      <c r="Q15" s="9" t="s">
        <v>47</v>
      </c>
      <c r="R15" s="16"/>
      <c r="S15" s="10">
        <v>28</v>
      </c>
      <c r="T15" s="10">
        <v>11</v>
      </c>
      <c r="U15" s="10">
        <v>11</v>
      </c>
      <c r="V15" s="11">
        <v>13</v>
      </c>
      <c r="W15" s="12"/>
      <c r="X15" s="17"/>
      <c r="Y15" s="13"/>
      <c r="Z15" s="13"/>
      <c r="AA15" s="13"/>
      <c r="AB15" s="14"/>
      <c r="AC15" s="9"/>
      <c r="AD15" s="16"/>
      <c r="AE15" s="10"/>
      <c r="AF15" s="10"/>
      <c r="AG15" s="10"/>
      <c r="AH15" s="11"/>
      <c r="AI15" s="12"/>
      <c r="AJ15" s="17"/>
      <c r="AK15" s="13"/>
      <c r="AL15" s="13"/>
      <c r="AM15" s="13"/>
      <c r="AN15" s="14"/>
      <c r="AO15" s="9"/>
      <c r="AP15" s="16"/>
      <c r="AQ15" s="10"/>
      <c r="AR15" s="10"/>
      <c r="AS15" s="10"/>
      <c r="AT15" s="11"/>
      <c r="AU15" s="12"/>
      <c r="AV15" s="17"/>
      <c r="AW15" s="13"/>
      <c r="AX15" s="13"/>
      <c r="AY15" s="13"/>
      <c r="AZ15" s="14"/>
      <c r="BA15" s="9"/>
      <c r="BB15" s="16"/>
      <c r="BC15" s="10"/>
      <c r="BD15" s="10"/>
      <c r="BE15" s="10"/>
      <c r="BF15" s="11"/>
      <c r="BG15" s="12"/>
      <c r="BH15" s="17"/>
      <c r="BI15" s="13"/>
      <c r="BJ15" s="13"/>
      <c r="BK15" s="13"/>
      <c r="BL15" s="14"/>
      <c r="BM15" s="8">
        <f t="shared" si="0"/>
        <v>28</v>
      </c>
      <c r="BN15" s="8">
        <f t="shared" si="1"/>
        <v>11</v>
      </c>
      <c r="BO15" s="8">
        <f t="shared" si="2"/>
        <v>11</v>
      </c>
      <c r="BP15" s="8">
        <f t="shared" si="3"/>
        <v>13</v>
      </c>
      <c r="BQ15" s="8">
        <f t="shared" si="4"/>
        <v>28</v>
      </c>
      <c r="BR15" s="8">
        <f t="shared" si="5"/>
        <v>11</v>
      </c>
      <c r="BS15" s="15">
        <f t="shared" si="6"/>
        <v>20.320420074398069</v>
      </c>
      <c r="BT15" s="15" t="str">
        <f t="shared" si="7"/>
        <v>OK - No Upgrade</v>
      </c>
      <c r="BU15" s="15" t="str">
        <f t="shared" si="8"/>
        <v>Need to Balance</v>
      </c>
    </row>
    <row r="16" spans="1:73" ht="15.75" customHeight="1" x14ac:dyDescent="0.25">
      <c r="A16" s="8" t="s">
        <v>1459</v>
      </c>
      <c r="B16" s="8" t="s">
        <v>2205</v>
      </c>
      <c r="C16" s="8" t="s">
        <v>2206</v>
      </c>
      <c r="D16" s="8" t="s">
        <v>2243</v>
      </c>
      <c r="E16" s="8" t="s">
        <v>2244</v>
      </c>
      <c r="F16" s="8" t="s">
        <v>43</v>
      </c>
      <c r="G16" s="8" t="s">
        <v>44</v>
      </c>
      <c r="H16" s="8">
        <v>100</v>
      </c>
      <c r="I16" s="8" t="s">
        <v>2245</v>
      </c>
      <c r="J16" s="8">
        <v>1</v>
      </c>
      <c r="K16" s="8">
        <v>240</v>
      </c>
      <c r="L16" s="8">
        <v>241</v>
      </c>
      <c r="M16" s="8">
        <v>241</v>
      </c>
      <c r="N16" s="8">
        <v>420</v>
      </c>
      <c r="O16" s="8">
        <v>421</v>
      </c>
      <c r="P16" s="8">
        <v>422</v>
      </c>
      <c r="Q16" s="9" t="s">
        <v>47</v>
      </c>
      <c r="R16" s="16"/>
      <c r="S16" s="10">
        <v>0</v>
      </c>
      <c r="T16" s="10">
        <v>0</v>
      </c>
      <c r="U16" s="10">
        <v>0</v>
      </c>
      <c r="V16" s="11">
        <v>0</v>
      </c>
      <c r="W16" s="12"/>
      <c r="X16" s="17"/>
      <c r="Y16" s="13"/>
      <c r="Z16" s="13"/>
      <c r="AA16" s="13"/>
      <c r="AB16" s="14"/>
      <c r="AC16" s="9"/>
      <c r="AD16" s="16"/>
      <c r="AE16" s="10"/>
      <c r="AF16" s="10"/>
      <c r="AG16" s="10"/>
      <c r="AH16" s="11"/>
      <c r="AI16" s="12"/>
      <c r="AJ16" s="17"/>
      <c r="AK16" s="13"/>
      <c r="AL16" s="13"/>
      <c r="AM16" s="13"/>
      <c r="AN16" s="14"/>
      <c r="AO16" s="9"/>
      <c r="AP16" s="16"/>
      <c r="AQ16" s="10"/>
      <c r="AR16" s="10"/>
      <c r="AS16" s="10"/>
      <c r="AT16" s="11"/>
      <c r="AU16" s="12"/>
      <c r="AV16" s="17"/>
      <c r="AW16" s="13"/>
      <c r="AX16" s="13"/>
      <c r="AY16" s="13"/>
      <c r="AZ16" s="14"/>
      <c r="BA16" s="9"/>
      <c r="BB16" s="16"/>
      <c r="BC16" s="10"/>
      <c r="BD16" s="10"/>
      <c r="BE16" s="10"/>
      <c r="BF16" s="11"/>
      <c r="BG16" s="12"/>
      <c r="BH16" s="17"/>
      <c r="BI16" s="13"/>
      <c r="BJ16" s="13"/>
      <c r="BK16" s="13"/>
      <c r="BL16" s="14"/>
      <c r="BM16" s="8">
        <f t="shared" si="0"/>
        <v>0</v>
      </c>
      <c r="BN16" s="8">
        <f t="shared" si="1"/>
        <v>0</v>
      </c>
      <c r="BO16" s="8">
        <f t="shared" si="2"/>
        <v>0</v>
      </c>
      <c r="BP16" s="8">
        <f t="shared" si="3"/>
        <v>0</v>
      </c>
      <c r="BQ16" s="8">
        <f t="shared" si="4"/>
        <v>0</v>
      </c>
      <c r="BR16" s="8">
        <f t="shared" si="5"/>
        <v>0</v>
      </c>
      <c r="BS16" s="15">
        <f t="shared" si="6"/>
        <v>0</v>
      </c>
      <c r="BT16" s="15" t="str">
        <f t="shared" si="7"/>
        <v>OK - No Upgrade</v>
      </c>
      <c r="BU16" s="15" t="str">
        <f t="shared" si="8"/>
        <v>OK - Balanced</v>
      </c>
    </row>
    <row r="17" spans="1:73" ht="15.75" customHeight="1" x14ac:dyDescent="0.25">
      <c r="A17" s="8" t="s">
        <v>1459</v>
      </c>
      <c r="B17" s="8" t="s">
        <v>2205</v>
      </c>
      <c r="C17" s="8" t="s">
        <v>2206</v>
      </c>
      <c r="D17" s="8" t="s">
        <v>2246</v>
      </c>
      <c r="E17" s="8" t="s">
        <v>2247</v>
      </c>
      <c r="F17" s="8" t="s">
        <v>43</v>
      </c>
      <c r="G17" s="8" t="s">
        <v>44</v>
      </c>
      <c r="H17" s="8">
        <v>315</v>
      </c>
      <c r="I17" s="8" t="s">
        <v>2248</v>
      </c>
      <c r="J17" s="8">
        <v>1</v>
      </c>
      <c r="K17" s="8">
        <v>241</v>
      </c>
      <c r="L17" s="8">
        <v>241</v>
      </c>
      <c r="M17" s="8">
        <v>242</v>
      </c>
      <c r="N17" s="8">
        <v>417</v>
      </c>
      <c r="O17" s="8">
        <v>419</v>
      </c>
      <c r="P17" s="8">
        <v>418</v>
      </c>
      <c r="Q17" s="9" t="s">
        <v>47</v>
      </c>
      <c r="R17" s="16"/>
      <c r="S17" s="10">
        <v>0</v>
      </c>
      <c r="T17" s="10">
        <v>0</v>
      </c>
      <c r="U17" s="10">
        <v>14</v>
      </c>
      <c r="V17" s="11">
        <v>0</v>
      </c>
      <c r="W17" s="12" t="s">
        <v>47</v>
      </c>
      <c r="X17" s="17"/>
      <c r="Y17" s="13">
        <v>77</v>
      </c>
      <c r="Z17" s="13">
        <v>14</v>
      </c>
      <c r="AA17" s="13">
        <v>35</v>
      </c>
      <c r="AB17" s="14">
        <v>49</v>
      </c>
      <c r="AC17" s="9"/>
      <c r="AD17" s="16"/>
      <c r="AE17" s="10"/>
      <c r="AF17" s="10"/>
      <c r="AG17" s="10"/>
      <c r="AH17" s="11"/>
      <c r="AI17" s="12"/>
      <c r="AJ17" s="17"/>
      <c r="AK17" s="13"/>
      <c r="AL17" s="13"/>
      <c r="AM17" s="13"/>
      <c r="AN17" s="14"/>
      <c r="AO17" s="9"/>
      <c r="AP17" s="16"/>
      <c r="AQ17" s="10"/>
      <c r="AR17" s="10"/>
      <c r="AS17" s="10"/>
      <c r="AT17" s="11"/>
      <c r="AU17" s="12"/>
      <c r="AV17" s="17"/>
      <c r="AW17" s="13"/>
      <c r="AX17" s="13"/>
      <c r="AY17" s="13"/>
      <c r="AZ17" s="14"/>
      <c r="BA17" s="9"/>
      <c r="BB17" s="16"/>
      <c r="BC17" s="10"/>
      <c r="BD17" s="10"/>
      <c r="BE17" s="10"/>
      <c r="BF17" s="11"/>
      <c r="BG17" s="12"/>
      <c r="BH17" s="17"/>
      <c r="BI17" s="13"/>
      <c r="BJ17" s="13"/>
      <c r="BK17" s="13"/>
      <c r="BL17" s="14"/>
      <c r="BM17" s="8">
        <f t="shared" si="0"/>
        <v>77</v>
      </c>
      <c r="BN17" s="8">
        <f t="shared" si="1"/>
        <v>14</v>
      </c>
      <c r="BO17" s="8">
        <f t="shared" si="2"/>
        <v>49</v>
      </c>
      <c r="BP17" s="8">
        <f t="shared" si="3"/>
        <v>49</v>
      </c>
      <c r="BQ17" s="8">
        <f t="shared" si="4"/>
        <v>77</v>
      </c>
      <c r="BR17" s="8">
        <f t="shared" si="5"/>
        <v>14</v>
      </c>
      <c r="BS17" s="15">
        <f t="shared" si="6"/>
        <v>17.655371231818755</v>
      </c>
      <c r="BT17" s="15" t="str">
        <f t="shared" si="7"/>
        <v>OK - No Upgrade</v>
      </c>
      <c r="BU17" s="15" t="str">
        <f t="shared" si="8"/>
        <v>Need to Balance</v>
      </c>
    </row>
    <row r="18" spans="1:73" ht="15.75" customHeight="1" x14ac:dyDescent="0.25">
      <c r="A18" s="8" t="s">
        <v>1459</v>
      </c>
      <c r="B18" s="8" t="s">
        <v>2205</v>
      </c>
      <c r="C18" s="8" t="s">
        <v>2206</v>
      </c>
      <c r="D18" s="8" t="s">
        <v>2249</v>
      </c>
      <c r="E18" s="8" t="s">
        <v>2250</v>
      </c>
      <c r="F18" s="8" t="s">
        <v>43</v>
      </c>
      <c r="G18" s="8" t="s">
        <v>44</v>
      </c>
      <c r="H18" s="8">
        <v>315</v>
      </c>
      <c r="I18" s="8" t="s">
        <v>2251</v>
      </c>
      <c r="J18" s="8">
        <v>1</v>
      </c>
      <c r="K18" s="8">
        <v>234</v>
      </c>
      <c r="L18" s="8">
        <v>235</v>
      </c>
      <c r="M18" s="8">
        <v>236</v>
      </c>
      <c r="N18" s="8">
        <v>403</v>
      </c>
      <c r="O18" s="8">
        <v>407</v>
      </c>
      <c r="P18" s="8">
        <v>406</v>
      </c>
      <c r="Q18" s="9" t="s">
        <v>46</v>
      </c>
      <c r="R18" s="16"/>
      <c r="S18" s="10">
        <v>67</v>
      </c>
      <c r="T18" s="10">
        <v>41</v>
      </c>
      <c r="U18" s="10">
        <v>40</v>
      </c>
      <c r="V18" s="11">
        <v>22</v>
      </c>
      <c r="W18" s="12" t="s">
        <v>46</v>
      </c>
      <c r="X18" s="17"/>
      <c r="Y18" s="13">
        <v>265</v>
      </c>
      <c r="Z18" s="13">
        <v>165</v>
      </c>
      <c r="AA18" s="13">
        <v>173</v>
      </c>
      <c r="AB18" s="14">
        <v>89</v>
      </c>
      <c r="AC18" s="9"/>
      <c r="AD18" s="16"/>
      <c r="AE18" s="10"/>
      <c r="AF18" s="10"/>
      <c r="AG18" s="10"/>
      <c r="AH18" s="11"/>
      <c r="AI18" s="12"/>
      <c r="AJ18" s="17"/>
      <c r="AK18" s="13"/>
      <c r="AL18" s="13"/>
      <c r="AM18" s="13"/>
      <c r="AN18" s="14"/>
      <c r="AO18" s="9"/>
      <c r="AP18" s="16"/>
      <c r="AQ18" s="10"/>
      <c r="AR18" s="10"/>
      <c r="AS18" s="10"/>
      <c r="AT18" s="11"/>
      <c r="AU18" s="12"/>
      <c r="AV18" s="17"/>
      <c r="AW18" s="13"/>
      <c r="AX18" s="13"/>
      <c r="AY18" s="13"/>
      <c r="AZ18" s="14"/>
      <c r="BA18" s="9"/>
      <c r="BB18" s="16"/>
      <c r="BC18" s="10"/>
      <c r="BD18" s="10"/>
      <c r="BE18" s="10"/>
      <c r="BF18" s="11"/>
      <c r="BG18" s="12"/>
      <c r="BH18" s="17"/>
      <c r="BI18" s="13"/>
      <c r="BJ18" s="13"/>
      <c r="BK18" s="13"/>
      <c r="BL18" s="14"/>
      <c r="BM18" s="8">
        <f t="shared" si="0"/>
        <v>332</v>
      </c>
      <c r="BN18" s="8">
        <f t="shared" si="1"/>
        <v>206</v>
      </c>
      <c r="BO18" s="8">
        <f t="shared" si="2"/>
        <v>213</v>
      </c>
      <c r="BP18" s="8">
        <f t="shared" si="3"/>
        <v>111</v>
      </c>
      <c r="BQ18" s="8">
        <f t="shared" si="4"/>
        <v>332</v>
      </c>
      <c r="BR18" s="8">
        <f t="shared" si="5"/>
        <v>206</v>
      </c>
      <c r="BS18" s="15">
        <f t="shared" si="6"/>
        <v>73.568720587138245</v>
      </c>
      <c r="BT18" s="15" t="str">
        <f t="shared" si="7"/>
        <v>Upgrade</v>
      </c>
      <c r="BU18" s="15" t="str">
        <f t="shared" si="8"/>
        <v>Need to Balance</v>
      </c>
    </row>
    <row r="19" spans="1:73" ht="15.75" customHeight="1" x14ac:dyDescent="0.25">
      <c r="A19" s="8" t="s">
        <v>1459</v>
      </c>
      <c r="B19" s="8" t="s">
        <v>2205</v>
      </c>
      <c r="C19" s="8" t="s">
        <v>2206</v>
      </c>
      <c r="D19" s="8" t="s">
        <v>2252</v>
      </c>
      <c r="E19" s="8" t="s">
        <v>2253</v>
      </c>
      <c r="F19" s="8" t="s">
        <v>43</v>
      </c>
      <c r="G19" s="8" t="s">
        <v>44</v>
      </c>
      <c r="H19" s="8">
        <v>100</v>
      </c>
      <c r="I19" s="8" t="s">
        <v>2254</v>
      </c>
      <c r="J19" s="8">
        <v>1</v>
      </c>
      <c r="K19" s="8">
        <v>225</v>
      </c>
      <c r="L19" s="8">
        <v>225</v>
      </c>
      <c r="M19" s="8">
        <v>226</v>
      </c>
      <c r="N19" s="8">
        <v>399</v>
      </c>
      <c r="O19" s="8">
        <v>398</v>
      </c>
      <c r="P19" s="8">
        <v>397</v>
      </c>
      <c r="Q19" s="9" t="s">
        <v>47</v>
      </c>
      <c r="R19" s="16"/>
      <c r="S19" s="10">
        <v>9</v>
      </c>
      <c r="T19" s="10">
        <v>8</v>
      </c>
      <c r="U19" s="10">
        <v>6</v>
      </c>
      <c r="V19" s="11">
        <v>5</v>
      </c>
      <c r="W19" s="12" t="s">
        <v>46</v>
      </c>
      <c r="X19" s="17"/>
      <c r="Y19" s="13">
        <v>150</v>
      </c>
      <c r="Z19" s="13">
        <v>145</v>
      </c>
      <c r="AA19" s="13">
        <v>160</v>
      </c>
      <c r="AB19" s="14">
        <v>45</v>
      </c>
      <c r="AC19" s="9"/>
      <c r="AD19" s="16"/>
      <c r="AE19" s="10"/>
      <c r="AF19" s="10"/>
      <c r="AG19" s="10"/>
      <c r="AH19" s="11"/>
      <c r="AI19" s="12"/>
      <c r="AJ19" s="17"/>
      <c r="AK19" s="13"/>
      <c r="AL19" s="13"/>
      <c r="AM19" s="13"/>
      <c r="AN19" s="14"/>
      <c r="AO19" s="9"/>
      <c r="AP19" s="16"/>
      <c r="AQ19" s="10"/>
      <c r="AR19" s="10"/>
      <c r="AS19" s="10"/>
      <c r="AT19" s="11"/>
      <c r="AU19" s="12"/>
      <c r="AV19" s="17"/>
      <c r="AW19" s="13"/>
      <c r="AX19" s="13"/>
      <c r="AY19" s="13"/>
      <c r="AZ19" s="14"/>
      <c r="BA19" s="9"/>
      <c r="BB19" s="16"/>
      <c r="BC19" s="10"/>
      <c r="BD19" s="10"/>
      <c r="BE19" s="10"/>
      <c r="BF19" s="11"/>
      <c r="BG19" s="12"/>
      <c r="BH19" s="17"/>
      <c r="BI19" s="13"/>
      <c r="BJ19" s="13"/>
      <c r="BK19" s="13"/>
      <c r="BL19" s="14"/>
      <c r="BM19" s="8">
        <f t="shared" si="0"/>
        <v>159</v>
      </c>
      <c r="BN19" s="8">
        <f t="shared" si="1"/>
        <v>153</v>
      </c>
      <c r="BO19" s="8">
        <f t="shared" si="2"/>
        <v>166</v>
      </c>
      <c r="BP19" s="8">
        <f t="shared" si="3"/>
        <v>50</v>
      </c>
      <c r="BQ19" s="8">
        <f t="shared" si="4"/>
        <v>166</v>
      </c>
      <c r="BR19" s="8">
        <f t="shared" si="5"/>
        <v>153</v>
      </c>
      <c r="BS19" s="15">
        <f t="shared" si="6"/>
        <v>114.72065318851701</v>
      </c>
      <c r="BT19" s="15" t="str">
        <f t="shared" si="7"/>
        <v>Upgrade</v>
      </c>
      <c r="BU19" s="15" t="str">
        <f t="shared" si="8"/>
        <v>OK - Balanced</v>
      </c>
    </row>
    <row r="20" spans="1:73" ht="15.75" customHeight="1" x14ac:dyDescent="0.25">
      <c r="A20" s="8" t="s">
        <v>1459</v>
      </c>
      <c r="B20" s="8" t="s">
        <v>2205</v>
      </c>
      <c r="C20" s="8" t="s">
        <v>2206</v>
      </c>
      <c r="D20" s="8" t="s">
        <v>2255</v>
      </c>
      <c r="E20" s="8" t="s">
        <v>2256</v>
      </c>
      <c r="F20" s="8" t="s">
        <v>43</v>
      </c>
      <c r="G20" s="8" t="s">
        <v>44</v>
      </c>
      <c r="H20" s="8">
        <v>100</v>
      </c>
      <c r="I20" s="8" t="s">
        <v>2257</v>
      </c>
      <c r="J20" s="8">
        <v>1</v>
      </c>
      <c r="K20" s="8">
        <v>226</v>
      </c>
      <c r="L20" s="8">
        <v>225</v>
      </c>
      <c r="M20" s="8">
        <v>224</v>
      </c>
      <c r="N20" s="8">
        <v>400</v>
      </c>
      <c r="O20" s="8">
        <v>399</v>
      </c>
      <c r="P20" s="8">
        <v>398</v>
      </c>
      <c r="Q20" s="9" t="s">
        <v>46</v>
      </c>
      <c r="R20" s="16"/>
      <c r="S20" s="10">
        <v>5</v>
      </c>
      <c r="T20" s="10">
        <v>6</v>
      </c>
      <c r="U20" s="10">
        <v>5</v>
      </c>
      <c r="V20" s="11">
        <v>4</v>
      </c>
      <c r="W20" s="12"/>
      <c r="X20" s="17"/>
      <c r="Y20" s="13"/>
      <c r="Z20" s="13"/>
      <c r="AA20" s="13"/>
      <c r="AB20" s="14"/>
      <c r="AC20" s="9"/>
      <c r="AD20" s="16"/>
      <c r="AE20" s="10"/>
      <c r="AF20" s="10"/>
      <c r="AG20" s="10"/>
      <c r="AH20" s="11"/>
      <c r="AI20" s="12"/>
      <c r="AJ20" s="17"/>
      <c r="AK20" s="13"/>
      <c r="AL20" s="13"/>
      <c r="AM20" s="13"/>
      <c r="AN20" s="14"/>
      <c r="AO20" s="9"/>
      <c r="AP20" s="16"/>
      <c r="AQ20" s="10"/>
      <c r="AR20" s="10"/>
      <c r="AS20" s="10"/>
      <c r="AT20" s="11"/>
      <c r="AU20" s="12"/>
      <c r="AV20" s="17"/>
      <c r="AW20" s="13"/>
      <c r="AX20" s="13"/>
      <c r="AY20" s="13"/>
      <c r="AZ20" s="14"/>
      <c r="BA20" s="9"/>
      <c r="BB20" s="16"/>
      <c r="BC20" s="10"/>
      <c r="BD20" s="10"/>
      <c r="BE20" s="10"/>
      <c r="BF20" s="11"/>
      <c r="BG20" s="12"/>
      <c r="BH20" s="17"/>
      <c r="BI20" s="13"/>
      <c r="BJ20" s="13"/>
      <c r="BK20" s="13"/>
      <c r="BL20" s="14"/>
      <c r="BM20" s="8">
        <f t="shared" si="0"/>
        <v>5</v>
      </c>
      <c r="BN20" s="8">
        <f t="shared" si="1"/>
        <v>6</v>
      </c>
      <c r="BO20" s="8">
        <f t="shared" si="2"/>
        <v>5</v>
      </c>
      <c r="BP20" s="8">
        <f t="shared" si="3"/>
        <v>4</v>
      </c>
      <c r="BQ20" s="8">
        <f t="shared" si="4"/>
        <v>6</v>
      </c>
      <c r="BR20" s="8">
        <f t="shared" si="5"/>
        <v>5</v>
      </c>
      <c r="BS20" s="15">
        <f t="shared" si="6"/>
        <v>4.1569219381653051</v>
      </c>
      <c r="BT20" s="15" t="str">
        <f t="shared" si="7"/>
        <v>OK - No Upgrade</v>
      </c>
      <c r="BU20" s="15" t="str">
        <f t="shared" si="8"/>
        <v>Need to Balance</v>
      </c>
    </row>
    <row r="21" spans="1:73" ht="15.75" customHeight="1" x14ac:dyDescent="0.25">
      <c r="A21" s="8" t="s">
        <v>1459</v>
      </c>
      <c r="B21" s="8" t="s">
        <v>2205</v>
      </c>
      <c r="C21" s="8" t="s">
        <v>2206</v>
      </c>
      <c r="D21" s="8" t="s">
        <v>2255</v>
      </c>
      <c r="E21" s="8" t="s">
        <v>2258</v>
      </c>
      <c r="F21" s="8" t="s">
        <v>43</v>
      </c>
      <c r="G21" s="8" t="s">
        <v>44</v>
      </c>
      <c r="H21" s="8">
        <v>100</v>
      </c>
      <c r="I21" s="8" t="s">
        <v>2259</v>
      </c>
      <c r="J21" s="8">
        <v>1</v>
      </c>
      <c r="K21" s="8">
        <v>225</v>
      </c>
      <c r="L21" s="8">
        <v>226</v>
      </c>
      <c r="M21" s="8">
        <v>227</v>
      </c>
      <c r="N21" s="8">
        <v>400</v>
      </c>
      <c r="O21" s="8">
        <v>399</v>
      </c>
      <c r="P21" s="8">
        <v>401</v>
      </c>
      <c r="Q21" s="9" t="s">
        <v>47</v>
      </c>
      <c r="R21" s="16"/>
      <c r="S21" s="10">
        <v>40</v>
      </c>
      <c r="T21" s="10">
        <v>30</v>
      </c>
      <c r="U21" s="10">
        <v>35</v>
      </c>
      <c r="V21" s="11">
        <v>25</v>
      </c>
      <c r="W21" s="12"/>
      <c r="X21" s="17"/>
      <c r="Y21" s="13"/>
      <c r="Z21" s="13"/>
      <c r="AA21" s="13"/>
      <c r="AB21" s="14"/>
      <c r="AC21" s="9"/>
      <c r="AD21" s="16"/>
      <c r="AE21" s="10"/>
      <c r="AF21" s="10"/>
      <c r="AG21" s="10"/>
      <c r="AH21" s="11"/>
      <c r="AI21" s="12"/>
      <c r="AJ21" s="17"/>
      <c r="AK21" s="13"/>
      <c r="AL21" s="13"/>
      <c r="AM21" s="13"/>
      <c r="AN21" s="14"/>
      <c r="AO21" s="9"/>
      <c r="AP21" s="16"/>
      <c r="AQ21" s="10"/>
      <c r="AR21" s="10"/>
      <c r="AS21" s="10"/>
      <c r="AT21" s="11"/>
      <c r="AU21" s="12"/>
      <c r="AV21" s="17"/>
      <c r="AW21" s="13"/>
      <c r="AX21" s="13"/>
      <c r="AY21" s="13"/>
      <c r="AZ21" s="14"/>
      <c r="BA21" s="9"/>
      <c r="BB21" s="16"/>
      <c r="BC21" s="10"/>
      <c r="BD21" s="10"/>
      <c r="BE21" s="10"/>
      <c r="BF21" s="11"/>
      <c r="BG21" s="12"/>
      <c r="BH21" s="17"/>
      <c r="BI21" s="13"/>
      <c r="BJ21" s="13"/>
      <c r="BK21" s="13"/>
      <c r="BL21" s="14"/>
      <c r="BM21" s="8">
        <f t="shared" si="0"/>
        <v>40</v>
      </c>
      <c r="BN21" s="8">
        <f t="shared" si="1"/>
        <v>30</v>
      </c>
      <c r="BO21" s="8">
        <f t="shared" si="2"/>
        <v>35</v>
      </c>
      <c r="BP21" s="8">
        <f t="shared" si="3"/>
        <v>25</v>
      </c>
      <c r="BQ21" s="8">
        <f t="shared" si="4"/>
        <v>40</v>
      </c>
      <c r="BR21" s="8">
        <f t="shared" si="5"/>
        <v>30</v>
      </c>
      <c r="BS21" s="15">
        <f t="shared" si="6"/>
        <v>27.712812921102035</v>
      </c>
      <c r="BT21" s="15" t="str">
        <f t="shared" si="7"/>
        <v>OK - No Upgrade</v>
      </c>
      <c r="BU21" s="15" t="str">
        <f t="shared" si="8"/>
        <v>Need to Balance</v>
      </c>
    </row>
    <row r="22" spans="1:73" ht="15.75" customHeight="1" x14ac:dyDescent="0.25">
      <c r="A22" s="8" t="s">
        <v>1459</v>
      </c>
      <c r="B22" s="8" t="s">
        <v>2205</v>
      </c>
      <c r="C22" s="8" t="s">
        <v>2206</v>
      </c>
      <c r="D22" s="8" t="s">
        <v>2260</v>
      </c>
      <c r="E22" s="8" t="s">
        <v>2261</v>
      </c>
      <c r="F22" s="8" t="s">
        <v>43</v>
      </c>
      <c r="G22" s="8" t="s">
        <v>44</v>
      </c>
      <c r="H22" s="8">
        <v>315</v>
      </c>
      <c r="I22" s="8" t="s">
        <v>2262</v>
      </c>
      <c r="J22" s="8">
        <v>1</v>
      </c>
      <c r="K22" s="8">
        <v>235</v>
      </c>
      <c r="L22" s="8">
        <v>236</v>
      </c>
      <c r="M22" s="8">
        <v>236</v>
      </c>
      <c r="N22" s="8">
        <v>419</v>
      </c>
      <c r="O22" s="8">
        <v>418</v>
      </c>
      <c r="P22" s="8">
        <v>417</v>
      </c>
      <c r="Q22" s="9" t="s">
        <v>47</v>
      </c>
      <c r="R22" s="16"/>
      <c r="S22" s="10">
        <v>80</v>
      </c>
      <c r="T22" s="10">
        <v>70</v>
      </c>
      <c r="U22" s="10">
        <v>66</v>
      </c>
      <c r="V22" s="11">
        <v>31</v>
      </c>
      <c r="W22" s="12"/>
      <c r="X22" s="17"/>
      <c r="Y22" s="13"/>
      <c r="Z22" s="13"/>
      <c r="AA22" s="13"/>
      <c r="AB22" s="14"/>
      <c r="AC22" s="9"/>
      <c r="AD22" s="16"/>
      <c r="AE22" s="10"/>
      <c r="AF22" s="10"/>
      <c r="AG22" s="10"/>
      <c r="AH22" s="11"/>
      <c r="AI22" s="12"/>
      <c r="AJ22" s="17"/>
      <c r="AK22" s="13"/>
      <c r="AL22" s="13"/>
      <c r="AM22" s="13"/>
      <c r="AN22" s="14"/>
      <c r="AO22" s="9"/>
      <c r="AP22" s="16"/>
      <c r="AQ22" s="10"/>
      <c r="AR22" s="10"/>
      <c r="AS22" s="10"/>
      <c r="AT22" s="11"/>
      <c r="AU22" s="12"/>
      <c r="AV22" s="17"/>
      <c r="AW22" s="13"/>
      <c r="AX22" s="13"/>
      <c r="AY22" s="13"/>
      <c r="AZ22" s="14"/>
      <c r="BA22" s="9"/>
      <c r="BB22" s="16"/>
      <c r="BC22" s="10"/>
      <c r="BD22" s="10"/>
      <c r="BE22" s="10"/>
      <c r="BF22" s="11"/>
      <c r="BG22" s="12"/>
      <c r="BH22" s="17"/>
      <c r="BI22" s="13"/>
      <c r="BJ22" s="13"/>
      <c r="BK22" s="13"/>
      <c r="BL22" s="14"/>
      <c r="BM22" s="8">
        <f t="shared" si="0"/>
        <v>80</v>
      </c>
      <c r="BN22" s="8">
        <f t="shared" si="1"/>
        <v>70</v>
      </c>
      <c r="BO22" s="8">
        <f t="shared" si="2"/>
        <v>66</v>
      </c>
      <c r="BP22" s="8">
        <f t="shared" si="3"/>
        <v>31</v>
      </c>
      <c r="BQ22" s="8">
        <f t="shared" si="4"/>
        <v>80</v>
      </c>
      <c r="BR22" s="8">
        <f t="shared" si="5"/>
        <v>66</v>
      </c>
      <c r="BS22" s="15">
        <f t="shared" si="6"/>
        <v>18.431220022129764</v>
      </c>
      <c r="BT22" s="15" t="str">
        <f t="shared" si="7"/>
        <v>OK - No Upgrade</v>
      </c>
      <c r="BU22" s="15" t="str">
        <f t="shared" si="8"/>
        <v>Need to Balance</v>
      </c>
    </row>
    <row r="23" spans="1:73" ht="15.75" customHeight="1" x14ac:dyDescent="0.25">
      <c r="A23" s="8" t="s">
        <v>1459</v>
      </c>
      <c r="B23" s="8" t="s">
        <v>2205</v>
      </c>
      <c r="C23" s="8" t="s">
        <v>2206</v>
      </c>
      <c r="D23" s="8" t="s">
        <v>2263</v>
      </c>
      <c r="E23" s="8" t="s">
        <v>2264</v>
      </c>
      <c r="F23" s="8" t="s">
        <v>43</v>
      </c>
      <c r="G23" s="8" t="s">
        <v>44</v>
      </c>
      <c r="H23" s="8">
        <v>100</v>
      </c>
      <c r="I23" s="8" t="s">
        <v>2265</v>
      </c>
      <c r="J23" s="8">
        <v>1</v>
      </c>
      <c r="K23" s="8">
        <v>240</v>
      </c>
      <c r="L23" s="8">
        <v>241</v>
      </c>
      <c r="M23" s="8">
        <v>242</v>
      </c>
      <c r="N23" s="8">
        <v>415</v>
      </c>
      <c r="O23" s="8">
        <v>417</v>
      </c>
      <c r="P23" s="8">
        <v>416</v>
      </c>
      <c r="Q23" s="9" t="s">
        <v>132</v>
      </c>
      <c r="R23" s="16"/>
      <c r="S23" s="10">
        <v>0</v>
      </c>
      <c r="T23" s="10">
        <v>0</v>
      </c>
      <c r="U23" s="10">
        <v>0</v>
      </c>
      <c r="V23" s="11">
        <v>0</v>
      </c>
      <c r="W23" s="12"/>
      <c r="X23" s="17"/>
      <c r="Y23" s="13"/>
      <c r="Z23" s="13"/>
      <c r="AA23" s="13"/>
      <c r="AB23" s="14"/>
      <c r="AC23" s="9"/>
      <c r="AD23" s="16"/>
      <c r="AE23" s="10"/>
      <c r="AF23" s="10"/>
      <c r="AG23" s="10"/>
      <c r="AH23" s="11"/>
      <c r="AI23" s="12"/>
      <c r="AJ23" s="17"/>
      <c r="AK23" s="13"/>
      <c r="AL23" s="13"/>
      <c r="AM23" s="13"/>
      <c r="AN23" s="14"/>
      <c r="AO23" s="9"/>
      <c r="AP23" s="16"/>
      <c r="AQ23" s="10"/>
      <c r="AR23" s="10"/>
      <c r="AS23" s="10"/>
      <c r="AT23" s="11"/>
      <c r="AU23" s="12"/>
      <c r="AV23" s="17"/>
      <c r="AW23" s="13"/>
      <c r="AX23" s="13"/>
      <c r="AY23" s="13"/>
      <c r="AZ23" s="14"/>
      <c r="BA23" s="9"/>
      <c r="BB23" s="16"/>
      <c r="BC23" s="10"/>
      <c r="BD23" s="10"/>
      <c r="BE23" s="10"/>
      <c r="BF23" s="11"/>
      <c r="BG23" s="12"/>
      <c r="BH23" s="17"/>
      <c r="BI23" s="13"/>
      <c r="BJ23" s="13"/>
      <c r="BK23" s="13"/>
      <c r="BL23" s="14"/>
      <c r="BM23" s="8">
        <f t="shared" si="0"/>
        <v>0</v>
      </c>
      <c r="BN23" s="8">
        <f t="shared" si="1"/>
        <v>0</v>
      </c>
      <c r="BO23" s="8">
        <f t="shared" si="2"/>
        <v>0</v>
      </c>
      <c r="BP23" s="8">
        <f t="shared" si="3"/>
        <v>0</v>
      </c>
      <c r="BQ23" s="8">
        <f t="shared" si="4"/>
        <v>0</v>
      </c>
      <c r="BR23" s="8">
        <f t="shared" si="5"/>
        <v>0</v>
      </c>
      <c r="BS23" s="15">
        <f t="shared" si="6"/>
        <v>0</v>
      </c>
      <c r="BT23" s="15" t="str">
        <f t="shared" si="7"/>
        <v>OK - No Upgrade</v>
      </c>
      <c r="BU23" s="15" t="str">
        <f t="shared" si="8"/>
        <v>OK - Balanced</v>
      </c>
    </row>
    <row r="24" spans="1:73" ht="15.75" customHeight="1" x14ac:dyDescent="0.25">
      <c r="A24" s="8" t="s">
        <v>1459</v>
      </c>
      <c r="B24" s="8" t="s">
        <v>2205</v>
      </c>
      <c r="C24" s="8" t="s">
        <v>2206</v>
      </c>
      <c r="D24" s="8" t="s">
        <v>2266</v>
      </c>
      <c r="E24" s="8" t="s">
        <v>2267</v>
      </c>
      <c r="F24" s="8" t="s">
        <v>43</v>
      </c>
      <c r="G24" s="8" t="s">
        <v>44</v>
      </c>
      <c r="H24" s="8">
        <v>315</v>
      </c>
      <c r="I24" s="8" t="s">
        <v>2268</v>
      </c>
      <c r="J24" s="8">
        <v>1</v>
      </c>
      <c r="K24" s="8">
        <v>234</v>
      </c>
      <c r="L24" s="8">
        <v>234</v>
      </c>
      <c r="M24" s="8">
        <v>235</v>
      </c>
      <c r="N24" s="8">
        <v>403</v>
      </c>
      <c r="O24" s="8">
        <v>406</v>
      </c>
      <c r="P24" s="8">
        <v>405</v>
      </c>
      <c r="Q24" s="9" t="s">
        <v>47</v>
      </c>
      <c r="R24" s="16"/>
      <c r="S24" s="10">
        <v>148</v>
      </c>
      <c r="T24" s="10">
        <v>115</v>
      </c>
      <c r="U24" s="10">
        <v>93</v>
      </c>
      <c r="V24" s="11">
        <v>51</v>
      </c>
      <c r="W24" s="12" t="s">
        <v>47</v>
      </c>
      <c r="X24" s="17"/>
      <c r="Y24" s="13">
        <v>55</v>
      </c>
      <c r="Z24" s="13">
        <v>34</v>
      </c>
      <c r="AA24" s="13">
        <v>23</v>
      </c>
      <c r="AB24" s="14">
        <v>27</v>
      </c>
      <c r="AC24" s="9"/>
      <c r="AD24" s="16"/>
      <c r="AE24" s="10"/>
      <c r="AF24" s="10"/>
      <c r="AG24" s="10"/>
      <c r="AH24" s="11"/>
      <c r="AI24" s="12"/>
      <c r="AJ24" s="17"/>
      <c r="AK24" s="13"/>
      <c r="AL24" s="13"/>
      <c r="AM24" s="13"/>
      <c r="AN24" s="14"/>
      <c r="AO24" s="9"/>
      <c r="AP24" s="16"/>
      <c r="AQ24" s="10"/>
      <c r="AR24" s="10"/>
      <c r="AS24" s="10"/>
      <c r="AT24" s="11"/>
      <c r="AU24" s="12"/>
      <c r="AV24" s="17"/>
      <c r="AW24" s="13"/>
      <c r="AX24" s="13"/>
      <c r="AY24" s="13"/>
      <c r="AZ24" s="14"/>
      <c r="BA24" s="9"/>
      <c r="BB24" s="16"/>
      <c r="BC24" s="10"/>
      <c r="BD24" s="10"/>
      <c r="BE24" s="10"/>
      <c r="BF24" s="11"/>
      <c r="BG24" s="12"/>
      <c r="BH24" s="17"/>
      <c r="BI24" s="13"/>
      <c r="BJ24" s="13"/>
      <c r="BK24" s="13"/>
      <c r="BL24" s="14"/>
      <c r="BM24" s="8">
        <f t="shared" si="0"/>
        <v>203</v>
      </c>
      <c r="BN24" s="8">
        <f t="shared" si="1"/>
        <v>149</v>
      </c>
      <c r="BO24" s="8">
        <f t="shared" si="2"/>
        <v>116</v>
      </c>
      <c r="BP24" s="8">
        <f t="shared" si="3"/>
        <v>78</v>
      </c>
      <c r="BQ24" s="8">
        <f t="shared" si="4"/>
        <v>203</v>
      </c>
      <c r="BR24" s="8">
        <f t="shared" si="5"/>
        <v>116</v>
      </c>
      <c r="BS24" s="15">
        <f t="shared" si="6"/>
        <v>44.983283973461042</v>
      </c>
      <c r="BT24" s="15" t="str">
        <f t="shared" si="7"/>
        <v>OK - No Upgrade</v>
      </c>
      <c r="BU24" s="15" t="str">
        <f t="shared" si="8"/>
        <v>Need to Balance</v>
      </c>
    </row>
    <row r="25" spans="1:73" ht="15.75" customHeight="1" x14ac:dyDescent="0.25">
      <c r="A25" s="8" t="s">
        <v>1459</v>
      </c>
      <c r="B25" s="8" t="s">
        <v>2205</v>
      </c>
      <c r="C25" s="8" t="s">
        <v>2206</v>
      </c>
      <c r="D25" s="8" t="s">
        <v>2269</v>
      </c>
      <c r="E25" s="8" t="s">
        <v>2270</v>
      </c>
      <c r="F25" s="8" t="s">
        <v>43</v>
      </c>
      <c r="G25" s="8" t="s">
        <v>44</v>
      </c>
      <c r="H25" s="8">
        <v>100</v>
      </c>
      <c r="I25" s="8" t="s">
        <v>2271</v>
      </c>
      <c r="J25" s="8">
        <v>1</v>
      </c>
      <c r="K25" s="8">
        <v>230</v>
      </c>
      <c r="L25" s="8">
        <v>232</v>
      </c>
      <c r="M25" s="8">
        <v>231</v>
      </c>
      <c r="N25" s="8">
        <v>398</v>
      </c>
      <c r="O25" s="8">
        <v>400</v>
      </c>
      <c r="P25" s="8">
        <v>399</v>
      </c>
      <c r="Q25" s="9" t="s">
        <v>46</v>
      </c>
      <c r="R25" s="16"/>
      <c r="S25" s="10">
        <v>77</v>
      </c>
      <c r="T25" s="10">
        <v>67</v>
      </c>
      <c r="U25" s="10">
        <v>45</v>
      </c>
      <c r="V25" s="11">
        <v>23</v>
      </c>
      <c r="W25" s="12" t="s">
        <v>46</v>
      </c>
      <c r="X25" s="17"/>
      <c r="Y25" s="13">
        <v>28</v>
      </c>
      <c r="Z25" s="13">
        <v>21</v>
      </c>
      <c r="AA25" s="13">
        <v>36</v>
      </c>
      <c r="AB25" s="14">
        <v>15</v>
      </c>
      <c r="AC25" s="9"/>
      <c r="AD25" s="16"/>
      <c r="AE25" s="10"/>
      <c r="AF25" s="10"/>
      <c r="AG25" s="10"/>
      <c r="AH25" s="11"/>
      <c r="AI25" s="12"/>
      <c r="AJ25" s="17"/>
      <c r="AK25" s="13"/>
      <c r="AL25" s="13"/>
      <c r="AM25" s="13"/>
      <c r="AN25" s="14"/>
      <c r="AO25" s="9"/>
      <c r="AP25" s="16"/>
      <c r="AQ25" s="10"/>
      <c r="AR25" s="10"/>
      <c r="AS25" s="10"/>
      <c r="AT25" s="11"/>
      <c r="AU25" s="12"/>
      <c r="AV25" s="17"/>
      <c r="AW25" s="13"/>
      <c r="AX25" s="13"/>
      <c r="AY25" s="13"/>
      <c r="AZ25" s="14"/>
      <c r="BA25" s="9"/>
      <c r="BB25" s="16"/>
      <c r="BC25" s="10"/>
      <c r="BD25" s="10"/>
      <c r="BE25" s="10"/>
      <c r="BF25" s="11"/>
      <c r="BG25" s="12"/>
      <c r="BH25" s="17"/>
      <c r="BI25" s="13"/>
      <c r="BJ25" s="13"/>
      <c r="BK25" s="13"/>
      <c r="BL25" s="14"/>
      <c r="BM25" s="8">
        <f t="shared" si="0"/>
        <v>105</v>
      </c>
      <c r="BN25" s="8">
        <f t="shared" si="1"/>
        <v>88</v>
      </c>
      <c r="BO25" s="8">
        <f t="shared" si="2"/>
        <v>81</v>
      </c>
      <c r="BP25" s="8">
        <f t="shared" si="3"/>
        <v>38</v>
      </c>
      <c r="BQ25" s="8">
        <f t="shared" si="4"/>
        <v>105</v>
      </c>
      <c r="BR25" s="8">
        <f t="shared" si="5"/>
        <v>81</v>
      </c>
      <c r="BS25" s="15">
        <f t="shared" si="6"/>
        <v>72.382403248303362</v>
      </c>
      <c r="BT25" s="15" t="str">
        <f t="shared" si="7"/>
        <v>Upgrade</v>
      </c>
      <c r="BU25" s="15" t="str">
        <f t="shared" si="8"/>
        <v>Need to Balance</v>
      </c>
    </row>
    <row r="26" spans="1:73" ht="15.75" customHeight="1" x14ac:dyDescent="0.25">
      <c r="A26" s="8" t="s">
        <v>1459</v>
      </c>
      <c r="B26" s="8" t="s">
        <v>2205</v>
      </c>
      <c r="C26" s="8" t="s">
        <v>2206</v>
      </c>
      <c r="D26" s="8" t="s">
        <v>2272</v>
      </c>
      <c r="E26" s="8" t="s">
        <v>2273</v>
      </c>
      <c r="F26" s="8" t="s">
        <v>43</v>
      </c>
      <c r="G26" s="8" t="s">
        <v>44</v>
      </c>
      <c r="H26" s="8">
        <v>315</v>
      </c>
      <c r="I26" s="8" t="s">
        <v>2274</v>
      </c>
      <c r="J26" s="8">
        <v>1</v>
      </c>
      <c r="K26" s="8">
        <v>233</v>
      </c>
      <c r="L26" s="8">
        <v>234</v>
      </c>
      <c r="M26" s="8">
        <v>235</v>
      </c>
      <c r="N26" s="8">
        <v>401</v>
      </c>
      <c r="O26" s="8">
        <v>405</v>
      </c>
      <c r="P26" s="8">
        <v>406</v>
      </c>
      <c r="Q26" s="9" t="s">
        <v>46</v>
      </c>
      <c r="R26" s="16"/>
      <c r="S26" s="10">
        <v>275</v>
      </c>
      <c r="T26" s="10">
        <v>171</v>
      </c>
      <c r="U26" s="10">
        <v>230</v>
      </c>
      <c r="V26" s="11">
        <v>68</v>
      </c>
      <c r="W26" s="12" t="s">
        <v>46</v>
      </c>
      <c r="X26" s="17"/>
      <c r="Y26" s="13">
        <v>29</v>
      </c>
      <c r="Z26" s="13">
        <v>57</v>
      </c>
      <c r="AA26" s="13">
        <v>24</v>
      </c>
      <c r="AB26" s="14">
        <v>32</v>
      </c>
      <c r="AC26" s="9" t="s">
        <v>46</v>
      </c>
      <c r="AD26" s="16"/>
      <c r="AE26" s="10">
        <v>0</v>
      </c>
      <c r="AF26" s="10">
        <v>0</v>
      </c>
      <c r="AG26" s="10">
        <v>0</v>
      </c>
      <c r="AH26" s="11">
        <v>0</v>
      </c>
      <c r="AI26" s="12"/>
      <c r="AJ26" s="17"/>
      <c r="AK26" s="13"/>
      <c r="AL26" s="13"/>
      <c r="AM26" s="13"/>
      <c r="AN26" s="14"/>
      <c r="AO26" s="9"/>
      <c r="AP26" s="16"/>
      <c r="AQ26" s="10"/>
      <c r="AR26" s="10"/>
      <c r="AS26" s="10"/>
      <c r="AT26" s="11"/>
      <c r="AU26" s="12"/>
      <c r="AV26" s="17"/>
      <c r="AW26" s="13"/>
      <c r="AX26" s="13"/>
      <c r="AY26" s="13"/>
      <c r="AZ26" s="14"/>
      <c r="BA26" s="9"/>
      <c r="BB26" s="16"/>
      <c r="BC26" s="10"/>
      <c r="BD26" s="10"/>
      <c r="BE26" s="10"/>
      <c r="BF26" s="11"/>
      <c r="BG26" s="12"/>
      <c r="BH26" s="17"/>
      <c r="BI26" s="13"/>
      <c r="BJ26" s="13"/>
      <c r="BK26" s="13"/>
      <c r="BL26" s="14"/>
      <c r="BM26" s="8">
        <f t="shared" si="0"/>
        <v>304</v>
      </c>
      <c r="BN26" s="8">
        <f t="shared" si="1"/>
        <v>228</v>
      </c>
      <c r="BO26" s="8">
        <f t="shared" si="2"/>
        <v>254</v>
      </c>
      <c r="BP26" s="8">
        <f t="shared" si="3"/>
        <v>100</v>
      </c>
      <c r="BQ26" s="8">
        <f t="shared" si="4"/>
        <v>304</v>
      </c>
      <c r="BR26" s="8">
        <f t="shared" si="5"/>
        <v>228</v>
      </c>
      <c r="BS26" s="15">
        <f t="shared" si="6"/>
        <v>67.02981639551632</v>
      </c>
      <c r="BT26" s="15" t="str">
        <f t="shared" si="7"/>
        <v>OK - No Upgrade</v>
      </c>
      <c r="BU26" s="15" t="str">
        <f t="shared" si="8"/>
        <v>Need to Balance</v>
      </c>
    </row>
    <row r="27" spans="1:73" ht="15.75" customHeight="1" x14ac:dyDescent="0.25">
      <c r="A27" s="8" t="s">
        <v>1459</v>
      </c>
      <c r="B27" s="8" t="s">
        <v>2205</v>
      </c>
      <c r="C27" s="8" t="s">
        <v>2206</v>
      </c>
      <c r="D27" s="8" t="s">
        <v>2275</v>
      </c>
      <c r="E27" s="8" t="s">
        <v>2276</v>
      </c>
      <c r="F27" s="8" t="s">
        <v>43</v>
      </c>
      <c r="G27" s="8" t="s">
        <v>44</v>
      </c>
      <c r="H27" s="8">
        <v>200</v>
      </c>
      <c r="I27" s="8" t="s">
        <v>2277</v>
      </c>
      <c r="J27" s="8">
        <v>1</v>
      </c>
      <c r="K27" s="8">
        <v>236</v>
      </c>
      <c r="L27" s="8">
        <v>233</v>
      </c>
      <c r="M27" s="8">
        <v>230</v>
      </c>
      <c r="N27" s="8">
        <v>407</v>
      </c>
      <c r="O27" s="8">
        <v>407</v>
      </c>
      <c r="P27" s="8">
        <v>409</v>
      </c>
      <c r="Q27" s="9" t="s">
        <v>46</v>
      </c>
      <c r="R27" s="16"/>
      <c r="S27" s="10">
        <v>12</v>
      </c>
      <c r="T27" s="10">
        <v>61</v>
      </c>
      <c r="U27" s="10">
        <v>0</v>
      </c>
      <c r="V27" s="11">
        <v>52</v>
      </c>
      <c r="W27" s="12" t="s">
        <v>46</v>
      </c>
      <c r="X27" s="17"/>
      <c r="Y27" s="13">
        <v>35</v>
      </c>
      <c r="Z27" s="13">
        <v>65</v>
      </c>
      <c r="AA27" s="13">
        <v>100</v>
      </c>
      <c r="AB27" s="14">
        <v>48</v>
      </c>
      <c r="AC27" s="9"/>
      <c r="AD27" s="16"/>
      <c r="AE27" s="10"/>
      <c r="AF27" s="10"/>
      <c r="AG27" s="10"/>
      <c r="AH27" s="11"/>
      <c r="AI27" s="12"/>
      <c r="AJ27" s="17"/>
      <c r="AK27" s="13"/>
      <c r="AL27" s="13"/>
      <c r="AM27" s="13"/>
      <c r="AN27" s="14"/>
      <c r="AO27" s="9"/>
      <c r="AP27" s="16"/>
      <c r="AQ27" s="10"/>
      <c r="AR27" s="10"/>
      <c r="AS27" s="10"/>
      <c r="AT27" s="11"/>
      <c r="AU27" s="12"/>
      <c r="AV27" s="17"/>
      <c r="AW27" s="13"/>
      <c r="AX27" s="13"/>
      <c r="AY27" s="13"/>
      <c r="AZ27" s="14"/>
      <c r="BA27" s="9"/>
      <c r="BB27" s="16"/>
      <c r="BC27" s="10"/>
      <c r="BD27" s="10"/>
      <c r="BE27" s="10"/>
      <c r="BF27" s="11"/>
      <c r="BG27" s="12"/>
      <c r="BH27" s="17"/>
      <c r="BI27" s="13"/>
      <c r="BJ27" s="13"/>
      <c r="BK27" s="13"/>
      <c r="BL27" s="14"/>
      <c r="BM27" s="8">
        <f t="shared" si="0"/>
        <v>47</v>
      </c>
      <c r="BN27" s="8">
        <f t="shared" si="1"/>
        <v>126</v>
      </c>
      <c r="BO27" s="8">
        <f t="shared" si="2"/>
        <v>100</v>
      </c>
      <c r="BP27" s="8">
        <f t="shared" si="3"/>
        <v>100</v>
      </c>
      <c r="BQ27" s="8">
        <f t="shared" si="4"/>
        <v>126</v>
      </c>
      <c r="BR27" s="8">
        <f t="shared" si="5"/>
        <v>47</v>
      </c>
      <c r="BS27" s="15">
        <f t="shared" si="6"/>
        <v>44.411514756873579</v>
      </c>
      <c r="BT27" s="15" t="str">
        <f t="shared" si="7"/>
        <v>OK - No Upgrade</v>
      </c>
      <c r="BU27" s="15" t="str">
        <f t="shared" si="8"/>
        <v>Need to Balance</v>
      </c>
    </row>
    <row r="28" spans="1:73" ht="15.75" customHeight="1" x14ac:dyDescent="0.25">
      <c r="A28" s="8" t="s">
        <v>1459</v>
      </c>
      <c r="B28" s="8" t="s">
        <v>2205</v>
      </c>
      <c r="C28" s="8" t="s">
        <v>2206</v>
      </c>
      <c r="D28" s="8" t="s">
        <v>2278</v>
      </c>
      <c r="E28" s="8" t="s">
        <v>2279</v>
      </c>
      <c r="F28" s="8" t="s">
        <v>43</v>
      </c>
      <c r="G28" s="8" t="s">
        <v>44</v>
      </c>
      <c r="H28" s="8">
        <v>315</v>
      </c>
      <c r="I28" s="8" t="s">
        <v>2280</v>
      </c>
      <c r="J28" s="8">
        <v>1</v>
      </c>
      <c r="K28" s="8">
        <v>236</v>
      </c>
      <c r="L28" s="8">
        <v>237</v>
      </c>
      <c r="M28" s="8">
        <v>240</v>
      </c>
      <c r="N28" s="8">
        <v>408</v>
      </c>
      <c r="O28" s="8">
        <v>412</v>
      </c>
      <c r="P28" s="8">
        <v>411</v>
      </c>
      <c r="Q28" s="9" t="s">
        <v>46</v>
      </c>
      <c r="R28" s="16"/>
      <c r="S28" s="10">
        <v>100</v>
      </c>
      <c r="T28" s="10">
        <v>52</v>
      </c>
      <c r="U28" s="10">
        <v>40</v>
      </c>
      <c r="V28" s="11">
        <v>43</v>
      </c>
      <c r="W28" s="12" t="s">
        <v>70</v>
      </c>
      <c r="X28" s="17"/>
      <c r="Y28" s="13">
        <v>42</v>
      </c>
      <c r="Z28" s="13">
        <v>0</v>
      </c>
      <c r="AA28" s="13">
        <v>21</v>
      </c>
      <c r="AB28" s="14">
        <v>26</v>
      </c>
      <c r="AC28" s="9"/>
      <c r="AD28" s="16"/>
      <c r="AE28" s="10"/>
      <c r="AF28" s="10"/>
      <c r="AG28" s="10"/>
      <c r="AH28" s="11"/>
      <c r="AI28" s="12"/>
      <c r="AJ28" s="17"/>
      <c r="AK28" s="13"/>
      <c r="AL28" s="13"/>
      <c r="AM28" s="13"/>
      <c r="AN28" s="14"/>
      <c r="AO28" s="9"/>
      <c r="AP28" s="16"/>
      <c r="AQ28" s="10"/>
      <c r="AR28" s="10"/>
      <c r="AS28" s="10"/>
      <c r="AT28" s="11"/>
      <c r="AU28" s="12"/>
      <c r="AV28" s="17"/>
      <c r="AW28" s="13"/>
      <c r="AX28" s="13"/>
      <c r="AY28" s="13"/>
      <c r="AZ28" s="14"/>
      <c r="BA28" s="9"/>
      <c r="BB28" s="16"/>
      <c r="BC28" s="10"/>
      <c r="BD28" s="10"/>
      <c r="BE28" s="10"/>
      <c r="BF28" s="11"/>
      <c r="BG28" s="12"/>
      <c r="BH28" s="17"/>
      <c r="BI28" s="13"/>
      <c r="BJ28" s="13"/>
      <c r="BK28" s="13"/>
      <c r="BL28" s="14"/>
      <c r="BM28" s="8">
        <f t="shared" si="0"/>
        <v>142</v>
      </c>
      <c r="BN28" s="8">
        <f t="shared" si="1"/>
        <v>52</v>
      </c>
      <c r="BO28" s="8">
        <f t="shared" si="2"/>
        <v>61</v>
      </c>
      <c r="BP28" s="8">
        <f t="shared" si="3"/>
        <v>69</v>
      </c>
      <c r="BQ28" s="8">
        <f t="shared" si="4"/>
        <v>142</v>
      </c>
      <c r="BR28" s="8">
        <f t="shared" si="5"/>
        <v>52</v>
      </c>
      <c r="BS28" s="15">
        <f t="shared" si="6"/>
        <v>31.856538281685864</v>
      </c>
      <c r="BT28" s="15" t="str">
        <f t="shared" si="7"/>
        <v>OK - No Upgrade</v>
      </c>
      <c r="BU28" s="15" t="str">
        <f t="shared" si="8"/>
        <v>Need to Balance</v>
      </c>
    </row>
    <row r="29" spans="1:73" ht="15.75" customHeight="1" x14ac:dyDescent="0.25">
      <c r="A29" s="8" t="s">
        <v>1459</v>
      </c>
      <c r="B29" s="8" t="s">
        <v>2205</v>
      </c>
      <c r="C29" s="8" t="s">
        <v>2206</v>
      </c>
      <c r="D29" s="8" t="s">
        <v>2281</v>
      </c>
      <c r="E29" s="8" t="s">
        <v>2282</v>
      </c>
      <c r="F29" s="8" t="s">
        <v>43</v>
      </c>
      <c r="G29" s="8" t="s">
        <v>44</v>
      </c>
      <c r="H29" s="8">
        <v>100</v>
      </c>
      <c r="I29" s="8" t="s">
        <v>2283</v>
      </c>
      <c r="J29" s="8">
        <v>1</v>
      </c>
      <c r="K29" s="8">
        <v>246</v>
      </c>
      <c r="L29" s="8">
        <v>246</v>
      </c>
      <c r="M29" s="8">
        <v>249</v>
      </c>
      <c r="N29" s="8">
        <v>425</v>
      </c>
      <c r="O29" s="8">
        <v>420</v>
      </c>
      <c r="P29" s="8">
        <v>428</v>
      </c>
      <c r="Q29" s="9" t="s">
        <v>46</v>
      </c>
      <c r="R29" s="16"/>
      <c r="S29" s="10">
        <v>59</v>
      </c>
      <c r="T29" s="10">
        <v>45</v>
      </c>
      <c r="U29" s="10">
        <v>39</v>
      </c>
      <c r="V29" s="11">
        <v>18</v>
      </c>
      <c r="W29" s="12"/>
      <c r="X29" s="17"/>
      <c r="Y29" s="13"/>
      <c r="Z29" s="13"/>
      <c r="AA29" s="13"/>
      <c r="AB29" s="14"/>
      <c r="AC29" s="9"/>
      <c r="AD29" s="16"/>
      <c r="AE29" s="10"/>
      <c r="AF29" s="10"/>
      <c r="AG29" s="10"/>
      <c r="AH29" s="11"/>
      <c r="AI29" s="12"/>
      <c r="AJ29" s="17"/>
      <c r="AK29" s="13"/>
      <c r="AL29" s="13"/>
      <c r="AM29" s="13"/>
      <c r="AN29" s="14"/>
      <c r="AO29" s="9"/>
      <c r="AP29" s="16"/>
      <c r="AQ29" s="10"/>
      <c r="AR29" s="10"/>
      <c r="AS29" s="10"/>
      <c r="AT29" s="11"/>
      <c r="AU29" s="12"/>
      <c r="AV29" s="17"/>
      <c r="AW29" s="13"/>
      <c r="AX29" s="13"/>
      <c r="AY29" s="13"/>
      <c r="AZ29" s="14"/>
      <c r="BA29" s="9"/>
      <c r="BB29" s="16"/>
      <c r="BC29" s="10"/>
      <c r="BD29" s="10"/>
      <c r="BE29" s="10"/>
      <c r="BF29" s="11"/>
      <c r="BG29" s="12"/>
      <c r="BH29" s="17"/>
      <c r="BI29" s="13"/>
      <c r="BJ29" s="13"/>
      <c r="BK29" s="13"/>
      <c r="BL29" s="14"/>
      <c r="BM29" s="8">
        <f t="shared" si="0"/>
        <v>59</v>
      </c>
      <c r="BN29" s="8">
        <f t="shared" si="1"/>
        <v>45</v>
      </c>
      <c r="BO29" s="8">
        <f t="shared" si="2"/>
        <v>39</v>
      </c>
      <c r="BP29" s="8">
        <f t="shared" si="3"/>
        <v>18</v>
      </c>
      <c r="BQ29" s="8">
        <f t="shared" si="4"/>
        <v>59</v>
      </c>
      <c r="BR29" s="8">
        <f t="shared" si="5"/>
        <v>39</v>
      </c>
      <c r="BS29" s="15">
        <f t="shared" si="6"/>
        <v>43.4311739997896</v>
      </c>
      <c r="BT29" s="15" t="str">
        <f t="shared" si="7"/>
        <v>OK - No Upgrade</v>
      </c>
      <c r="BU29" s="15" t="str">
        <f t="shared" si="8"/>
        <v>Need to Balance</v>
      </c>
    </row>
    <row r="30" spans="1:73" ht="15.75" customHeight="1" x14ac:dyDescent="0.25">
      <c r="A30" s="8" t="s">
        <v>1459</v>
      </c>
      <c r="B30" s="8" t="s">
        <v>2205</v>
      </c>
      <c r="C30" s="8" t="s">
        <v>2206</v>
      </c>
      <c r="D30" s="8" t="s">
        <v>2284</v>
      </c>
      <c r="E30" s="8" t="s">
        <v>2285</v>
      </c>
      <c r="F30" s="8" t="s">
        <v>43</v>
      </c>
      <c r="G30" s="8" t="s">
        <v>44</v>
      </c>
      <c r="H30" s="8">
        <v>315</v>
      </c>
      <c r="I30" s="8" t="s">
        <v>2286</v>
      </c>
      <c r="J30" s="8">
        <v>1</v>
      </c>
      <c r="K30" s="8">
        <v>232</v>
      </c>
      <c r="L30" s="8">
        <v>237</v>
      </c>
      <c r="M30" s="8">
        <v>239</v>
      </c>
      <c r="N30" s="8">
        <v>412</v>
      </c>
      <c r="O30" s="8">
        <v>413</v>
      </c>
      <c r="P30" s="8">
        <v>412</v>
      </c>
      <c r="Q30" s="9" t="s">
        <v>46</v>
      </c>
      <c r="R30" s="16"/>
      <c r="S30" s="10">
        <v>37</v>
      </c>
      <c r="T30" s="10">
        <v>37</v>
      </c>
      <c r="U30" s="10">
        <v>63</v>
      </c>
      <c r="V30" s="11">
        <v>29</v>
      </c>
      <c r="W30" s="12"/>
      <c r="X30" s="17"/>
      <c r="Y30" s="13"/>
      <c r="Z30" s="13"/>
      <c r="AA30" s="13"/>
      <c r="AB30" s="14"/>
      <c r="AC30" s="9"/>
      <c r="AD30" s="16"/>
      <c r="AE30" s="10"/>
      <c r="AF30" s="10"/>
      <c r="AG30" s="10"/>
      <c r="AH30" s="11"/>
      <c r="AI30" s="12"/>
      <c r="AJ30" s="17"/>
      <c r="AK30" s="13"/>
      <c r="AL30" s="13"/>
      <c r="AM30" s="13"/>
      <c r="AN30" s="14"/>
      <c r="AO30" s="9"/>
      <c r="AP30" s="16"/>
      <c r="AQ30" s="10"/>
      <c r="AR30" s="10"/>
      <c r="AS30" s="10"/>
      <c r="AT30" s="11"/>
      <c r="AU30" s="12"/>
      <c r="AV30" s="17"/>
      <c r="AW30" s="13"/>
      <c r="AX30" s="13"/>
      <c r="AY30" s="13"/>
      <c r="AZ30" s="14"/>
      <c r="BA30" s="9"/>
      <c r="BB30" s="16"/>
      <c r="BC30" s="10"/>
      <c r="BD30" s="10"/>
      <c r="BE30" s="10"/>
      <c r="BF30" s="11"/>
      <c r="BG30" s="12"/>
      <c r="BH30" s="17"/>
      <c r="BI30" s="13"/>
      <c r="BJ30" s="13"/>
      <c r="BK30" s="13"/>
      <c r="BL30" s="14"/>
      <c r="BM30" s="8">
        <f t="shared" si="0"/>
        <v>37</v>
      </c>
      <c r="BN30" s="8">
        <f t="shared" si="1"/>
        <v>37</v>
      </c>
      <c r="BO30" s="8">
        <f t="shared" si="2"/>
        <v>63</v>
      </c>
      <c r="BP30" s="8">
        <f t="shared" si="3"/>
        <v>29</v>
      </c>
      <c r="BQ30" s="8">
        <f t="shared" si="4"/>
        <v>63</v>
      </c>
      <c r="BR30" s="8">
        <f t="shared" si="5"/>
        <v>37</v>
      </c>
      <c r="BS30" s="15">
        <f t="shared" si="6"/>
        <v>14.272098654367548</v>
      </c>
      <c r="BT30" s="15" t="str">
        <f t="shared" si="7"/>
        <v>OK - No Upgrade</v>
      </c>
      <c r="BU30" s="15" t="str">
        <f t="shared" si="8"/>
        <v>Need to Balance</v>
      </c>
    </row>
    <row r="31" spans="1:73" ht="15.75" customHeight="1" x14ac:dyDescent="0.25">
      <c r="A31" s="8" t="s">
        <v>1459</v>
      </c>
      <c r="B31" s="8" t="s">
        <v>2205</v>
      </c>
      <c r="C31" s="8" t="s">
        <v>2206</v>
      </c>
      <c r="D31" s="8" t="s">
        <v>2287</v>
      </c>
      <c r="E31" s="8" t="s">
        <v>2288</v>
      </c>
      <c r="F31" s="8" t="s">
        <v>43</v>
      </c>
      <c r="G31" s="8" t="s">
        <v>44</v>
      </c>
      <c r="H31" s="8">
        <v>100</v>
      </c>
      <c r="I31" s="8" t="s">
        <v>2289</v>
      </c>
      <c r="J31" s="8">
        <v>1</v>
      </c>
      <c r="K31" s="8">
        <v>239</v>
      </c>
      <c r="L31" s="8">
        <v>240</v>
      </c>
      <c r="M31" s="8">
        <v>241</v>
      </c>
      <c r="N31" s="8">
        <v>416</v>
      </c>
      <c r="O31" s="8">
        <v>417</v>
      </c>
      <c r="P31" s="8">
        <v>418</v>
      </c>
      <c r="Q31" s="9" t="s">
        <v>47</v>
      </c>
      <c r="R31" s="16"/>
      <c r="S31" s="10">
        <v>12</v>
      </c>
      <c r="T31" s="10">
        <v>11</v>
      </c>
      <c r="U31" s="10">
        <v>10</v>
      </c>
      <c r="V31" s="11">
        <v>8</v>
      </c>
      <c r="W31" s="12"/>
      <c r="X31" s="17"/>
      <c r="Y31" s="13"/>
      <c r="Z31" s="13"/>
      <c r="AA31" s="13"/>
      <c r="AB31" s="14"/>
      <c r="AC31" s="9"/>
      <c r="AD31" s="16"/>
      <c r="AE31" s="10"/>
      <c r="AF31" s="10"/>
      <c r="AG31" s="10"/>
      <c r="AH31" s="11"/>
      <c r="AI31" s="12"/>
      <c r="AJ31" s="17"/>
      <c r="AK31" s="13"/>
      <c r="AL31" s="13"/>
      <c r="AM31" s="13"/>
      <c r="AN31" s="14"/>
      <c r="AO31" s="9"/>
      <c r="AP31" s="16"/>
      <c r="AQ31" s="10"/>
      <c r="AR31" s="10"/>
      <c r="AS31" s="10"/>
      <c r="AT31" s="11"/>
      <c r="AU31" s="12"/>
      <c r="AV31" s="17"/>
      <c r="AW31" s="13"/>
      <c r="AX31" s="13"/>
      <c r="AY31" s="13"/>
      <c r="AZ31" s="14"/>
      <c r="BA31" s="9"/>
      <c r="BB31" s="16"/>
      <c r="BC31" s="10"/>
      <c r="BD31" s="10"/>
      <c r="BE31" s="10"/>
      <c r="BF31" s="11"/>
      <c r="BG31" s="12"/>
      <c r="BH31" s="17"/>
      <c r="BI31" s="13"/>
      <c r="BJ31" s="13"/>
      <c r="BK31" s="13"/>
      <c r="BL31" s="14"/>
      <c r="BM31" s="8">
        <f t="shared" si="0"/>
        <v>12</v>
      </c>
      <c r="BN31" s="8">
        <f t="shared" si="1"/>
        <v>11</v>
      </c>
      <c r="BO31" s="8">
        <f t="shared" si="2"/>
        <v>10</v>
      </c>
      <c r="BP31" s="8">
        <f t="shared" si="3"/>
        <v>8</v>
      </c>
      <c r="BQ31" s="8">
        <f t="shared" si="4"/>
        <v>12</v>
      </c>
      <c r="BR31" s="8">
        <f t="shared" si="5"/>
        <v>10</v>
      </c>
      <c r="BS31" s="15">
        <f t="shared" si="6"/>
        <v>8.6463976313838362</v>
      </c>
      <c r="BT31" s="15" t="str">
        <f t="shared" si="7"/>
        <v>OK - No Upgrade</v>
      </c>
      <c r="BU31" s="15" t="str">
        <f t="shared" si="8"/>
        <v>OK - Balanced</v>
      </c>
    </row>
    <row r="32" spans="1:73" ht="15.75" customHeight="1" x14ac:dyDescent="0.25">
      <c r="A32" s="8" t="s">
        <v>1459</v>
      </c>
      <c r="B32" s="8" t="s">
        <v>2205</v>
      </c>
      <c r="C32" s="8" t="s">
        <v>2206</v>
      </c>
      <c r="D32" s="8" t="s">
        <v>2290</v>
      </c>
      <c r="E32" s="8" t="s">
        <v>2291</v>
      </c>
      <c r="F32" s="8" t="s">
        <v>43</v>
      </c>
      <c r="G32" s="8" t="s">
        <v>44</v>
      </c>
      <c r="H32" s="8">
        <v>315</v>
      </c>
      <c r="I32" s="8" t="s">
        <v>2292</v>
      </c>
      <c r="J32" s="8">
        <v>1</v>
      </c>
      <c r="K32" s="8">
        <v>236</v>
      </c>
      <c r="L32" s="8">
        <v>235</v>
      </c>
      <c r="M32" s="8">
        <v>238</v>
      </c>
      <c r="N32" s="8">
        <v>407</v>
      </c>
      <c r="O32" s="8">
        <v>411</v>
      </c>
      <c r="P32" s="8">
        <v>409</v>
      </c>
      <c r="Q32" s="9" t="s">
        <v>70</v>
      </c>
      <c r="R32" s="16"/>
      <c r="S32" s="10">
        <v>113</v>
      </c>
      <c r="T32" s="10">
        <v>149</v>
      </c>
      <c r="U32" s="10">
        <v>130</v>
      </c>
      <c r="V32" s="11">
        <v>28</v>
      </c>
      <c r="W32" s="12" t="s">
        <v>46</v>
      </c>
      <c r="X32" s="17"/>
      <c r="Y32" s="13">
        <v>82</v>
      </c>
      <c r="Z32" s="13">
        <v>46</v>
      </c>
      <c r="AA32" s="13">
        <v>25</v>
      </c>
      <c r="AB32" s="14">
        <v>51</v>
      </c>
      <c r="AC32" s="9"/>
      <c r="AD32" s="16"/>
      <c r="AE32" s="10"/>
      <c r="AF32" s="10"/>
      <c r="AG32" s="10"/>
      <c r="AH32" s="11"/>
      <c r="AI32" s="12"/>
      <c r="AJ32" s="17"/>
      <c r="AK32" s="13"/>
      <c r="AL32" s="13"/>
      <c r="AM32" s="13"/>
      <c r="AN32" s="14"/>
      <c r="AO32" s="9"/>
      <c r="AP32" s="16"/>
      <c r="AQ32" s="10"/>
      <c r="AR32" s="10"/>
      <c r="AS32" s="10"/>
      <c r="AT32" s="11"/>
      <c r="AU32" s="12"/>
      <c r="AV32" s="17"/>
      <c r="AW32" s="13"/>
      <c r="AX32" s="13"/>
      <c r="AY32" s="13"/>
      <c r="AZ32" s="14"/>
      <c r="BA32" s="9"/>
      <c r="BB32" s="16"/>
      <c r="BC32" s="10"/>
      <c r="BD32" s="10"/>
      <c r="BE32" s="10"/>
      <c r="BF32" s="11"/>
      <c r="BG32" s="12"/>
      <c r="BH32" s="17"/>
      <c r="BI32" s="13"/>
      <c r="BJ32" s="13"/>
      <c r="BK32" s="13"/>
      <c r="BL32" s="14"/>
      <c r="BM32" s="8">
        <f t="shared" si="0"/>
        <v>195</v>
      </c>
      <c r="BN32" s="8">
        <f t="shared" si="1"/>
        <v>195</v>
      </c>
      <c r="BO32" s="8">
        <f t="shared" si="2"/>
        <v>155</v>
      </c>
      <c r="BP32" s="8">
        <f t="shared" si="3"/>
        <v>79</v>
      </c>
      <c r="BQ32" s="8">
        <f t="shared" si="4"/>
        <v>195</v>
      </c>
      <c r="BR32" s="8">
        <f t="shared" si="5"/>
        <v>155</v>
      </c>
      <c r="BS32" s="15">
        <f t="shared" si="6"/>
        <v>43.639432489747279</v>
      </c>
      <c r="BT32" s="15" t="str">
        <f t="shared" si="7"/>
        <v>OK - No Upgrade</v>
      </c>
      <c r="BU32" s="15" t="str">
        <f t="shared" si="8"/>
        <v>OK - Balanced</v>
      </c>
    </row>
    <row r="33" spans="1:73" ht="15.75" customHeight="1" x14ac:dyDescent="0.25">
      <c r="A33" s="8" t="s">
        <v>1459</v>
      </c>
      <c r="B33" s="8" t="s">
        <v>2205</v>
      </c>
      <c r="C33" s="8" t="s">
        <v>2206</v>
      </c>
      <c r="D33" s="8" t="s">
        <v>2293</v>
      </c>
      <c r="E33" s="8" t="s">
        <v>2294</v>
      </c>
      <c r="F33" s="8" t="s">
        <v>56</v>
      </c>
      <c r="G33" s="8" t="s">
        <v>44</v>
      </c>
      <c r="H33" s="8">
        <v>1000</v>
      </c>
      <c r="I33" s="8" t="s">
        <v>2295</v>
      </c>
      <c r="J33" s="8">
        <v>1</v>
      </c>
      <c r="K33" s="8">
        <v>238</v>
      </c>
      <c r="L33" s="8">
        <v>239</v>
      </c>
      <c r="M33" s="8">
        <v>238</v>
      </c>
      <c r="N33" s="8">
        <v>413</v>
      </c>
      <c r="O33" s="8">
        <v>413</v>
      </c>
      <c r="P33" s="8">
        <v>416</v>
      </c>
      <c r="Q33" s="9"/>
      <c r="R33" s="16"/>
      <c r="S33" s="10"/>
      <c r="T33" s="10"/>
      <c r="U33" s="10"/>
      <c r="V33" s="11"/>
      <c r="W33" s="12"/>
      <c r="X33" s="17"/>
      <c r="Y33" s="13"/>
      <c r="Z33" s="13"/>
      <c r="AA33" s="13"/>
      <c r="AB33" s="14"/>
      <c r="AC33" s="9" t="s">
        <v>47</v>
      </c>
      <c r="AD33" s="16"/>
      <c r="AE33" s="10">
        <v>153</v>
      </c>
      <c r="AF33" s="10">
        <v>128</v>
      </c>
      <c r="AG33" s="10">
        <v>101</v>
      </c>
      <c r="AH33" s="11">
        <v>80</v>
      </c>
      <c r="AI33" s="12" t="s">
        <v>47</v>
      </c>
      <c r="AJ33" s="17"/>
      <c r="AK33" s="13">
        <v>198</v>
      </c>
      <c r="AL33" s="13">
        <v>81</v>
      </c>
      <c r="AM33" s="13">
        <v>135</v>
      </c>
      <c r="AN33" s="14">
        <v>98</v>
      </c>
      <c r="AO33" s="9" t="s">
        <v>47</v>
      </c>
      <c r="AP33" s="16"/>
      <c r="AQ33" s="10">
        <v>47</v>
      </c>
      <c r="AR33" s="10">
        <v>48</v>
      </c>
      <c r="AS33" s="10">
        <v>58</v>
      </c>
      <c r="AT33" s="11">
        <v>11</v>
      </c>
      <c r="AU33" s="12" t="s">
        <v>47</v>
      </c>
      <c r="AV33" s="17"/>
      <c r="AW33" s="13">
        <v>12</v>
      </c>
      <c r="AX33" s="13">
        <v>43</v>
      </c>
      <c r="AY33" s="13">
        <v>26</v>
      </c>
      <c r="AZ33" s="14">
        <v>20</v>
      </c>
      <c r="BA33" s="9"/>
      <c r="BB33" s="16"/>
      <c r="BC33" s="10"/>
      <c r="BD33" s="10"/>
      <c r="BE33" s="10"/>
      <c r="BF33" s="11"/>
      <c r="BG33" s="12"/>
      <c r="BH33" s="17"/>
      <c r="BI33" s="13"/>
      <c r="BJ33" s="13"/>
      <c r="BK33" s="13"/>
      <c r="BL33" s="14"/>
      <c r="BM33" s="8">
        <f t="shared" si="0"/>
        <v>410</v>
      </c>
      <c r="BN33" s="8">
        <f t="shared" si="1"/>
        <v>300</v>
      </c>
      <c r="BO33" s="8">
        <f t="shared" si="2"/>
        <v>320</v>
      </c>
      <c r="BP33" s="8">
        <f t="shared" si="3"/>
        <v>209</v>
      </c>
      <c r="BQ33" s="8">
        <f t="shared" si="4"/>
        <v>410</v>
      </c>
      <c r="BR33" s="8">
        <f t="shared" si="5"/>
        <v>300</v>
      </c>
      <c r="BS33" s="15">
        <f t="shared" si="6"/>
        <v>29.328816324563796</v>
      </c>
      <c r="BT33" s="15" t="str">
        <f t="shared" si="7"/>
        <v>OK - No Upgrade</v>
      </c>
      <c r="BU33" s="15" t="str">
        <f t="shared" si="8"/>
        <v>Need to Balance</v>
      </c>
    </row>
    <row r="34" spans="1:73" ht="15.75" customHeight="1" x14ac:dyDescent="0.25">
      <c r="A34" s="8" t="s">
        <v>1459</v>
      </c>
      <c r="B34" s="8" t="s">
        <v>2205</v>
      </c>
      <c r="C34" s="8" t="s">
        <v>2296</v>
      </c>
      <c r="D34" s="8" t="s">
        <v>2297</v>
      </c>
      <c r="E34" s="8" t="s">
        <v>2298</v>
      </c>
      <c r="F34" s="8" t="s">
        <v>43</v>
      </c>
      <c r="G34" s="8" t="s">
        <v>44</v>
      </c>
      <c r="H34" s="8">
        <v>100</v>
      </c>
      <c r="I34" s="8" t="s">
        <v>2299</v>
      </c>
      <c r="J34" s="8">
        <v>1</v>
      </c>
      <c r="K34" s="8">
        <v>234</v>
      </c>
      <c r="L34" s="8">
        <v>238</v>
      </c>
      <c r="M34" s="8">
        <v>236</v>
      </c>
      <c r="N34" s="8">
        <v>415</v>
      </c>
      <c r="O34" s="8">
        <v>414</v>
      </c>
      <c r="P34" s="8">
        <v>416</v>
      </c>
      <c r="Q34" s="9" t="s">
        <v>46</v>
      </c>
      <c r="R34" s="16"/>
      <c r="S34" s="10">
        <v>0</v>
      </c>
      <c r="T34" s="10">
        <v>0</v>
      </c>
      <c r="U34" s="10">
        <v>0</v>
      </c>
      <c r="V34" s="11">
        <v>0</v>
      </c>
      <c r="W34" s="12"/>
      <c r="X34" s="17"/>
      <c r="Y34" s="13"/>
      <c r="Z34" s="13"/>
      <c r="AA34" s="13"/>
      <c r="AB34" s="14"/>
      <c r="AC34" s="9"/>
      <c r="AD34" s="16"/>
      <c r="AE34" s="10"/>
      <c r="AF34" s="10"/>
      <c r="AG34" s="10"/>
      <c r="AH34" s="11"/>
      <c r="AI34" s="12"/>
      <c r="AJ34" s="17"/>
      <c r="AK34" s="13"/>
      <c r="AL34" s="13"/>
      <c r="AM34" s="13"/>
      <c r="AN34" s="14"/>
      <c r="AO34" s="9"/>
      <c r="AP34" s="16"/>
      <c r="AQ34" s="10"/>
      <c r="AR34" s="10"/>
      <c r="AS34" s="10"/>
      <c r="AT34" s="11"/>
      <c r="AU34" s="12"/>
      <c r="AV34" s="17"/>
      <c r="AW34" s="13"/>
      <c r="AX34" s="13"/>
      <c r="AY34" s="13"/>
      <c r="AZ34" s="14"/>
      <c r="BA34" s="9"/>
      <c r="BB34" s="16"/>
      <c r="BC34" s="10"/>
      <c r="BD34" s="10"/>
      <c r="BE34" s="10"/>
      <c r="BF34" s="11"/>
      <c r="BG34" s="12"/>
      <c r="BH34" s="17"/>
      <c r="BI34" s="13"/>
      <c r="BJ34" s="13"/>
      <c r="BK34" s="13"/>
      <c r="BL34" s="14"/>
      <c r="BM34" s="8">
        <f t="shared" si="0"/>
        <v>0</v>
      </c>
      <c r="BN34" s="8">
        <f t="shared" si="1"/>
        <v>0</v>
      </c>
      <c r="BO34" s="8">
        <f t="shared" si="2"/>
        <v>0</v>
      </c>
      <c r="BP34" s="8">
        <f t="shared" si="3"/>
        <v>0</v>
      </c>
      <c r="BQ34" s="8">
        <f t="shared" si="4"/>
        <v>0</v>
      </c>
      <c r="BR34" s="8">
        <f t="shared" si="5"/>
        <v>0</v>
      </c>
      <c r="BS34" s="15">
        <f t="shared" si="6"/>
        <v>0</v>
      </c>
      <c r="BT34" s="15" t="str">
        <f t="shared" si="7"/>
        <v>OK - No Upgrade</v>
      </c>
      <c r="BU34" s="15" t="str">
        <f t="shared" si="8"/>
        <v>OK - Balanced</v>
      </c>
    </row>
    <row r="35" spans="1:73" ht="15.75" customHeight="1" x14ac:dyDescent="0.25">
      <c r="A35" s="8" t="s">
        <v>1459</v>
      </c>
      <c r="B35" s="8" t="s">
        <v>2205</v>
      </c>
      <c r="C35" s="8" t="s">
        <v>2296</v>
      </c>
      <c r="D35" s="8" t="s">
        <v>2300</v>
      </c>
      <c r="E35" s="8" t="s">
        <v>2301</v>
      </c>
      <c r="F35" s="8" t="s">
        <v>43</v>
      </c>
      <c r="G35" s="8" t="s">
        <v>44</v>
      </c>
      <c r="H35" s="8">
        <v>100</v>
      </c>
      <c r="I35" s="8" t="s">
        <v>2302</v>
      </c>
      <c r="J35" s="8">
        <v>1</v>
      </c>
      <c r="K35" s="8">
        <v>241</v>
      </c>
      <c r="L35" s="8">
        <v>239</v>
      </c>
      <c r="M35" s="8">
        <v>239</v>
      </c>
      <c r="N35" s="8">
        <v>417</v>
      </c>
      <c r="O35" s="8">
        <v>416</v>
      </c>
      <c r="P35" s="8">
        <v>415</v>
      </c>
      <c r="Q35" s="9" t="s">
        <v>46</v>
      </c>
      <c r="R35" s="16"/>
      <c r="S35" s="10">
        <v>12</v>
      </c>
      <c r="T35" s="10">
        <v>10</v>
      </c>
      <c r="U35" s="10">
        <v>25</v>
      </c>
      <c r="V35" s="11">
        <v>16</v>
      </c>
      <c r="W35" s="12" t="s">
        <v>46</v>
      </c>
      <c r="X35" s="17"/>
      <c r="Y35" s="13">
        <v>10</v>
      </c>
      <c r="Z35" s="13">
        <v>12</v>
      </c>
      <c r="AA35" s="13">
        <v>11</v>
      </c>
      <c r="AB35" s="14">
        <v>8</v>
      </c>
      <c r="AC35" s="9"/>
      <c r="AD35" s="16"/>
      <c r="AE35" s="10"/>
      <c r="AF35" s="10"/>
      <c r="AG35" s="10"/>
      <c r="AH35" s="11"/>
      <c r="AI35" s="12"/>
      <c r="AJ35" s="17"/>
      <c r="AK35" s="13"/>
      <c r="AL35" s="13"/>
      <c r="AM35" s="13"/>
      <c r="AN35" s="14"/>
      <c r="AO35" s="9"/>
      <c r="AP35" s="16"/>
      <c r="AQ35" s="10"/>
      <c r="AR35" s="10"/>
      <c r="AS35" s="10"/>
      <c r="AT35" s="11"/>
      <c r="AU35" s="12"/>
      <c r="AV35" s="17"/>
      <c r="AW35" s="13"/>
      <c r="AX35" s="13"/>
      <c r="AY35" s="13"/>
      <c r="AZ35" s="14"/>
      <c r="BA35" s="9"/>
      <c r="BB35" s="16"/>
      <c r="BC35" s="10"/>
      <c r="BD35" s="10"/>
      <c r="BE35" s="10"/>
      <c r="BF35" s="11"/>
      <c r="BG35" s="12"/>
      <c r="BH35" s="17"/>
      <c r="BI35" s="13"/>
      <c r="BJ35" s="13"/>
      <c r="BK35" s="13"/>
      <c r="BL35" s="14"/>
      <c r="BM35" s="8">
        <f t="shared" si="0"/>
        <v>22</v>
      </c>
      <c r="BN35" s="8">
        <f t="shared" si="1"/>
        <v>22</v>
      </c>
      <c r="BO35" s="8">
        <f t="shared" si="2"/>
        <v>36</v>
      </c>
      <c r="BP35" s="8">
        <f t="shared" si="3"/>
        <v>24</v>
      </c>
      <c r="BQ35" s="8">
        <f t="shared" si="4"/>
        <v>36</v>
      </c>
      <c r="BR35" s="8">
        <f t="shared" si="5"/>
        <v>22</v>
      </c>
      <c r="BS35" s="15">
        <f t="shared" si="6"/>
        <v>26.001546723223985</v>
      </c>
      <c r="BT35" s="15" t="str">
        <f t="shared" si="7"/>
        <v>OK - No Upgrade</v>
      </c>
      <c r="BU35" s="15" t="str">
        <f t="shared" si="8"/>
        <v>Need to Balance</v>
      </c>
    </row>
    <row r="36" spans="1:73" ht="15.75" customHeight="1" x14ac:dyDescent="0.25">
      <c r="A36" s="8" t="s">
        <v>1459</v>
      </c>
      <c r="B36" s="8" t="s">
        <v>2205</v>
      </c>
      <c r="C36" s="8" t="s">
        <v>2296</v>
      </c>
      <c r="D36" s="8" t="s">
        <v>2303</v>
      </c>
      <c r="E36" s="8" t="s">
        <v>2304</v>
      </c>
      <c r="F36" s="8" t="s">
        <v>43</v>
      </c>
      <c r="G36" s="8" t="s">
        <v>44</v>
      </c>
      <c r="H36" s="8">
        <v>100</v>
      </c>
      <c r="I36" s="8" t="s">
        <v>2305</v>
      </c>
      <c r="J36" s="8">
        <v>1</v>
      </c>
      <c r="K36" s="8">
        <v>241</v>
      </c>
      <c r="L36" s="8">
        <v>243</v>
      </c>
      <c r="M36" s="8">
        <v>241</v>
      </c>
      <c r="N36" s="8">
        <v>414</v>
      </c>
      <c r="O36" s="8">
        <v>415</v>
      </c>
      <c r="P36" s="8">
        <v>413</v>
      </c>
      <c r="Q36" s="9" t="s">
        <v>46</v>
      </c>
      <c r="R36" s="16"/>
      <c r="S36" s="10">
        <v>30</v>
      </c>
      <c r="T36" s="10">
        <v>22</v>
      </c>
      <c r="U36" s="10">
        <v>48</v>
      </c>
      <c r="V36" s="11">
        <v>15</v>
      </c>
      <c r="W36" s="12"/>
      <c r="X36" s="17"/>
      <c r="Y36" s="13"/>
      <c r="Z36" s="13"/>
      <c r="AA36" s="13"/>
      <c r="AB36" s="14"/>
      <c r="AC36" s="9"/>
      <c r="AD36" s="16"/>
      <c r="AE36" s="10"/>
      <c r="AF36" s="10"/>
      <c r="AG36" s="10"/>
      <c r="AH36" s="11"/>
      <c r="AI36" s="12"/>
      <c r="AJ36" s="17"/>
      <c r="AK36" s="13"/>
      <c r="AL36" s="13"/>
      <c r="AM36" s="13"/>
      <c r="AN36" s="14"/>
      <c r="AO36" s="9"/>
      <c r="AP36" s="16"/>
      <c r="AQ36" s="10"/>
      <c r="AR36" s="10"/>
      <c r="AS36" s="10"/>
      <c r="AT36" s="11"/>
      <c r="AU36" s="12"/>
      <c r="AV36" s="17"/>
      <c r="AW36" s="13"/>
      <c r="AX36" s="13"/>
      <c r="AY36" s="13"/>
      <c r="AZ36" s="14"/>
      <c r="BA36" s="9"/>
      <c r="BB36" s="16"/>
      <c r="BC36" s="10"/>
      <c r="BD36" s="10"/>
      <c r="BE36" s="10"/>
      <c r="BF36" s="11"/>
      <c r="BG36" s="12"/>
      <c r="BH36" s="17"/>
      <c r="BI36" s="13"/>
      <c r="BJ36" s="13"/>
      <c r="BK36" s="13"/>
      <c r="BL36" s="14"/>
      <c r="BM36" s="8">
        <f t="shared" ref="BM36:BM67" si="9">SUM(S36,Y36,AE36,AK36,AQ36,AW36,BC36,BI36)</f>
        <v>30</v>
      </c>
      <c r="BN36" s="8">
        <f t="shared" ref="BN36:BN67" si="10">SUM(T36,Z36,AF36,AL36,AR36,AX36,BD36,BJ36)</f>
        <v>22</v>
      </c>
      <c r="BO36" s="8">
        <f t="shared" ref="BO36:BO67" si="11">SUM(U36,AA36,AG36,AM36,AS36,AY36,BE36,BK36)</f>
        <v>48</v>
      </c>
      <c r="BP36" s="8">
        <f t="shared" ref="BP36:BP67" si="12">SUM(V36,AB36,AH36,AN36,AT36,AZ36,BF36,BL36)</f>
        <v>15</v>
      </c>
      <c r="BQ36" s="8">
        <f t="shared" ref="BQ36:BQ67" si="13">MAX(BM36:BO36)</f>
        <v>48</v>
      </c>
      <c r="BR36" s="8">
        <f t="shared" ref="BR36:BR67" si="14">MIN(BM36:BO36)</f>
        <v>22</v>
      </c>
      <c r="BS36" s="15">
        <f t="shared" ref="BS36:BS67" si="15">IF(H36&gt;0,(BQ36*SQRT(3)*IF(N36&gt;0,N36,IF(O36&gt;0,O36,IF(P36&gt;0,P36,415)))/(H36*1000))*100,0)</f>
        <v>34.419313648008725</v>
      </c>
      <c r="BT36" s="15" t="str">
        <f t="shared" ref="BT36:BT67" si="16">IF(BS36&gt;70,"Upgrade","OK - No Upgrade")</f>
        <v>OK - No Upgrade</v>
      </c>
      <c r="BU36" s="15" t="str">
        <f t="shared" ref="BU36:BU67" si="17">IF(IF(AVERAGE(BM36:BO36)&gt;0,((BQ36-AVERAGE(BM36:BO36))/AVERAGE(BM36:BO36))*100,0)&gt;10,"Need to Balance","OK - Balanced")</f>
        <v>Need to Balance</v>
      </c>
    </row>
    <row r="37" spans="1:73" ht="15.75" customHeight="1" x14ac:dyDescent="0.25">
      <c r="A37" s="8" t="s">
        <v>1459</v>
      </c>
      <c r="B37" s="8" t="s">
        <v>2205</v>
      </c>
      <c r="C37" s="8" t="s">
        <v>2296</v>
      </c>
      <c r="D37" s="8" t="s">
        <v>2306</v>
      </c>
      <c r="E37" s="8" t="s">
        <v>2307</v>
      </c>
      <c r="F37" s="8" t="s">
        <v>43</v>
      </c>
      <c r="G37" s="8" t="s">
        <v>44</v>
      </c>
      <c r="H37" s="8">
        <v>100</v>
      </c>
      <c r="I37" s="8" t="s">
        <v>2308</v>
      </c>
      <c r="J37" s="8">
        <v>1</v>
      </c>
      <c r="K37" s="8">
        <v>240</v>
      </c>
      <c r="L37" s="8">
        <v>242</v>
      </c>
      <c r="M37" s="8">
        <v>241</v>
      </c>
      <c r="N37" s="8">
        <v>415</v>
      </c>
      <c r="O37" s="8">
        <v>416</v>
      </c>
      <c r="P37" s="8">
        <v>414</v>
      </c>
      <c r="Q37" s="9" t="s">
        <v>46</v>
      </c>
      <c r="R37" s="16"/>
      <c r="S37" s="10">
        <v>51</v>
      </c>
      <c r="T37" s="10">
        <v>58</v>
      </c>
      <c r="U37" s="10">
        <v>63</v>
      </c>
      <c r="V37" s="11">
        <v>14</v>
      </c>
      <c r="W37" s="12"/>
      <c r="X37" s="17"/>
      <c r="Y37" s="13"/>
      <c r="Z37" s="13"/>
      <c r="AA37" s="13"/>
      <c r="AB37" s="14"/>
      <c r="AC37" s="9"/>
      <c r="AD37" s="16"/>
      <c r="AE37" s="10"/>
      <c r="AF37" s="10"/>
      <c r="AG37" s="10"/>
      <c r="AH37" s="11"/>
      <c r="AI37" s="12"/>
      <c r="AJ37" s="17"/>
      <c r="AK37" s="13"/>
      <c r="AL37" s="13"/>
      <c r="AM37" s="13"/>
      <c r="AN37" s="14"/>
      <c r="AO37" s="9"/>
      <c r="AP37" s="16"/>
      <c r="AQ37" s="10"/>
      <c r="AR37" s="10"/>
      <c r="AS37" s="10"/>
      <c r="AT37" s="11"/>
      <c r="AU37" s="12"/>
      <c r="AV37" s="17"/>
      <c r="AW37" s="13"/>
      <c r="AX37" s="13"/>
      <c r="AY37" s="13"/>
      <c r="AZ37" s="14"/>
      <c r="BA37" s="9"/>
      <c r="BB37" s="16"/>
      <c r="BC37" s="10"/>
      <c r="BD37" s="10"/>
      <c r="BE37" s="10"/>
      <c r="BF37" s="11"/>
      <c r="BG37" s="12"/>
      <c r="BH37" s="17"/>
      <c r="BI37" s="13"/>
      <c r="BJ37" s="13"/>
      <c r="BK37" s="13"/>
      <c r="BL37" s="14"/>
      <c r="BM37" s="8">
        <f t="shared" si="9"/>
        <v>51</v>
      </c>
      <c r="BN37" s="8">
        <f t="shared" si="10"/>
        <v>58</v>
      </c>
      <c r="BO37" s="8">
        <f t="shared" si="11"/>
        <v>63</v>
      </c>
      <c r="BP37" s="8">
        <f t="shared" si="12"/>
        <v>14</v>
      </c>
      <c r="BQ37" s="8">
        <f t="shared" si="13"/>
        <v>63</v>
      </c>
      <c r="BR37" s="8">
        <f t="shared" si="14"/>
        <v>51</v>
      </c>
      <c r="BS37" s="15">
        <f t="shared" si="15"/>
        <v>45.284468363888294</v>
      </c>
      <c r="BT37" s="15" t="str">
        <f t="shared" si="16"/>
        <v>OK - No Upgrade</v>
      </c>
      <c r="BU37" s="15" t="str">
        <f t="shared" si="17"/>
        <v>OK - Balanced</v>
      </c>
    </row>
    <row r="38" spans="1:73" ht="15.75" customHeight="1" x14ac:dyDescent="0.25">
      <c r="A38" s="8" t="s">
        <v>1459</v>
      </c>
      <c r="B38" s="8" t="s">
        <v>2205</v>
      </c>
      <c r="C38" s="8" t="s">
        <v>2296</v>
      </c>
      <c r="D38" s="8" t="s">
        <v>2309</v>
      </c>
      <c r="E38" s="8" t="s">
        <v>2310</v>
      </c>
      <c r="F38" s="8" t="s">
        <v>43</v>
      </c>
      <c r="G38" s="8" t="s">
        <v>44</v>
      </c>
      <c r="H38" s="8">
        <v>100</v>
      </c>
      <c r="I38" s="8" t="s">
        <v>1505</v>
      </c>
      <c r="J38" s="8">
        <v>1</v>
      </c>
      <c r="K38" s="8">
        <v>239</v>
      </c>
      <c r="L38" s="8">
        <v>237</v>
      </c>
      <c r="M38" s="8">
        <v>238</v>
      </c>
      <c r="N38" s="8">
        <v>412</v>
      </c>
      <c r="O38" s="8">
        <v>413</v>
      </c>
      <c r="P38" s="8">
        <v>413</v>
      </c>
      <c r="Q38" s="9" t="s">
        <v>46</v>
      </c>
      <c r="R38" s="16"/>
      <c r="S38" s="10">
        <v>0</v>
      </c>
      <c r="T38" s="10">
        <v>0</v>
      </c>
      <c r="U38" s="10">
        <v>0</v>
      </c>
      <c r="V38" s="11">
        <v>0</v>
      </c>
      <c r="W38" s="12"/>
      <c r="X38" s="17"/>
      <c r="Y38" s="13"/>
      <c r="Z38" s="13"/>
      <c r="AA38" s="13"/>
      <c r="AB38" s="14"/>
      <c r="AC38" s="9"/>
      <c r="AD38" s="16"/>
      <c r="AE38" s="10"/>
      <c r="AF38" s="10"/>
      <c r="AG38" s="10"/>
      <c r="AH38" s="11"/>
      <c r="AI38" s="12"/>
      <c r="AJ38" s="17"/>
      <c r="AK38" s="13"/>
      <c r="AL38" s="13"/>
      <c r="AM38" s="13"/>
      <c r="AN38" s="14"/>
      <c r="AO38" s="9"/>
      <c r="AP38" s="16"/>
      <c r="AQ38" s="10"/>
      <c r="AR38" s="10"/>
      <c r="AS38" s="10"/>
      <c r="AT38" s="11"/>
      <c r="AU38" s="12"/>
      <c r="AV38" s="17"/>
      <c r="AW38" s="13"/>
      <c r="AX38" s="13"/>
      <c r="AY38" s="13"/>
      <c r="AZ38" s="14"/>
      <c r="BA38" s="9"/>
      <c r="BB38" s="16"/>
      <c r="BC38" s="10"/>
      <c r="BD38" s="10"/>
      <c r="BE38" s="10"/>
      <c r="BF38" s="11"/>
      <c r="BG38" s="12"/>
      <c r="BH38" s="17"/>
      <c r="BI38" s="13"/>
      <c r="BJ38" s="13"/>
      <c r="BK38" s="13"/>
      <c r="BL38" s="14"/>
      <c r="BM38" s="8">
        <f t="shared" si="9"/>
        <v>0</v>
      </c>
      <c r="BN38" s="8">
        <f t="shared" si="10"/>
        <v>0</v>
      </c>
      <c r="BO38" s="8">
        <f t="shared" si="11"/>
        <v>0</v>
      </c>
      <c r="BP38" s="8">
        <f t="shared" si="12"/>
        <v>0</v>
      </c>
      <c r="BQ38" s="8">
        <f t="shared" si="13"/>
        <v>0</v>
      </c>
      <c r="BR38" s="8">
        <f t="shared" si="14"/>
        <v>0</v>
      </c>
      <c r="BS38" s="15">
        <f t="shared" si="15"/>
        <v>0</v>
      </c>
      <c r="BT38" s="15" t="str">
        <f t="shared" si="16"/>
        <v>OK - No Upgrade</v>
      </c>
      <c r="BU38" s="15" t="str">
        <f t="shared" si="17"/>
        <v>OK - Balanced</v>
      </c>
    </row>
    <row r="39" spans="1:73" ht="15.75" customHeight="1" x14ac:dyDescent="0.25">
      <c r="A39" s="8" t="s">
        <v>1459</v>
      </c>
      <c r="B39" s="8" t="s">
        <v>2205</v>
      </c>
      <c r="C39" s="8" t="s">
        <v>2296</v>
      </c>
      <c r="D39" s="8" t="s">
        <v>2311</v>
      </c>
      <c r="E39" s="8" t="s">
        <v>2312</v>
      </c>
      <c r="F39" s="8" t="s">
        <v>43</v>
      </c>
      <c r="G39" s="8" t="s">
        <v>44</v>
      </c>
      <c r="H39" s="8">
        <v>100</v>
      </c>
      <c r="I39" s="8" t="s">
        <v>1507</v>
      </c>
      <c r="J39" s="8">
        <v>1</v>
      </c>
      <c r="K39" s="8">
        <v>241</v>
      </c>
      <c r="L39" s="8">
        <v>243</v>
      </c>
      <c r="M39" s="8">
        <v>244</v>
      </c>
      <c r="N39" s="8">
        <v>413</v>
      </c>
      <c r="O39" s="8">
        <v>414</v>
      </c>
      <c r="P39" s="8">
        <v>413</v>
      </c>
      <c r="Q39" s="9" t="s">
        <v>46</v>
      </c>
      <c r="R39" s="16"/>
      <c r="S39" s="10">
        <v>0</v>
      </c>
      <c r="T39" s="10">
        <v>0</v>
      </c>
      <c r="U39" s="10">
        <v>0</v>
      </c>
      <c r="V39" s="11">
        <v>0</v>
      </c>
      <c r="W39" s="12"/>
      <c r="X39" s="17"/>
      <c r="Y39" s="13"/>
      <c r="Z39" s="13"/>
      <c r="AA39" s="13"/>
      <c r="AB39" s="14"/>
      <c r="AC39" s="9"/>
      <c r="AD39" s="16"/>
      <c r="AE39" s="10"/>
      <c r="AF39" s="10"/>
      <c r="AG39" s="10"/>
      <c r="AH39" s="11"/>
      <c r="AI39" s="12"/>
      <c r="AJ39" s="17"/>
      <c r="AK39" s="13"/>
      <c r="AL39" s="13"/>
      <c r="AM39" s="13"/>
      <c r="AN39" s="14"/>
      <c r="AO39" s="9"/>
      <c r="AP39" s="16"/>
      <c r="AQ39" s="10"/>
      <c r="AR39" s="10"/>
      <c r="AS39" s="10"/>
      <c r="AT39" s="11"/>
      <c r="AU39" s="12"/>
      <c r="AV39" s="17"/>
      <c r="AW39" s="13"/>
      <c r="AX39" s="13"/>
      <c r="AY39" s="13"/>
      <c r="AZ39" s="14"/>
      <c r="BA39" s="9"/>
      <c r="BB39" s="16"/>
      <c r="BC39" s="10"/>
      <c r="BD39" s="10"/>
      <c r="BE39" s="10"/>
      <c r="BF39" s="11"/>
      <c r="BG39" s="12"/>
      <c r="BH39" s="17"/>
      <c r="BI39" s="13"/>
      <c r="BJ39" s="13"/>
      <c r="BK39" s="13"/>
      <c r="BL39" s="14"/>
      <c r="BM39" s="8">
        <f t="shared" si="9"/>
        <v>0</v>
      </c>
      <c r="BN39" s="8">
        <f t="shared" si="10"/>
        <v>0</v>
      </c>
      <c r="BO39" s="8">
        <f t="shared" si="11"/>
        <v>0</v>
      </c>
      <c r="BP39" s="8">
        <f t="shared" si="12"/>
        <v>0</v>
      </c>
      <c r="BQ39" s="8">
        <f t="shared" si="13"/>
        <v>0</v>
      </c>
      <c r="BR39" s="8">
        <f t="shared" si="14"/>
        <v>0</v>
      </c>
      <c r="BS39" s="15">
        <f t="shared" si="15"/>
        <v>0</v>
      </c>
      <c r="BT39" s="15" t="str">
        <f t="shared" si="16"/>
        <v>OK - No Upgrade</v>
      </c>
      <c r="BU39" s="15" t="str">
        <f t="shared" si="17"/>
        <v>OK - Balanced</v>
      </c>
    </row>
    <row r="40" spans="1:73" ht="15.75" customHeight="1" x14ac:dyDescent="0.25">
      <c r="A40" s="8" t="s">
        <v>1459</v>
      </c>
      <c r="B40" s="8" t="s">
        <v>2205</v>
      </c>
      <c r="C40" s="8" t="s">
        <v>2296</v>
      </c>
      <c r="D40" s="8" t="s">
        <v>2313</v>
      </c>
      <c r="E40" s="8" t="s">
        <v>2314</v>
      </c>
      <c r="F40" s="8" t="s">
        <v>43</v>
      </c>
      <c r="G40" s="8" t="s">
        <v>44</v>
      </c>
      <c r="H40" s="8">
        <v>100</v>
      </c>
      <c r="I40" s="8" t="s">
        <v>2315</v>
      </c>
      <c r="J40" s="8">
        <v>1</v>
      </c>
      <c r="K40" s="8">
        <v>240</v>
      </c>
      <c r="L40" s="8">
        <v>242</v>
      </c>
      <c r="M40" s="8">
        <v>241</v>
      </c>
      <c r="N40" s="8">
        <v>411</v>
      </c>
      <c r="O40" s="8">
        <v>413</v>
      </c>
      <c r="P40" s="8">
        <v>416</v>
      </c>
      <c r="Q40" s="9" t="s">
        <v>46</v>
      </c>
      <c r="R40" s="16"/>
      <c r="S40" s="10">
        <v>10</v>
      </c>
      <c r="T40" s="10">
        <v>0</v>
      </c>
      <c r="U40" s="10">
        <v>0</v>
      </c>
      <c r="V40" s="11">
        <v>8</v>
      </c>
      <c r="W40" s="12"/>
      <c r="X40" s="17"/>
      <c r="Y40" s="13"/>
      <c r="Z40" s="13"/>
      <c r="AA40" s="13"/>
      <c r="AB40" s="14"/>
      <c r="AC40" s="9"/>
      <c r="AD40" s="16"/>
      <c r="AE40" s="10"/>
      <c r="AF40" s="10"/>
      <c r="AG40" s="10"/>
      <c r="AH40" s="11"/>
      <c r="AI40" s="12"/>
      <c r="AJ40" s="17"/>
      <c r="AK40" s="13"/>
      <c r="AL40" s="13"/>
      <c r="AM40" s="13"/>
      <c r="AN40" s="14"/>
      <c r="AO40" s="9"/>
      <c r="AP40" s="16"/>
      <c r="AQ40" s="10"/>
      <c r="AR40" s="10"/>
      <c r="AS40" s="10"/>
      <c r="AT40" s="11"/>
      <c r="AU40" s="12"/>
      <c r="AV40" s="17"/>
      <c r="AW40" s="13"/>
      <c r="AX40" s="13"/>
      <c r="AY40" s="13"/>
      <c r="AZ40" s="14"/>
      <c r="BA40" s="9"/>
      <c r="BB40" s="16"/>
      <c r="BC40" s="10"/>
      <c r="BD40" s="10"/>
      <c r="BE40" s="10"/>
      <c r="BF40" s="11"/>
      <c r="BG40" s="12"/>
      <c r="BH40" s="17"/>
      <c r="BI40" s="13"/>
      <c r="BJ40" s="13"/>
      <c r="BK40" s="13"/>
      <c r="BL40" s="14"/>
      <c r="BM40" s="8">
        <f t="shared" si="9"/>
        <v>10</v>
      </c>
      <c r="BN40" s="8">
        <f t="shared" si="10"/>
        <v>0</v>
      </c>
      <c r="BO40" s="8">
        <f t="shared" si="11"/>
        <v>0</v>
      </c>
      <c r="BP40" s="8">
        <f t="shared" si="12"/>
        <v>8</v>
      </c>
      <c r="BQ40" s="8">
        <f t="shared" si="13"/>
        <v>10</v>
      </c>
      <c r="BR40" s="8">
        <f t="shared" si="14"/>
        <v>0</v>
      </c>
      <c r="BS40" s="15">
        <f t="shared" si="15"/>
        <v>7.1187288191080844</v>
      </c>
      <c r="BT40" s="15" t="str">
        <f t="shared" si="16"/>
        <v>OK - No Upgrade</v>
      </c>
      <c r="BU40" s="15" t="str">
        <f t="shared" si="17"/>
        <v>Need to Balance</v>
      </c>
    </row>
    <row r="41" spans="1:73" ht="15.75" customHeight="1" x14ac:dyDescent="0.25">
      <c r="A41" s="8" t="s">
        <v>1459</v>
      </c>
      <c r="B41" s="8" t="s">
        <v>2205</v>
      </c>
      <c r="C41" s="8" t="s">
        <v>2296</v>
      </c>
      <c r="D41" s="8" t="s">
        <v>2316</v>
      </c>
      <c r="E41" s="8" t="s">
        <v>2317</v>
      </c>
      <c r="F41" s="8" t="s">
        <v>43</v>
      </c>
      <c r="G41" s="8"/>
      <c r="H41" s="8">
        <v>100</v>
      </c>
      <c r="I41" s="8" t="s">
        <v>2318</v>
      </c>
      <c r="J41" s="8">
        <v>1</v>
      </c>
      <c r="K41" s="8">
        <v>235</v>
      </c>
      <c r="L41" s="8">
        <v>235</v>
      </c>
      <c r="M41" s="8">
        <v>236</v>
      </c>
      <c r="N41" s="8">
        <v>407</v>
      </c>
      <c r="O41" s="8">
        <v>408</v>
      </c>
      <c r="P41" s="8">
        <v>402</v>
      </c>
      <c r="Q41" s="9" t="s">
        <v>334</v>
      </c>
      <c r="R41" s="16"/>
      <c r="S41" s="10">
        <v>7</v>
      </c>
      <c r="T41" s="10">
        <v>8</v>
      </c>
      <c r="U41" s="10">
        <v>2</v>
      </c>
      <c r="V41" s="11">
        <v>5</v>
      </c>
      <c r="W41" s="12"/>
      <c r="X41" s="17"/>
      <c r="Y41" s="13"/>
      <c r="Z41" s="13"/>
      <c r="AA41" s="13"/>
      <c r="AB41" s="14"/>
      <c r="AC41" s="9"/>
      <c r="AD41" s="16"/>
      <c r="AE41" s="10"/>
      <c r="AF41" s="10"/>
      <c r="AG41" s="10"/>
      <c r="AH41" s="11"/>
      <c r="AI41" s="12"/>
      <c r="AJ41" s="17"/>
      <c r="AK41" s="13"/>
      <c r="AL41" s="13"/>
      <c r="AM41" s="13"/>
      <c r="AN41" s="14"/>
      <c r="AO41" s="9"/>
      <c r="AP41" s="16"/>
      <c r="AQ41" s="10"/>
      <c r="AR41" s="10"/>
      <c r="AS41" s="10"/>
      <c r="AT41" s="11"/>
      <c r="AU41" s="12"/>
      <c r="AV41" s="17"/>
      <c r="AW41" s="13"/>
      <c r="AX41" s="13"/>
      <c r="AY41" s="13"/>
      <c r="AZ41" s="14"/>
      <c r="BA41" s="9"/>
      <c r="BB41" s="16"/>
      <c r="BC41" s="10"/>
      <c r="BD41" s="10"/>
      <c r="BE41" s="10"/>
      <c r="BF41" s="11"/>
      <c r="BG41" s="12"/>
      <c r="BH41" s="17"/>
      <c r="BI41" s="13"/>
      <c r="BJ41" s="13"/>
      <c r="BK41" s="13"/>
      <c r="BL41" s="14"/>
      <c r="BM41" s="8">
        <f t="shared" si="9"/>
        <v>7</v>
      </c>
      <c r="BN41" s="8">
        <f t="shared" si="10"/>
        <v>8</v>
      </c>
      <c r="BO41" s="8">
        <f t="shared" si="11"/>
        <v>2</v>
      </c>
      <c r="BP41" s="8">
        <f t="shared" si="12"/>
        <v>5</v>
      </c>
      <c r="BQ41" s="8">
        <f t="shared" si="13"/>
        <v>8</v>
      </c>
      <c r="BR41" s="8">
        <f t="shared" si="14"/>
        <v>2</v>
      </c>
      <c r="BS41" s="15">
        <f t="shared" si="15"/>
        <v>5.6395574294442641</v>
      </c>
      <c r="BT41" s="15" t="str">
        <f t="shared" si="16"/>
        <v>OK - No Upgrade</v>
      </c>
      <c r="BU41" s="15" t="str">
        <f t="shared" si="17"/>
        <v>Need to Balance</v>
      </c>
    </row>
    <row r="42" spans="1:73" ht="15.75" customHeight="1" x14ac:dyDescent="0.25">
      <c r="A42" s="8" t="s">
        <v>1459</v>
      </c>
      <c r="B42" s="8" t="s">
        <v>2205</v>
      </c>
      <c r="C42" s="8" t="s">
        <v>2296</v>
      </c>
      <c r="D42" s="8" t="s">
        <v>2319</v>
      </c>
      <c r="E42" s="8" t="s">
        <v>2320</v>
      </c>
      <c r="F42" s="8" t="s">
        <v>43</v>
      </c>
      <c r="G42" s="8"/>
      <c r="H42" s="8">
        <v>100</v>
      </c>
      <c r="I42" s="8" t="s">
        <v>2321</v>
      </c>
      <c r="J42" s="8">
        <v>1</v>
      </c>
      <c r="K42" s="8">
        <v>246</v>
      </c>
      <c r="L42" s="8">
        <v>247</v>
      </c>
      <c r="M42" s="8">
        <v>245</v>
      </c>
      <c r="N42" s="8">
        <v>424</v>
      </c>
      <c r="O42" s="8">
        <v>429</v>
      </c>
      <c r="P42" s="8">
        <v>428</v>
      </c>
      <c r="Q42" s="9" t="s">
        <v>46</v>
      </c>
      <c r="R42" s="16"/>
      <c r="S42" s="10">
        <v>15</v>
      </c>
      <c r="T42" s="10">
        <v>17</v>
      </c>
      <c r="U42" s="10">
        <v>42</v>
      </c>
      <c r="V42" s="11">
        <v>24</v>
      </c>
      <c r="W42" s="12"/>
      <c r="X42" s="17"/>
      <c r="Y42" s="13"/>
      <c r="Z42" s="13"/>
      <c r="AA42" s="13"/>
      <c r="AB42" s="14"/>
      <c r="AC42" s="9"/>
      <c r="AD42" s="16"/>
      <c r="AE42" s="10"/>
      <c r="AF42" s="10"/>
      <c r="AG42" s="10"/>
      <c r="AH42" s="11"/>
      <c r="AI42" s="12"/>
      <c r="AJ42" s="17"/>
      <c r="AK42" s="13"/>
      <c r="AL42" s="13"/>
      <c r="AM42" s="13"/>
      <c r="AN42" s="14"/>
      <c r="AO42" s="9"/>
      <c r="AP42" s="16"/>
      <c r="AQ42" s="10"/>
      <c r="AR42" s="10"/>
      <c r="AS42" s="10"/>
      <c r="AT42" s="11"/>
      <c r="AU42" s="12"/>
      <c r="AV42" s="17"/>
      <c r="AW42" s="13"/>
      <c r="AX42" s="13"/>
      <c r="AY42" s="13"/>
      <c r="AZ42" s="14"/>
      <c r="BA42" s="9"/>
      <c r="BB42" s="16"/>
      <c r="BC42" s="10"/>
      <c r="BD42" s="10"/>
      <c r="BE42" s="10"/>
      <c r="BF42" s="11"/>
      <c r="BG42" s="12"/>
      <c r="BH42" s="17"/>
      <c r="BI42" s="13"/>
      <c r="BJ42" s="13"/>
      <c r="BK42" s="13"/>
      <c r="BL42" s="14"/>
      <c r="BM42" s="8">
        <f t="shared" si="9"/>
        <v>15</v>
      </c>
      <c r="BN42" s="8">
        <f t="shared" si="10"/>
        <v>17</v>
      </c>
      <c r="BO42" s="8">
        <f t="shared" si="11"/>
        <v>42</v>
      </c>
      <c r="BP42" s="8">
        <f t="shared" si="12"/>
        <v>24</v>
      </c>
      <c r="BQ42" s="8">
        <f t="shared" si="13"/>
        <v>42</v>
      </c>
      <c r="BR42" s="8">
        <f t="shared" si="14"/>
        <v>15</v>
      </c>
      <c r="BS42" s="15">
        <f t="shared" si="15"/>
        <v>30.844360781186563</v>
      </c>
      <c r="BT42" s="15" t="str">
        <f t="shared" si="16"/>
        <v>OK - No Upgrade</v>
      </c>
      <c r="BU42" s="15" t="str">
        <f t="shared" si="17"/>
        <v>Need to Balance</v>
      </c>
    </row>
    <row r="43" spans="1:73" ht="15.75" customHeight="1" x14ac:dyDescent="0.25">
      <c r="A43" s="8" t="s">
        <v>1459</v>
      </c>
      <c r="B43" s="8" t="s">
        <v>2205</v>
      </c>
      <c r="C43" s="8" t="s">
        <v>2296</v>
      </c>
      <c r="D43" s="8" t="s">
        <v>2322</v>
      </c>
      <c r="E43" s="8" t="s">
        <v>2323</v>
      </c>
      <c r="F43" s="8" t="s">
        <v>43</v>
      </c>
      <c r="G43" s="8"/>
      <c r="H43" s="8">
        <v>315</v>
      </c>
      <c r="I43" s="8" t="s">
        <v>2324</v>
      </c>
      <c r="J43" s="8">
        <v>1</v>
      </c>
      <c r="K43" s="8">
        <v>239</v>
      </c>
      <c r="L43" s="8">
        <v>239</v>
      </c>
      <c r="M43" s="8">
        <v>240</v>
      </c>
      <c r="N43" s="8">
        <v>416</v>
      </c>
      <c r="O43" s="8">
        <v>416</v>
      </c>
      <c r="P43" s="8">
        <v>414</v>
      </c>
      <c r="Q43" s="9" t="s">
        <v>47</v>
      </c>
      <c r="R43" s="16"/>
      <c r="S43" s="10">
        <v>10</v>
      </c>
      <c r="T43" s="10">
        <v>25</v>
      </c>
      <c r="U43" s="10">
        <v>20</v>
      </c>
      <c r="V43" s="11">
        <v>19</v>
      </c>
      <c r="W43" s="12" t="s">
        <v>46</v>
      </c>
      <c r="X43" s="17"/>
      <c r="Y43" s="13">
        <v>8</v>
      </c>
      <c r="Z43" s="13">
        <v>24</v>
      </c>
      <c r="AA43" s="13">
        <v>13</v>
      </c>
      <c r="AB43" s="14">
        <v>15</v>
      </c>
      <c r="AC43" s="9"/>
      <c r="AD43" s="16"/>
      <c r="AE43" s="10"/>
      <c r="AF43" s="10"/>
      <c r="AG43" s="10"/>
      <c r="AH43" s="11"/>
      <c r="AI43" s="12"/>
      <c r="AJ43" s="17"/>
      <c r="AK43" s="13"/>
      <c r="AL43" s="13"/>
      <c r="AM43" s="13"/>
      <c r="AN43" s="14"/>
      <c r="AO43" s="9"/>
      <c r="AP43" s="16"/>
      <c r="AQ43" s="10"/>
      <c r="AR43" s="10"/>
      <c r="AS43" s="10"/>
      <c r="AT43" s="11"/>
      <c r="AU43" s="12"/>
      <c r="AV43" s="17"/>
      <c r="AW43" s="13"/>
      <c r="AX43" s="13"/>
      <c r="AY43" s="13"/>
      <c r="AZ43" s="14"/>
      <c r="BA43" s="9"/>
      <c r="BB43" s="16"/>
      <c r="BC43" s="10"/>
      <c r="BD43" s="10"/>
      <c r="BE43" s="10"/>
      <c r="BF43" s="11"/>
      <c r="BG43" s="12"/>
      <c r="BH43" s="17"/>
      <c r="BI43" s="13"/>
      <c r="BJ43" s="13"/>
      <c r="BK43" s="13"/>
      <c r="BL43" s="14"/>
      <c r="BM43" s="8">
        <f t="shared" si="9"/>
        <v>18</v>
      </c>
      <c r="BN43" s="8">
        <f t="shared" si="10"/>
        <v>49</v>
      </c>
      <c r="BO43" s="8">
        <f t="shared" si="11"/>
        <v>33</v>
      </c>
      <c r="BP43" s="8">
        <f t="shared" si="12"/>
        <v>34</v>
      </c>
      <c r="BQ43" s="8">
        <f t="shared" si="13"/>
        <v>49</v>
      </c>
      <c r="BR43" s="8">
        <f t="shared" si="14"/>
        <v>18</v>
      </c>
      <c r="BS43" s="15">
        <f t="shared" si="15"/>
        <v>11.208293225867935</v>
      </c>
      <c r="BT43" s="15" t="str">
        <f t="shared" si="16"/>
        <v>OK - No Upgrade</v>
      </c>
      <c r="BU43" s="15" t="str">
        <f t="shared" si="17"/>
        <v>Need to Balance</v>
      </c>
    </row>
    <row r="44" spans="1:73" ht="15.75" customHeight="1" x14ac:dyDescent="0.25">
      <c r="A44" s="8" t="s">
        <v>1459</v>
      </c>
      <c r="B44" s="8" t="s">
        <v>2205</v>
      </c>
      <c r="C44" s="8" t="s">
        <v>2296</v>
      </c>
      <c r="D44" s="8" t="s">
        <v>2325</v>
      </c>
      <c r="E44" s="8" t="s">
        <v>2326</v>
      </c>
      <c r="F44" s="8" t="s">
        <v>43</v>
      </c>
      <c r="G44" s="8"/>
      <c r="H44" s="8">
        <v>200</v>
      </c>
      <c r="I44" s="8" t="s">
        <v>717</v>
      </c>
      <c r="J44" s="8">
        <v>1</v>
      </c>
      <c r="K44" s="8">
        <v>238</v>
      </c>
      <c r="L44" s="8">
        <v>235</v>
      </c>
      <c r="M44" s="8">
        <v>239</v>
      </c>
      <c r="N44" s="8">
        <v>413</v>
      </c>
      <c r="O44" s="8">
        <v>410</v>
      </c>
      <c r="P44" s="8">
        <v>412</v>
      </c>
      <c r="Q44" s="9" t="s">
        <v>46</v>
      </c>
      <c r="R44" s="16"/>
      <c r="S44" s="10">
        <v>50</v>
      </c>
      <c r="T44" s="10">
        <v>88</v>
      </c>
      <c r="U44" s="10">
        <v>61</v>
      </c>
      <c r="V44" s="11">
        <v>38</v>
      </c>
      <c r="W44" s="12" t="s">
        <v>46</v>
      </c>
      <c r="X44" s="17"/>
      <c r="Y44" s="13">
        <v>1</v>
      </c>
      <c r="Z44" s="13">
        <v>3</v>
      </c>
      <c r="AA44" s="13">
        <v>2</v>
      </c>
      <c r="AB44" s="14">
        <v>4</v>
      </c>
      <c r="AC44" s="9"/>
      <c r="AD44" s="16"/>
      <c r="AE44" s="10"/>
      <c r="AF44" s="10"/>
      <c r="AG44" s="10"/>
      <c r="AH44" s="11"/>
      <c r="AI44" s="12"/>
      <c r="AJ44" s="17"/>
      <c r="AK44" s="13"/>
      <c r="AL44" s="13"/>
      <c r="AM44" s="13"/>
      <c r="AN44" s="14"/>
      <c r="AO44" s="9"/>
      <c r="AP44" s="16"/>
      <c r="AQ44" s="10"/>
      <c r="AR44" s="10"/>
      <c r="AS44" s="10"/>
      <c r="AT44" s="11"/>
      <c r="AU44" s="12"/>
      <c r="AV44" s="17"/>
      <c r="AW44" s="13"/>
      <c r="AX44" s="13"/>
      <c r="AY44" s="13"/>
      <c r="AZ44" s="14"/>
      <c r="BA44" s="9"/>
      <c r="BB44" s="16"/>
      <c r="BC44" s="10"/>
      <c r="BD44" s="10"/>
      <c r="BE44" s="10"/>
      <c r="BF44" s="11"/>
      <c r="BG44" s="12"/>
      <c r="BH44" s="17"/>
      <c r="BI44" s="13"/>
      <c r="BJ44" s="13"/>
      <c r="BK44" s="13"/>
      <c r="BL44" s="14"/>
      <c r="BM44" s="8">
        <f t="shared" si="9"/>
        <v>51</v>
      </c>
      <c r="BN44" s="8">
        <f t="shared" si="10"/>
        <v>91</v>
      </c>
      <c r="BO44" s="8">
        <f t="shared" si="11"/>
        <v>63</v>
      </c>
      <c r="BP44" s="8">
        <f t="shared" si="12"/>
        <v>42</v>
      </c>
      <c r="BQ44" s="8">
        <f t="shared" si="13"/>
        <v>91</v>
      </c>
      <c r="BR44" s="8">
        <f t="shared" si="14"/>
        <v>51</v>
      </c>
      <c r="BS44" s="15">
        <f t="shared" si="15"/>
        <v>32.547832750430558</v>
      </c>
      <c r="BT44" s="15" t="str">
        <f t="shared" si="16"/>
        <v>OK - No Upgrade</v>
      </c>
      <c r="BU44" s="15" t="str">
        <f t="shared" si="17"/>
        <v>Need to Balance</v>
      </c>
    </row>
    <row r="45" spans="1:73" ht="15.75" customHeight="1" x14ac:dyDescent="0.25">
      <c r="A45" s="8" t="s">
        <v>1459</v>
      </c>
      <c r="B45" s="8" t="s">
        <v>2205</v>
      </c>
      <c r="C45" s="8" t="s">
        <v>2296</v>
      </c>
      <c r="D45" s="8" t="s">
        <v>2327</v>
      </c>
      <c r="E45" s="8" t="s">
        <v>2328</v>
      </c>
      <c r="F45" s="8" t="s">
        <v>43</v>
      </c>
      <c r="G45" s="8"/>
      <c r="H45" s="8">
        <v>100</v>
      </c>
      <c r="I45" s="8" t="s">
        <v>2329</v>
      </c>
      <c r="J45" s="8">
        <v>1</v>
      </c>
      <c r="K45" s="8">
        <v>239</v>
      </c>
      <c r="L45" s="8">
        <v>241</v>
      </c>
      <c r="M45" s="8">
        <v>240</v>
      </c>
      <c r="N45" s="8">
        <v>414</v>
      </c>
      <c r="O45" s="8">
        <v>417</v>
      </c>
      <c r="P45" s="8">
        <v>415</v>
      </c>
      <c r="Q45" s="9" t="s">
        <v>46</v>
      </c>
      <c r="R45" s="16"/>
      <c r="S45" s="10">
        <v>0</v>
      </c>
      <c r="T45" s="10">
        <v>0</v>
      </c>
      <c r="U45" s="10">
        <v>0</v>
      </c>
      <c r="V45" s="11">
        <v>0</v>
      </c>
      <c r="W45" s="12"/>
      <c r="X45" s="17"/>
      <c r="Y45" s="13"/>
      <c r="Z45" s="13"/>
      <c r="AA45" s="13"/>
      <c r="AB45" s="14"/>
      <c r="AC45" s="9"/>
      <c r="AD45" s="16"/>
      <c r="AE45" s="10"/>
      <c r="AF45" s="10"/>
      <c r="AG45" s="10"/>
      <c r="AH45" s="11"/>
      <c r="AI45" s="12"/>
      <c r="AJ45" s="17"/>
      <c r="AK45" s="13"/>
      <c r="AL45" s="13"/>
      <c r="AM45" s="13"/>
      <c r="AN45" s="14"/>
      <c r="AO45" s="9"/>
      <c r="AP45" s="16"/>
      <c r="AQ45" s="10"/>
      <c r="AR45" s="10"/>
      <c r="AS45" s="10"/>
      <c r="AT45" s="11"/>
      <c r="AU45" s="12"/>
      <c r="AV45" s="17"/>
      <c r="AW45" s="13"/>
      <c r="AX45" s="13"/>
      <c r="AY45" s="13"/>
      <c r="AZ45" s="14"/>
      <c r="BA45" s="9"/>
      <c r="BB45" s="16"/>
      <c r="BC45" s="10"/>
      <c r="BD45" s="10"/>
      <c r="BE45" s="10"/>
      <c r="BF45" s="11"/>
      <c r="BG45" s="12"/>
      <c r="BH45" s="17"/>
      <c r="BI45" s="13"/>
      <c r="BJ45" s="13"/>
      <c r="BK45" s="13"/>
      <c r="BL45" s="14"/>
      <c r="BM45" s="8">
        <f t="shared" si="9"/>
        <v>0</v>
      </c>
      <c r="BN45" s="8">
        <f t="shared" si="10"/>
        <v>0</v>
      </c>
      <c r="BO45" s="8">
        <f t="shared" si="11"/>
        <v>0</v>
      </c>
      <c r="BP45" s="8">
        <f t="shared" si="12"/>
        <v>0</v>
      </c>
      <c r="BQ45" s="8">
        <f t="shared" si="13"/>
        <v>0</v>
      </c>
      <c r="BR45" s="8">
        <f t="shared" si="14"/>
        <v>0</v>
      </c>
      <c r="BS45" s="15">
        <f t="shared" si="15"/>
        <v>0</v>
      </c>
      <c r="BT45" s="15" t="str">
        <f t="shared" si="16"/>
        <v>OK - No Upgrade</v>
      </c>
      <c r="BU45" s="15" t="str">
        <f t="shared" si="17"/>
        <v>OK - Balanced</v>
      </c>
    </row>
    <row r="46" spans="1:73" ht="15.75" customHeight="1" x14ac:dyDescent="0.25">
      <c r="A46" s="8" t="s">
        <v>1459</v>
      </c>
      <c r="B46" s="8" t="s">
        <v>2205</v>
      </c>
      <c r="C46" s="8" t="s">
        <v>2296</v>
      </c>
      <c r="D46" s="8" t="s">
        <v>2330</v>
      </c>
      <c r="E46" s="8" t="s">
        <v>2331</v>
      </c>
      <c r="F46" s="8" t="s">
        <v>43</v>
      </c>
      <c r="G46" s="8"/>
      <c r="H46" s="8">
        <v>100</v>
      </c>
      <c r="I46" s="8" t="s">
        <v>1810</v>
      </c>
      <c r="J46" s="8">
        <v>1</v>
      </c>
      <c r="K46" s="8">
        <v>239</v>
      </c>
      <c r="L46" s="8">
        <v>240</v>
      </c>
      <c r="M46" s="8">
        <v>230</v>
      </c>
      <c r="N46" s="8">
        <v>413</v>
      </c>
      <c r="O46" s="8">
        <v>416</v>
      </c>
      <c r="P46" s="8">
        <v>415</v>
      </c>
      <c r="Q46" s="9" t="s">
        <v>46</v>
      </c>
      <c r="R46" s="16"/>
      <c r="S46" s="10">
        <v>4</v>
      </c>
      <c r="T46" s="10">
        <v>0</v>
      </c>
      <c r="U46" s="10">
        <v>19</v>
      </c>
      <c r="V46" s="11">
        <v>11</v>
      </c>
      <c r="W46" s="12"/>
      <c r="X46" s="17"/>
      <c r="Y46" s="13"/>
      <c r="Z46" s="13"/>
      <c r="AA46" s="13"/>
      <c r="AB46" s="14"/>
      <c r="AC46" s="9"/>
      <c r="AD46" s="16"/>
      <c r="AE46" s="10"/>
      <c r="AF46" s="10"/>
      <c r="AG46" s="10"/>
      <c r="AH46" s="11"/>
      <c r="AI46" s="12"/>
      <c r="AJ46" s="17"/>
      <c r="AK46" s="13"/>
      <c r="AL46" s="13"/>
      <c r="AM46" s="13"/>
      <c r="AN46" s="14"/>
      <c r="AO46" s="9"/>
      <c r="AP46" s="16"/>
      <c r="AQ46" s="10"/>
      <c r="AR46" s="10"/>
      <c r="AS46" s="10"/>
      <c r="AT46" s="11"/>
      <c r="AU46" s="12"/>
      <c r="AV46" s="17"/>
      <c r="AW46" s="13"/>
      <c r="AX46" s="13"/>
      <c r="AY46" s="13"/>
      <c r="AZ46" s="14"/>
      <c r="BA46" s="9"/>
      <c r="BB46" s="16"/>
      <c r="BC46" s="10"/>
      <c r="BD46" s="10"/>
      <c r="BE46" s="10"/>
      <c r="BF46" s="11"/>
      <c r="BG46" s="12"/>
      <c r="BH46" s="17"/>
      <c r="BI46" s="13"/>
      <c r="BJ46" s="13"/>
      <c r="BK46" s="13"/>
      <c r="BL46" s="14"/>
      <c r="BM46" s="8">
        <f t="shared" si="9"/>
        <v>4</v>
      </c>
      <c r="BN46" s="8">
        <f t="shared" si="10"/>
        <v>0</v>
      </c>
      <c r="BO46" s="8">
        <f t="shared" si="11"/>
        <v>19</v>
      </c>
      <c r="BP46" s="8">
        <f t="shared" si="12"/>
        <v>11</v>
      </c>
      <c r="BQ46" s="8">
        <f t="shared" si="13"/>
        <v>19</v>
      </c>
      <c r="BR46" s="8">
        <f t="shared" si="14"/>
        <v>0</v>
      </c>
      <c r="BS46" s="15">
        <f t="shared" si="15"/>
        <v>13.591402686992982</v>
      </c>
      <c r="BT46" s="15" t="str">
        <f t="shared" si="16"/>
        <v>OK - No Upgrade</v>
      </c>
      <c r="BU46" s="15" t="str">
        <f t="shared" si="17"/>
        <v>Need to Balance</v>
      </c>
    </row>
    <row r="47" spans="1:73" ht="15.75" customHeight="1" x14ac:dyDescent="0.25">
      <c r="A47" s="8" t="s">
        <v>1459</v>
      </c>
      <c r="B47" s="8" t="s">
        <v>2205</v>
      </c>
      <c r="C47" s="8" t="s">
        <v>2296</v>
      </c>
      <c r="D47" s="8" t="s">
        <v>2332</v>
      </c>
      <c r="E47" s="8" t="s">
        <v>2333</v>
      </c>
      <c r="F47" s="8" t="s">
        <v>43</v>
      </c>
      <c r="G47" s="8"/>
      <c r="H47" s="8">
        <v>200</v>
      </c>
      <c r="I47" s="8" t="s">
        <v>2334</v>
      </c>
      <c r="J47" s="8">
        <v>1</v>
      </c>
      <c r="K47" s="8">
        <v>234</v>
      </c>
      <c r="L47" s="8">
        <v>236</v>
      </c>
      <c r="M47" s="8">
        <v>236</v>
      </c>
      <c r="N47" s="8">
        <v>406</v>
      </c>
      <c r="O47" s="8">
        <v>409</v>
      </c>
      <c r="P47" s="8">
        <v>406</v>
      </c>
      <c r="Q47" s="9" t="s">
        <v>46</v>
      </c>
      <c r="R47" s="16"/>
      <c r="S47" s="10">
        <v>146</v>
      </c>
      <c r="T47" s="10">
        <v>112</v>
      </c>
      <c r="U47" s="10">
        <v>117</v>
      </c>
      <c r="V47" s="11">
        <v>28</v>
      </c>
      <c r="W47" s="12"/>
      <c r="X47" s="17"/>
      <c r="Y47" s="13"/>
      <c r="Z47" s="13"/>
      <c r="AA47" s="13"/>
      <c r="AB47" s="14"/>
      <c r="AC47" s="9"/>
      <c r="AD47" s="16"/>
      <c r="AE47" s="10"/>
      <c r="AF47" s="10"/>
      <c r="AG47" s="10"/>
      <c r="AH47" s="11"/>
      <c r="AI47" s="12"/>
      <c r="AJ47" s="17"/>
      <c r="AK47" s="13"/>
      <c r="AL47" s="13"/>
      <c r="AM47" s="13"/>
      <c r="AN47" s="14"/>
      <c r="AO47" s="9"/>
      <c r="AP47" s="16"/>
      <c r="AQ47" s="10"/>
      <c r="AR47" s="10"/>
      <c r="AS47" s="10"/>
      <c r="AT47" s="11"/>
      <c r="AU47" s="12"/>
      <c r="AV47" s="17"/>
      <c r="AW47" s="13"/>
      <c r="AX47" s="13"/>
      <c r="AY47" s="13"/>
      <c r="AZ47" s="14"/>
      <c r="BA47" s="9"/>
      <c r="BB47" s="16"/>
      <c r="BC47" s="10"/>
      <c r="BD47" s="10"/>
      <c r="BE47" s="10"/>
      <c r="BF47" s="11"/>
      <c r="BG47" s="12"/>
      <c r="BH47" s="17"/>
      <c r="BI47" s="13"/>
      <c r="BJ47" s="13"/>
      <c r="BK47" s="13"/>
      <c r="BL47" s="14"/>
      <c r="BM47" s="8">
        <f t="shared" si="9"/>
        <v>146</v>
      </c>
      <c r="BN47" s="8">
        <f t="shared" si="10"/>
        <v>112</v>
      </c>
      <c r="BO47" s="8">
        <f t="shared" si="11"/>
        <v>117</v>
      </c>
      <c r="BP47" s="8">
        <f t="shared" si="12"/>
        <v>28</v>
      </c>
      <c r="BQ47" s="8">
        <f t="shared" si="13"/>
        <v>146</v>
      </c>
      <c r="BR47" s="8">
        <f t="shared" si="14"/>
        <v>112</v>
      </c>
      <c r="BS47" s="15">
        <f t="shared" si="15"/>
        <v>51.334521834726374</v>
      </c>
      <c r="BT47" s="15" t="str">
        <f t="shared" si="16"/>
        <v>OK - No Upgrade</v>
      </c>
      <c r="BU47" s="15" t="str">
        <f t="shared" si="17"/>
        <v>Need to Balance</v>
      </c>
    </row>
    <row r="48" spans="1:73" ht="15.75" customHeight="1" x14ac:dyDescent="0.25">
      <c r="A48" s="8" t="s">
        <v>1459</v>
      </c>
      <c r="B48" s="8" t="s">
        <v>2205</v>
      </c>
      <c r="C48" s="8" t="s">
        <v>2296</v>
      </c>
      <c r="D48" s="8" t="s">
        <v>2335</v>
      </c>
      <c r="E48" s="8" t="s">
        <v>223</v>
      </c>
      <c r="F48" s="8" t="s">
        <v>43</v>
      </c>
      <c r="G48" s="8"/>
      <c r="H48" s="8">
        <v>100</v>
      </c>
      <c r="I48" s="8" t="s">
        <v>2336</v>
      </c>
      <c r="J48" s="8">
        <v>1</v>
      </c>
      <c r="K48" s="8">
        <v>235</v>
      </c>
      <c r="L48" s="8">
        <v>238</v>
      </c>
      <c r="M48" s="8">
        <v>237</v>
      </c>
      <c r="N48" s="8">
        <v>410</v>
      </c>
      <c r="O48" s="8">
        <v>411</v>
      </c>
      <c r="P48" s="8">
        <v>409</v>
      </c>
      <c r="Q48" s="9" t="s">
        <v>46</v>
      </c>
      <c r="R48" s="16"/>
      <c r="S48" s="10">
        <v>39</v>
      </c>
      <c r="T48" s="10">
        <v>25</v>
      </c>
      <c r="U48" s="10">
        <v>36</v>
      </c>
      <c r="V48" s="11">
        <v>14</v>
      </c>
      <c r="W48" s="12"/>
      <c r="X48" s="17"/>
      <c r="Y48" s="13"/>
      <c r="Z48" s="13"/>
      <c r="AA48" s="13"/>
      <c r="AB48" s="14"/>
      <c r="AC48" s="9"/>
      <c r="AD48" s="16"/>
      <c r="AE48" s="10"/>
      <c r="AF48" s="10"/>
      <c r="AG48" s="10"/>
      <c r="AH48" s="11"/>
      <c r="AI48" s="12"/>
      <c r="AJ48" s="17"/>
      <c r="AK48" s="13"/>
      <c r="AL48" s="13"/>
      <c r="AM48" s="13"/>
      <c r="AN48" s="14"/>
      <c r="AO48" s="9"/>
      <c r="AP48" s="16"/>
      <c r="AQ48" s="10"/>
      <c r="AR48" s="10"/>
      <c r="AS48" s="10"/>
      <c r="AT48" s="11"/>
      <c r="AU48" s="12"/>
      <c r="AV48" s="17"/>
      <c r="AW48" s="13"/>
      <c r="AX48" s="13"/>
      <c r="AY48" s="13"/>
      <c r="AZ48" s="14"/>
      <c r="BA48" s="9"/>
      <c r="BB48" s="16"/>
      <c r="BC48" s="10"/>
      <c r="BD48" s="10"/>
      <c r="BE48" s="10"/>
      <c r="BF48" s="11"/>
      <c r="BG48" s="12"/>
      <c r="BH48" s="17"/>
      <c r="BI48" s="13"/>
      <c r="BJ48" s="13"/>
      <c r="BK48" s="13"/>
      <c r="BL48" s="14"/>
      <c r="BM48" s="8">
        <f t="shared" si="9"/>
        <v>39</v>
      </c>
      <c r="BN48" s="8">
        <f t="shared" si="10"/>
        <v>25</v>
      </c>
      <c r="BO48" s="8">
        <f t="shared" si="11"/>
        <v>36</v>
      </c>
      <c r="BP48" s="8">
        <f t="shared" si="12"/>
        <v>14</v>
      </c>
      <c r="BQ48" s="8">
        <f t="shared" si="13"/>
        <v>39</v>
      </c>
      <c r="BR48" s="8">
        <f t="shared" si="14"/>
        <v>25</v>
      </c>
      <c r="BS48" s="15">
        <f t="shared" si="15"/>
        <v>27.695492413026351</v>
      </c>
      <c r="BT48" s="15" t="str">
        <f t="shared" si="16"/>
        <v>OK - No Upgrade</v>
      </c>
      <c r="BU48" s="15" t="str">
        <f t="shared" si="17"/>
        <v>Need to Balance</v>
      </c>
    </row>
    <row r="49" spans="1:73" ht="15.75" customHeight="1" x14ac:dyDescent="0.25">
      <c r="A49" s="8" t="s">
        <v>1459</v>
      </c>
      <c r="B49" s="8" t="s">
        <v>2205</v>
      </c>
      <c r="C49" s="8" t="s">
        <v>2296</v>
      </c>
      <c r="D49" s="8" t="s">
        <v>2337</v>
      </c>
      <c r="E49" s="8" t="s">
        <v>2338</v>
      </c>
      <c r="F49" s="8" t="s">
        <v>43</v>
      </c>
      <c r="G49" s="8"/>
      <c r="H49" s="8">
        <v>100</v>
      </c>
      <c r="I49" s="8" t="s">
        <v>1813</v>
      </c>
      <c r="J49" s="8">
        <v>1</v>
      </c>
      <c r="K49" s="8">
        <v>238</v>
      </c>
      <c r="L49" s="8">
        <v>241</v>
      </c>
      <c r="M49" s="8">
        <v>239</v>
      </c>
      <c r="N49" s="8">
        <v>412</v>
      </c>
      <c r="O49" s="8">
        <v>415</v>
      </c>
      <c r="P49" s="8">
        <v>414</v>
      </c>
      <c r="Q49" s="9" t="s">
        <v>47</v>
      </c>
      <c r="R49" s="16"/>
      <c r="S49" s="10">
        <v>29</v>
      </c>
      <c r="T49" s="10">
        <v>13</v>
      </c>
      <c r="U49" s="10">
        <v>30</v>
      </c>
      <c r="V49" s="11">
        <v>18</v>
      </c>
      <c r="W49" s="12"/>
      <c r="X49" s="17"/>
      <c r="Y49" s="13"/>
      <c r="Z49" s="13"/>
      <c r="AA49" s="13"/>
      <c r="AB49" s="14"/>
      <c r="AC49" s="9"/>
      <c r="AD49" s="16"/>
      <c r="AE49" s="10"/>
      <c r="AF49" s="10"/>
      <c r="AG49" s="10"/>
      <c r="AH49" s="11"/>
      <c r="AI49" s="12"/>
      <c r="AJ49" s="17"/>
      <c r="AK49" s="13"/>
      <c r="AL49" s="13"/>
      <c r="AM49" s="13"/>
      <c r="AN49" s="14"/>
      <c r="AO49" s="9"/>
      <c r="AP49" s="16"/>
      <c r="AQ49" s="10"/>
      <c r="AR49" s="10"/>
      <c r="AS49" s="10"/>
      <c r="AT49" s="11"/>
      <c r="AU49" s="12"/>
      <c r="AV49" s="17"/>
      <c r="AW49" s="13"/>
      <c r="AX49" s="13"/>
      <c r="AY49" s="13"/>
      <c r="AZ49" s="14"/>
      <c r="BA49" s="9"/>
      <c r="BB49" s="16"/>
      <c r="BC49" s="10"/>
      <c r="BD49" s="10"/>
      <c r="BE49" s="10"/>
      <c r="BF49" s="11"/>
      <c r="BG49" s="12"/>
      <c r="BH49" s="17"/>
      <c r="BI49" s="13"/>
      <c r="BJ49" s="13"/>
      <c r="BK49" s="13"/>
      <c r="BL49" s="14"/>
      <c r="BM49" s="8">
        <f t="shared" si="9"/>
        <v>29</v>
      </c>
      <c r="BN49" s="8">
        <f t="shared" si="10"/>
        <v>13</v>
      </c>
      <c r="BO49" s="8">
        <f t="shared" si="11"/>
        <v>30</v>
      </c>
      <c r="BP49" s="8">
        <f t="shared" si="12"/>
        <v>18</v>
      </c>
      <c r="BQ49" s="8">
        <f t="shared" si="13"/>
        <v>30</v>
      </c>
      <c r="BR49" s="8">
        <f t="shared" si="14"/>
        <v>13</v>
      </c>
      <c r="BS49" s="15">
        <f t="shared" si="15"/>
        <v>21.40814798155132</v>
      </c>
      <c r="BT49" s="15" t="str">
        <f t="shared" si="16"/>
        <v>OK - No Upgrade</v>
      </c>
      <c r="BU49" s="15" t="str">
        <f t="shared" si="17"/>
        <v>Need to Balance</v>
      </c>
    </row>
    <row r="50" spans="1:73" ht="15.75" customHeight="1" x14ac:dyDescent="0.25">
      <c r="A50" s="8" t="s">
        <v>1459</v>
      </c>
      <c r="B50" s="8" t="s">
        <v>2205</v>
      </c>
      <c r="C50" s="8" t="s">
        <v>2296</v>
      </c>
      <c r="D50" s="8" t="s">
        <v>2339</v>
      </c>
      <c r="E50" s="8" t="s">
        <v>2340</v>
      </c>
      <c r="F50" s="8" t="s">
        <v>43</v>
      </c>
      <c r="G50" s="8"/>
      <c r="H50" s="8">
        <v>100</v>
      </c>
      <c r="I50" s="8" t="s">
        <v>2341</v>
      </c>
      <c r="J50" s="8">
        <v>1</v>
      </c>
      <c r="K50" s="8">
        <v>236</v>
      </c>
      <c r="L50" s="8">
        <v>238</v>
      </c>
      <c r="M50" s="8">
        <v>237</v>
      </c>
      <c r="N50" s="8">
        <v>410</v>
      </c>
      <c r="O50" s="8">
        <v>413</v>
      </c>
      <c r="P50" s="8">
        <v>409</v>
      </c>
      <c r="Q50" s="9" t="s">
        <v>46</v>
      </c>
      <c r="R50" s="16"/>
      <c r="S50" s="10">
        <v>5</v>
      </c>
      <c r="T50" s="10">
        <v>8</v>
      </c>
      <c r="U50" s="10">
        <v>7</v>
      </c>
      <c r="V50" s="11">
        <v>10</v>
      </c>
      <c r="W50" s="12" t="s">
        <v>46</v>
      </c>
      <c r="X50" s="17"/>
      <c r="Y50" s="13">
        <v>119</v>
      </c>
      <c r="Z50" s="13">
        <v>77</v>
      </c>
      <c r="AA50" s="13">
        <v>121</v>
      </c>
      <c r="AB50" s="14">
        <v>40</v>
      </c>
      <c r="AC50" s="9"/>
      <c r="AD50" s="16"/>
      <c r="AE50" s="10"/>
      <c r="AF50" s="10"/>
      <c r="AG50" s="10"/>
      <c r="AH50" s="11"/>
      <c r="AI50" s="12"/>
      <c r="AJ50" s="17"/>
      <c r="AK50" s="13"/>
      <c r="AL50" s="13"/>
      <c r="AM50" s="13"/>
      <c r="AN50" s="14"/>
      <c r="AO50" s="9"/>
      <c r="AP50" s="16"/>
      <c r="AQ50" s="10"/>
      <c r="AR50" s="10"/>
      <c r="AS50" s="10"/>
      <c r="AT50" s="11"/>
      <c r="AU50" s="12"/>
      <c r="AV50" s="17"/>
      <c r="AW50" s="13"/>
      <c r="AX50" s="13"/>
      <c r="AY50" s="13"/>
      <c r="AZ50" s="14"/>
      <c r="BA50" s="9"/>
      <c r="BB50" s="16"/>
      <c r="BC50" s="10"/>
      <c r="BD50" s="10"/>
      <c r="BE50" s="10"/>
      <c r="BF50" s="11"/>
      <c r="BG50" s="12"/>
      <c r="BH50" s="17"/>
      <c r="BI50" s="13"/>
      <c r="BJ50" s="13"/>
      <c r="BK50" s="13"/>
      <c r="BL50" s="14"/>
      <c r="BM50" s="8">
        <f t="shared" si="9"/>
        <v>124</v>
      </c>
      <c r="BN50" s="8">
        <f t="shared" si="10"/>
        <v>85</v>
      </c>
      <c r="BO50" s="8">
        <f t="shared" si="11"/>
        <v>128</v>
      </c>
      <c r="BP50" s="8">
        <f t="shared" si="12"/>
        <v>50</v>
      </c>
      <c r="BQ50" s="8">
        <f t="shared" si="13"/>
        <v>128</v>
      </c>
      <c r="BR50" s="8">
        <f t="shared" si="14"/>
        <v>85</v>
      </c>
      <c r="BS50" s="15">
        <f t="shared" si="15"/>
        <v>90.898026381214663</v>
      </c>
      <c r="BT50" s="15" t="str">
        <f t="shared" si="16"/>
        <v>Upgrade</v>
      </c>
      <c r="BU50" s="15" t="str">
        <f t="shared" si="17"/>
        <v>Need to Balance</v>
      </c>
    </row>
    <row r="51" spans="1:73" ht="15.75" customHeight="1" x14ac:dyDescent="0.25">
      <c r="A51" s="8" t="s">
        <v>1459</v>
      </c>
      <c r="B51" s="8" t="s">
        <v>2205</v>
      </c>
      <c r="C51" s="8" t="s">
        <v>2296</v>
      </c>
      <c r="D51" s="8" t="s">
        <v>2342</v>
      </c>
      <c r="E51" s="8" t="s">
        <v>2343</v>
      </c>
      <c r="F51" s="8" t="s">
        <v>43</v>
      </c>
      <c r="G51" s="8"/>
      <c r="H51" s="8">
        <v>315</v>
      </c>
      <c r="I51" s="8" t="s">
        <v>2344</v>
      </c>
      <c r="J51" s="8">
        <v>1</v>
      </c>
      <c r="K51" s="8">
        <v>238</v>
      </c>
      <c r="L51" s="8">
        <v>239</v>
      </c>
      <c r="M51" s="8">
        <v>238</v>
      </c>
      <c r="N51" s="8">
        <v>411</v>
      </c>
      <c r="O51" s="8">
        <v>412</v>
      </c>
      <c r="P51" s="8">
        <v>414</v>
      </c>
      <c r="Q51" s="9" t="s">
        <v>46</v>
      </c>
      <c r="R51" s="16"/>
      <c r="S51" s="10">
        <v>92</v>
      </c>
      <c r="T51" s="10">
        <v>98</v>
      </c>
      <c r="U51" s="10">
        <v>97</v>
      </c>
      <c r="V51" s="11">
        <v>21</v>
      </c>
      <c r="W51" s="12"/>
      <c r="X51" s="17"/>
      <c r="Y51" s="13"/>
      <c r="Z51" s="13"/>
      <c r="AA51" s="13"/>
      <c r="AB51" s="14"/>
      <c r="AC51" s="9"/>
      <c r="AD51" s="16"/>
      <c r="AE51" s="10"/>
      <c r="AF51" s="10"/>
      <c r="AG51" s="10"/>
      <c r="AH51" s="11"/>
      <c r="AI51" s="12"/>
      <c r="AJ51" s="17"/>
      <c r="AK51" s="13"/>
      <c r="AL51" s="13"/>
      <c r="AM51" s="13"/>
      <c r="AN51" s="14"/>
      <c r="AO51" s="9"/>
      <c r="AP51" s="16"/>
      <c r="AQ51" s="10"/>
      <c r="AR51" s="10"/>
      <c r="AS51" s="10"/>
      <c r="AT51" s="11"/>
      <c r="AU51" s="12"/>
      <c r="AV51" s="17"/>
      <c r="AW51" s="13"/>
      <c r="AX51" s="13"/>
      <c r="AY51" s="13"/>
      <c r="AZ51" s="14"/>
      <c r="BA51" s="9"/>
      <c r="BB51" s="16"/>
      <c r="BC51" s="10"/>
      <c r="BD51" s="10"/>
      <c r="BE51" s="10"/>
      <c r="BF51" s="11"/>
      <c r="BG51" s="12"/>
      <c r="BH51" s="17"/>
      <c r="BI51" s="13"/>
      <c r="BJ51" s="13"/>
      <c r="BK51" s="13"/>
      <c r="BL51" s="14"/>
      <c r="BM51" s="8">
        <f t="shared" si="9"/>
        <v>92</v>
      </c>
      <c r="BN51" s="8">
        <f t="shared" si="10"/>
        <v>98</v>
      </c>
      <c r="BO51" s="8">
        <f t="shared" si="11"/>
        <v>97</v>
      </c>
      <c r="BP51" s="8">
        <f t="shared" si="12"/>
        <v>21</v>
      </c>
      <c r="BQ51" s="8">
        <f t="shared" si="13"/>
        <v>98</v>
      </c>
      <c r="BR51" s="8">
        <f t="shared" si="14"/>
        <v>92</v>
      </c>
      <c r="BS51" s="15">
        <f t="shared" si="15"/>
        <v>22.147156326114043</v>
      </c>
      <c r="BT51" s="15" t="str">
        <f t="shared" si="16"/>
        <v>OK - No Upgrade</v>
      </c>
      <c r="BU51" s="15" t="str">
        <f t="shared" si="17"/>
        <v>OK - Balanced</v>
      </c>
    </row>
    <row r="52" spans="1:73" ht="15.75" customHeight="1" x14ac:dyDescent="0.25">
      <c r="A52" s="8" t="s">
        <v>1459</v>
      </c>
      <c r="B52" s="8" t="s">
        <v>2205</v>
      </c>
      <c r="C52" s="8" t="s">
        <v>2296</v>
      </c>
      <c r="D52" s="8" t="s">
        <v>2345</v>
      </c>
      <c r="E52" s="8" t="s">
        <v>2346</v>
      </c>
      <c r="F52" s="8" t="s">
        <v>43</v>
      </c>
      <c r="G52" s="8"/>
      <c r="H52" s="8">
        <v>100</v>
      </c>
      <c r="I52" s="8" t="s">
        <v>2347</v>
      </c>
      <c r="J52" s="8">
        <v>1</v>
      </c>
      <c r="K52" s="8">
        <v>231</v>
      </c>
      <c r="L52" s="8">
        <v>237</v>
      </c>
      <c r="M52" s="8">
        <v>234</v>
      </c>
      <c r="N52" s="8">
        <v>404</v>
      </c>
      <c r="O52" s="8">
        <v>408</v>
      </c>
      <c r="P52" s="8">
        <v>403</v>
      </c>
      <c r="Q52" s="9" t="s">
        <v>46</v>
      </c>
      <c r="R52" s="16"/>
      <c r="S52" s="10">
        <v>125</v>
      </c>
      <c r="T52" s="10">
        <v>69</v>
      </c>
      <c r="U52" s="10">
        <v>60</v>
      </c>
      <c r="V52" s="11">
        <v>51</v>
      </c>
      <c r="W52" s="12"/>
      <c r="X52" s="17"/>
      <c r="Y52" s="13"/>
      <c r="Z52" s="13"/>
      <c r="AA52" s="13"/>
      <c r="AB52" s="14"/>
      <c r="AC52" s="9"/>
      <c r="AD52" s="16"/>
      <c r="AE52" s="10"/>
      <c r="AF52" s="10"/>
      <c r="AG52" s="10"/>
      <c r="AH52" s="11"/>
      <c r="AI52" s="12"/>
      <c r="AJ52" s="17"/>
      <c r="AK52" s="13"/>
      <c r="AL52" s="13"/>
      <c r="AM52" s="13"/>
      <c r="AN52" s="14"/>
      <c r="AO52" s="9"/>
      <c r="AP52" s="16"/>
      <c r="AQ52" s="10"/>
      <c r="AR52" s="10"/>
      <c r="AS52" s="10"/>
      <c r="AT52" s="11"/>
      <c r="AU52" s="12"/>
      <c r="AV52" s="17"/>
      <c r="AW52" s="13"/>
      <c r="AX52" s="13"/>
      <c r="AY52" s="13"/>
      <c r="AZ52" s="14"/>
      <c r="BA52" s="9"/>
      <c r="BB52" s="16"/>
      <c r="BC52" s="10"/>
      <c r="BD52" s="10"/>
      <c r="BE52" s="10"/>
      <c r="BF52" s="11"/>
      <c r="BG52" s="12"/>
      <c r="BH52" s="17"/>
      <c r="BI52" s="13"/>
      <c r="BJ52" s="13"/>
      <c r="BK52" s="13"/>
      <c r="BL52" s="14"/>
      <c r="BM52" s="8">
        <f t="shared" si="9"/>
        <v>125</v>
      </c>
      <c r="BN52" s="8">
        <f t="shared" si="10"/>
        <v>69</v>
      </c>
      <c r="BO52" s="8">
        <f t="shared" si="11"/>
        <v>60</v>
      </c>
      <c r="BP52" s="8">
        <f t="shared" si="12"/>
        <v>51</v>
      </c>
      <c r="BQ52" s="8">
        <f t="shared" si="13"/>
        <v>125</v>
      </c>
      <c r="BR52" s="8">
        <f t="shared" si="14"/>
        <v>60</v>
      </c>
      <c r="BS52" s="15">
        <f t="shared" si="15"/>
        <v>87.468565782228296</v>
      </c>
      <c r="BT52" s="15" t="str">
        <f t="shared" si="16"/>
        <v>Upgrade</v>
      </c>
      <c r="BU52" s="15" t="str">
        <f t="shared" si="17"/>
        <v>Need to Balance</v>
      </c>
    </row>
    <row r="53" spans="1:73" ht="15.75" customHeight="1" x14ac:dyDescent="0.25">
      <c r="A53" s="8" t="s">
        <v>1459</v>
      </c>
      <c r="B53" s="8" t="s">
        <v>2205</v>
      </c>
      <c r="C53" s="8" t="s">
        <v>2296</v>
      </c>
      <c r="D53" s="8" t="s">
        <v>2348</v>
      </c>
      <c r="E53" s="8" t="s">
        <v>2349</v>
      </c>
      <c r="F53" s="8" t="s">
        <v>43</v>
      </c>
      <c r="G53" s="8"/>
      <c r="H53" s="8">
        <v>100</v>
      </c>
      <c r="I53" s="8" t="s">
        <v>2350</v>
      </c>
      <c r="J53" s="8">
        <v>1</v>
      </c>
      <c r="K53" s="8">
        <v>233</v>
      </c>
      <c r="L53" s="8">
        <v>237</v>
      </c>
      <c r="M53" s="8">
        <v>237</v>
      </c>
      <c r="N53" s="8">
        <v>407</v>
      </c>
      <c r="O53" s="8">
        <v>410</v>
      </c>
      <c r="P53" s="8">
        <v>404</v>
      </c>
      <c r="Q53" s="9" t="s">
        <v>46</v>
      </c>
      <c r="R53" s="16"/>
      <c r="S53" s="10">
        <v>79</v>
      </c>
      <c r="T53" s="10">
        <v>55</v>
      </c>
      <c r="U53" s="10">
        <v>28</v>
      </c>
      <c r="V53" s="11">
        <v>47</v>
      </c>
      <c r="W53" s="12"/>
      <c r="X53" s="17"/>
      <c r="Y53" s="13"/>
      <c r="Z53" s="13"/>
      <c r="AA53" s="13"/>
      <c r="AB53" s="14"/>
      <c r="AC53" s="9"/>
      <c r="AD53" s="16"/>
      <c r="AE53" s="10"/>
      <c r="AF53" s="10"/>
      <c r="AG53" s="10"/>
      <c r="AH53" s="11"/>
      <c r="AI53" s="12"/>
      <c r="AJ53" s="17"/>
      <c r="AK53" s="13"/>
      <c r="AL53" s="13"/>
      <c r="AM53" s="13"/>
      <c r="AN53" s="14"/>
      <c r="AO53" s="9"/>
      <c r="AP53" s="16"/>
      <c r="AQ53" s="10"/>
      <c r="AR53" s="10"/>
      <c r="AS53" s="10"/>
      <c r="AT53" s="11"/>
      <c r="AU53" s="12"/>
      <c r="AV53" s="17"/>
      <c r="AW53" s="13"/>
      <c r="AX53" s="13"/>
      <c r="AY53" s="13"/>
      <c r="AZ53" s="14"/>
      <c r="BA53" s="9"/>
      <c r="BB53" s="16"/>
      <c r="BC53" s="10"/>
      <c r="BD53" s="10"/>
      <c r="BE53" s="10"/>
      <c r="BF53" s="11"/>
      <c r="BG53" s="12"/>
      <c r="BH53" s="17"/>
      <c r="BI53" s="13"/>
      <c r="BJ53" s="13"/>
      <c r="BK53" s="13"/>
      <c r="BL53" s="14"/>
      <c r="BM53" s="8">
        <f t="shared" si="9"/>
        <v>79</v>
      </c>
      <c r="BN53" s="8">
        <f t="shared" si="10"/>
        <v>55</v>
      </c>
      <c r="BO53" s="8">
        <f t="shared" si="11"/>
        <v>28</v>
      </c>
      <c r="BP53" s="8">
        <f t="shared" si="12"/>
        <v>47</v>
      </c>
      <c r="BQ53" s="8">
        <f t="shared" si="13"/>
        <v>79</v>
      </c>
      <c r="BR53" s="8">
        <f t="shared" si="14"/>
        <v>28</v>
      </c>
      <c r="BS53" s="15">
        <f t="shared" si="15"/>
        <v>55.690629615762113</v>
      </c>
      <c r="BT53" s="15" t="str">
        <f t="shared" si="16"/>
        <v>OK - No Upgrade</v>
      </c>
      <c r="BU53" s="15" t="str">
        <f t="shared" si="17"/>
        <v>Need to Balance</v>
      </c>
    </row>
    <row r="54" spans="1:73" ht="15.75" customHeight="1" x14ac:dyDescent="0.25">
      <c r="A54" s="8" t="s">
        <v>1459</v>
      </c>
      <c r="B54" s="8" t="s">
        <v>2205</v>
      </c>
      <c r="C54" s="8" t="s">
        <v>2296</v>
      </c>
      <c r="D54" s="8" t="s">
        <v>2351</v>
      </c>
      <c r="E54" s="8" t="s">
        <v>2352</v>
      </c>
      <c r="F54" s="8" t="s">
        <v>43</v>
      </c>
      <c r="G54" s="8"/>
      <c r="H54" s="8">
        <v>100</v>
      </c>
      <c r="I54" s="8" t="s">
        <v>2353</v>
      </c>
      <c r="J54" s="8">
        <v>1</v>
      </c>
      <c r="K54" s="8">
        <v>240</v>
      </c>
      <c r="L54" s="8">
        <v>238</v>
      </c>
      <c r="M54" s="8">
        <v>245</v>
      </c>
      <c r="N54" s="8">
        <v>410</v>
      </c>
      <c r="O54" s="8">
        <v>411</v>
      </c>
      <c r="P54" s="8">
        <v>415</v>
      </c>
      <c r="Q54" s="9" t="s">
        <v>46</v>
      </c>
      <c r="R54" s="16"/>
      <c r="S54" s="10">
        <v>0</v>
      </c>
      <c r="T54" s="10">
        <v>0</v>
      </c>
      <c r="U54" s="10">
        <v>0</v>
      </c>
      <c r="V54" s="11">
        <v>0</v>
      </c>
      <c r="W54" s="12"/>
      <c r="X54" s="17"/>
      <c r="Y54" s="13"/>
      <c r="Z54" s="13"/>
      <c r="AA54" s="13"/>
      <c r="AB54" s="14"/>
      <c r="AC54" s="9"/>
      <c r="AD54" s="16"/>
      <c r="AE54" s="10"/>
      <c r="AF54" s="10"/>
      <c r="AG54" s="10"/>
      <c r="AH54" s="11"/>
      <c r="AI54" s="12"/>
      <c r="AJ54" s="17"/>
      <c r="AK54" s="13"/>
      <c r="AL54" s="13"/>
      <c r="AM54" s="13"/>
      <c r="AN54" s="14"/>
      <c r="AO54" s="9"/>
      <c r="AP54" s="16"/>
      <c r="AQ54" s="10"/>
      <c r="AR54" s="10"/>
      <c r="AS54" s="10"/>
      <c r="AT54" s="11"/>
      <c r="AU54" s="12"/>
      <c r="AV54" s="17"/>
      <c r="AW54" s="13"/>
      <c r="AX54" s="13"/>
      <c r="AY54" s="13"/>
      <c r="AZ54" s="14"/>
      <c r="BA54" s="9"/>
      <c r="BB54" s="16"/>
      <c r="BC54" s="10"/>
      <c r="BD54" s="10"/>
      <c r="BE54" s="10"/>
      <c r="BF54" s="11"/>
      <c r="BG54" s="12"/>
      <c r="BH54" s="17"/>
      <c r="BI54" s="13"/>
      <c r="BJ54" s="13"/>
      <c r="BK54" s="13"/>
      <c r="BL54" s="14"/>
      <c r="BM54" s="8">
        <f t="shared" si="9"/>
        <v>0</v>
      </c>
      <c r="BN54" s="8">
        <f t="shared" si="10"/>
        <v>0</v>
      </c>
      <c r="BO54" s="8">
        <f t="shared" si="11"/>
        <v>0</v>
      </c>
      <c r="BP54" s="8">
        <f t="shared" si="12"/>
        <v>0</v>
      </c>
      <c r="BQ54" s="8">
        <f t="shared" si="13"/>
        <v>0</v>
      </c>
      <c r="BR54" s="8">
        <f t="shared" si="14"/>
        <v>0</v>
      </c>
      <c r="BS54" s="15">
        <f t="shared" si="15"/>
        <v>0</v>
      </c>
      <c r="BT54" s="15" t="str">
        <f t="shared" si="16"/>
        <v>OK - No Upgrade</v>
      </c>
      <c r="BU54" s="15" t="str">
        <f t="shared" si="17"/>
        <v>OK - Balanced</v>
      </c>
    </row>
    <row r="55" spans="1:73" ht="15.75" customHeight="1" x14ac:dyDescent="0.25">
      <c r="A55" s="8" t="s">
        <v>1459</v>
      </c>
      <c r="B55" s="8" t="s">
        <v>2205</v>
      </c>
      <c r="C55" s="8" t="s">
        <v>2296</v>
      </c>
      <c r="D55" s="8" t="s">
        <v>2354</v>
      </c>
      <c r="E55" s="8" t="s">
        <v>2355</v>
      </c>
      <c r="F55" s="8" t="s">
        <v>43</v>
      </c>
      <c r="G55" s="8"/>
      <c r="H55" s="8">
        <v>315</v>
      </c>
      <c r="I55" s="8" t="s">
        <v>720</v>
      </c>
      <c r="J55" s="8">
        <v>1</v>
      </c>
      <c r="K55" s="8">
        <v>237</v>
      </c>
      <c r="L55" s="8">
        <v>239</v>
      </c>
      <c r="M55" s="8">
        <v>238</v>
      </c>
      <c r="N55" s="8">
        <v>411</v>
      </c>
      <c r="O55" s="8">
        <v>413</v>
      </c>
      <c r="P55" s="8">
        <v>413</v>
      </c>
      <c r="Q55" s="9" t="s">
        <v>47</v>
      </c>
      <c r="R55" s="16"/>
      <c r="S55" s="10">
        <v>11</v>
      </c>
      <c r="T55" s="10">
        <v>6</v>
      </c>
      <c r="U55" s="10">
        <v>10</v>
      </c>
      <c r="V55" s="11">
        <v>15</v>
      </c>
      <c r="W55" s="12" t="s">
        <v>47</v>
      </c>
      <c r="X55" s="17"/>
      <c r="Y55" s="13">
        <v>24</v>
      </c>
      <c r="Z55" s="13">
        <v>24</v>
      </c>
      <c r="AA55" s="13">
        <v>12</v>
      </c>
      <c r="AB55" s="14">
        <v>13</v>
      </c>
      <c r="AC55" s="9"/>
      <c r="AD55" s="16"/>
      <c r="AE55" s="10"/>
      <c r="AF55" s="10"/>
      <c r="AG55" s="10"/>
      <c r="AH55" s="11"/>
      <c r="AI55" s="12"/>
      <c r="AJ55" s="17"/>
      <c r="AK55" s="13"/>
      <c r="AL55" s="13"/>
      <c r="AM55" s="13"/>
      <c r="AN55" s="14"/>
      <c r="AO55" s="9"/>
      <c r="AP55" s="16"/>
      <c r="AQ55" s="10"/>
      <c r="AR55" s="10"/>
      <c r="AS55" s="10"/>
      <c r="AT55" s="11"/>
      <c r="AU55" s="12"/>
      <c r="AV55" s="17"/>
      <c r="AW55" s="13"/>
      <c r="AX55" s="13"/>
      <c r="AY55" s="13"/>
      <c r="AZ55" s="14"/>
      <c r="BA55" s="9"/>
      <c r="BB55" s="16"/>
      <c r="BC55" s="10"/>
      <c r="BD55" s="10"/>
      <c r="BE55" s="10"/>
      <c r="BF55" s="11"/>
      <c r="BG55" s="12"/>
      <c r="BH55" s="17"/>
      <c r="BI55" s="13"/>
      <c r="BJ55" s="13"/>
      <c r="BK55" s="13"/>
      <c r="BL55" s="14"/>
      <c r="BM55" s="8">
        <f t="shared" si="9"/>
        <v>35</v>
      </c>
      <c r="BN55" s="8">
        <f t="shared" si="10"/>
        <v>30</v>
      </c>
      <c r="BO55" s="8">
        <f t="shared" si="11"/>
        <v>22</v>
      </c>
      <c r="BP55" s="8">
        <f t="shared" si="12"/>
        <v>28</v>
      </c>
      <c r="BQ55" s="8">
        <f t="shared" si="13"/>
        <v>35</v>
      </c>
      <c r="BR55" s="8">
        <f t="shared" si="14"/>
        <v>22</v>
      </c>
      <c r="BS55" s="15">
        <f t="shared" si="15"/>
        <v>7.9096986878978717</v>
      </c>
      <c r="BT55" s="15" t="str">
        <f t="shared" si="16"/>
        <v>OK - No Upgrade</v>
      </c>
      <c r="BU55" s="15" t="str">
        <f t="shared" si="17"/>
        <v>Need to Balance</v>
      </c>
    </row>
    <row r="56" spans="1:73" ht="15.75" customHeight="1" x14ac:dyDescent="0.25">
      <c r="A56" s="8" t="s">
        <v>1459</v>
      </c>
      <c r="B56" s="8" t="s">
        <v>2205</v>
      </c>
      <c r="C56" s="8" t="s">
        <v>2296</v>
      </c>
      <c r="D56" s="8" t="s">
        <v>2356</v>
      </c>
      <c r="E56" s="8" t="s">
        <v>2357</v>
      </c>
      <c r="F56" s="8" t="s">
        <v>43</v>
      </c>
      <c r="G56" s="8"/>
      <c r="H56" s="8">
        <v>100</v>
      </c>
      <c r="I56" s="8" t="s">
        <v>2358</v>
      </c>
      <c r="J56" s="8">
        <v>1</v>
      </c>
      <c r="K56" s="8">
        <v>238</v>
      </c>
      <c r="L56" s="8">
        <v>239</v>
      </c>
      <c r="M56" s="8">
        <v>238</v>
      </c>
      <c r="N56" s="8">
        <v>411</v>
      </c>
      <c r="O56" s="8">
        <v>413</v>
      </c>
      <c r="P56" s="8">
        <v>414</v>
      </c>
      <c r="Q56" s="9" t="s">
        <v>46</v>
      </c>
      <c r="R56" s="16"/>
      <c r="S56" s="10">
        <v>29</v>
      </c>
      <c r="T56" s="10">
        <v>32</v>
      </c>
      <c r="U56" s="10">
        <v>25</v>
      </c>
      <c r="V56" s="11">
        <v>10</v>
      </c>
      <c r="W56" s="12" t="s">
        <v>46</v>
      </c>
      <c r="X56" s="17"/>
      <c r="Y56" s="13">
        <v>20</v>
      </c>
      <c r="Z56" s="13">
        <v>8</v>
      </c>
      <c r="AA56" s="13">
        <v>32</v>
      </c>
      <c r="AB56" s="14">
        <v>10</v>
      </c>
      <c r="AC56" s="9"/>
      <c r="AD56" s="16"/>
      <c r="AE56" s="10"/>
      <c r="AF56" s="10"/>
      <c r="AG56" s="10"/>
      <c r="AH56" s="11"/>
      <c r="AI56" s="12"/>
      <c r="AJ56" s="17"/>
      <c r="AK56" s="13"/>
      <c r="AL56" s="13"/>
      <c r="AM56" s="13"/>
      <c r="AN56" s="14"/>
      <c r="AO56" s="9"/>
      <c r="AP56" s="16"/>
      <c r="AQ56" s="10"/>
      <c r="AR56" s="10"/>
      <c r="AS56" s="10"/>
      <c r="AT56" s="11"/>
      <c r="AU56" s="12"/>
      <c r="AV56" s="17"/>
      <c r="AW56" s="13"/>
      <c r="AX56" s="13"/>
      <c r="AY56" s="13"/>
      <c r="AZ56" s="14"/>
      <c r="BA56" s="9"/>
      <c r="BB56" s="16"/>
      <c r="BC56" s="10"/>
      <c r="BD56" s="10"/>
      <c r="BE56" s="10"/>
      <c r="BF56" s="11"/>
      <c r="BG56" s="12"/>
      <c r="BH56" s="17"/>
      <c r="BI56" s="13"/>
      <c r="BJ56" s="13"/>
      <c r="BK56" s="13"/>
      <c r="BL56" s="14"/>
      <c r="BM56" s="8">
        <f t="shared" si="9"/>
        <v>49</v>
      </c>
      <c r="BN56" s="8">
        <f t="shared" si="10"/>
        <v>40</v>
      </c>
      <c r="BO56" s="8">
        <f t="shared" si="11"/>
        <v>57</v>
      </c>
      <c r="BP56" s="8">
        <f t="shared" si="12"/>
        <v>20</v>
      </c>
      <c r="BQ56" s="8">
        <f t="shared" si="13"/>
        <v>57</v>
      </c>
      <c r="BR56" s="8">
        <f t="shared" si="14"/>
        <v>40</v>
      </c>
      <c r="BS56" s="15">
        <f t="shared" si="15"/>
        <v>40.576754268916083</v>
      </c>
      <c r="BT56" s="15" t="str">
        <f t="shared" si="16"/>
        <v>OK - No Upgrade</v>
      </c>
      <c r="BU56" s="15" t="str">
        <f t="shared" si="17"/>
        <v>Need to Balance</v>
      </c>
    </row>
    <row r="57" spans="1:73" ht="15.75" customHeight="1" x14ac:dyDescent="0.25">
      <c r="A57" s="8" t="s">
        <v>1459</v>
      </c>
      <c r="B57" s="8" t="s">
        <v>2205</v>
      </c>
      <c r="C57" s="8" t="s">
        <v>2296</v>
      </c>
      <c r="D57" s="8" t="s">
        <v>2359</v>
      </c>
      <c r="E57" s="8" t="s">
        <v>2360</v>
      </c>
      <c r="F57" s="8" t="s">
        <v>43</v>
      </c>
      <c r="G57" s="8"/>
      <c r="H57" s="8">
        <v>200</v>
      </c>
      <c r="I57" s="8" t="s">
        <v>2361</v>
      </c>
      <c r="J57" s="8">
        <v>1</v>
      </c>
      <c r="K57" s="8">
        <v>241</v>
      </c>
      <c r="L57" s="8">
        <v>240</v>
      </c>
      <c r="M57" s="8">
        <v>243</v>
      </c>
      <c r="N57" s="8">
        <v>410</v>
      </c>
      <c r="O57" s="8">
        <v>413</v>
      </c>
      <c r="P57" s="8">
        <v>415</v>
      </c>
      <c r="Q57" s="9" t="s">
        <v>47</v>
      </c>
      <c r="R57" s="16"/>
      <c r="S57" s="10">
        <v>0</v>
      </c>
      <c r="T57" s="10">
        <v>0</v>
      </c>
      <c r="U57" s="10">
        <v>0</v>
      </c>
      <c r="V57" s="11">
        <v>0</v>
      </c>
      <c r="W57" s="12"/>
      <c r="X57" s="17"/>
      <c r="Y57" s="13"/>
      <c r="Z57" s="13"/>
      <c r="AA57" s="13"/>
      <c r="AB57" s="14"/>
      <c r="AC57" s="9"/>
      <c r="AD57" s="16"/>
      <c r="AE57" s="10"/>
      <c r="AF57" s="10"/>
      <c r="AG57" s="10"/>
      <c r="AH57" s="11"/>
      <c r="AI57" s="12"/>
      <c r="AJ57" s="17"/>
      <c r="AK57" s="13"/>
      <c r="AL57" s="13"/>
      <c r="AM57" s="13"/>
      <c r="AN57" s="14"/>
      <c r="AO57" s="9"/>
      <c r="AP57" s="16"/>
      <c r="AQ57" s="10"/>
      <c r="AR57" s="10"/>
      <c r="AS57" s="10"/>
      <c r="AT57" s="11"/>
      <c r="AU57" s="12"/>
      <c r="AV57" s="17"/>
      <c r="AW57" s="13"/>
      <c r="AX57" s="13"/>
      <c r="AY57" s="13"/>
      <c r="AZ57" s="14"/>
      <c r="BA57" s="9"/>
      <c r="BB57" s="16"/>
      <c r="BC57" s="10"/>
      <c r="BD57" s="10"/>
      <c r="BE57" s="10"/>
      <c r="BF57" s="11"/>
      <c r="BG57" s="12"/>
      <c r="BH57" s="17"/>
      <c r="BI57" s="13"/>
      <c r="BJ57" s="13"/>
      <c r="BK57" s="13"/>
      <c r="BL57" s="14"/>
      <c r="BM57" s="8">
        <f t="shared" si="9"/>
        <v>0</v>
      </c>
      <c r="BN57" s="8">
        <f t="shared" si="10"/>
        <v>0</v>
      </c>
      <c r="BO57" s="8">
        <f t="shared" si="11"/>
        <v>0</v>
      </c>
      <c r="BP57" s="8">
        <f t="shared" si="12"/>
        <v>0</v>
      </c>
      <c r="BQ57" s="8">
        <f t="shared" si="13"/>
        <v>0</v>
      </c>
      <c r="BR57" s="8">
        <f t="shared" si="14"/>
        <v>0</v>
      </c>
      <c r="BS57" s="15">
        <f t="shared" si="15"/>
        <v>0</v>
      </c>
      <c r="BT57" s="15" t="str">
        <f t="shared" si="16"/>
        <v>OK - No Upgrade</v>
      </c>
      <c r="BU57" s="15" t="str">
        <f t="shared" si="17"/>
        <v>OK - Balanced</v>
      </c>
    </row>
    <row r="58" spans="1:73" ht="15.75" customHeight="1" x14ac:dyDescent="0.25">
      <c r="A58" s="8" t="s">
        <v>1459</v>
      </c>
      <c r="B58" s="8" t="s">
        <v>2205</v>
      </c>
      <c r="C58" s="8" t="s">
        <v>2296</v>
      </c>
      <c r="D58" s="8" t="s">
        <v>2362</v>
      </c>
      <c r="E58" s="8" t="s">
        <v>2363</v>
      </c>
      <c r="F58" s="8" t="s">
        <v>43</v>
      </c>
      <c r="G58" s="8"/>
      <c r="H58" s="8">
        <v>100</v>
      </c>
      <c r="I58" s="8" t="s">
        <v>2364</v>
      </c>
      <c r="J58" s="8">
        <v>1</v>
      </c>
      <c r="K58" s="8">
        <v>246</v>
      </c>
      <c r="L58" s="8">
        <v>247</v>
      </c>
      <c r="M58" s="8">
        <v>248</v>
      </c>
      <c r="N58" s="8">
        <v>424</v>
      </c>
      <c r="O58" s="8">
        <v>426</v>
      </c>
      <c r="P58" s="8">
        <v>428</v>
      </c>
      <c r="Q58" s="9" t="s">
        <v>46</v>
      </c>
      <c r="R58" s="16"/>
      <c r="S58" s="10">
        <v>5</v>
      </c>
      <c r="T58" s="10">
        <v>12</v>
      </c>
      <c r="U58" s="10">
        <v>19</v>
      </c>
      <c r="V58" s="11">
        <v>14</v>
      </c>
      <c r="W58" s="12"/>
      <c r="X58" s="17"/>
      <c r="Y58" s="13"/>
      <c r="Z58" s="13"/>
      <c r="AA58" s="13"/>
      <c r="AB58" s="14"/>
      <c r="AC58" s="9"/>
      <c r="AD58" s="16"/>
      <c r="AE58" s="10"/>
      <c r="AF58" s="10"/>
      <c r="AG58" s="10"/>
      <c r="AH58" s="11"/>
      <c r="AI58" s="12"/>
      <c r="AJ58" s="17"/>
      <c r="AK58" s="13"/>
      <c r="AL58" s="13"/>
      <c r="AM58" s="13"/>
      <c r="AN58" s="14"/>
      <c r="AO58" s="9"/>
      <c r="AP58" s="16"/>
      <c r="AQ58" s="10"/>
      <c r="AR58" s="10"/>
      <c r="AS58" s="10"/>
      <c r="AT58" s="11"/>
      <c r="AU58" s="12"/>
      <c r="AV58" s="17"/>
      <c r="AW58" s="13"/>
      <c r="AX58" s="13"/>
      <c r="AY58" s="13"/>
      <c r="AZ58" s="14"/>
      <c r="BA58" s="9"/>
      <c r="BB58" s="16"/>
      <c r="BC58" s="10"/>
      <c r="BD58" s="10"/>
      <c r="BE58" s="10"/>
      <c r="BF58" s="11"/>
      <c r="BG58" s="12"/>
      <c r="BH58" s="17"/>
      <c r="BI58" s="13"/>
      <c r="BJ58" s="13"/>
      <c r="BK58" s="13"/>
      <c r="BL58" s="14"/>
      <c r="BM58" s="8">
        <f t="shared" si="9"/>
        <v>5</v>
      </c>
      <c r="BN58" s="8">
        <f t="shared" si="10"/>
        <v>12</v>
      </c>
      <c r="BO58" s="8">
        <f t="shared" si="11"/>
        <v>19</v>
      </c>
      <c r="BP58" s="8">
        <f t="shared" si="12"/>
        <v>14</v>
      </c>
      <c r="BQ58" s="8">
        <f t="shared" si="13"/>
        <v>19</v>
      </c>
      <c r="BR58" s="8">
        <f t="shared" si="14"/>
        <v>5</v>
      </c>
      <c r="BS58" s="15">
        <f t="shared" si="15"/>
        <v>13.953401305774873</v>
      </c>
      <c r="BT58" s="15" t="str">
        <f t="shared" si="16"/>
        <v>OK - No Upgrade</v>
      </c>
      <c r="BU58" s="15" t="str">
        <f t="shared" si="17"/>
        <v>Need to Balance</v>
      </c>
    </row>
    <row r="59" spans="1:73" ht="15.75" customHeight="1" x14ac:dyDescent="0.25">
      <c r="A59" s="8" t="s">
        <v>1459</v>
      </c>
      <c r="B59" s="8" t="s">
        <v>2205</v>
      </c>
      <c r="C59" s="8" t="s">
        <v>2296</v>
      </c>
      <c r="D59" s="8" t="s">
        <v>2365</v>
      </c>
      <c r="E59" s="8" t="s">
        <v>2366</v>
      </c>
      <c r="F59" s="8" t="s">
        <v>43</v>
      </c>
      <c r="G59" s="8"/>
      <c r="H59" s="8">
        <v>200</v>
      </c>
      <c r="I59" s="8" t="s">
        <v>1818</v>
      </c>
      <c r="J59" s="8">
        <v>1</v>
      </c>
      <c r="K59" s="8">
        <v>241</v>
      </c>
      <c r="L59" s="8">
        <v>242</v>
      </c>
      <c r="M59" s="8">
        <v>241</v>
      </c>
      <c r="N59" s="8">
        <v>417</v>
      </c>
      <c r="O59" s="8">
        <v>419</v>
      </c>
      <c r="P59" s="8">
        <v>417</v>
      </c>
      <c r="Q59" s="9" t="s">
        <v>46</v>
      </c>
      <c r="R59" s="16"/>
      <c r="S59" s="10">
        <v>85</v>
      </c>
      <c r="T59" s="10">
        <v>67</v>
      </c>
      <c r="U59" s="10">
        <v>57</v>
      </c>
      <c r="V59" s="11">
        <v>35</v>
      </c>
      <c r="W59" s="12"/>
      <c r="X59" s="17"/>
      <c r="Y59" s="13"/>
      <c r="Z59" s="13"/>
      <c r="AA59" s="13"/>
      <c r="AB59" s="14"/>
      <c r="AC59" s="9"/>
      <c r="AD59" s="16"/>
      <c r="AE59" s="10"/>
      <c r="AF59" s="10"/>
      <c r="AG59" s="10"/>
      <c r="AH59" s="11"/>
      <c r="AI59" s="12"/>
      <c r="AJ59" s="17"/>
      <c r="AK59" s="13"/>
      <c r="AL59" s="13"/>
      <c r="AM59" s="13"/>
      <c r="AN59" s="14"/>
      <c r="AO59" s="9"/>
      <c r="AP59" s="16"/>
      <c r="AQ59" s="10"/>
      <c r="AR59" s="10"/>
      <c r="AS59" s="10"/>
      <c r="AT59" s="11"/>
      <c r="AU59" s="12"/>
      <c r="AV59" s="17"/>
      <c r="AW59" s="13"/>
      <c r="AX59" s="13"/>
      <c r="AY59" s="13"/>
      <c r="AZ59" s="14"/>
      <c r="BA59" s="9"/>
      <c r="BB59" s="16"/>
      <c r="BC59" s="10"/>
      <c r="BD59" s="10"/>
      <c r="BE59" s="10"/>
      <c r="BF59" s="11"/>
      <c r="BG59" s="12"/>
      <c r="BH59" s="17"/>
      <c r="BI59" s="13"/>
      <c r="BJ59" s="13"/>
      <c r="BK59" s="13"/>
      <c r="BL59" s="14"/>
      <c r="BM59" s="8">
        <f t="shared" si="9"/>
        <v>85</v>
      </c>
      <c r="BN59" s="8">
        <f t="shared" si="10"/>
        <v>67</v>
      </c>
      <c r="BO59" s="8">
        <f t="shared" si="11"/>
        <v>57</v>
      </c>
      <c r="BP59" s="8">
        <f t="shared" si="12"/>
        <v>35</v>
      </c>
      <c r="BQ59" s="8">
        <f t="shared" si="13"/>
        <v>85</v>
      </c>
      <c r="BR59" s="8">
        <f t="shared" si="14"/>
        <v>57</v>
      </c>
      <c r="BS59" s="15">
        <f t="shared" si="15"/>
        <v>30.696270437139429</v>
      </c>
      <c r="BT59" s="15" t="str">
        <f t="shared" si="16"/>
        <v>OK - No Upgrade</v>
      </c>
      <c r="BU59" s="15" t="str">
        <f t="shared" si="17"/>
        <v>Need to Balance</v>
      </c>
    </row>
    <row r="60" spans="1:73" ht="15.75" customHeight="1" x14ac:dyDescent="0.25">
      <c r="A60" s="8" t="s">
        <v>1459</v>
      </c>
      <c r="B60" s="8" t="s">
        <v>2205</v>
      </c>
      <c r="C60" s="8" t="s">
        <v>2296</v>
      </c>
      <c r="D60" s="8" t="s">
        <v>2367</v>
      </c>
      <c r="E60" s="8" t="s">
        <v>2368</v>
      </c>
      <c r="F60" s="8" t="s">
        <v>43</v>
      </c>
      <c r="G60" s="8"/>
      <c r="H60" s="8">
        <v>100</v>
      </c>
      <c r="I60" s="8" t="s">
        <v>2369</v>
      </c>
      <c r="J60" s="8">
        <v>1</v>
      </c>
      <c r="K60" s="8">
        <v>240</v>
      </c>
      <c r="L60" s="8">
        <v>241</v>
      </c>
      <c r="M60" s="8">
        <v>240</v>
      </c>
      <c r="N60" s="8">
        <v>416</v>
      </c>
      <c r="O60" s="8">
        <v>419</v>
      </c>
      <c r="P60" s="8">
        <v>416</v>
      </c>
      <c r="Q60" s="9" t="s">
        <v>46</v>
      </c>
      <c r="R60" s="16"/>
      <c r="S60" s="10">
        <v>11</v>
      </c>
      <c r="T60" s="10">
        <v>5</v>
      </c>
      <c r="U60" s="10">
        <v>3</v>
      </c>
      <c r="V60" s="11">
        <v>7</v>
      </c>
      <c r="W60" s="12" t="s">
        <v>47</v>
      </c>
      <c r="X60" s="17"/>
      <c r="Y60" s="13">
        <v>9</v>
      </c>
      <c r="Z60" s="13">
        <v>13</v>
      </c>
      <c r="AA60" s="13">
        <v>27</v>
      </c>
      <c r="AB60" s="14">
        <v>14</v>
      </c>
      <c r="AC60" s="9"/>
      <c r="AD60" s="16"/>
      <c r="AE60" s="10"/>
      <c r="AF60" s="10"/>
      <c r="AG60" s="10"/>
      <c r="AH60" s="11"/>
      <c r="AI60" s="12"/>
      <c r="AJ60" s="17"/>
      <c r="AK60" s="13"/>
      <c r="AL60" s="13"/>
      <c r="AM60" s="13"/>
      <c r="AN60" s="14"/>
      <c r="AO60" s="9"/>
      <c r="AP60" s="16"/>
      <c r="AQ60" s="10"/>
      <c r="AR60" s="10"/>
      <c r="AS60" s="10"/>
      <c r="AT60" s="11"/>
      <c r="AU60" s="12"/>
      <c r="AV60" s="17"/>
      <c r="AW60" s="13"/>
      <c r="AX60" s="13"/>
      <c r="AY60" s="13"/>
      <c r="AZ60" s="14"/>
      <c r="BA60" s="9"/>
      <c r="BB60" s="16"/>
      <c r="BC60" s="10"/>
      <c r="BD60" s="10"/>
      <c r="BE60" s="10"/>
      <c r="BF60" s="11"/>
      <c r="BG60" s="12"/>
      <c r="BH60" s="17"/>
      <c r="BI60" s="13"/>
      <c r="BJ60" s="13"/>
      <c r="BK60" s="13"/>
      <c r="BL60" s="14"/>
      <c r="BM60" s="8">
        <f t="shared" si="9"/>
        <v>20</v>
      </c>
      <c r="BN60" s="8">
        <f t="shared" si="10"/>
        <v>18</v>
      </c>
      <c r="BO60" s="8">
        <f t="shared" si="11"/>
        <v>30</v>
      </c>
      <c r="BP60" s="8">
        <f t="shared" si="12"/>
        <v>21</v>
      </c>
      <c r="BQ60" s="8">
        <f t="shared" si="13"/>
        <v>30</v>
      </c>
      <c r="BR60" s="8">
        <f t="shared" si="14"/>
        <v>18</v>
      </c>
      <c r="BS60" s="15">
        <f t="shared" si="15"/>
        <v>21.615994078459586</v>
      </c>
      <c r="BT60" s="15" t="str">
        <f t="shared" si="16"/>
        <v>OK - No Upgrade</v>
      </c>
      <c r="BU60" s="15" t="str">
        <f t="shared" si="17"/>
        <v>Need to Balance</v>
      </c>
    </row>
    <row r="61" spans="1:73" ht="15.75" customHeight="1" x14ac:dyDescent="0.25">
      <c r="A61" s="8" t="s">
        <v>1459</v>
      </c>
      <c r="B61" s="8" t="s">
        <v>2205</v>
      </c>
      <c r="C61" s="8" t="s">
        <v>2296</v>
      </c>
      <c r="D61" s="8" t="s">
        <v>2370</v>
      </c>
      <c r="E61" s="8" t="s">
        <v>2371</v>
      </c>
      <c r="F61" s="8" t="s">
        <v>43</v>
      </c>
      <c r="G61" s="8"/>
      <c r="H61" s="8">
        <v>50</v>
      </c>
      <c r="I61" s="8" t="s">
        <v>2372</v>
      </c>
      <c r="J61" s="8">
        <v>1</v>
      </c>
      <c r="K61" s="8">
        <v>241</v>
      </c>
      <c r="L61" s="8">
        <v>243</v>
      </c>
      <c r="M61" s="8">
        <v>244</v>
      </c>
      <c r="N61" s="8">
        <v>415</v>
      </c>
      <c r="O61" s="8">
        <v>420</v>
      </c>
      <c r="P61" s="8">
        <v>422</v>
      </c>
      <c r="Q61" s="9" t="s">
        <v>46</v>
      </c>
      <c r="R61" s="16"/>
      <c r="S61" s="10">
        <v>0</v>
      </c>
      <c r="T61" s="10">
        <v>0</v>
      </c>
      <c r="U61" s="10">
        <v>0</v>
      </c>
      <c r="V61" s="11">
        <v>0</v>
      </c>
      <c r="W61" s="12"/>
      <c r="X61" s="17"/>
      <c r="Y61" s="13"/>
      <c r="Z61" s="13"/>
      <c r="AA61" s="13"/>
      <c r="AB61" s="14"/>
      <c r="AC61" s="9"/>
      <c r="AD61" s="16"/>
      <c r="AE61" s="10"/>
      <c r="AF61" s="10"/>
      <c r="AG61" s="10"/>
      <c r="AH61" s="11"/>
      <c r="AI61" s="12"/>
      <c r="AJ61" s="17"/>
      <c r="AK61" s="13"/>
      <c r="AL61" s="13"/>
      <c r="AM61" s="13"/>
      <c r="AN61" s="14"/>
      <c r="AO61" s="9"/>
      <c r="AP61" s="16"/>
      <c r="AQ61" s="10"/>
      <c r="AR61" s="10"/>
      <c r="AS61" s="10"/>
      <c r="AT61" s="11"/>
      <c r="AU61" s="12"/>
      <c r="AV61" s="17"/>
      <c r="AW61" s="13"/>
      <c r="AX61" s="13"/>
      <c r="AY61" s="13"/>
      <c r="AZ61" s="14"/>
      <c r="BA61" s="9"/>
      <c r="BB61" s="16"/>
      <c r="BC61" s="10"/>
      <c r="BD61" s="10"/>
      <c r="BE61" s="10"/>
      <c r="BF61" s="11"/>
      <c r="BG61" s="12"/>
      <c r="BH61" s="17"/>
      <c r="BI61" s="13"/>
      <c r="BJ61" s="13"/>
      <c r="BK61" s="13"/>
      <c r="BL61" s="14"/>
      <c r="BM61" s="8">
        <f t="shared" si="9"/>
        <v>0</v>
      </c>
      <c r="BN61" s="8">
        <f t="shared" si="10"/>
        <v>0</v>
      </c>
      <c r="BO61" s="8">
        <f t="shared" si="11"/>
        <v>0</v>
      </c>
      <c r="BP61" s="8">
        <f t="shared" si="12"/>
        <v>0</v>
      </c>
      <c r="BQ61" s="8">
        <f t="shared" si="13"/>
        <v>0</v>
      </c>
      <c r="BR61" s="8">
        <f t="shared" si="14"/>
        <v>0</v>
      </c>
      <c r="BS61" s="15">
        <f t="shared" si="15"/>
        <v>0</v>
      </c>
      <c r="BT61" s="15" t="str">
        <f t="shared" si="16"/>
        <v>OK - No Upgrade</v>
      </c>
      <c r="BU61" s="15" t="str">
        <f t="shared" si="17"/>
        <v>OK - Balanced</v>
      </c>
    </row>
    <row r="62" spans="1:73" ht="15.75" customHeight="1" x14ac:dyDescent="0.25">
      <c r="A62" s="8" t="s">
        <v>1459</v>
      </c>
      <c r="B62" s="8" t="s">
        <v>2205</v>
      </c>
      <c r="C62" s="8" t="s">
        <v>2296</v>
      </c>
      <c r="D62" s="8" t="s">
        <v>2373</v>
      </c>
      <c r="E62" s="8" t="s">
        <v>2374</v>
      </c>
      <c r="F62" s="8" t="s">
        <v>43</v>
      </c>
      <c r="G62" s="8"/>
      <c r="H62" s="8">
        <v>100</v>
      </c>
      <c r="I62" s="8" t="s">
        <v>2375</v>
      </c>
      <c r="J62" s="8">
        <v>1</v>
      </c>
      <c r="K62" s="8">
        <v>243</v>
      </c>
      <c r="L62" s="8">
        <v>243</v>
      </c>
      <c r="M62" s="8">
        <v>244</v>
      </c>
      <c r="N62" s="8">
        <v>420</v>
      </c>
      <c r="O62" s="8">
        <v>421</v>
      </c>
      <c r="P62" s="8">
        <v>421</v>
      </c>
      <c r="Q62" s="9" t="s">
        <v>47</v>
      </c>
      <c r="R62" s="16"/>
      <c r="S62" s="10">
        <v>39</v>
      </c>
      <c r="T62" s="10">
        <v>60</v>
      </c>
      <c r="U62" s="10">
        <v>42</v>
      </c>
      <c r="V62" s="11">
        <v>21</v>
      </c>
      <c r="W62" s="12"/>
      <c r="X62" s="17"/>
      <c r="Y62" s="13"/>
      <c r="Z62" s="13"/>
      <c r="AA62" s="13"/>
      <c r="AB62" s="14"/>
      <c r="AC62" s="9"/>
      <c r="AD62" s="16"/>
      <c r="AE62" s="10"/>
      <c r="AF62" s="10"/>
      <c r="AG62" s="10"/>
      <c r="AH62" s="11"/>
      <c r="AI62" s="12"/>
      <c r="AJ62" s="17"/>
      <c r="AK62" s="13"/>
      <c r="AL62" s="13"/>
      <c r="AM62" s="13"/>
      <c r="AN62" s="14"/>
      <c r="AO62" s="9"/>
      <c r="AP62" s="16"/>
      <c r="AQ62" s="10"/>
      <c r="AR62" s="10"/>
      <c r="AS62" s="10"/>
      <c r="AT62" s="11"/>
      <c r="AU62" s="12"/>
      <c r="AV62" s="17"/>
      <c r="AW62" s="13"/>
      <c r="AX62" s="13"/>
      <c r="AY62" s="13"/>
      <c r="AZ62" s="14"/>
      <c r="BA62" s="9"/>
      <c r="BB62" s="16"/>
      <c r="BC62" s="10"/>
      <c r="BD62" s="10"/>
      <c r="BE62" s="10"/>
      <c r="BF62" s="11"/>
      <c r="BG62" s="12"/>
      <c r="BH62" s="17"/>
      <c r="BI62" s="13"/>
      <c r="BJ62" s="13"/>
      <c r="BK62" s="13"/>
      <c r="BL62" s="14"/>
      <c r="BM62" s="8">
        <f t="shared" si="9"/>
        <v>39</v>
      </c>
      <c r="BN62" s="8">
        <f t="shared" si="10"/>
        <v>60</v>
      </c>
      <c r="BO62" s="8">
        <f t="shared" si="11"/>
        <v>42</v>
      </c>
      <c r="BP62" s="8">
        <f t="shared" si="12"/>
        <v>21</v>
      </c>
      <c r="BQ62" s="8">
        <f t="shared" si="13"/>
        <v>60</v>
      </c>
      <c r="BR62" s="8">
        <f t="shared" si="14"/>
        <v>39</v>
      </c>
      <c r="BS62" s="15">
        <f t="shared" si="15"/>
        <v>43.647680350735705</v>
      </c>
      <c r="BT62" s="15" t="str">
        <f t="shared" si="16"/>
        <v>OK - No Upgrade</v>
      </c>
      <c r="BU62" s="15" t="str">
        <f t="shared" si="17"/>
        <v>Need to Balance</v>
      </c>
    </row>
    <row r="63" spans="1:73" ht="15.75" customHeight="1" x14ac:dyDescent="0.25">
      <c r="A63" s="8" t="s">
        <v>1459</v>
      </c>
      <c r="B63" s="8" t="s">
        <v>2205</v>
      </c>
      <c r="C63" s="8" t="s">
        <v>2296</v>
      </c>
      <c r="D63" s="8" t="s">
        <v>2376</v>
      </c>
      <c r="E63" s="8" t="s">
        <v>2377</v>
      </c>
      <c r="F63" s="8" t="s">
        <v>43</v>
      </c>
      <c r="G63" s="8"/>
      <c r="H63" s="8">
        <v>315</v>
      </c>
      <c r="I63" s="8" t="s">
        <v>2378</v>
      </c>
      <c r="J63" s="8">
        <v>1</v>
      </c>
      <c r="K63" s="8">
        <v>243</v>
      </c>
      <c r="L63" s="8">
        <v>244</v>
      </c>
      <c r="M63" s="8">
        <v>242</v>
      </c>
      <c r="N63" s="8">
        <v>421</v>
      </c>
      <c r="O63" s="8">
        <v>420</v>
      </c>
      <c r="P63" s="8">
        <v>423</v>
      </c>
      <c r="Q63" s="9" t="s">
        <v>46</v>
      </c>
      <c r="R63" s="16"/>
      <c r="S63" s="10">
        <v>55</v>
      </c>
      <c r="T63" s="10">
        <v>70</v>
      </c>
      <c r="U63" s="10">
        <v>56</v>
      </c>
      <c r="V63" s="11">
        <v>11</v>
      </c>
      <c r="W63" s="12"/>
      <c r="X63" s="17"/>
      <c r="Y63" s="13"/>
      <c r="Z63" s="13"/>
      <c r="AA63" s="13"/>
      <c r="AB63" s="14"/>
      <c r="AC63" s="9"/>
      <c r="AD63" s="16"/>
      <c r="AE63" s="10"/>
      <c r="AF63" s="10"/>
      <c r="AG63" s="10"/>
      <c r="AH63" s="11"/>
      <c r="AI63" s="12"/>
      <c r="AJ63" s="17"/>
      <c r="AK63" s="13"/>
      <c r="AL63" s="13"/>
      <c r="AM63" s="13"/>
      <c r="AN63" s="14"/>
      <c r="AO63" s="9"/>
      <c r="AP63" s="16"/>
      <c r="AQ63" s="10"/>
      <c r="AR63" s="10"/>
      <c r="AS63" s="10"/>
      <c r="AT63" s="11"/>
      <c r="AU63" s="12"/>
      <c r="AV63" s="17"/>
      <c r="AW63" s="13"/>
      <c r="AX63" s="13"/>
      <c r="AY63" s="13"/>
      <c r="AZ63" s="14"/>
      <c r="BA63" s="9"/>
      <c r="BB63" s="16"/>
      <c r="BC63" s="10"/>
      <c r="BD63" s="10"/>
      <c r="BE63" s="10"/>
      <c r="BF63" s="11"/>
      <c r="BG63" s="12"/>
      <c r="BH63" s="17"/>
      <c r="BI63" s="13"/>
      <c r="BJ63" s="13"/>
      <c r="BK63" s="13"/>
      <c r="BL63" s="14"/>
      <c r="BM63" s="8">
        <f t="shared" si="9"/>
        <v>55</v>
      </c>
      <c r="BN63" s="8">
        <f t="shared" si="10"/>
        <v>70</v>
      </c>
      <c r="BO63" s="8">
        <f t="shared" si="11"/>
        <v>56</v>
      </c>
      <c r="BP63" s="8">
        <f t="shared" si="12"/>
        <v>11</v>
      </c>
      <c r="BQ63" s="8">
        <f t="shared" si="13"/>
        <v>70</v>
      </c>
      <c r="BR63" s="8">
        <f t="shared" si="14"/>
        <v>55</v>
      </c>
      <c r="BS63" s="15">
        <f t="shared" si="15"/>
        <v>16.204297555255494</v>
      </c>
      <c r="BT63" s="15" t="str">
        <f t="shared" si="16"/>
        <v>OK - No Upgrade</v>
      </c>
      <c r="BU63" s="15" t="str">
        <f t="shared" si="17"/>
        <v>Need to Balance</v>
      </c>
    </row>
    <row r="64" spans="1:73" ht="15.75" customHeight="1" x14ac:dyDescent="0.25">
      <c r="A64" s="8" t="s">
        <v>1459</v>
      </c>
      <c r="B64" s="8" t="s">
        <v>2205</v>
      </c>
      <c r="C64" s="8" t="s">
        <v>2296</v>
      </c>
      <c r="D64" s="8" t="s">
        <v>2379</v>
      </c>
      <c r="E64" s="8" t="s">
        <v>2380</v>
      </c>
      <c r="F64" s="8" t="s">
        <v>43</v>
      </c>
      <c r="G64" s="8"/>
      <c r="H64" s="8">
        <v>100</v>
      </c>
      <c r="I64" s="8" t="s">
        <v>2381</v>
      </c>
      <c r="J64" s="8">
        <v>1</v>
      </c>
      <c r="K64" s="8">
        <v>243</v>
      </c>
      <c r="L64" s="8">
        <v>244</v>
      </c>
      <c r="M64" s="8">
        <v>244</v>
      </c>
      <c r="N64" s="8">
        <v>422</v>
      </c>
      <c r="O64" s="8">
        <v>423</v>
      </c>
      <c r="P64" s="8">
        <v>421</v>
      </c>
      <c r="Q64" s="9" t="s">
        <v>46</v>
      </c>
      <c r="R64" s="16"/>
      <c r="S64" s="10">
        <v>25</v>
      </c>
      <c r="T64" s="10">
        <v>13</v>
      </c>
      <c r="U64" s="10">
        <v>10</v>
      </c>
      <c r="V64" s="11">
        <v>10</v>
      </c>
      <c r="W64" s="12"/>
      <c r="X64" s="17"/>
      <c r="Y64" s="13"/>
      <c r="Z64" s="13"/>
      <c r="AA64" s="13"/>
      <c r="AB64" s="14"/>
      <c r="AC64" s="9"/>
      <c r="AD64" s="16"/>
      <c r="AE64" s="10"/>
      <c r="AF64" s="10"/>
      <c r="AG64" s="10"/>
      <c r="AH64" s="11"/>
      <c r="AI64" s="12"/>
      <c r="AJ64" s="17"/>
      <c r="AK64" s="13"/>
      <c r="AL64" s="13"/>
      <c r="AM64" s="13"/>
      <c r="AN64" s="14"/>
      <c r="AO64" s="9"/>
      <c r="AP64" s="16"/>
      <c r="AQ64" s="10"/>
      <c r="AR64" s="10"/>
      <c r="AS64" s="10"/>
      <c r="AT64" s="11"/>
      <c r="AU64" s="12"/>
      <c r="AV64" s="17"/>
      <c r="AW64" s="13"/>
      <c r="AX64" s="13"/>
      <c r="AY64" s="13"/>
      <c r="AZ64" s="14"/>
      <c r="BA64" s="9"/>
      <c r="BB64" s="16"/>
      <c r="BC64" s="10"/>
      <c r="BD64" s="10"/>
      <c r="BE64" s="10"/>
      <c r="BF64" s="11"/>
      <c r="BG64" s="12"/>
      <c r="BH64" s="17"/>
      <c r="BI64" s="13"/>
      <c r="BJ64" s="13"/>
      <c r="BK64" s="13"/>
      <c r="BL64" s="14"/>
      <c r="BM64" s="8">
        <f t="shared" si="9"/>
        <v>25</v>
      </c>
      <c r="BN64" s="8">
        <f t="shared" si="10"/>
        <v>13</v>
      </c>
      <c r="BO64" s="8">
        <f t="shared" si="11"/>
        <v>10</v>
      </c>
      <c r="BP64" s="8">
        <f t="shared" si="12"/>
        <v>10</v>
      </c>
      <c r="BQ64" s="8">
        <f t="shared" si="13"/>
        <v>25</v>
      </c>
      <c r="BR64" s="8">
        <f t="shared" si="14"/>
        <v>10</v>
      </c>
      <c r="BS64" s="15">
        <f t="shared" si="15"/>
        <v>18.273136019851655</v>
      </c>
      <c r="BT64" s="15" t="str">
        <f t="shared" si="16"/>
        <v>OK - No Upgrade</v>
      </c>
      <c r="BU64" s="15" t="str">
        <f t="shared" si="17"/>
        <v>Need to Balance</v>
      </c>
    </row>
    <row r="65" spans="1:73" ht="15.75" customHeight="1" x14ac:dyDescent="0.25">
      <c r="A65" s="8" t="s">
        <v>1459</v>
      </c>
      <c r="B65" s="8" t="s">
        <v>2205</v>
      </c>
      <c r="C65" s="8" t="s">
        <v>2296</v>
      </c>
      <c r="D65" s="8" t="s">
        <v>2382</v>
      </c>
      <c r="E65" s="8" t="s">
        <v>2383</v>
      </c>
      <c r="F65" s="8" t="s">
        <v>43</v>
      </c>
      <c r="G65" s="8"/>
      <c r="H65" s="8">
        <v>100</v>
      </c>
      <c r="I65" s="8" t="s">
        <v>2384</v>
      </c>
      <c r="J65" s="8">
        <v>1</v>
      </c>
      <c r="K65" s="8">
        <v>246</v>
      </c>
      <c r="L65" s="8">
        <v>245</v>
      </c>
      <c r="M65" s="8">
        <v>245</v>
      </c>
      <c r="N65" s="8">
        <v>423</v>
      </c>
      <c r="O65" s="8">
        <v>424</v>
      </c>
      <c r="P65" s="8">
        <v>427</v>
      </c>
      <c r="Q65" s="9" t="s">
        <v>47</v>
      </c>
      <c r="R65" s="16"/>
      <c r="S65" s="10">
        <v>3</v>
      </c>
      <c r="T65" s="10">
        <v>14</v>
      </c>
      <c r="U65" s="10">
        <v>11</v>
      </c>
      <c r="V65" s="11">
        <v>9</v>
      </c>
      <c r="W65" s="12"/>
      <c r="X65" s="17"/>
      <c r="Y65" s="13"/>
      <c r="Z65" s="13"/>
      <c r="AA65" s="13"/>
      <c r="AB65" s="14"/>
      <c r="AC65" s="9"/>
      <c r="AD65" s="16"/>
      <c r="AE65" s="10"/>
      <c r="AF65" s="10"/>
      <c r="AG65" s="10"/>
      <c r="AH65" s="11"/>
      <c r="AI65" s="12"/>
      <c r="AJ65" s="17"/>
      <c r="AK65" s="13"/>
      <c r="AL65" s="13"/>
      <c r="AM65" s="13"/>
      <c r="AN65" s="14"/>
      <c r="AO65" s="9"/>
      <c r="AP65" s="16"/>
      <c r="AQ65" s="10"/>
      <c r="AR65" s="10"/>
      <c r="AS65" s="10"/>
      <c r="AT65" s="11"/>
      <c r="AU65" s="12"/>
      <c r="AV65" s="17"/>
      <c r="AW65" s="13"/>
      <c r="AX65" s="13"/>
      <c r="AY65" s="13"/>
      <c r="AZ65" s="14"/>
      <c r="BA65" s="9"/>
      <c r="BB65" s="16"/>
      <c r="BC65" s="10"/>
      <c r="BD65" s="10"/>
      <c r="BE65" s="10"/>
      <c r="BF65" s="11"/>
      <c r="BG65" s="12"/>
      <c r="BH65" s="17"/>
      <c r="BI65" s="13"/>
      <c r="BJ65" s="13"/>
      <c r="BK65" s="13"/>
      <c r="BL65" s="14"/>
      <c r="BM65" s="8">
        <f t="shared" si="9"/>
        <v>3</v>
      </c>
      <c r="BN65" s="8">
        <f t="shared" si="10"/>
        <v>14</v>
      </c>
      <c r="BO65" s="8">
        <f t="shared" si="11"/>
        <v>11</v>
      </c>
      <c r="BP65" s="8">
        <f t="shared" si="12"/>
        <v>9</v>
      </c>
      <c r="BQ65" s="8">
        <f t="shared" si="13"/>
        <v>14</v>
      </c>
      <c r="BR65" s="8">
        <f t="shared" si="14"/>
        <v>3</v>
      </c>
      <c r="BS65" s="15">
        <f t="shared" si="15"/>
        <v>10.257204882422892</v>
      </c>
      <c r="BT65" s="15" t="str">
        <f t="shared" si="16"/>
        <v>OK - No Upgrade</v>
      </c>
      <c r="BU65" s="15" t="str">
        <f t="shared" si="17"/>
        <v>Need to Balance</v>
      </c>
    </row>
    <row r="66" spans="1:73" ht="15.75" customHeight="1" x14ac:dyDescent="0.25">
      <c r="A66" s="8" t="s">
        <v>1459</v>
      </c>
      <c r="B66" s="8" t="s">
        <v>2205</v>
      </c>
      <c r="C66" s="8" t="s">
        <v>2296</v>
      </c>
      <c r="D66" s="8" t="s">
        <v>2385</v>
      </c>
      <c r="E66" s="8" t="s">
        <v>2386</v>
      </c>
      <c r="F66" s="8" t="s">
        <v>43</v>
      </c>
      <c r="G66" s="8"/>
      <c r="H66" s="8">
        <v>315</v>
      </c>
      <c r="I66" s="8" t="s">
        <v>2387</v>
      </c>
      <c r="J66" s="8">
        <v>1</v>
      </c>
      <c r="K66" s="8">
        <v>244</v>
      </c>
      <c r="L66" s="8">
        <v>245</v>
      </c>
      <c r="M66" s="8">
        <v>245</v>
      </c>
      <c r="N66" s="8">
        <v>425</v>
      </c>
      <c r="O66" s="8">
        <v>423</v>
      </c>
      <c r="P66" s="8">
        <v>422</v>
      </c>
      <c r="Q66" s="9" t="s">
        <v>46</v>
      </c>
      <c r="R66" s="16"/>
      <c r="S66" s="10">
        <v>68</v>
      </c>
      <c r="T66" s="10">
        <v>102</v>
      </c>
      <c r="U66" s="10">
        <v>75</v>
      </c>
      <c r="V66" s="11">
        <v>33</v>
      </c>
      <c r="W66" s="12"/>
      <c r="X66" s="17"/>
      <c r="Y66" s="13"/>
      <c r="Z66" s="13"/>
      <c r="AA66" s="13"/>
      <c r="AB66" s="14"/>
      <c r="AC66" s="9"/>
      <c r="AD66" s="16"/>
      <c r="AE66" s="10"/>
      <c r="AF66" s="10"/>
      <c r="AG66" s="10"/>
      <c r="AH66" s="11"/>
      <c r="AI66" s="12"/>
      <c r="AJ66" s="17"/>
      <c r="AK66" s="13"/>
      <c r="AL66" s="13"/>
      <c r="AM66" s="13"/>
      <c r="AN66" s="14"/>
      <c r="AO66" s="9"/>
      <c r="AP66" s="16"/>
      <c r="AQ66" s="10"/>
      <c r="AR66" s="10"/>
      <c r="AS66" s="10"/>
      <c r="AT66" s="11"/>
      <c r="AU66" s="12"/>
      <c r="AV66" s="17"/>
      <c r="AW66" s="13"/>
      <c r="AX66" s="13"/>
      <c r="AY66" s="13"/>
      <c r="AZ66" s="14"/>
      <c r="BA66" s="9"/>
      <c r="BB66" s="16"/>
      <c r="BC66" s="10"/>
      <c r="BD66" s="10"/>
      <c r="BE66" s="10"/>
      <c r="BF66" s="11"/>
      <c r="BG66" s="12"/>
      <c r="BH66" s="17"/>
      <c r="BI66" s="13"/>
      <c r="BJ66" s="13"/>
      <c r="BK66" s="13"/>
      <c r="BL66" s="14"/>
      <c r="BM66" s="8">
        <f t="shared" si="9"/>
        <v>68</v>
      </c>
      <c r="BN66" s="8">
        <f t="shared" si="10"/>
        <v>102</v>
      </c>
      <c r="BO66" s="8">
        <f t="shared" si="11"/>
        <v>75</v>
      </c>
      <c r="BP66" s="8">
        <f t="shared" si="12"/>
        <v>33</v>
      </c>
      <c r="BQ66" s="8">
        <f t="shared" si="13"/>
        <v>102</v>
      </c>
      <c r="BR66" s="8">
        <f t="shared" si="14"/>
        <v>68</v>
      </c>
      <c r="BS66" s="15">
        <f t="shared" si="15"/>
        <v>23.83631825654312</v>
      </c>
      <c r="BT66" s="15" t="str">
        <f t="shared" si="16"/>
        <v>OK - No Upgrade</v>
      </c>
      <c r="BU66" s="15" t="str">
        <f t="shared" si="17"/>
        <v>Need to Balance</v>
      </c>
    </row>
    <row r="67" spans="1:73" ht="15.75" customHeight="1" x14ac:dyDescent="0.25">
      <c r="A67" s="8" t="s">
        <v>1459</v>
      </c>
      <c r="B67" s="8" t="s">
        <v>2205</v>
      </c>
      <c r="C67" s="8" t="s">
        <v>2296</v>
      </c>
      <c r="D67" s="8" t="s">
        <v>2388</v>
      </c>
      <c r="E67" s="8" t="s">
        <v>2389</v>
      </c>
      <c r="F67" s="8" t="s">
        <v>43</v>
      </c>
      <c r="G67" s="8"/>
      <c r="H67" s="8">
        <v>100</v>
      </c>
      <c r="I67" s="8" t="s">
        <v>2390</v>
      </c>
      <c r="J67" s="8">
        <v>1</v>
      </c>
      <c r="K67" s="8">
        <v>246</v>
      </c>
      <c r="L67" s="8">
        <v>245</v>
      </c>
      <c r="M67" s="8">
        <v>243</v>
      </c>
      <c r="N67" s="8">
        <v>425</v>
      </c>
      <c r="O67" s="8">
        <v>423</v>
      </c>
      <c r="P67" s="8">
        <v>422</v>
      </c>
      <c r="Q67" s="9" t="s">
        <v>46</v>
      </c>
      <c r="R67" s="16"/>
      <c r="S67" s="10">
        <v>0</v>
      </c>
      <c r="T67" s="10">
        <v>0</v>
      </c>
      <c r="U67" s="10">
        <v>0</v>
      </c>
      <c r="V67" s="11">
        <v>0</v>
      </c>
      <c r="W67" s="12"/>
      <c r="X67" s="17"/>
      <c r="Y67" s="13"/>
      <c r="Z67" s="13"/>
      <c r="AA67" s="13"/>
      <c r="AB67" s="14"/>
      <c r="AC67" s="9"/>
      <c r="AD67" s="16"/>
      <c r="AE67" s="10"/>
      <c r="AF67" s="10"/>
      <c r="AG67" s="10"/>
      <c r="AH67" s="11"/>
      <c r="AI67" s="12"/>
      <c r="AJ67" s="17"/>
      <c r="AK67" s="13"/>
      <c r="AL67" s="13"/>
      <c r="AM67" s="13"/>
      <c r="AN67" s="14"/>
      <c r="AO67" s="9"/>
      <c r="AP67" s="16"/>
      <c r="AQ67" s="10"/>
      <c r="AR67" s="10"/>
      <c r="AS67" s="10"/>
      <c r="AT67" s="11"/>
      <c r="AU67" s="12"/>
      <c r="AV67" s="17"/>
      <c r="AW67" s="13"/>
      <c r="AX67" s="13"/>
      <c r="AY67" s="13"/>
      <c r="AZ67" s="14"/>
      <c r="BA67" s="9"/>
      <c r="BB67" s="16"/>
      <c r="BC67" s="10"/>
      <c r="BD67" s="10"/>
      <c r="BE67" s="10"/>
      <c r="BF67" s="11"/>
      <c r="BG67" s="12"/>
      <c r="BH67" s="17"/>
      <c r="BI67" s="13"/>
      <c r="BJ67" s="13"/>
      <c r="BK67" s="13"/>
      <c r="BL67" s="14"/>
      <c r="BM67" s="8">
        <f t="shared" si="9"/>
        <v>0</v>
      </c>
      <c r="BN67" s="8">
        <f t="shared" si="10"/>
        <v>0</v>
      </c>
      <c r="BO67" s="8">
        <f t="shared" si="11"/>
        <v>0</v>
      </c>
      <c r="BP67" s="8">
        <f t="shared" si="12"/>
        <v>0</v>
      </c>
      <c r="BQ67" s="8">
        <f t="shared" si="13"/>
        <v>0</v>
      </c>
      <c r="BR67" s="8">
        <f t="shared" si="14"/>
        <v>0</v>
      </c>
      <c r="BS67" s="15">
        <f t="shared" si="15"/>
        <v>0</v>
      </c>
      <c r="BT67" s="15" t="str">
        <f t="shared" si="16"/>
        <v>OK - No Upgrade</v>
      </c>
      <c r="BU67" s="15" t="str">
        <f t="shared" si="17"/>
        <v>OK - Balanced</v>
      </c>
    </row>
    <row r="68" spans="1:73" ht="15.75" customHeight="1" x14ac:dyDescent="0.25">
      <c r="A68" s="8" t="s">
        <v>1459</v>
      </c>
      <c r="B68" s="8" t="s">
        <v>2205</v>
      </c>
      <c r="C68" s="8" t="s">
        <v>2296</v>
      </c>
      <c r="D68" s="8" t="s">
        <v>2391</v>
      </c>
      <c r="E68" s="8" t="s">
        <v>2392</v>
      </c>
      <c r="F68" s="8" t="s">
        <v>43</v>
      </c>
      <c r="G68" s="8"/>
      <c r="H68" s="8">
        <v>100</v>
      </c>
      <c r="I68" s="8" t="s">
        <v>2393</v>
      </c>
      <c r="J68" s="8">
        <v>1</v>
      </c>
      <c r="K68" s="8">
        <v>245</v>
      </c>
      <c r="L68" s="8">
        <v>246</v>
      </c>
      <c r="M68" s="8">
        <v>244</v>
      </c>
      <c r="N68" s="8">
        <v>426</v>
      </c>
      <c r="O68" s="8">
        <v>420</v>
      </c>
      <c r="P68" s="8">
        <v>424</v>
      </c>
      <c r="Q68" s="9" t="s">
        <v>46</v>
      </c>
      <c r="R68" s="16"/>
      <c r="S68" s="10">
        <v>11</v>
      </c>
      <c r="T68" s="10">
        <v>11</v>
      </c>
      <c r="U68" s="10">
        <v>19</v>
      </c>
      <c r="V68" s="11">
        <v>0</v>
      </c>
      <c r="W68" s="12" t="s">
        <v>46</v>
      </c>
      <c r="X68" s="17"/>
      <c r="Y68" s="13">
        <v>0</v>
      </c>
      <c r="Z68" s="13">
        <v>0</v>
      </c>
      <c r="AA68" s="13">
        <v>0</v>
      </c>
      <c r="AB68" s="14">
        <v>0</v>
      </c>
      <c r="AC68" s="9"/>
      <c r="AD68" s="16"/>
      <c r="AE68" s="10"/>
      <c r="AF68" s="10"/>
      <c r="AG68" s="10"/>
      <c r="AH68" s="11"/>
      <c r="AI68" s="12"/>
      <c r="AJ68" s="17"/>
      <c r="AK68" s="13"/>
      <c r="AL68" s="13"/>
      <c r="AM68" s="13"/>
      <c r="AN68" s="14"/>
      <c r="AO68" s="9"/>
      <c r="AP68" s="16"/>
      <c r="AQ68" s="10"/>
      <c r="AR68" s="10"/>
      <c r="AS68" s="10"/>
      <c r="AT68" s="11"/>
      <c r="AU68" s="12"/>
      <c r="AV68" s="17"/>
      <c r="AW68" s="13"/>
      <c r="AX68" s="13"/>
      <c r="AY68" s="13"/>
      <c r="AZ68" s="14"/>
      <c r="BA68" s="9"/>
      <c r="BB68" s="16"/>
      <c r="BC68" s="10"/>
      <c r="BD68" s="10"/>
      <c r="BE68" s="10"/>
      <c r="BF68" s="11"/>
      <c r="BG68" s="12"/>
      <c r="BH68" s="17"/>
      <c r="BI68" s="13"/>
      <c r="BJ68" s="13"/>
      <c r="BK68" s="13"/>
      <c r="BL68" s="14"/>
      <c r="BM68" s="8">
        <f t="shared" ref="BM68:BM99" si="18">SUM(S68,Y68,AE68,AK68,AQ68,AW68,BC68,BI68)</f>
        <v>11</v>
      </c>
      <c r="BN68" s="8">
        <f t="shared" ref="BN68:BN99" si="19">SUM(T68,Z68,AF68,AL68,AR68,AX68,BD68,BJ68)</f>
        <v>11</v>
      </c>
      <c r="BO68" s="8">
        <f t="shared" ref="BO68:BO99" si="20">SUM(U68,AA68,AG68,AM68,AS68,AY68,BE68,BK68)</f>
        <v>19</v>
      </c>
      <c r="BP68" s="8">
        <f t="shared" ref="BP68:BP99" si="21">SUM(V68,AB68,AH68,AN68,AT68,AZ68,BF68,BL68)</f>
        <v>0</v>
      </c>
      <c r="BQ68" s="8">
        <f t="shared" ref="BQ68:BQ99" si="22">MAX(BM68:BO68)</f>
        <v>19</v>
      </c>
      <c r="BR68" s="8">
        <f t="shared" ref="BR68:BR99" si="23">MIN(BM68:BO68)</f>
        <v>11</v>
      </c>
      <c r="BS68" s="15">
        <f t="shared" ref="BS68:BS99" si="24">IF(H68&gt;0,(BQ68*SQRT(3)*IF(N68&gt;0,N68,IF(O68&gt;0,O68,IF(P68&gt;0,P68,415)))/(H68*1000))*100,0)</f>
        <v>14.01921923646249</v>
      </c>
      <c r="BT68" s="15" t="str">
        <f t="shared" ref="BT68:BT99" si="25">IF(BS68&gt;70,"Upgrade","OK - No Upgrade")</f>
        <v>OK - No Upgrade</v>
      </c>
      <c r="BU68" s="15" t="str">
        <f t="shared" ref="BU68:BU99" si="26">IF(IF(AVERAGE(BM68:BO68)&gt;0,((BQ68-AVERAGE(BM68:BO68))/AVERAGE(BM68:BO68))*100,0)&gt;10,"Need to Balance","OK - Balanced")</f>
        <v>Need to Balance</v>
      </c>
    </row>
    <row r="69" spans="1:73" ht="15.75" customHeight="1" x14ac:dyDescent="0.25">
      <c r="A69" s="8" t="s">
        <v>1459</v>
      </c>
      <c r="B69" s="8" t="s">
        <v>2205</v>
      </c>
      <c r="C69" s="8" t="s">
        <v>2296</v>
      </c>
      <c r="D69" s="8" t="s">
        <v>2394</v>
      </c>
      <c r="E69" s="8" t="s">
        <v>2395</v>
      </c>
      <c r="F69" s="8" t="s">
        <v>43</v>
      </c>
      <c r="G69" s="8"/>
      <c r="H69" s="8">
        <v>200</v>
      </c>
      <c r="I69" s="8" t="s">
        <v>2396</v>
      </c>
      <c r="J69" s="8">
        <v>1</v>
      </c>
      <c r="K69" s="8">
        <v>243</v>
      </c>
      <c r="L69" s="8">
        <v>243</v>
      </c>
      <c r="M69" s="8">
        <v>244</v>
      </c>
      <c r="N69" s="8">
        <v>422</v>
      </c>
      <c r="O69" s="8">
        <v>421</v>
      </c>
      <c r="P69" s="8">
        <v>422</v>
      </c>
      <c r="Q69" s="9" t="s">
        <v>47</v>
      </c>
      <c r="R69" s="16"/>
      <c r="S69" s="10">
        <v>0</v>
      </c>
      <c r="T69" s="10">
        <v>0</v>
      </c>
      <c r="U69" s="10">
        <v>0</v>
      </c>
      <c r="V69" s="11">
        <v>0</v>
      </c>
      <c r="W69" s="12" t="s">
        <v>47</v>
      </c>
      <c r="X69" s="17"/>
      <c r="Y69" s="13">
        <v>10</v>
      </c>
      <c r="Z69" s="13">
        <v>38</v>
      </c>
      <c r="AA69" s="13">
        <v>11</v>
      </c>
      <c r="AB69" s="14">
        <v>22</v>
      </c>
      <c r="AC69" s="9"/>
      <c r="AD69" s="16"/>
      <c r="AE69" s="10"/>
      <c r="AF69" s="10"/>
      <c r="AG69" s="10"/>
      <c r="AH69" s="11"/>
      <c r="AI69" s="12"/>
      <c r="AJ69" s="17"/>
      <c r="AK69" s="13"/>
      <c r="AL69" s="13"/>
      <c r="AM69" s="13"/>
      <c r="AN69" s="14"/>
      <c r="AO69" s="9"/>
      <c r="AP69" s="16"/>
      <c r="AQ69" s="10"/>
      <c r="AR69" s="10"/>
      <c r="AS69" s="10"/>
      <c r="AT69" s="11"/>
      <c r="AU69" s="12"/>
      <c r="AV69" s="17"/>
      <c r="AW69" s="13"/>
      <c r="AX69" s="13"/>
      <c r="AY69" s="13"/>
      <c r="AZ69" s="14"/>
      <c r="BA69" s="9"/>
      <c r="BB69" s="16"/>
      <c r="BC69" s="10"/>
      <c r="BD69" s="10"/>
      <c r="BE69" s="10"/>
      <c r="BF69" s="11"/>
      <c r="BG69" s="12"/>
      <c r="BH69" s="17"/>
      <c r="BI69" s="13"/>
      <c r="BJ69" s="13"/>
      <c r="BK69" s="13"/>
      <c r="BL69" s="14"/>
      <c r="BM69" s="8">
        <f t="shared" si="18"/>
        <v>10</v>
      </c>
      <c r="BN69" s="8">
        <f t="shared" si="19"/>
        <v>38</v>
      </c>
      <c r="BO69" s="8">
        <f t="shared" si="20"/>
        <v>11</v>
      </c>
      <c r="BP69" s="8">
        <f t="shared" si="21"/>
        <v>22</v>
      </c>
      <c r="BQ69" s="8">
        <f t="shared" si="22"/>
        <v>38</v>
      </c>
      <c r="BR69" s="8">
        <f t="shared" si="23"/>
        <v>10</v>
      </c>
      <c r="BS69" s="15">
        <f t="shared" si="24"/>
        <v>13.887583375087257</v>
      </c>
      <c r="BT69" s="15" t="str">
        <f t="shared" si="25"/>
        <v>OK - No Upgrade</v>
      </c>
      <c r="BU69" s="15" t="str">
        <f t="shared" si="26"/>
        <v>Need to Balance</v>
      </c>
    </row>
    <row r="70" spans="1:73" ht="15.75" customHeight="1" x14ac:dyDescent="0.25">
      <c r="A70" s="8" t="s">
        <v>1459</v>
      </c>
      <c r="B70" s="8" t="s">
        <v>2205</v>
      </c>
      <c r="C70" s="8" t="s">
        <v>2296</v>
      </c>
      <c r="D70" s="8" t="s">
        <v>2397</v>
      </c>
      <c r="E70" s="8" t="s">
        <v>2398</v>
      </c>
      <c r="F70" s="8" t="s">
        <v>43</v>
      </c>
      <c r="G70" s="8"/>
      <c r="H70" s="8">
        <v>315</v>
      </c>
      <c r="I70" s="8" t="s">
        <v>2399</v>
      </c>
      <c r="J70" s="8">
        <v>1</v>
      </c>
      <c r="K70" s="8">
        <v>241</v>
      </c>
      <c r="L70" s="8">
        <v>244</v>
      </c>
      <c r="M70" s="8">
        <v>241</v>
      </c>
      <c r="N70" s="8">
        <v>420</v>
      </c>
      <c r="O70" s="8">
        <v>417</v>
      </c>
      <c r="P70" s="8">
        <v>418</v>
      </c>
      <c r="Q70" s="9" t="s">
        <v>46</v>
      </c>
      <c r="R70" s="16"/>
      <c r="S70" s="10">
        <v>26</v>
      </c>
      <c r="T70" s="10">
        <v>11</v>
      </c>
      <c r="U70" s="10">
        <v>19</v>
      </c>
      <c r="V70" s="11">
        <v>10</v>
      </c>
      <c r="W70" s="12" t="s">
        <v>46</v>
      </c>
      <c r="X70" s="17"/>
      <c r="Y70" s="13">
        <v>65</v>
      </c>
      <c r="Z70" s="13">
        <v>77</v>
      </c>
      <c r="AA70" s="13">
        <v>39</v>
      </c>
      <c r="AB70" s="14">
        <v>29</v>
      </c>
      <c r="AC70" s="9"/>
      <c r="AD70" s="16"/>
      <c r="AE70" s="10"/>
      <c r="AF70" s="10"/>
      <c r="AG70" s="10"/>
      <c r="AH70" s="11"/>
      <c r="AI70" s="12"/>
      <c r="AJ70" s="17"/>
      <c r="AK70" s="13"/>
      <c r="AL70" s="13"/>
      <c r="AM70" s="13"/>
      <c r="AN70" s="14"/>
      <c r="AO70" s="9"/>
      <c r="AP70" s="16"/>
      <c r="AQ70" s="10"/>
      <c r="AR70" s="10"/>
      <c r="AS70" s="10"/>
      <c r="AT70" s="11"/>
      <c r="AU70" s="12"/>
      <c r="AV70" s="17"/>
      <c r="AW70" s="13"/>
      <c r="AX70" s="13"/>
      <c r="AY70" s="13"/>
      <c r="AZ70" s="14"/>
      <c r="BA70" s="9"/>
      <c r="BB70" s="16"/>
      <c r="BC70" s="10"/>
      <c r="BD70" s="10"/>
      <c r="BE70" s="10"/>
      <c r="BF70" s="11"/>
      <c r="BG70" s="12"/>
      <c r="BH70" s="17"/>
      <c r="BI70" s="13"/>
      <c r="BJ70" s="13"/>
      <c r="BK70" s="13"/>
      <c r="BL70" s="14"/>
      <c r="BM70" s="8">
        <f t="shared" si="18"/>
        <v>91</v>
      </c>
      <c r="BN70" s="8">
        <f t="shared" si="19"/>
        <v>88</v>
      </c>
      <c r="BO70" s="8">
        <f t="shared" si="20"/>
        <v>58</v>
      </c>
      <c r="BP70" s="8">
        <f t="shared" si="21"/>
        <v>39</v>
      </c>
      <c r="BQ70" s="8">
        <f t="shared" si="22"/>
        <v>91</v>
      </c>
      <c r="BR70" s="8">
        <f t="shared" si="23"/>
        <v>58</v>
      </c>
      <c r="BS70" s="15">
        <f t="shared" si="24"/>
        <v>21.015549798502377</v>
      </c>
      <c r="BT70" s="15" t="str">
        <f t="shared" si="25"/>
        <v>OK - No Upgrade</v>
      </c>
      <c r="BU70" s="15" t="str">
        <f t="shared" si="26"/>
        <v>Need to Balance</v>
      </c>
    </row>
    <row r="71" spans="1:73" ht="15.75" customHeight="1" x14ac:dyDescent="0.25">
      <c r="A71" s="8" t="s">
        <v>1459</v>
      </c>
      <c r="B71" s="8" t="s">
        <v>2205</v>
      </c>
      <c r="C71" s="8" t="s">
        <v>2296</v>
      </c>
      <c r="D71" s="8" t="s">
        <v>2400</v>
      </c>
      <c r="E71" s="8" t="s">
        <v>2401</v>
      </c>
      <c r="F71" s="8" t="s">
        <v>43</v>
      </c>
      <c r="G71" s="8"/>
      <c r="H71" s="8">
        <v>315</v>
      </c>
      <c r="I71" s="8" t="s">
        <v>2402</v>
      </c>
      <c r="J71" s="8">
        <v>1</v>
      </c>
      <c r="K71" s="8">
        <v>242</v>
      </c>
      <c r="L71" s="8">
        <v>243</v>
      </c>
      <c r="M71" s="8">
        <v>243</v>
      </c>
      <c r="N71" s="8">
        <v>418</v>
      </c>
      <c r="O71" s="8">
        <v>417</v>
      </c>
      <c r="P71" s="8">
        <v>415</v>
      </c>
      <c r="Q71" s="9" t="s">
        <v>47</v>
      </c>
      <c r="R71" s="16"/>
      <c r="S71" s="10">
        <v>79</v>
      </c>
      <c r="T71" s="10">
        <v>113</v>
      </c>
      <c r="U71" s="10">
        <v>122</v>
      </c>
      <c r="V71" s="11">
        <v>52</v>
      </c>
      <c r="W71" s="12" t="s">
        <v>47</v>
      </c>
      <c r="X71" s="17"/>
      <c r="Y71" s="13">
        <v>64</v>
      </c>
      <c r="Z71" s="13">
        <v>49</v>
      </c>
      <c r="AA71" s="13">
        <v>64</v>
      </c>
      <c r="AB71" s="14">
        <v>21</v>
      </c>
      <c r="AC71" s="9"/>
      <c r="AD71" s="16"/>
      <c r="AE71" s="10"/>
      <c r="AF71" s="10"/>
      <c r="AG71" s="10"/>
      <c r="AH71" s="11"/>
      <c r="AI71" s="12"/>
      <c r="AJ71" s="17"/>
      <c r="AK71" s="13"/>
      <c r="AL71" s="13"/>
      <c r="AM71" s="13"/>
      <c r="AN71" s="14"/>
      <c r="AO71" s="9"/>
      <c r="AP71" s="16"/>
      <c r="AQ71" s="10"/>
      <c r="AR71" s="10"/>
      <c r="AS71" s="10"/>
      <c r="AT71" s="11"/>
      <c r="AU71" s="12"/>
      <c r="AV71" s="17"/>
      <c r="AW71" s="13"/>
      <c r="AX71" s="13"/>
      <c r="AY71" s="13"/>
      <c r="AZ71" s="14"/>
      <c r="BA71" s="9"/>
      <c r="BB71" s="16"/>
      <c r="BC71" s="10"/>
      <c r="BD71" s="10"/>
      <c r="BE71" s="10"/>
      <c r="BF71" s="11"/>
      <c r="BG71" s="12"/>
      <c r="BH71" s="17"/>
      <c r="BI71" s="13"/>
      <c r="BJ71" s="13"/>
      <c r="BK71" s="13"/>
      <c r="BL71" s="14"/>
      <c r="BM71" s="8">
        <f t="shared" si="18"/>
        <v>143</v>
      </c>
      <c r="BN71" s="8">
        <f t="shared" si="19"/>
        <v>162</v>
      </c>
      <c r="BO71" s="8">
        <f t="shared" si="20"/>
        <v>186</v>
      </c>
      <c r="BP71" s="8">
        <f t="shared" si="21"/>
        <v>73</v>
      </c>
      <c r="BQ71" s="8">
        <f t="shared" si="22"/>
        <v>186</v>
      </c>
      <c r="BR71" s="8">
        <f t="shared" si="23"/>
        <v>143</v>
      </c>
      <c r="BS71" s="15">
        <f t="shared" si="24"/>
        <v>42.750313075195265</v>
      </c>
      <c r="BT71" s="15" t="str">
        <f t="shared" si="25"/>
        <v>OK - No Upgrade</v>
      </c>
      <c r="BU71" s="15" t="str">
        <f t="shared" si="26"/>
        <v>Need to Balance</v>
      </c>
    </row>
    <row r="72" spans="1:73" ht="15.75" customHeight="1" x14ac:dyDescent="0.25">
      <c r="A72" s="8" t="s">
        <v>1459</v>
      </c>
      <c r="B72" s="8" t="s">
        <v>2205</v>
      </c>
      <c r="C72" s="8" t="s">
        <v>2296</v>
      </c>
      <c r="D72" s="8" t="s">
        <v>2403</v>
      </c>
      <c r="E72" s="8" t="s">
        <v>2404</v>
      </c>
      <c r="F72" s="8" t="s">
        <v>43</v>
      </c>
      <c r="G72" s="8"/>
      <c r="H72" s="8">
        <v>315</v>
      </c>
      <c r="I72" s="8" t="s">
        <v>2405</v>
      </c>
      <c r="J72" s="8">
        <v>1</v>
      </c>
      <c r="K72" s="8">
        <v>244</v>
      </c>
      <c r="L72" s="8">
        <v>245</v>
      </c>
      <c r="M72" s="8">
        <v>243</v>
      </c>
      <c r="N72" s="8">
        <v>427</v>
      </c>
      <c r="O72" s="8">
        <v>425</v>
      </c>
      <c r="P72" s="8">
        <v>423</v>
      </c>
      <c r="Q72" s="9" t="s">
        <v>46</v>
      </c>
      <c r="R72" s="16"/>
      <c r="S72" s="10">
        <v>50</v>
      </c>
      <c r="T72" s="10">
        <v>48</v>
      </c>
      <c r="U72" s="10">
        <v>120</v>
      </c>
      <c r="V72" s="11">
        <v>48</v>
      </c>
      <c r="W72" s="12" t="s">
        <v>46</v>
      </c>
      <c r="X72" s="17"/>
      <c r="Y72" s="13">
        <v>0</v>
      </c>
      <c r="Z72" s="13">
        <v>0</v>
      </c>
      <c r="AA72" s="13">
        <v>0</v>
      </c>
      <c r="AB72" s="14">
        <v>0</v>
      </c>
      <c r="AC72" s="9"/>
      <c r="AD72" s="16"/>
      <c r="AE72" s="10"/>
      <c r="AF72" s="10"/>
      <c r="AG72" s="10"/>
      <c r="AH72" s="11"/>
      <c r="AI72" s="12"/>
      <c r="AJ72" s="17"/>
      <c r="AK72" s="13"/>
      <c r="AL72" s="13"/>
      <c r="AM72" s="13"/>
      <c r="AN72" s="14"/>
      <c r="AO72" s="9"/>
      <c r="AP72" s="16"/>
      <c r="AQ72" s="10"/>
      <c r="AR72" s="10"/>
      <c r="AS72" s="10"/>
      <c r="AT72" s="11"/>
      <c r="AU72" s="12"/>
      <c r="AV72" s="17"/>
      <c r="AW72" s="13"/>
      <c r="AX72" s="13"/>
      <c r="AY72" s="13"/>
      <c r="AZ72" s="14"/>
      <c r="BA72" s="9"/>
      <c r="BB72" s="16"/>
      <c r="BC72" s="10"/>
      <c r="BD72" s="10"/>
      <c r="BE72" s="10"/>
      <c r="BF72" s="11"/>
      <c r="BG72" s="12"/>
      <c r="BH72" s="17"/>
      <c r="BI72" s="13"/>
      <c r="BJ72" s="13"/>
      <c r="BK72" s="13"/>
      <c r="BL72" s="14"/>
      <c r="BM72" s="8">
        <f t="shared" si="18"/>
        <v>50</v>
      </c>
      <c r="BN72" s="8">
        <f t="shared" si="19"/>
        <v>48</v>
      </c>
      <c r="BO72" s="8">
        <f t="shared" si="20"/>
        <v>120</v>
      </c>
      <c r="BP72" s="8">
        <f t="shared" si="21"/>
        <v>48</v>
      </c>
      <c r="BQ72" s="8">
        <f t="shared" si="22"/>
        <v>120</v>
      </c>
      <c r="BR72" s="8">
        <f t="shared" si="23"/>
        <v>48</v>
      </c>
      <c r="BS72" s="15">
        <f t="shared" si="24"/>
        <v>28.174693136453733</v>
      </c>
      <c r="BT72" s="15" t="str">
        <f t="shared" si="25"/>
        <v>OK - No Upgrade</v>
      </c>
      <c r="BU72" s="15" t="str">
        <f t="shared" si="26"/>
        <v>Need to Balance</v>
      </c>
    </row>
    <row r="73" spans="1:73" ht="15.75" customHeight="1" x14ac:dyDescent="0.25">
      <c r="A73" s="8" t="s">
        <v>1459</v>
      </c>
      <c r="B73" s="8" t="s">
        <v>2205</v>
      </c>
      <c r="C73" s="8" t="s">
        <v>2296</v>
      </c>
      <c r="D73" s="8" t="s">
        <v>2406</v>
      </c>
      <c r="E73" s="8" t="s">
        <v>2407</v>
      </c>
      <c r="F73" s="8" t="s">
        <v>43</v>
      </c>
      <c r="G73" s="8"/>
      <c r="H73" s="8">
        <v>315</v>
      </c>
      <c r="I73" s="8" t="s">
        <v>2408</v>
      </c>
      <c r="J73" s="8">
        <v>1</v>
      </c>
      <c r="K73" s="8">
        <v>222</v>
      </c>
      <c r="L73" s="8">
        <v>223</v>
      </c>
      <c r="M73" s="8">
        <v>224</v>
      </c>
      <c r="N73" s="8">
        <v>384</v>
      </c>
      <c r="O73" s="8">
        <v>388</v>
      </c>
      <c r="P73" s="8">
        <v>389</v>
      </c>
      <c r="Q73" s="9" t="s">
        <v>47</v>
      </c>
      <c r="R73" s="16"/>
      <c r="S73" s="10">
        <v>11</v>
      </c>
      <c r="T73" s="10">
        <v>0</v>
      </c>
      <c r="U73" s="10">
        <v>0</v>
      </c>
      <c r="V73" s="11">
        <v>0</v>
      </c>
      <c r="W73" s="12" t="s">
        <v>47</v>
      </c>
      <c r="X73" s="17"/>
      <c r="Y73" s="13">
        <v>0</v>
      </c>
      <c r="Z73" s="13">
        <v>0</v>
      </c>
      <c r="AA73" s="13">
        <v>0</v>
      </c>
      <c r="AB73" s="14">
        <v>0</v>
      </c>
      <c r="AC73" s="9"/>
      <c r="AD73" s="16"/>
      <c r="AE73" s="10"/>
      <c r="AF73" s="10"/>
      <c r="AG73" s="10"/>
      <c r="AH73" s="11"/>
      <c r="AI73" s="12"/>
      <c r="AJ73" s="17"/>
      <c r="AK73" s="13"/>
      <c r="AL73" s="13"/>
      <c r="AM73" s="13"/>
      <c r="AN73" s="14"/>
      <c r="AO73" s="9"/>
      <c r="AP73" s="16"/>
      <c r="AQ73" s="10"/>
      <c r="AR73" s="10"/>
      <c r="AS73" s="10"/>
      <c r="AT73" s="11"/>
      <c r="AU73" s="12"/>
      <c r="AV73" s="17"/>
      <c r="AW73" s="13"/>
      <c r="AX73" s="13"/>
      <c r="AY73" s="13"/>
      <c r="AZ73" s="14"/>
      <c r="BA73" s="9"/>
      <c r="BB73" s="16"/>
      <c r="BC73" s="10"/>
      <c r="BD73" s="10"/>
      <c r="BE73" s="10"/>
      <c r="BF73" s="11"/>
      <c r="BG73" s="12"/>
      <c r="BH73" s="17"/>
      <c r="BI73" s="13"/>
      <c r="BJ73" s="13"/>
      <c r="BK73" s="13"/>
      <c r="BL73" s="14"/>
      <c r="BM73" s="8">
        <f t="shared" si="18"/>
        <v>11</v>
      </c>
      <c r="BN73" s="8">
        <f t="shared" si="19"/>
        <v>0</v>
      </c>
      <c r="BO73" s="8">
        <f t="shared" si="20"/>
        <v>0</v>
      </c>
      <c r="BP73" s="8">
        <f t="shared" si="21"/>
        <v>0</v>
      </c>
      <c r="BQ73" s="8">
        <f t="shared" si="22"/>
        <v>11</v>
      </c>
      <c r="BR73" s="8">
        <f t="shared" si="23"/>
        <v>0</v>
      </c>
      <c r="BS73" s="15">
        <f t="shared" si="24"/>
        <v>2.3225976543399804</v>
      </c>
      <c r="BT73" s="15" t="str">
        <f t="shared" si="25"/>
        <v>OK - No Upgrade</v>
      </c>
      <c r="BU73" s="15" t="str">
        <f t="shared" si="26"/>
        <v>Need to Balance</v>
      </c>
    </row>
    <row r="74" spans="1:73" ht="15.75" customHeight="1" x14ac:dyDescent="0.25">
      <c r="A74" s="8" t="s">
        <v>1459</v>
      </c>
      <c r="B74" s="8" t="s">
        <v>2205</v>
      </c>
      <c r="C74" s="8" t="s">
        <v>2296</v>
      </c>
      <c r="D74" s="8" t="s">
        <v>2409</v>
      </c>
      <c r="E74" s="8" t="s">
        <v>2410</v>
      </c>
      <c r="F74" s="8" t="s">
        <v>43</v>
      </c>
      <c r="G74" s="8"/>
      <c r="H74" s="8">
        <v>100</v>
      </c>
      <c r="I74" s="8" t="s">
        <v>2411</v>
      </c>
      <c r="J74" s="8">
        <v>1</v>
      </c>
      <c r="K74" s="8">
        <v>245</v>
      </c>
      <c r="L74" s="8">
        <v>246</v>
      </c>
      <c r="M74" s="8">
        <v>244</v>
      </c>
      <c r="N74" s="8">
        <v>426</v>
      </c>
      <c r="O74" s="8">
        <v>422</v>
      </c>
      <c r="P74" s="8">
        <v>424</v>
      </c>
      <c r="Q74" s="9" t="s">
        <v>46</v>
      </c>
      <c r="R74" s="16"/>
      <c r="S74" s="10">
        <v>0</v>
      </c>
      <c r="T74" s="10">
        <v>0</v>
      </c>
      <c r="U74" s="10">
        <v>0</v>
      </c>
      <c r="V74" s="11">
        <v>0</v>
      </c>
      <c r="W74" s="12"/>
      <c r="X74" s="17"/>
      <c r="Y74" s="13"/>
      <c r="Z74" s="13"/>
      <c r="AA74" s="13"/>
      <c r="AB74" s="14"/>
      <c r="AC74" s="9"/>
      <c r="AD74" s="16"/>
      <c r="AE74" s="10"/>
      <c r="AF74" s="10"/>
      <c r="AG74" s="10"/>
      <c r="AH74" s="11"/>
      <c r="AI74" s="12"/>
      <c r="AJ74" s="17"/>
      <c r="AK74" s="13"/>
      <c r="AL74" s="13"/>
      <c r="AM74" s="13"/>
      <c r="AN74" s="14"/>
      <c r="AO74" s="9"/>
      <c r="AP74" s="16"/>
      <c r="AQ74" s="10"/>
      <c r="AR74" s="10"/>
      <c r="AS74" s="10"/>
      <c r="AT74" s="11"/>
      <c r="AU74" s="12"/>
      <c r="AV74" s="17"/>
      <c r="AW74" s="13"/>
      <c r="AX74" s="13"/>
      <c r="AY74" s="13"/>
      <c r="AZ74" s="14"/>
      <c r="BA74" s="9"/>
      <c r="BB74" s="16"/>
      <c r="BC74" s="10"/>
      <c r="BD74" s="10"/>
      <c r="BE74" s="10"/>
      <c r="BF74" s="11"/>
      <c r="BG74" s="12"/>
      <c r="BH74" s="17"/>
      <c r="BI74" s="13"/>
      <c r="BJ74" s="13"/>
      <c r="BK74" s="13"/>
      <c r="BL74" s="14"/>
      <c r="BM74" s="8">
        <f t="shared" si="18"/>
        <v>0</v>
      </c>
      <c r="BN74" s="8">
        <f t="shared" si="19"/>
        <v>0</v>
      </c>
      <c r="BO74" s="8">
        <f t="shared" si="20"/>
        <v>0</v>
      </c>
      <c r="BP74" s="8">
        <f t="shared" si="21"/>
        <v>0</v>
      </c>
      <c r="BQ74" s="8">
        <f t="shared" si="22"/>
        <v>0</v>
      </c>
      <c r="BR74" s="8">
        <f t="shared" si="23"/>
        <v>0</v>
      </c>
      <c r="BS74" s="15">
        <f t="shared" si="24"/>
        <v>0</v>
      </c>
      <c r="BT74" s="15" t="str">
        <f t="shared" si="25"/>
        <v>OK - No Upgrade</v>
      </c>
      <c r="BU74" s="15" t="str">
        <f t="shared" si="26"/>
        <v>OK - Balanced</v>
      </c>
    </row>
    <row r="75" spans="1:73" ht="15.75" customHeight="1" x14ac:dyDescent="0.25">
      <c r="A75" s="8" t="s">
        <v>1459</v>
      </c>
      <c r="B75" s="8" t="s">
        <v>2205</v>
      </c>
      <c r="C75" s="8" t="s">
        <v>265</v>
      </c>
      <c r="D75" s="8" t="s">
        <v>2412</v>
      </c>
      <c r="E75" s="8" t="s">
        <v>2413</v>
      </c>
      <c r="F75" s="8" t="s">
        <v>43</v>
      </c>
      <c r="G75" s="8"/>
      <c r="H75" s="8">
        <v>100</v>
      </c>
      <c r="I75" s="8" t="s">
        <v>2414</v>
      </c>
      <c r="J75" s="8">
        <v>1</v>
      </c>
      <c r="K75" s="8">
        <v>238</v>
      </c>
      <c r="L75" s="8">
        <v>237</v>
      </c>
      <c r="M75" s="8">
        <v>238</v>
      </c>
      <c r="N75" s="8">
        <v>414</v>
      </c>
      <c r="O75" s="8">
        <v>412</v>
      </c>
      <c r="P75" s="8">
        <v>413</v>
      </c>
      <c r="Q75" s="9" t="s">
        <v>46</v>
      </c>
      <c r="R75" s="16"/>
      <c r="S75" s="10"/>
      <c r="T75" s="10"/>
      <c r="U75" s="10"/>
      <c r="V75" s="11"/>
      <c r="W75" s="12" t="s">
        <v>47</v>
      </c>
      <c r="X75" s="17"/>
      <c r="Y75" s="13">
        <v>0</v>
      </c>
      <c r="Z75" s="13">
        <v>0</v>
      </c>
      <c r="AA75" s="13">
        <v>0</v>
      </c>
      <c r="AB75" s="14">
        <v>0</v>
      </c>
      <c r="AC75" s="9"/>
      <c r="AD75" s="16"/>
      <c r="AE75" s="10"/>
      <c r="AF75" s="10"/>
      <c r="AG75" s="10"/>
      <c r="AH75" s="11"/>
      <c r="AI75" s="12"/>
      <c r="AJ75" s="17"/>
      <c r="AK75" s="13"/>
      <c r="AL75" s="13"/>
      <c r="AM75" s="13"/>
      <c r="AN75" s="14"/>
      <c r="AO75" s="9"/>
      <c r="AP75" s="16"/>
      <c r="AQ75" s="10"/>
      <c r="AR75" s="10"/>
      <c r="AS75" s="10"/>
      <c r="AT75" s="11"/>
      <c r="AU75" s="12"/>
      <c r="AV75" s="17"/>
      <c r="AW75" s="13"/>
      <c r="AX75" s="13"/>
      <c r="AY75" s="13"/>
      <c r="AZ75" s="14"/>
      <c r="BA75" s="9"/>
      <c r="BB75" s="16"/>
      <c r="BC75" s="10"/>
      <c r="BD75" s="10"/>
      <c r="BE75" s="10"/>
      <c r="BF75" s="11"/>
      <c r="BG75" s="12"/>
      <c r="BH75" s="17"/>
      <c r="BI75" s="13"/>
      <c r="BJ75" s="13"/>
      <c r="BK75" s="13"/>
      <c r="BL75" s="14"/>
      <c r="BM75" s="8">
        <f t="shared" si="18"/>
        <v>0</v>
      </c>
      <c r="BN75" s="8">
        <f t="shared" si="19"/>
        <v>0</v>
      </c>
      <c r="BO75" s="8">
        <f t="shared" si="20"/>
        <v>0</v>
      </c>
      <c r="BP75" s="8">
        <f t="shared" si="21"/>
        <v>0</v>
      </c>
      <c r="BQ75" s="8">
        <f t="shared" si="22"/>
        <v>0</v>
      </c>
      <c r="BR75" s="8">
        <f t="shared" si="23"/>
        <v>0</v>
      </c>
      <c r="BS75" s="15">
        <f t="shared" si="24"/>
        <v>0</v>
      </c>
      <c r="BT75" s="15" t="str">
        <f t="shared" si="25"/>
        <v>OK - No Upgrade</v>
      </c>
      <c r="BU75" s="15" t="str">
        <f t="shared" si="26"/>
        <v>OK - Balanced</v>
      </c>
    </row>
    <row r="76" spans="1:73" ht="15.75" customHeight="1" x14ac:dyDescent="0.25">
      <c r="A76" s="8" t="s">
        <v>1459</v>
      </c>
      <c r="B76" s="8" t="s">
        <v>2205</v>
      </c>
      <c r="C76" s="8" t="s">
        <v>2296</v>
      </c>
      <c r="D76" s="8" t="s">
        <v>2415</v>
      </c>
      <c r="E76" s="8" t="s">
        <v>2416</v>
      </c>
      <c r="F76" s="8" t="s">
        <v>56</v>
      </c>
      <c r="G76" s="8"/>
      <c r="H76" s="8">
        <v>1000</v>
      </c>
      <c r="I76" s="8" t="s">
        <v>2417</v>
      </c>
      <c r="J76" s="8">
        <v>1</v>
      </c>
      <c r="K76" s="8">
        <v>231</v>
      </c>
      <c r="L76" s="8">
        <v>234</v>
      </c>
      <c r="M76" s="8">
        <v>230</v>
      </c>
      <c r="N76" s="8">
        <v>400</v>
      </c>
      <c r="O76" s="8">
        <v>404</v>
      </c>
      <c r="P76" s="8">
        <v>401</v>
      </c>
      <c r="Q76" s="9" t="s">
        <v>47</v>
      </c>
      <c r="R76" s="16"/>
      <c r="S76" s="10">
        <v>51</v>
      </c>
      <c r="T76" s="10">
        <v>27</v>
      </c>
      <c r="U76" s="10">
        <v>12</v>
      </c>
      <c r="V76" s="11">
        <v>17</v>
      </c>
      <c r="W76" s="12" t="s">
        <v>47</v>
      </c>
      <c r="X76" s="17"/>
      <c r="Y76" s="13">
        <v>0</v>
      </c>
      <c r="Z76" s="13">
        <v>0</v>
      </c>
      <c r="AA76" s="13">
        <v>0</v>
      </c>
      <c r="AB76" s="14">
        <v>0</v>
      </c>
      <c r="AC76" s="9"/>
      <c r="AD76" s="16"/>
      <c r="AE76" s="10"/>
      <c r="AF76" s="10"/>
      <c r="AG76" s="10"/>
      <c r="AH76" s="11"/>
      <c r="AI76" s="12"/>
      <c r="AJ76" s="17"/>
      <c r="AK76" s="13"/>
      <c r="AL76" s="13"/>
      <c r="AM76" s="13"/>
      <c r="AN76" s="14"/>
      <c r="AO76" s="9"/>
      <c r="AP76" s="16"/>
      <c r="AQ76" s="10"/>
      <c r="AR76" s="10"/>
      <c r="AS76" s="10"/>
      <c r="AT76" s="11"/>
      <c r="AU76" s="12"/>
      <c r="AV76" s="17"/>
      <c r="AW76" s="13"/>
      <c r="AX76" s="13"/>
      <c r="AY76" s="13"/>
      <c r="AZ76" s="14"/>
      <c r="BA76" s="9"/>
      <c r="BB76" s="16"/>
      <c r="BC76" s="10"/>
      <c r="BD76" s="10"/>
      <c r="BE76" s="10"/>
      <c r="BF76" s="11"/>
      <c r="BG76" s="12"/>
      <c r="BH76" s="17"/>
      <c r="BI76" s="13"/>
      <c r="BJ76" s="13"/>
      <c r="BK76" s="13"/>
      <c r="BL76" s="14"/>
      <c r="BM76" s="8">
        <f t="shared" si="18"/>
        <v>51</v>
      </c>
      <c r="BN76" s="8">
        <f t="shared" si="19"/>
        <v>27</v>
      </c>
      <c r="BO76" s="8">
        <f t="shared" si="20"/>
        <v>12</v>
      </c>
      <c r="BP76" s="8">
        <f t="shared" si="21"/>
        <v>17</v>
      </c>
      <c r="BQ76" s="8">
        <f t="shared" si="22"/>
        <v>51</v>
      </c>
      <c r="BR76" s="8">
        <f t="shared" si="23"/>
        <v>12</v>
      </c>
      <c r="BS76" s="15">
        <f t="shared" si="24"/>
        <v>3.5333836474405094</v>
      </c>
      <c r="BT76" s="15" t="str">
        <f t="shared" si="25"/>
        <v>OK - No Upgrade</v>
      </c>
      <c r="BU76" s="15" t="str">
        <f t="shared" si="26"/>
        <v>Need to Balance</v>
      </c>
    </row>
    <row r="77" spans="1:73" ht="15.75" customHeight="1" x14ac:dyDescent="0.25">
      <c r="A77" s="8" t="s">
        <v>1459</v>
      </c>
      <c r="B77" s="8" t="s">
        <v>2205</v>
      </c>
      <c r="C77" s="8" t="s">
        <v>2296</v>
      </c>
      <c r="D77" s="8" t="s">
        <v>2418</v>
      </c>
      <c r="E77" s="8" t="s">
        <v>2419</v>
      </c>
      <c r="F77" s="8" t="s">
        <v>43</v>
      </c>
      <c r="G77" s="8"/>
      <c r="H77" s="8">
        <v>315</v>
      </c>
      <c r="I77" s="8" t="s">
        <v>2420</v>
      </c>
      <c r="J77" s="8">
        <v>1</v>
      </c>
      <c r="K77" s="8">
        <v>234</v>
      </c>
      <c r="L77" s="8">
        <v>237</v>
      </c>
      <c r="M77" s="8">
        <v>238</v>
      </c>
      <c r="N77" s="8">
        <v>406</v>
      </c>
      <c r="O77" s="8">
        <v>409</v>
      </c>
      <c r="P77" s="8">
        <v>413</v>
      </c>
      <c r="Q77" s="9" t="s">
        <v>47</v>
      </c>
      <c r="R77" s="16"/>
      <c r="S77" s="10">
        <v>13</v>
      </c>
      <c r="T77" s="10">
        <v>0</v>
      </c>
      <c r="U77" s="10">
        <v>0</v>
      </c>
      <c r="V77" s="11">
        <v>11</v>
      </c>
      <c r="W77" s="12" t="s">
        <v>47</v>
      </c>
      <c r="X77" s="17"/>
      <c r="Y77" s="13">
        <v>0</v>
      </c>
      <c r="Z77" s="13">
        <v>0</v>
      </c>
      <c r="AA77" s="13">
        <v>0</v>
      </c>
      <c r="AB77" s="14">
        <v>0</v>
      </c>
      <c r="AC77" s="9"/>
      <c r="AD77" s="16"/>
      <c r="AE77" s="10"/>
      <c r="AF77" s="10"/>
      <c r="AG77" s="10"/>
      <c r="AH77" s="11"/>
      <c r="AI77" s="12"/>
      <c r="AJ77" s="17"/>
      <c r="AK77" s="13"/>
      <c r="AL77" s="13"/>
      <c r="AM77" s="13"/>
      <c r="AN77" s="14"/>
      <c r="AO77" s="9"/>
      <c r="AP77" s="16"/>
      <c r="AQ77" s="10"/>
      <c r="AR77" s="10"/>
      <c r="AS77" s="10"/>
      <c r="AT77" s="11"/>
      <c r="AU77" s="12"/>
      <c r="AV77" s="17"/>
      <c r="AW77" s="13"/>
      <c r="AX77" s="13"/>
      <c r="AY77" s="13"/>
      <c r="AZ77" s="14"/>
      <c r="BA77" s="9"/>
      <c r="BB77" s="16"/>
      <c r="BC77" s="10"/>
      <c r="BD77" s="10"/>
      <c r="BE77" s="10"/>
      <c r="BF77" s="11"/>
      <c r="BG77" s="12"/>
      <c r="BH77" s="17"/>
      <c r="BI77" s="13"/>
      <c r="BJ77" s="13"/>
      <c r="BK77" s="13"/>
      <c r="BL77" s="14"/>
      <c r="BM77" s="8">
        <f t="shared" si="18"/>
        <v>13</v>
      </c>
      <c r="BN77" s="8">
        <f t="shared" si="19"/>
        <v>0</v>
      </c>
      <c r="BO77" s="8">
        <f t="shared" si="20"/>
        <v>0</v>
      </c>
      <c r="BP77" s="8">
        <f t="shared" si="21"/>
        <v>11</v>
      </c>
      <c r="BQ77" s="8">
        <f t="shared" si="22"/>
        <v>13</v>
      </c>
      <c r="BR77" s="8">
        <f t="shared" si="23"/>
        <v>0</v>
      </c>
      <c r="BS77" s="15">
        <f t="shared" si="24"/>
        <v>2.9021473531265185</v>
      </c>
      <c r="BT77" s="15" t="str">
        <f t="shared" si="25"/>
        <v>OK - No Upgrade</v>
      </c>
      <c r="BU77" s="15" t="str">
        <f t="shared" si="26"/>
        <v>Need to Balance</v>
      </c>
    </row>
    <row r="78" spans="1:73" ht="15.75" customHeight="1" x14ac:dyDescent="0.25">
      <c r="A78" s="8" t="s">
        <v>1459</v>
      </c>
      <c r="B78" s="8" t="s">
        <v>2205</v>
      </c>
      <c r="C78" s="8" t="s">
        <v>2296</v>
      </c>
      <c r="D78" s="8" t="s">
        <v>2421</v>
      </c>
      <c r="E78" s="8" t="s">
        <v>2422</v>
      </c>
      <c r="F78" s="8" t="s">
        <v>43</v>
      </c>
      <c r="G78" s="8"/>
      <c r="H78" s="8">
        <v>315</v>
      </c>
      <c r="I78" s="8"/>
      <c r="J78" s="8">
        <v>1</v>
      </c>
      <c r="K78" s="8"/>
      <c r="L78" s="8"/>
      <c r="M78" s="8"/>
      <c r="N78" s="8"/>
      <c r="O78" s="8"/>
      <c r="P78" s="8"/>
      <c r="Q78" s="9"/>
      <c r="R78" s="16"/>
      <c r="S78" s="10"/>
      <c r="T78" s="10"/>
      <c r="U78" s="10"/>
      <c r="V78" s="11"/>
      <c r="W78" s="12"/>
      <c r="X78" s="17"/>
      <c r="Y78" s="13"/>
      <c r="Z78" s="13"/>
      <c r="AA78" s="13"/>
      <c r="AB78" s="14"/>
      <c r="AC78" s="9"/>
      <c r="AD78" s="16"/>
      <c r="AE78" s="10"/>
      <c r="AF78" s="10"/>
      <c r="AG78" s="10"/>
      <c r="AH78" s="11"/>
      <c r="AI78" s="12"/>
      <c r="AJ78" s="17"/>
      <c r="AK78" s="13"/>
      <c r="AL78" s="13"/>
      <c r="AM78" s="13"/>
      <c r="AN78" s="14"/>
      <c r="AO78" s="9"/>
      <c r="AP78" s="16"/>
      <c r="AQ78" s="10"/>
      <c r="AR78" s="10"/>
      <c r="AS78" s="10"/>
      <c r="AT78" s="11"/>
      <c r="AU78" s="12"/>
      <c r="AV78" s="17"/>
      <c r="AW78" s="13"/>
      <c r="AX78" s="13"/>
      <c r="AY78" s="13"/>
      <c r="AZ78" s="14"/>
      <c r="BA78" s="9"/>
      <c r="BB78" s="16"/>
      <c r="BC78" s="10"/>
      <c r="BD78" s="10"/>
      <c r="BE78" s="10"/>
      <c r="BF78" s="11"/>
      <c r="BG78" s="12"/>
      <c r="BH78" s="17"/>
      <c r="BI78" s="13"/>
      <c r="BJ78" s="13"/>
      <c r="BK78" s="13"/>
      <c r="BL78" s="14"/>
      <c r="BM78" s="8">
        <f t="shared" si="18"/>
        <v>0</v>
      </c>
      <c r="BN78" s="8">
        <f t="shared" si="19"/>
        <v>0</v>
      </c>
      <c r="BO78" s="8">
        <f t="shared" si="20"/>
        <v>0</v>
      </c>
      <c r="BP78" s="8">
        <f t="shared" si="21"/>
        <v>0</v>
      </c>
      <c r="BQ78" s="8">
        <f t="shared" si="22"/>
        <v>0</v>
      </c>
      <c r="BR78" s="8">
        <f t="shared" si="23"/>
        <v>0</v>
      </c>
      <c r="BS78" s="15">
        <f t="shared" si="24"/>
        <v>0</v>
      </c>
      <c r="BT78" s="15" t="str">
        <f t="shared" si="25"/>
        <v>OK - No Upgrade</v>
      </c>
      <c r="BU78" s="15" t="str">
        <f t="shared" si="26"/>
        <v>OK - Balanced</v>
      </c>
    </row>
    <row r="79" spans="1:73" ht="15.75" customHeight="1" x14ac:dyDescent="0.25">
      <c r="A79" s="8" t="s">
        <v>1459</v>
      </c>
      <c r="B79" s="8" t="s">
        <v>2205</v>
      </c>
      <c r="C79" s="8" t="s">
        <v>2296</v>
      </c>
      <c r="D79" s="8" t="s">
        <v>2423</v>
      </c>
      <c r="E79" s="8" t="s">
        <v>2424</v>
      </c>
      <c r="F79" s="8" t="s">
        <v>56</v>
      </c>
      <c r="G79" s="8"/>
      <c r="H79" s="8">
        <v>1000</v>
      </c>
      <c r="I79" s="8"/>
      <c r="J79" s="8">
        <v>1</v>
      </c>
      <c r="K79" s="8">
        <v>231</v>
      </c>
      <c r="L79" s="8">
        <v>234</v>
      </c>
      <c r="M79" s="8">
        <v>236</v>
      </c>
      <c r="N79" s="8">
        <v>402</v>
      </c>
      <c r="O79" s="8">
        <v>406</v>
      </c>
      <c r="P79" s="8">
        <v>409</v>
      </c>
      <c r="Q79" s="9"/>
      <c r="R79" s="16"/>
      <c r="S79" s="10"/>
      <c r="T79" s="10"/>
      <c r="U79" s="10"/>
      <c r="V79" s="11"/>
      <c r="W79" s="12"/>
      <c r="X79" s="17"/>
      <c r="Y79" s="13"/>
      <c r="Z79" s="13"/>
      <c r="AA79" s="13"/>
      <c r="AB79" s="14"/>
      <c r="AC79" s="9"/>
      <c r="AD79" s="16"/>
      <c r="AE79" s="10"/>
      <c r="AF79" s="10"/>
      <c r="AG79" s="10"/>
      <c r="AH79" s="11"/>
      <c r="AI79" s="12"/>
      <c r="AJ79" s="17"/>
      <c r="AK79" s="13"/>
      <c r="AL79" s="13"/>
      <c r="AM79" s="13"/>
      <c r="AN79" s="14"/>
      <c r="AO79" s="9"/>
      <c r="AP79" s="16"/>
      <c r="AQ79" s="10"/>
      <c r="AR79" s="10"/>
      <c r="AS79" s="10"/>
      <c r="AT79" s="11"/>
      <c r="AU79" s="12"/>
      <c r="AV79" s="17"/>
      <c r="AW79" s="13"/>
      <c r="AX79" s="13"/>
      <c r="AY79" s="13"/>
      <c r="AZ79" s="14"/>
      <c r="BA79" s="9"/>
      <c r="BB79" s="16"/>
      <c r="BC79" s="10"/>
      <c r="BD79" s="10"/>
      <c r="BE79" s="10"/>
      <c r="BF79" s="11"/>
      <c r="BG79" s="12"/>
      <c r="BH79" s="17"/>
      <c r="BI79" s="13"/>
      <c r="BJ79" s="13"/>
      <c r="BK79" s="13"/>
      <c r="BL79" s="14"/>
      <c r="BM79" s="8">
        <f t="shared" si="18"/>
        <v>0</v>
      </c>
      <c r="BN79" s="8">
        <f t="shared" si="19"/>
        <v>0</v>
      </c>
      <c r="BO79" s="8">
        <f t="shared" si="20"/>
        <v>0</v>
      </c>
      <c r="BP79" s="8">
        <f t="shared" si="21"/>
        <v>0</v>
      </c>
      <c r="BQ79" s="8">
        <f t="shared" si="22"/>
        <v>0</v>
      </c>
      <c r="BR79" s="8">
        <f t="shared" si="23"/>
        <v>0</v>
      </c>
      <c r="BS79" s="15">
        <f t="shared" si="24"/>
        <v>0</v>
      </c>
      <c r="BT79" s="15" t="str">
        <f t="shared" si="25"/>
        <v>OK - No Upgrade</v>
      </c>
      <c r="BU79" s="15" t="str">
        <f t="shared" si="26"/>
        <v>OK - Balanced</v>
      </c>
    </row>
    <row r="80" spans="1:73" ht="15.75" customHeight="1" x14ac:dyDescent="0.25">
      <c r="A80" s="8" t="s">
        <v>1459</v>
      </c>
      <c r="B80" s="8" t="s">
        <v>2205</v>
      </c>
      <c r="C80" s="8" t="s">
        <v>2296</v>
      </c>
      <c r="D80" s="8" t="s">
        <v>2425</v>
      </c>
      <c r="E80" s="8" t="s">
        <v>2426</v>
      </c>
      <c r="F80" s="8" t="s">
        <v>43</v>
      </c>
      <c r="G80" s="8"/>
      <c r="H80" s="8">
        <v>100</v>
      </c>
      <c r="I80" s="8" t="s">
        <v>2427</v>
      </c>
      <c r="J80" s="8">
        <v>1</v>
      </c>
      <c r="K80" s="8">
        <v>241</v>
      </c>
      <c r="L80" s="8">
        <v>238</v>
      </c>
      <c r="M80" s="8">
        <v>244</v>
      </c>
      <c r="N80" s="8">
        <v>427</v>
      </c>
      <c r="O80" s="8">
        <v>425</v>
      </c>
      <c r="P80" s="8">
        <v>429</v>
      </c>
      <c r="Q80" s="9" t="s">
        <v>47</v>
      </c>
      <c r="R80" s="16"/>
      <c r="S80" s="10">
        <v>0</v>
      </c>
      <c r="T80" s="10">
        <v>0</v>
      </c>
      <c r="U80" s="10">
        <v>0</v>
      </c>
      <c r="V80" s="11">
        <v>0</v>
      </c>
      <c r="W80" s="12"/>
      <c r="X80" s="17"/>
      <c r="Y80" s="13"/>
      <c r="Z80" s="13"/>
      <c r="AA80" s="13"/>
      <c r="AB80" s="14"/>
      <c r="AC80" s="9"/>
      <c r="AD80" s="16"/>
      <c r="AE80" s="10"/>
      <c r="AF80" s="10"/>
      <c r="AG80" s="10"/>
      <c r="AH80" s="11"/>
      <c r="AI80" s="12"/>
      <c r="AJ80" s="17"/>
      <c r="AK80" s="13"/>
      <c r="AL80" s="13"/>
      <c r="AM80" s="13"/>
      <c r="AN80" s="14"/>
      <c r="AO80" s="9"/>
      <c r="AP80" s="16"/>
      <c r="AQ80" s="10"/>
      <c r="AR80" s="10"/>
      <c r="AS80" s="10"/>
      <c r="AT80" s="11"/>
      <c r="AU80" s="12"/>
      <c r="AV80" s="17"/>
      <c r="AW80" s="13"/>
      <c r="AX80" s="13"/>
      <c r="AY80" s="13"/>
      <c r="AZ80" s="14"/>
      <c r="BA80" s="9"/>
      <c r="BB80" s="16"/>
      <c r="BC80" s="10"/>
      <c r="BD80" s="10"/>
      <c r="BE80" s="10"/>
      <c r="BF80" s="11"/>
      <c r="BG80" s="12"/>
      <c r="BH80" s="17"/>
      <c r="BI80" s="13"/>
      <c r="BJ80" s="13"/>
      <c r="BK80" s="13"/>
      <c r="BL80" s="14"/>
      <c r="BM80" s="8">
        <f t="shared" si="18"/>
        <v>0</v>
      </c>
      <c r="BN80" s="8">
        <f t="shared" si="19"/>
        <v>0</v>
      </c>
      <c r="BO80" s="8">
        <f t="shared" si="20"/>
        <v>0</v>
      </c>
      <c r="BP80" s="8">
        <f t="shared" si="21"/>
        <v>0</v>
      </c>
      <c r="BQ80" s="8">
        <f t="shared" si="22"/>
        <v>0</v>
      </c>
      <c r="BR80" s="8">
        <f t="shared" si="23"/>
        <v>0</v>
      </c>
      <c r="BS80" s="15">
        <f t="shared" si="24"/>
        <v>0</v>
      </c>
      <c r="BT80" s="15" t="str">
        <f t="shared" si="25"/>
        <v>OK - No Upgrade</v>
      </c>
      <c r="BU80" s="15" t="str">
        <f t="shared" si="26"/>
        <v>OK - Balanced</v>
      </c>
    </row>
    <row r="81" spans="1:73" ht="15.75" customHeight="1" x14ac:dyDescent="0.25">
      <c r="A81" s="8" t="s">
        <v>1459</v>
      </c>
      <c r="B81" s="8" t="s">
        <v>2205</v>
      </c>
      <c r="C81" s="8" t="s">
        <v>2296</v>
      </c>
      <c r="D81" s="8" t="s">
        <v>2428</v>
      </c>
      <c r="E81" s="8" t="s">
        <v>2429</v>
      </c>
      <c r="F81" s="8" t="s">
        <v>43</v>
      </c>
      <c r="G81" s="8"/>
      <c r="H81" s="8">
        <v>100</v>
      </c>
      <c r="I81" s="8" t="s">
        <v>2430</v>
      </c>
      <c r="J81" s="8">
        <v>1</v>
      </c>
      <c r="K81" s="8">
        <v>241</v>
      </c>
      <c r="L81" s="8">
        <v>242</v>
      </c>
      <c r="M81" s="8">
        <v>240</v>
      </c>
      <c r="N81" s="8">
        <v>428</v>
      </c>
      <c r="O81" s="8">
        <v>429</v>
      </c>
      <c r="P81" s="8">
        <v>427</v>
      </c>
      <c r="Q81" s="9" t="s">
        <v>46</v>
      </c>
      <c r="R81" s="16"/>
      <c r="S81" s="10">
        <v>0</v>
      </c>
      <c r="T81" s="10">
        <v>0</v>
      </c>
      <c r="U81" s="10">
        <v>0</v>
      </c>
      <c r="V81" s="11">
        <v>0</v>
      </c>
      <c r="W81" s="12"/>
      <c r="X81" s="17"/>
      <c r="Y81" s="13"/>
      <c r="Z81" s="13"/>
      <c r="AA81" s="13"/>
      <c r="AB81" s="14"/>
      <c r="AC81" s="9"/>
      <c r="AD81" s="16"/>
      <c r="AE81" s="10"/>
      <c r="AF81" s="10"/>
      <c r="AG81" s="10"/>
      <c r="AH81" s="11"/>
      <c r="AI81" s="12"/>
      <c r="AJ81" s="17"/>
      <c r="AK81" s="13"/>
      <c r="AL81" s="13"/>
      <c r="AM81" s="13"/>
      <c r="AN81" s="14"/>
      <c r="AO81" s="9"/>
      <c r="AP81" s="16"/>
      <c r="AQ81" s="10"/>
      <c r="AR81" s="10"/>
      <c r="AS81" s="10"/>
      <c r="AT81" s="11"/>
      <c r="AU81" s="12"/>
      <c r="AV81" s="17"/>
      <c r="AW81" s="13"/>
      <c r="AX81" s="13"/>
      <c r="AY81" s="13"/>
      <c r="AZ81" s="14"/>
      <c r="BA81" s="9"/>
      <c r="BB81" s="16"/>
      <c r="BC81" s="10"/>
      <c r="BD81" s="10"/>
      <c r="BE81" s="10"/>
      <c r="BF81" s="11"/>
      <c r="BG81" s="12"/>
      <c r="BH81" s="17"/>
      <c r="BI81" s="13"/>
      <c r="BJ81" s="13"/>
      <c r="BK81" s="13"/>
      <c r="BL81" s="14"/>
      <c r="BM81" s="8">
        <f t="shared" si="18"/>
        <v>0</v>
      </c>
      <c r="BN81" s="8">
        <f t="shared" si="19"/>
        <v>0</v>
      </c>
      <c r="BO81" s="8">
        <f t="shared" si="20"/>
        <v>0</v>
      </c>
      <c r="BP81" s="8">
        <f t="shared" si="21"/>
        <v>0</v>
      </c>
      <c r="BQ81" s="8">
        <f t="shared" si="22"/>
        <v>0</v>
      </c>
      <c r="BR81" s="8">
        <f t="shared" si="23"/>
        <v>0</v>
      </c>
      <c r="BS81" s="15">
        <f t="shared" si="24"/>
        <v>0</v>
      </c>
      <c r="BT81" s="15" t="str">
        <f t="shared" si="25"/>
        <v>OK - No Upgrade</v>
      </c>
      <c r="BU81" s="15" t="str">
        <f t="shared" si="26"/>
        <v>OK - Balanced</v>
      </c>
    </row>
    <row r="82" spans="1:73" ht="15.75" customHeight="1" x14ac:dyDescent="0.25">
      <c r="A82" s="8" t="s">
        <v>1459</v>
      </c>
      <c r="B82" s="8" t="s">
        <v>2205</v>
      </c>
      <c r="C82" s="8" t="s">
        <v>2296</v>
      </c>
      <c r="D82" s="8" t="s">
        <v>2428</v>
      </c>
      <c r="E82" s="8" t="s">
        <v>2431</v>
      </c>
      <c r="F82" s="8" t="s">
        <v>43</v>
      </c>
      <c r="G82" s="8"/>
      <c r="H82" s="8">
        <v>315</v>
      </c>
      <c r="I82" s="8" t="s">
        <v>2432</v>
      </c>
      <c r="J82" s="8">
        <v>1</v>
      </c>
      <c r="K82" s="8">
        <v>242</v>
      </c>
      <c r="L82" s="8">
        <v>247</v>
      </c>
      <c r="M82" s="8">
        <v>248</v>
      </c>
      <c r="N82" s="8">
        <v>422</v>
      </c>
      <c r="O82" s="8">
        <v>424</v>
      </c>
      <c r="P82" s="8">
        <v>429</v>
      </c>
      <c r="Q82" s="9" t="s">
        <v>70</v>
      </c>
      <c r="R82" s="16"/>
      <c r="S82" s="10">
        <v>18</v>
      </c>
      <c r="T82" s="10">
        <v>12</v>
      </c>
      <c r="U82" s="10">
        <v>18</v>
      </c>
      <c r="V82" s="11">
        <v>0</v>
      </c>
      <c r="W82" s="12" t="s">
        <v>47</v>
      </c>
      <c r="X82" s="17"/>
      <c r="Y82" s="13">
        <v>173</v>
      </c>
      <c r="Z82" s="13">
        <v>128</v>
      </c>
      <c r="AA82" s="13">
        <v>71</v>
      </c>
      <c r="AB82" s="14">
        <v>84</v>
      </c>
      <c r="AC82" s="9"/>
      <c r="AD82" s="16"/>
      <c r="AE82" s="10"/>
      <c r="AF82" s="10"/>
      <c r="AG82" s="10"/>
      <c r="AH82" s="11"/>
      <c r="AI82" s="12"/>
      <c r="AJ82" s="17"/>
      <c r="AK82" s="13"/>
      <c r="AL82" s="13"/>
      <c r="AM82" s="13"/>
      <c r="AN82" s="14"/>
      <c r="AO82" s="9"/>
      <c r="AP82" s="16"/>
      <c r="AQ82" s="10"/>
      <c r="AR82" s="10"/>
      <c r="AS82" s="10"/>
      <c r="AT82" s="11"/>
      <c r="AU82" s="12"/>
      <c r="AV82" s="17"/>
      <c r="AW82" s="13"/>
      <c r="AX82" s="13"/>
      <c r="AY82" s="13"/>
      <c r="AZ82" s="14"/>
      <c r="BA82" s="9"/>
      <c r="BB82" s="16"/>
      <c r="BC82" s="10"/>
      <c r="BD82" s="10"/>
      <c r="BE82" s="10"/>
      <c r="BF82" s="11"/>
      <c r="BG82" s="12"/>
      <c r="BH82" s="17"/>
      <c r="BI82" s="13"/>
      <c r="BJ82" s="13"/>
      <c r="BK82" s="13"/>
      <c r="BL82" s="14"/>
      <c r="BM82" s="8">
        <f t="shared" si="18"/>
        <v>191</v>
      </c>
      <c r="BN82" s="8">
        <f t="shared" si="19"/>
        <v>140</v>
      </c>
      <c r="BO82" s="8">
        <f t="shared" si="20"/>
        <v>89</v>
      </c>
      <c r="BP82" s="8">
        <f t="shared" si="21"/>
        <v>84</v>
      </c>
      <c r="BQ82" s="8">
        <f t="shared" si="22"/>
        <v>191</v>
      </c>
      <c r="BR82" s="8">
        <f t="shared" si="23"/>
        <v>89</v>
      </c>
      <c r="BS82" s="15">
        <f t="shared" si="24"/>
        <v>44.319606092592586</v>
      </c>
      <c r="BT82" s="15" t="str">
        <f t="shared" si="25"/>
        <v>OK - No Upgrade</v>
      </c>
      <c r="BU82" s="15" t="str">
        <f t="shared" si="26"/>
        <v>Need to Balance</v>
      </c>
    </row>
    <row r="83" spans="1:73" ht="15.75" customHeight="1" x14ac:dyDescent="0.25">
      <c r="A83" s="8" t="s">
        <v>1459</v>
      </c>
      <c r="B83" s="8" t="s">
        <v>2205</v>
      </c>
      <c r="C83" s="8" t="s">
        <v>2296</v>
      </c>
      <c r="D83" s="8" t="s">
        <v>2428</v>
      </c>
      <c r="E83" s="8" t="s">
        <v>2433</v>
      </c>
      <c r="F83" s="8" t="s">
        <v>43</v>
      </c>
      <c r="G83" s="8"/>
      <c r="H83" s="8">
        <v>315</v>
      </c>
      <c r="I83" s="8" t="s">
        <v>2434</v>
      </c>
      <c r="J83" s="8">
        <v>1</v>
      </c>
      <c r="K83" s="8">
        <v>245</v>
      </c>
      <c r="L83" s="8">
        <v>244</v>
      </c>
      <c r="M83" s="8">
        <v>245</v>
      </c>
      <c r="N83" s="8">
        <v>422</v>
      </c>
      <c r="O83" s="8">
        <v>423</v>
      </c>
      <c r="P83" s="8">
        <v>422</v>
      </c>
      <c r="Q83" s="9" t="s">
        <v>46</v>
      </c>
      <c r="R83" s="16"/>
      <c r="S83" s="10">
        <v>20</v>
      </c>
      <c r="T83" s="10">
        <v>86</v>
      </c>
      <c r="U83" s="10">
        <v>50</v>
      </c>
      <c r="V83" s="11">
        <v>50</v>
      </c>
      <c r="W83" s="12"/>
      <c r="X83" s="17"/>
      <c r="Y83" s="13"/>
      <c r="Z83" s="13"/>
      <c r="AA83" s="13"/>
      <c r="AB83" s="14"/>
      <c r="AC83" s="9"/>
      <c r="AD83" s="16"/>
      <c r="AE83" s="10"/>
      <c r="AF83" s="10"/>
      <c r="AG83" s="10"/>
      <c r="AH83" s="11"/>
      <c r="AI83" s="12"/>
      <c r="AJ83" s="17"/>
      <c r="AK83" s="13"/>
      <c r="AL83" s="13"/>
      <c r="AM83" s="13"/>
      <c r="AN83" s="14"/>
      <c r="AO83" s="9"/>
      <c r="AP83" s="16"/>
      <c r="AQ83" s="10"/>
      <c r="AR83" s="10"/>
      <c r="AS83" s="10"/>
      <c r="AT83" s="11"/>
      <c r="AU83" s="12"/>
      <c r="AV83" s="17"/>
      <c r="AW83" s="13"/>
      <c r="AX83" s="13"/>
      <c r="AY83" s="13"/>
      <c r="AZ83" s="14"/>
      <c r="BA83" s="9"/>
      <c r="BB83" s="16"/>
      <c r="BC83" s="10"/>
      <c r="BD83" s="10"/>
      <c r="BE83" s="10"/>
      <c r="BF83" s="11"/>
      <c r="BG83" s="12"/>
      <c r="BH83" s="17"/>
      <c r="BI83" s="13"/>
      <c r="BJ83" s="13"/>
      <c r="BK83" s="13"/>
      <c r="BL83" s="14"/>
      <c r="BM83" s="8">
        <f t="shared" si="18"/>
        <v>20</v>
      </c>
      <c r="BN83" s="8">
        <f t="shared" si="19"/>
        <v>86</v>
      </c>
      <c r="BO83" s="8">
        <f t="shared" si="20"/>
        <v>50</v>
      </c>
      <c r="BP83" s="8">
        <f t="shared" si="21"/>
        <v>50</v>
      </c>
      <c r="BQ83" s="8">
        <f t="shared" si="22"/>
        <v>86</v>
      </c>
      <c r="BR83" s="8">
        <f t="shared" si="23"/>
        <v>20</v>
      </c>
      <c r="BS83" s="15">
        <f t="shared" si="24"/>
        <v>19.955424732790377</v>
      </c>
      <c r="BT83" s="15" t="str">
        <f t="shared" si="25"/>
        <v>OK - No Upgrade</v>
      </c>
      <c r="BU83" s="15" t="str">
        <f t="shared" si="26"/>
        <v>Need to Balance</v>
      </c>
    </row>
    <row r="84" spans="1:73" ht="15.75" customHeight="1" x14ac:dyDescent="0.25">
      <c r="A84" s="8" t="s">
        <v>1459</v>
      </c>
      <c r="B84" s="8" t="s">
        <v>2205</v>
      </c>
      <c r="C84" s="8" t="s">
        <v>2296</v>
      </c>
      <c r="D84" s="8" t="s">
        <v>2428</v>
      </c>
      <c r="E84" s="8" t="s">
        <v>2435</v>
      </c>
      <c r="F84" s="8" t="s">
        <v>43</v>
      </c>
      <c r="G84" s="8"/>
      <c r="H84" s="8">
        <v>100</v>
      </c>
      <c r="I84" s="8" t="s">
        <v>2436</v>
      </c>
      <c r="J84" s="8">
        <v>1</v>
      </c>
      <c r="K84" s="8">
        <v>243</v>
      </c>
      <c r="L84" s="8">
        <v>243</v>
      </c>
      <c r="M84" s="8">
        <v>246</v>
      </c>
      <c r="N84" s="8">
        <v>420</v>
      </c>
      <c r="O84" s="8">
        <v>419</v>
      </c>
      <c r="P84" s="8">
        <v>418</v>
      </c>
      <c r="Q84" s="9" t="s">
        <v>46</v>
      </c>
      <c r="R84" s="16"/>
      <c r="S84" s="10">
        <v>50</v>
      </c>
      <c r="T84" s="10">
        <v>38</v>
      </c>
      <c r="U84" s="10">
        <v>50</v>
      </c>
      <c r="V84" s="11">
        <v>12</v>
      </c>
      <c r="W84" s="12"/>
      <c r="X84" s="17"/>
      <c r="Y84" s="13"/>
      <c r="Z84" s="13"/>
      <c r="AA84" s="13"/>
      <c r="AB84" s="14"/>
      <c r="AC84" s="9"/>
      <c r="AD84" s="16"/>
      <c r="AE84" s="10"/>
      <c r="AF84" s="10"/>
      <c r="AG84" s="10"/>
      <c r="AH84" s="11"/>
      <c r="AI84" s="12"/>
      <c r="AJ84" s="17"/>
      <c r="AK84" s="13"/>
      <c r="AL84" s="13"/>
      <c r="AM84" s="13"/>
      <c r="AN84" s="14"/>
      <c r="AO84" s="9"/>
      <c r="AP84" s="16"/>
      <c r="AQ84" s="10"/>
      <c r="AR84" s="10"/>
      <c r="AS84" s="10"/>
      <c r="AT84" s="11"/>
      <c r="AU84" s="12"/>
      <c r="AV84" s="17"/>
      <c r="AW84" s="13"/>
      <c r="AX84" s="13"/>
      <c r="AY84" s="13"/>
      <c r="AZ84" s="14"/>
      <c r="BA84" s="9"/>
      <c r="BB84" s="16"/>
      <c r="BC84" s="10"/>
      <c r="BD84" s="10"/>
      <c r="BE84" s="10"/>
      <c r="BF84" s="11"/>
      <c r="BG84" s="12"/>
      <c r="BH84" s="17"/>
      <c r="BI84" s="13"/>
      <c r="BJ84" s="13"/>
      <c r="BK84" s="13"/>
      <c r="BL84" s="14"/>
      <c r="BM84" s="8">
        <f t="shared" si="18"/>
        <v>50</v>
      </c>
      <c r="BN84" s="8">
        <f t="shared" si="19"/>
        <v>38</v>
      </c>
      <c r="BO84" s="8">
        <f t="shared" si="20"/>
        <v>50</v>
      </c>
      <c r="BP84" s="8">
        <f t="shared" si="21"/>
        <v>12</v>
      </c>
      <c r="BQ84" s="8">
        <f t="shared" si="22"/>
        <v>50</v>
      </c>
      <c r="BR84" s="8">
        <f t="shared" si="23"/>
        <v>38</v>
      </c>
      <c r="BS84" s="15">
        <f t="shared" si="24"/>
        <v>36.373066958946424</v>
      </c>
      <c r="BT84" s="15" t="str">
        <f t="shared" si="25"/>
        <v>OK - No Upgrade</v>
      </c>
      <c r="BU84" s="15" t="str">
        <f t="shared" si="26"/>
        <v>OK - Balanced</v>
      </c>
    </row>
    <row r="85" spans="1:73" ht="15.75" customHeight="1" x14ac:dyDescent="0.25">
      <c r="A85" s="8" t="s">
        <v>1459</v>
      </c>
      <c r="B85" s="8" t="s">
        <v>2205</v>
      </c>
      <c r="C85" s="8" t="s">
        <v>2296</v>
      </c>
      <c r="D85" s="8" t="s">
        <v>2428</v>
      </c>
      <c r="E85" s="8" t="s">
        <v>2437</v>
      </c>
      <c r="F85" s="8" t="s">
        <v>43</v>
      </c>
      <c r="G85" s="8"/>
      <c r="H85" s="8">
        <v>100</v>
      </c>
      <c r="I85" s="8" t="s">
        <v>2438</v>
      </c>
      <c r="J85" s="8">
        <v>1</v>
      </c>
      <c r="K85" s="8">
        <v>243</v>
      </c>
      <c r="L85" s="8">
        <v>242</v>
      </c>
      <c r="M85" s="8">
        <v>242</v>
      </c>
      <c r="N85" s="8">
        <v>419</v>
      </c>
      <c r="O85" s="8">
        <v>419</v>
      </c>
      <c r="P85" s="8">
        <v>418</v>
      </c>
      <c r="Q85" s="9" t="s">
        <v>47</v>
      </c>
      <c r="R85" s="16"/>
      <c r="S85" s="10">
        <v>50</v>
      </c>
      <c r="T85" s="10">
        <v>56</v>
      </c>
      <c r="U85" s="10">
        <v>39</v>
      </c>
      <c r="V85" s="11">
        <v>22</v>
      </c>
      <c r="W85" s="12" t="s">
        <v>46</v>
      </c>
      <c r="X85" s="17"/>
      <c r="Y85" s="13">
        <v>0</v>
      </c>
      <c r="Z85" s="13">
        <v>13</v>
      </c>
      <c r="AA85" s="13">
        <v>13</v>
      </c>
      <c r="AB85" s="14">
        <v>13</v>
      </c>
      <c r="AC85" s="9"/>
      <c r="AD85" s="16"/>
      <c r="AE85" s="10"/>
      <c r="AF85" s="10"/>
      <c r="AG85" s="10"/>
      <c r="AH85" s="11"/>
      <c r="AI85" s="12"/>
      <c r="AJ85" s="17"/>
      <c r="AK85" s="13"/>
      <c r="AL85" s="13"/>
      <c r="AM85" s="13"/>
      <c r="AN85" s="14"/>
      <c r="AO85" s="9"/>
      <c r="AP85" s="16"/>
      <c r="AQ85" s="10"/>
      <c r="AR85" s="10"/>
      <c r="AS85" s="10"/>
      <c r="AT85" s="11"/>
      <c r="AU85" s="12"/>
      <c r="AV85" s="17"/>
      <c r="AW85" s="13"/>
      <c r="AX85" s="13"/>
      <c r="AY85" s="13"/>
      <c r="AZ85" s="14"/>
      <c r="BA85" s="9"/>
      <c r="BB85" s="16"/>
      <c r="BC85" s="10"/>
      <c r="BD85" s="10"/>
      <c r="BE85" s="10"/>
      <c r="BF85" s="11"/>
      <c r="BG85" s="12"/>
      <c r="BH85" s="17"/>
      <c r="BI85" s="13"/>
      <c r="BJ85" s="13"/>
      <c r="BK85" s="13"/>
      <c r="BL85" s="14"/>
      <c r="BM85" s="8">
        <f t="shared" si="18"/>
        <v>50</v>
      </c>
      <c r="BN85" s="8">
        <f t="shared" si="19"/>
        <v>69</v>
      </c>
      <c r="BO85" s="8">
        <f t="shared" si="20"/>
        <v>52</v>
      </c>
      <c r="BP85" s="8">
        <f t="shared" si="21"/>
        <v>35</v>
      </c>
      <c r="BQ85" s="8">
        <f t="shared" si="22"/>
        <v>69</v>
      </c>
      <c r="BR85" s="8">
        <f t="shared" si="23"/>
        <v>50</v>
      </c>
      <c r="BS85" s="15">
        <f t="shared" si="24"/>
        <v>50.075320897623811</v>
      </c>
      <c r="BT85" s="15" t="str">
        <f t="shared" si="25"/>
        <v>OK - No Upgrade</v>
      </c>
      <c r="BU85" s="15" t="str">
        <f t="shared" si="26"/>
        <v>Need to Balance</v>
      </c>
    </row>
    <row r="86" spans="1:73" ht="15.75" customHeight="1" x14ac:dyDescent="0.25">
      <c r="A86" s="8" t="s">
        <v>1459</v>
      </c>
      <c r="B86" s="8" t="s">
        <v>2205</v>
      </c>
      <c r="C86" s="8" t="s">
        <v>2296</v>
      </c>
      <c r="D86" s="8" t="s">
        <v>2439</v>
      </c>
      <c r="E86" s="8" t="s">
        <v>2440</v>
      </c>
      <c r="F86" s="8" t="s">
        <v>43</v>
      </c>
      <c r="G86" s="8"/>
      <c r="H86" s="8">
        <v>100</v>
      </c>
      <c r="I86" s="8" t="s">
        <v>2441</v>
      </c>
      <c r="J86" s="8">
        <v>1</v>
      </c>
      <c r="K86" s="8">
        <v>246</v>
      </c>
      <c r="L86" s="8">
        <v>244</v>
      </c>
      <c r="M86" s="8">
        <v>244</v>
      </c>
      <c r="N86" s="8">
        <v>423</v>
      </c>
      <c r="O86" s="8">
        <v>423</v>
      </c>
      <c r="P86" s="8">
        <v>422</v>
      </c>
      <c r="Q86" s="9" t="s">
        <v>46</v>
      </c>
      <c r="R86" s="16"/>
      <c r="S86" s="10">
        <v>16</v>
      </c>
      <c r="T86" s="10">
        <v>47</v>
      </c>
      <c r="U86" s="10">
        <v>63</v>
      </c>
      <c r="V86" s="11">
        <v>44</v>
      </c>
      <c r="W86" s="12"/>
      <c r="X86" s="17"/>
      <c r="Y86" s="13"/>
      <c r="Z86" s="13"/>
      <c r="AA86" s="13"/>
      <c r="AB86" s="14"/>
      <c r="AC86" s="9"/>
      <c r="AD86" s="16"/>
      <c r="AE86" s="10"/>
      <c r="AF86" s="10"/>
      <c r="AG86" s="10"/>
      <c r="AH86" s="11"/>
      <c r="AI86" s="12"/>
      <c r="AJ86" s="17"/>
      <c r="AK86" s="13"/>
      <c r="AL86" s="13"/>
      <c r="AM86" s="13"/>
      <c r="AN86" s="14"/>
      <c r="AO86" s="9"/>
      <c r="AP86" s="16"/>
      <c r="AQ86" s="10"/>
      <c r="AR86" s="10"/>
      <c r="AS86" s="10"/>
      <c r="AT86" s="11"/>
      <c r="AU86" s="12"/>
      <c r="AV86" s="17"/>
      <c r="AW86" s="13"/>
      <c r="AX86" s="13"/>
      <c r="AY86" s="13"/>
      <c r="AZ86" s="14"/>
      <c r="BA86" s="9"/>
      <c r="BB86" s="16"/>
      <c r="BC86" s="10"/>
      <c r="BD86" s="10"/>
      <c r="BE86" s="10"/>
      <c r="BF86" s="11"/>
      <c r="BG86" s="12"/>
      <c r="BH86" s="17"/>
      <c r="BI86" s="13"/>
      <c r="BJ86" s="13"/>
      <c r="BK86" s="13"/>
      <c r="BL86" s="14"/>
      <c r="BM86" s="8">
        <f t="shared" si="18"/>
        <v>16</v>
      </c>
      <c r="BN86" s="8">
        <f t="shared" si="19"/>
        <v>47</v>
      </c>
      <c r="BO86" s="8">
        <f t="shared" si="20"/>
        <v>63</v>
      </c>
      <c r="BP86" s="8">
        <f t="shared" si="21"/>
        <v>44</v>
      </c>
      <c r="BQ86" s="8">
        <f t="shared" si="22"/>
        <v>63</v>
      </c>
      <c r="BR86" s="8">
        <f t="shared" si="23"/>
        <v>16</v>
      </c>
      <c r="BS86" s="15">
        <f t="shared" si="24"/>
        <v>46.157421970903009</v>
      </c>
      <c r="BT86" s="15" t="str">
        <f t="shared" si="25"/>
        <v>OK - No Upgrade</v>
      </c>
      <c r="BU86" s="15" t="str">
        <f t="shared" si="26"/>
        <v>Need to Balance</v>
      </c>
    </row>
    <row r="87" spans="1:73" ht="15.75" customHeight="1" x14ac:dyDescent="0.25">
      <c r="A87" s="8" t="s">
        <v>1459</v>
      </c>
      <c r="B87" s="8" t="s">
        <v>2205</v>
      </c>
      <c r="C87" s="8" t="s">
        <v>2296</v>
      </c>
      <c r="D87" s="8" t="s">
        <v>2442</v>
      </c>
      <c r="E87" s="8" t="s">
        <v>2443</v>
      </c>
      <c r="F87" s="8" t="s">
        <v>43</v>
      </c>
      <c r="G87" s="8"/>
      <c r="H87" s="8">
        <v>200</v>
      </c>
      <c r="I87" s="8" t="s">
        <v>2444</v>
      </c>
      <c r="J87" s="8">
        <v>1</v>
      </c>
      <c r="K87" s="8">
        <v>246</v>
      </c>
      <c r="L87" s="8">
        <v>246</v>
      </c>
      <c r="M87" s="8">
        <v>247</v>
      </c>
      <c r="N87" s="8">
        <v>427</v>
      </c>
      <c r="O87" s="8">
        <v>128</v>
      </c>
      <c r="P87" s="8">
        <v>428</v>
      </c>
      <c r="Q87" s="9" t="s">
        <v>47</v>
      </c>
      <c r="R87" s="16"/>
      <c r="S87" s="10">
        <v>44</v>
      </c>
      <c r="T87" s="10">
        <v>24</v>
      </c>
      <c r="U87" s="10">
        <v>28</v>
      </c>
      <c r="V87" s="11">
        <v>28</v>
      </c>
      <c r="W87" s="12" t="s">
        <v>47</v>
      </c>
      <c r="X87" s="17"/>
      <c r="Y87" s="13">
        <v>51</v>
      </c>
      <c r="Z87" s="13">
        <v>46</v>
      </c>
      <c r="AA87" s="13">
        <v>13</v>
      </c>
      <c r="AB87" s="14">
        <v>41</v>
      </c>
      <c r="AC87" s="9"/>
      <c r="AD87" s="16"/>
      <c r="AE87" s="10"/>
      <c r="AF87" s="10"/>
      <c r="AG87" s="10"/>
      <c r="AH87" s="11"/>
      <c r="AI87" s="12"/>
      <c r="AJ87" s="17"/>
      <c r="AK87" s="13"/>
      <c r="AL87" s="13"/>
      <c r="AM87" s="13"/>
      <c r="AN87" s="14"/>
      <c r="AO87" s="9"/>
      <c r="AP87" s="16"/>
      <c r="AQ87" s="10"/>
      <c r="AR87" s="10"/>
      <c r="AS87" s="10"/>
      <c r="AT87" s="11"/>
      <c r="AU87" s="12"/>
      <c r="AV87" s="17"/>
      <c r="AW87" s="13"/>
      <c r="AX87" s="13"/>
      <c r="AY87" s="13"/>
      <c r="AZ87" s="14"/>
      <c r="BA87" s="9"/>
      <c r="BB87" s="16"/>
      <c r="BC87" s="10"/>
      <c r="BD87" s="10"/>
      <c r="BE87" s="10"/>
      <c r="BF87" s="11"/>
      <c r="BG87" s="12"/>
      <c r="BH87" s="17"/>
      <c r="BI87" s="13"/>
      <c r="BJ87" s="13"/>
      <c r="BK87" s="13"/>
      <c r="BL87" s="14"/>
      <c r="BM87" s="8">
        <f t="shared" si="18"/>
        <v>95</v>
      </c>
      <c r="BN87" s="8">
        <f t="shared" si="19"/>
        <v>70</v>
      </c>
      <c r="BO87" s="8">
        <f t="shared" si="20"/>
        <v>41</v>
      </c>
      <c r="BP87" s="8">
        <f t="shared" si="21"/>
        <v>69</v>
      </c>
      <c r="BQ87" s="8">
        <f t="shared" si="22"/>
        <v>95</v>
      </c>
      <c r="BR87" s="8">
        <f t="shared" si="23"/>
        <v>41</v>
      </c>
      <c r="BS87" s="15">
        <f t="shared" si="24"/>
        <v>35.130320504515751</v>
      </c>
      <c r="BT87" s="15" t="str">
        <f t="shared" si="25"/>
        <v>OK - No Upgrade</v>
      </c>
      <c r="BU87" s="15" t="str">
        <f t="shared" si="26"/>
        <v>Need to Balance</v>
      </c>
    </row>
    <row r="88" spans="1:73" ht="15.75" customHeight="1" x14ac:dyDescent="0.25">
      <c r="A88" s="8" t="s">
        <v>1459</v>
      </c>
      <c r="B88" s="8" t="s">
        <v>2205</v>
      </c>
      <c r="C88" s="8" t="s">
        <v>2296</v>
      </c>
      <c r="D88" s="8" t="s">
        <v>2442</v>
      </c>
      <c r="E88" s="8" t="s">
        <v>2445</v>
      </c>
      <c r="F88" s="8" t="s">
        <v>43</v>
      </c>
      <c r="G88" s="8"/>
      <c r="H88" s="8">
        <v>100</v>
      </c>
      <c r="I88" s="8" t="s">
        <v>2446</v>
      </c>
      <c r="J88" s="8">
        <v>1</v>
      </c>
      <c r="K88" s="8">
        <v>241</v>
      </c>
      <c r="L88" s="8">
        <v>242</v>
      </c>
      <c r="M88" s="8">
        <v>238</v>
      </c>
      <c r="N88" s="8">
        <v>429</v>
      </c>
      <c r="O88" s="8">
        <v>425</v>
      </c>
      <c r="P88" s="8">
        <v>427</v>
      </c>
      <c r="Q88" s="9" t="s">
        <v>46</v>
      </c>
      <c r="R88" s="16"/>
      <c r="S88" s="10">
        <v>0</v>
      </c>
      <c r="T88" s="10">
        <v>0</v>
      </c>
      <c r="U88" s="10">
        <v>0</v>
      </c>
      <c r="V88" s="11">
        <v>0</v>
      </c>
      <c r="W88" s="12"/>
      <c r="X88" s="17"/>
      <c r="Y88" s="13"/>
      <c r="Z88" s="13"/>
      <c r="AA88" s="13"/>
      <c r="AB88" s="14"/>
      <c r="AC88" s="9"/>
      <c r="AD88" s="16"/>
      <c r="AE88" s="10"/>
      <c r="AF88" s="10"/>
      <c r="AG88" s="10"/>
      <c r="AH88" s="11"/>
      <c r="AI88" s="12"/>
      <c r="AJ88" s="17"/>
      <c r="AK88" s="13"/>
      <c r="AL88" s="13"/>
      <c r="AM88" s="13"/>
      <c r="AN88" s="14"/>
      <c r="AO88" s="9"/>
      <c r="AP88" s="16"/>
      <c r="AQ88" s="10"/>
      <c r="AR88" s="10"/>
      <c r="AS88" s="10"/>
      <c r="AT88" s="11"/>
      <c r="AU88" s="12"/>
      <c r="AV88" s="17"/>
      <c r="AW88" s="13"/>
      <c r="AX88" s="13"/>
      <c r="AY88" s="13"/>
      <c r="AZ88" s="14"/>
      <c r="BA88" s="9"/>
      <c r="BB88" s="16"/>
      <c r="BC88" s="10"/>
      <c r="BD88" s="10"/>
      <c r="BE88" s="10"/>
      <c r="BF88" s="11"/>
      <c r="BG88" s="12"/>
      <c r="BH88" s="17"/>
      <c r="BI88" s="13"/>
      <c r="BJ88" s="13"/>
      <c r="BK88" s="13"/>
      <c r="BL88" s="14"/>
      <c r="BM88" s="8">
        <f t="shared" si="18"/>
        <v>0</v>
      </c>
      <c r="BN88" s="8">
        <f t="shared" si="19"/>
        <v>0</v>
      </c>
      <c r="BO88" s="8">
        <f t="shared" si="20"/>
        <v>0</v>
      </c>
      <c r="BP88" s="8">
        <f t="shared" si="21"/>
        <v>0</v>
      </c>
      <c r="BQ88" s="8">
        <f t="shared" si="22"/>
        <v>0</v>
      </c>
      <c r="BR88" s="8">
        <f t="shared" si="23"/>
        <v>0</v>
      </c>
      <c r="BS88" s="15">
        <f t="shared" si="24"/>
        <v>0</v>
      </c>
      <c r="BT88" s="15" t="str">
        <f t="shared" si="25"/>
        <v>OK - No Upgrade</v>
      </c>
      <c r="BU88" s="15" t="str">
        <f t="shared" si="26"/>
        <v>OK - Balanced</v>
      </c>
    </row>
    <row r="89" spans="1:73" ht="15.75" customHeight="1" x14ac:dyDescent="0.25">
      <c r="A89" s="8" t="s">
        <v>1459</v>
      </c>
      <c r="B89" s="8" t="s">
        <v>2205</v>
      </c>
      <c r="C89" s="8" t="s">
        <v>2296</v>
      </c>
      <c r="D89" s="8" t="s">
        <v>2447</v>
      </c>
      <c r="E89" s="8" t="s">
        <v>2448</v>
      </c>
      <c r="F89" s="8" t="s">
        <v>43</v>
      </c>
      <c r="G89" s="8"/>
      <c r="H89" s="8">
        <v>100</v>
      </c>
      <c r="I89" s="8" t="s">
        <v>2449</v>
      </c>
      <c r="J89" s="8">
        <v>1</v>
      </c>
      <c r="K89" s="8">
        <v>243</v>
      </c>
      <c r="L89" s="8">
        <v>244</v>
      </c>
      <c r="M89" s="8">
        <v>244</v>
      </c>
      <c r="N89" s="8">
        <v>421</v>
      </c>
      <c r="O89" s="8">
        <v>422</v>
      </c>
      <c r="P89" s="8">
        <v>424</v>
      </c>
      <c r="Q89" s="9" t="s">
        <v>47</v>
      </c>
      <c r="R89" s="16"/>
      <c r="S89" s="10">
        <v>0</v>
      </c>
      <c r="T89" s="10">
        <v>0</v>
      </c>
      <c r="U89" s="10">
        <v>0</v>
      </c>
      <c r="V89" s="11">
        <v>0</v>
      </c>
      <c r="W89" s="12"/>
      <c r="X89" s="17"/>
      <c r="Y89" s="13"/>
      <c r="Z89" s="13"/>
      <c r="AA89" s="13"/>
      <c r="AB89" s="14"/>
      <c r="AC89" s="9"/>
      <c r="AD89" s="16"/>
      <c r="AE89" s="10"/>
      <c r="AF89" s="10"/>
      <c r="AG89" s="10"/>
      <c r="AH89" s="11"/>
      <c r="AI89" s="12"/>
      <c r="AJ89" s="17"/>
      <c r="AK89" s="13"/>
      <c r="AL89" s="13"/>
      <c r="AM89" s="13"/>
      <c r="AN89" s="14"/>
      <c r="AO89" s="9"/>
      <c r="AP89" s="16"/>
      <c r="AQ89" s="10"/>
      <c r="AR89" s="10"/>
      <c r="AS89" s="10"/>
      <c r="AT89" s="11"/>
      <c r="AU89" s="12"/>
      <c r="AV89" s="17"/>
      <c r="AW89" s="13"/>
      <c r="AX89" s="13"/>
      <c r="AY89" s="13"/>
      <c r="AZ89" s="14"/>
      <c r="BA89" s="9"/>
      <c r="BB89" s="16"/>
      <c r="BC89" s="10"/>
      <c r="BD89" s="10"/>
      <c r="BE89" s="10"/>
      <c r="BF89" s="11"/>
      <c r="BG89" s="12"/>
      <c r="BH89" s="17"/>
      <c r="BI89" s="13"/>
      <c r="BJ89" s="13"/>
      <c r="BK89" s="13"/>
      <c r="BL89" s="14"/>
      <c r="BM89" s="8">
        <f t="shared" si="18"/>
        <v>0</v>
      </c>
      <c r="BN89" s="8">
        <f t="shared" si="19"/>
        <v>0</v>
      </c>
      <c r="BO89" s="8">
        <f t="shared" si="20"/>
        <v>0</v>
      </c>
      <c r="BP89" s="8">
        <f t="shared" si="21"/>
        <v>0</v>
      </c>
      <c r="BQ89" s="8">
        <f t="shared" si="22"/>
        <v>0</v>
      </c>
      <c r="BR89" s="8">
        <f t="shared" si="23"/>
        <v>0</v>
      </c>
      <c r="BS89" s="15">
        <f t="shared" si="24"/>
        <v>0</v>
      </c>
      <c r="BT89" s="15" t="str">
        <f t="shared" si="25"/>
        <v>OK - No Upgrade</v>
      </c>
      <c r="BU89" s="15" t="str">
        <f t="shared" si="26"/>
        <v>OK - Balanced</v>
      </c>
    </row>
    <row r="90" spans="1:73" ht="15.75" customHeight="1" x14ac:dyDescent="0.25">
      <c r="A90" s="8" t="s">
        <v>1459</v>
      </c>
      <c r="B90" s="8" t="s">
        <v>2205</v>
      </c>
      <c r="C90" s="8" t="s">
        <v>2296</v>
      </c>
      <c r="D90" s="8" t="s">
        <v>2447</v>
      </c>
      <c r="E90" s="8" t="s">
        <v>2450</v>
      </c>
      <c r="F90" s="8" t="s">
        <v>43</v>
      </c>
      <c r="G90" s="8"/>
      <c r="H90" s="8">
        <v>100</v>
      </c>
      <c r="I90" s="8" t="s">
        <v>2451</v>
      </c>
      <c r="J90" s="8">
        <v>1</v>
      </c>
      <c r="K90" s="8">
        <v>243</v>
      </c>
      <c r="L90" s="8">
        <v>244</v>
      </c>
      <c r="M90" s="8">
        <v>242</v>
      </c>
      <c r="N90" s="8">
        <v>425</v>
      </c>
      <c r="O90" s="8">
        <v>427</v>
      </c>
      <c r="P90" s="8">
        <v>426</v>
      </c>
      <c r="Q90" s="9" t="s">
        <v>47</v>
      </c>
      <c r="R90" s="16"/>
      <c r="S90" s="10">
        <v>0</v>
      </c>
      <c r="T90" s="10">
        <v>0</v>
      </c>
      <c r="U90" s="10">
        <v>0</v>
      </c>
      <c r="V90" s="11">
        <v>0</v>
      </c>
      <c r="W90" s="12"/>
      <c r="X90" s="17"/>
      <c r="Y90" s="13"/>
      <c r="Z90" s="13"/>
      <c r="AA90" s="13"/>
      <c r="AB90" s="14"/>
      <c r="AC90" s="9"/>
      <c r="AD90" s="16"/>
      <c r="AE90" s="10"/>
      <c r="AF90" s="10"/>
      <c r="AG90" s="10"/>
      <c r="AH90" s="11"/>
      <c r="AI90" s="12"/>
      <c r="AJ90" s="17"/>
      <c r="AK90" s="13"/>
      <c r="AL90" s="13"/>
      <c r="AM90" s="13"/>
      <c r="AN90" s="14"/>
      <c r="AO90" s="9"/>
      <c r="AP90" s="16"/>
      <c r="AQ90" s="10"/>
      <c r="AR90" s="10"/>
      <c r="AS90" s="10"/>
      <c r="AT90" s="11"/>
      <c r="AU90" s="12"/>
      <c r="AV90" s="17"/>
      <c r="AW90" s="13"/>
      <c r="AX90" s="13"/>
      <c r="AY90" s="13"/>
      <c r="AZ90" s="14"/>
      <c r="BA90" s="9"/>
      <c r="BB90" s="16"/>
      <c r="BC90" s="10"/>
      <c r="BD90" s="10"/>
      <c r="BE90" s="10"/>
      <c r="BF90" s="11"/>
      <c r="BG90" s="12"/>
      <c r="BH90" s="17"/>
      <c r="BI90" s="13"/>
      <c r="BJ90" s="13"/>
      <c r="BK90" s="13"/>
      <c r="BL90" s="14"/>
      <c r="BM90" s="8">
        <f t="shared" si="18"/>
        <v>0</v>
      </c>
      <c r="BN90" s="8">
        <f t="shared" si="19"/>
        <v>0</v>
      </c>
      <c r="BO90" s="8">
        <f t="shared" si="20"/>
        <v>0</v>
      </c>
      <c r="BP90" s="8">
        <f t="shared" si="21"/>
        <v>0</v>
      </c>
      <c r="BQ90" s="8">
        <f t="shared" si="22"/>
        <v>0</v>
      </c>
      <c r="BR90" s="8">
        <f t="shared" si="23"/>
        <v>0</v>
      </c>
      <c r="BS90" s="15">
        <f t="shared" si="24"/>
        <v>0</v>
      </c>
      <c r="BT90" s="15" t="str">
        <f t="shared" si="25"/>
        <v>OK - No Upgrade</v>
      </c>
      <c r="BU90" s="15" t="str">
        <f t="shared" si="26"/>
        <v>OK - Balanced</v>
      </c>
    </row>
    <row r="91" spans="1:73" ht="15.75" customHeight="1" x14ac:dyDescent="0.25">
      <c r="A91" s="8" t="s">
        <v>1459</v>
      </c>
      <c r="B91" s="8" t="s">
        <v>2205</v>
      </c>
      <c r="C91" s="8" t="s">
        <v>2296</v>
      </c>
      <c r="D91" s="8" t="s">
        <v>2447</v>
      </c>
      <c r="E91" s="8" t="s">
        <v>2452</v>
      </c>
      <c r="F91" s="8" t="s">
        <v>43</v>
      </c>
      <c r="G91" s="8"/>
      <c r="H91" s="8">
        <v>50</v>
      </c>
      <c r="I91" s="8" t="s">
        <v>2453</v>
      </c>
      <c r="J91" s="8">
        <v>1</v>
      </c>
      <c r="K91" s="8">
        <v>244</v>
      </c>
      <c r="L91" s="8">
        <v>243</v>
      </c>
      <c r="M91" s="8">
        <v>243</v>
      </c>
      <c r="N91" s="8">
        <v>426</v>
      </c>
      <c r="O91" s="8">
        <v>424</v>
      </c>
      <c r="P91" s="8">
        <v>425</v>
      </c>
      <c r="Q91" s="9" t="s">
        <v>46</v>
      </c>
      <c r="R91" s="16"/>
      <c r="S91" s="10">
        <v>0</v>
      </c>
      <c r="T91" s="10">
        <v>0</v>
      </c>
      <c r="U91" s="10">
        <v>0</v>
      </c>
      <c r="V91" s="11">
        <v>0</v>
      </c>
      <c r="W91" s="12"/>
      <c r="X91" s="17"/>
      <c r="Y91" s="13"/>
      <c r="Z91" s="13"/>
      <c r="AA91" s="13"/>
      <c r="AB91" s="14"/>
      <c r="AC91" s="9"/>
      <c r="AD91" s="16"/>
      <c r="AE91" s="10"/>
      <c r="AF91" s="10"/>
      <c r="AG91" s="10"/>
      <c r="AH91" s="11"/>
      <c r="AI91" s="12"/>
      <c r="AJ91" s="17"/>
      <c r="AK91" s="13"/>
      <c r="AL91" s="13"/>
      <c r="AM91" s="13"/>
      <c r="AN91" s="14"/>
      <c r="AO91" s="9"/>
      <c r="AP91" s="16"/>
      <c r="AQ91" s="10"/>
      <c r="AR91" s="10"/>
      <c r="AS91" s="10"/>
      <c r="AT91" s="11"/>
      <c r="AU91" s="12"/>
      <c r="AV91" s="17"/>
      <c r="AW91" s="13"/>
      <c r="AX91" s="13"/>
      <c r="AY91" s="13"/>
      <c r="AZ91" s="14"/>
      <c r="BA91" s="9"/>
      <c r="BB91" s="16"/>
      <c r="BC91" s="10"/>
      <c r="BD91" s="10"/>
      <c r="BE91" s="10"/>
      <c r="BF91" s="11"/>
      <c r="BG91" s="12"/>
      <c r="BH91" s="17"/>
      <c r="BI91" s="13"/>
      <c r="BJ91" s="13"/>
      <c r="BK91" s="13"/>
      <c r="BL91" s="14"/>
      <c r="BM91" s="8">
        <f t="shared" si="18"/>
        <v>0</v>
      </c>
      <c r="BN91" s="8">
        <f t="shared" si="19"/>
        <v>0</v>
      </c>
      <c r="BO91" s="8">
        <f t="shared" si="20"/>
        <v>0</v>
      </c>
      <c r="BP91" s="8">
        <f t="shared" si="21"/>
        <v>0</v>
      </c>
      <c r="BQ91" s="8">
        <f t="shared" si="22"/>
        <v>0</v>
      </c>
      <c r="BR91" s="8">
        <f t="shared" si="23"/>
        <v>0</v>
      </c>
      <c r="BS91" s="15">
        <f t="shared" si="24"/>
        <v>0</v>
      </c>
      <c r="BT91" s="15" t="str">
        <f t="shared" si="25"/>
        <v>OK - No Upgrade</v>
      </c>
      <c r="BU91" s="15" t="str">
        <f t="shared" si="26"/>
        <v>OK - Balanced</v>
      </c>
    </row>
    <row r="92" spans="1:73" ht="15.75" customHeight="1" x14ac:dyDescent="0.25">
      <c r="A92" s="8" t="s">
        <v>1459</v>
      </c>
      <c r="B92" s="8" t="s">
        <v>2205</v>
      </c>
      <c r="C92" s="8" t="s">
        <v>2296</v>
      </c>
      <c r="D92" s="8" t="s">
        <v>2447</v>
      </c>
      <c r="E92" s="8" t="s">
        <v>2454</v>
      </c>
      <c r="F92" s="8" t="s">
        <v>43</v>
      </c>
      <c r="G92" s="8"/>
      <c r="H92" s="8">
        <v>100</v>
      </c>
      <c r="I92" s="8" t="s">
        <v>2455</v>
      </c>
      <c r="J92" s="8">
        <v>1</v>
      </c>
      <c r="K92" s="8">
        <v>244</v>
      </c>
      <c r="L92" s="8">
        <v>243</v>
      </c>
      <c r="M92" s="8">
        <v>243</v>
      </c>
      <c r="N92" s="8">
        <v>426</v>
      </c>
      <c r="O92" s="8">
        <v>424</v>
      </c>
      <c r="P92" s="8">
        <v>425</v>
      </c>
      <c r="Q92" s="9" t="s">
        <v>46</v>
      </c>
      <c r="R92" s="16"/>
      <c r="S92" s="10">
        <v>0</v>
      </c>
      <c r="T92" s="10">
        <v>0</v>
      </c>
      <c r="U92" s="10">
        <v>0</v>
      </c>
      <c r="V92" s="11">
        <v>0</v>
      </c>
      <c r="W92" s="12"/>
      <c r="X92" s="17"/>
      <c r="Y92" s="13"/>
      <c r="Z92" s="13"/>
      <c r="AA92" s="13"/>
      <c r="AB92" s="14"/>
      <c r="AC92" s="9"/>
      <c r="AD92" s="16"/>
      <c r="AE92" s="10"/>
      <c r="AF92" s="10"/>
      <c r="AG92" s="10"/>
      <c r="AH92" s="11"/>
      <c r="AI92" s="12"/>
      <c r="AJ92" s="17"/>
      <c r="AK92" s="13"/>
      <c r="AL92" s="13"/>
      <c r="AM92" s="13"/>
      <c r="AN92" s="14"/>
      <c r="AO92" s="9"/>
      <c r="AP92" s="16"/>
      <c r="AQ92" s="10"/>
      <c r="AR92" s="10"/>
      <c r="AS92" s="10"/>
      <c r="AT92" s="11"/>
      <c r="AU92" s="12"/>
      <c r="AV92" s="17"/>
      <c r="AW92" s="13"/>
      <c r="AX92" s="13"/>
      <c r="AY92" s="13"/>
      <c r="AZ92" s="14"/>
      <c r="BA92" s="9"/>
      <c r="BB92" s="16"/>
      <c r="BC92" s="10"/>
      <c r="BD92" s="10"/>
      <c r="BE92" s="10"/>
      <c r="BF92" s="11"/>
      <c r="BG92" s="12"/>
      <c r="BH92" s="17"/>
      <c r="BI92" s="13"/>
      <c r="BJ92" s="13"/>
      <c r="BK92" s="13"/>
      <c r="BL92" s="14"/>
      <c r="BM92" s="8">
        <f t="shared" si="18"/>
        <v>0</v>
      </c>
      <c r="BN92" s="8">
        <f t="shared" si="19"/>
        <v>0</v>
      </c>
      <c r="BO92" s="8">
        <f t="shared" si="20"/>
        <v>0</v>
      </c>
      <c r="BP92" s="8">
        <f t="shared" si="21"/>
        <v>0</v>
      </c>
      <c r="BQ92" s="8">
        <f t="shared" si="22"/>
        <v>0</v>
      </c>
      <c r="BR92" s="8">
        <f t="shared" si="23"/>
        <v>0</v>
      </c>
      <c r="BS92" s="15">
        <f t="shared" si="24"/>
        <v>0</v>
      </c>
      <c r="BT92" s="15" t="str">
        <f t="shared" si="25"/>
        <v>OK - No Upgrade</v>
      </c>
      <c r="BU92" s="15" t="str">
        <f t="shared" si="26"/>
        <v>OK - Balanced</v>
      </c>
    </row>
    <row r="93" spans="1:73" ht="15.75" customHeight="1" x14ac:dyDescent="0.25">
      <c r="A93" s="8" t="s">
        <v>1459</v>
      </c>
      <c r="B93" s="8" t="s">
        <v>2205</v>
      </c>
      <c r="C93" s="8" t="s">
        <v>2296</v>
      </c>
      <c r="D93" s="8" t="s">
        <v>2447</v>
      </c>
      <c r="E93" s="8" t="s">
        <v>2456</v>
      </c>
      <c r="F93" s="8" t="s">
        <v>43</v>
      </c>
      <c r="G93" s="8"/>
      <c r="H93" s="8">
        <v>100</v>
      </c>
      <c r="I93" s="8" t="s">
        <v>2457</v>
      </c>
      <c r="J93" s="8">
        <v>1</v>
      </c>
      <c r="K93" s="8">
        <v>244</v>
      </c>
      <c r="L93" s="8">
        <v>243</v>
      </c>
      <c r="M93" s="8">
        <v>243</v>
      </c>
      <c r="N93" s="8">
        <v>426</v>
      </c>
      <c r="O93" s="8">
        <v>424</v>
      </c>
      <c r="P93" s="8">
        <v>425</v>
      </c>
      <c r="Q93" s="9" t="s">
        <v>46</v>
      </c>
      <c r="R93" s="16"/>
      <c r="S93" s="10">
        <v>0</v>
      </c>
      <c r="T93" s="10">
        <v>0</v>
      </c>
      <c r="U93" s="10">
        <v>0</v>
      </c>
      <c r="V93" s="11">
        <v>0</v>
      </c>
      <c r="W93" s="12"/>
      <c r="X93" s="17"/>
      <c r="Y93" s="13"/>
      <c r="Z93" s="13"/>
      <c r="AA93" s="13"/>
      <c r="AB93" s="14"/>
      <c r="AC93" s="9"/>
      <c r="AD93" s="16"/>
      <c r="AE93" s="10"/>
      <c r="AF93" s="10"/>
      <c r="AG93" s="10"/>
      <c r="AH93" s="11"/>
      <c r="AI93" s="12"/>
      <c r="AJ93" s="17"/>
      <c r="AK93" s="13"/>
      <c r="AL93" s="13"/>
      <c r="AM93" s="13"/>
      <c r="AN93" s="14"/>
      <c r="AO93" s="9"/>
      <c r="AP93" s="16"/>
      <c r="AQ93" s="10"/>
      <c r="AR93" s="10"/>
      <c r="AS93" s="10"/>
      <c r="AT93" s="11"/>
      <c r="AU93" s="12"/>
      <c r="AV93" s="17"/>
      <c r="AW93" s="13"/>
      <c r="AX93" s="13"/>
      <c r="AY93" s="13"/>
      <c r="AZ93" s="14"/>
      <c r="BA93" s="9"/>
      <c r="BB93" s="16"/>
      <c r="BC93" s="10"/>
      <c r="BD93" s="10"/>
      <c r="BE93" s="10"/>
      <c r="BF93" s="11"/>
      <c r="BG93" s="12"/>
      <c r="BH93" s="17"/>
      <c r="BI93" s="13"/>
      <c r="BJ93" s="13"/>
      <c r="BK93" s="13"/>
      <c r="BL93" s="14"/>
      <c r="BM93" s="8">
        <f t="shared" si="18"/>
        <v>0</v>
      </c>
      <c r="BN93" s="8">
        <f t="shared" si="19"/>
        <v>0</v>
      </c>
      <c r="BO93" s="8">
        <f t="shared" si="20"/>
        <v>0</v>
      </c>
      <c r="BP93" s="8">
        <f t="shared" si="21"/>
        <v>0</v>
      </c>
      <c r="BQ93" s="8">
        <f t="shared" si="22"/>
        <v>0</v>
      </c>
      <c r="BR93" s="8">
        <f t="shared" si="23"/>
        <v>0</v>
      </c>
      <c r="BS93" s="15">
        <f t="shared" si="24"/>
        <v>0</v>
      </c>
      <c r="BT93" s="15" t="str">
        <f t="shared" si="25"/>
        <v>OK - No Upgrade</v>
      </c>
      <c r="BU93" s="15" t="str">
        <f t="shared" si="26"/>
        <v>OK - Balanced</v>
      </c>
    </row>
    <row r="94" spans="1:73" ht="15.75" customHeight="1" x14ac:dyDescent="0.25">
      <c r="A94" s="8" t="s">
        <v>1459</v>
      </c>
      <c r="B94" s="8" t="s">
        <v>2205</v>
      </c>
      <c r="C94" s="8" t="s">
        <v>2296</v>
      </c>
      <c r="D94" s="8" t="s">
        <v>2447</v>
      </c>
      <c r="E94" s="8" t="s">
        <v>2458</v>
      </c>
      <c r="F94" s="8" t="s">
        <v>43</v>
      </c>
      <c r="G94" s="8"/>
      <c r="H94" s="8">
        <v>200</v>
      </c>
      <c r="I94" s="8" t="s">
        <v>2459</v>
      </c>
      <c r="J94" s="8">
        <v>1</v>
      </c>
      <c r="K94" s="8">
        <v>244</v>
      </c>
      <c r="L94" s="8">
        <v>243</v>
      </c>
      <c r="M94" s="8">
        <v>243</v>
      </c>
      <c r="N94" s="8">
        <v>426</v>
      </c>
      <c r="O94" s="8">
        <v>424</v>
      </c>
      <c r="P94" s="8">
        <v>426</v>
      </c>
      <c r="Q94" s="9" t="s">
        <v>46</v>
      </c>
      <c r="R94" s="16"/>
      <c r="S94" s="10">
        <v>0</v>
      </c>
      <c r="T94" s="10">
        <v>12</v>
      </c>
      <c r="U94" s="10">
        <v>13</v>
      </c>
      <c r="V94" s="11">
        <v>0</v>
      </c>
      <c r="W94" s="12" t="s">
        <v>70</v>
      </c>
      <c r="X94" s="17"/>
      <c r="Y94" s="13">
        <v>0</v>
      </c>
      <c r="Z94" s="13">
        <v>0</v>
      </c>
      <c r="AA94" s="13">
        <v>23</v>
      </c>
      <c r="AB94" s="14">
        <v>22</v>
      </c>
      <c r="AC94" s="9"/>
      <c r="AD94" s="16"/>
      <c r="AE94" s="10"/>
      <c r="AF94" s="10"/>
      <c r="AG94" s="10"/>
      <c r="AH94" s="11"/>
      <c r="AI94" s="12"/>
      <c r="AJ94" s="17"/>
      <c r="AK94" s="13"/>
      <c r="AL94" s="13"/>
      <c r="AM94" s="13"/>
      <c r="AN94" s="14"/>
      <c r="AO94" s="9"/>
      <c r="AP94" s="16"/>
      <c r="AQ94" s="10"/>
      <c r="AR94" s="10"/>
      <c r="AS94" s="10"/>
      <c r="AT94" s="11"/>
      <c r="AU94" s="12"/>
      <c r="AV94" s="17"/>
      <c r="AW94" s="13"/>
      <c r="AX94" s="13"/>
      <c r="AY94" s="13"/>
      <c r="AZ94" s="14"/>
      <c r="BA94" s="9"/>
      <c r="BB94" s="16"/>
      <c r="BC94" s="10"/>
      <c r="BD94" s="10"/>
      <c r="BE94" s="10"/>
      <c r="BF94" s="11"/>
      <c r="BG94" s="12"/>
      <c r="BH94" s="17"/>
      <c r="BI94" s="13"/>
      <c r="BJ94" s="13"/>
      <c r="BK94" s="13"/>
      <c r="BL94" s="14"/>
      <c r="BM94" s="8">
        <f t="shared" si="18"/>
        <v>0</v>
      </c>
      <c r="BN94" s="8">
        <f t="shared" si="19"/>
        <v>12</v>
      </c>
      <c r="BO94" s="8">
        <f t="shared" si="20"/>
        <v>36</v>
      </c>
      <c r="BP94" s="8">
        <f t="shared" si="21"/>
        <v>22</v>
      </c>
      <c r="BQ94" s="8">
        <f t="shared" si="22"/>
        <v>36</v>
      </c>
      <c r="BR94" s="8">
        <f t="shared" si="23"/>
        <v>0</v>
      </c>
      <c r="BS94" s="15">
        <f t="shared" si="24"/>
        <v>13.281365592438149</v>
      </c>
      <c r="BT94" s="15" t="str">
        <f t="shared" si="25"/>
        <v>OK - No Upgrade</v>
      </c>
      <c r="BU94" s="15" t="str">
        <f t="shared" si="26"/>
        <v>Need to Balance</v>
      </c>
    </row>
    <row r="95" spans="1:73" ht="15.75" customHeight="1" x14ac:dyDescent="0.25">
      <c r="A95" s="8" t="s">
        <v>1459</v>
      </c>
      <c r="B95" s="8" t="s">
        <v>2205</v>
      </c>
      <c r="C95" s="8" t="s">
        <v>2296</v>
      </c>
      <c r="D95" s="8" t="s">
        <v>2460</v>
      </c>
      <c r="E95" s="8" t="s">
        <v>2461</v>
      </c>
      <c r="F95" s="8" t="s">
        <v>43</v>
      </c>
      <c r="G95" s="8"/>
      <c r="H95" s="8">
        <v>100</v>
      </c>
      <c r="I95" s="8" t="s">
        <v>2462</v>
      </c>
      <c r="J95" s="8">
        <v>1</v>
      </c>
      <c r="K95" s="8">
        <v>243</v>
      </c>
      <c r="L95" s="8">
        <v>244</v>
      </c>
      <c r="M95" s="8">
        <v>244</v>
      </c>
      <c r="N95" s="8">
        <v>426</v>
      </c>
      <c r="O95" s="8">
        <v>424</v>
      </c>
      <c r="P95" s="8">
        <v>423</v>
      </c>
      <c r="Q95" s="9" t="s">
        <v>46</v>
      </c>
      <c r="R95" s="16"/>
      <c r="S95" s="10">
        <v>0</v>
      </c>
      <c r="T95" s="10">
        <v>0</v>
      </c>
      <c r="U95" s="10">
        <v>0</v>
      </c>
      <c r="V95" s="11">
        <v>0</v>
      </c>
      <c r="W95" s="12"/>
      <c r="X95" s="17"/>
      <c r="Y95" s="13"/>
      <c r="Z95" s="13"/>
      <c r="AA95" s="13"/>
      <c r="AB95" s="14"/>
      <c r="AC95" s="9"/>
      <c r="AD95" s="16"/>
      <c r="AE95" s="10"/>
      <c r="AF95" s="10"/>
      <c r="AG95" s="10"/>
      <c r="AH95" s="11"/>
      <c r="AI95" s="12"/>
      <c r="AJ95" s="17"/>
      <c r="AK95" s="13"/>
      <c r="AL95" s="13"/>
      <c r="AM95" s="13"/>
      <c r="AN95" s="14"/>
      <c r="AO95" s="9"/>
      <c r="AP95" s="16"/>
      <c r="AQ95" s="10"/>
      <c r="AR95" s="10"/>
      <c r="AS95" s="10"/>
      <c r="AT95" s="11"/>
      <c r="AU95" s="12"/>
      <c r="AV95" s="17"/>
      <c r="AW95" s="13"/>
      <c r="AX95" s="13"/>
      <c r="AY95" s="13"/>
      <c r="AZ95" s="14"/>
      <c r="BA95" s="9"/>
      <c r="BB95" s="16"/>
      <c r="BC95" s="10"/>
      <c r="BD95" s="10"/>
      <c r="BE95" s="10"/>
      <c r="BF95" s="11"/>
      <c r="BG95" s="12"/>
      <c r="BH95" s="17"/>
      <c r="BI95" s="13"/>
      <c r="BJ95" s="13"/>
      <c r="BK95" s="13"/>
      <c r="BL95" s="14"/>
      <c r="BM95" s="8">
        <f t="shared" si="18"/>
        <v>0</v>
      </c>
      <c r="BN95" s="8">
        <f t="shared" si="19"/>
        <v>0</v>
      </c>
      <c r="BO95" s="8">
        <f t="shared" si="20"/>
        <v>0</v>
      </c>
      <c r="BP95" s="8">
        <f t="shared" si="21"/>
        <v>0</v>
      </c>
      <c r="BQ95" s="8">
        <f t="shared" si="22"/>
        <v>0</v>
      </c>
      <c r="BR95" s="8">
        <f t="shared" si="23"/>
        <v>0</v>
      </c>
      <c r="BS95" s="15">
        <f t="shared" si="24"/>
        <v>0</v>
      </c>
      <c r="BT95" s="15" t="str">
        <f t="shared" si="25"/>
        <v>OK - No Upgrade</v>
      </c>
      <c r="BU95" s="15" t="str">
        <f t="shared" si="26"/>
        <v>OK - Balanced</v>
      </c>
    </row>
    <row r="96" spans="1:73" ht="15.75" customHeight="1" x14ac:dyDescent="0.25">
      <c r="A96" s="8" t="s">
        <v>1459</v>
      </c>
      <c r="B96" s="8" t="s">
        <v>2205</v>
      </c>
      <c r="C96" s="8" t="s">
        <v>2296</v>
      </c>
      <c r="D96" s="8" t="s">
        <v>2463</v>
      </c>
      <c r="E96" s="8" t="s">
        <v>2464</v>
      </c>
      <c r="F96" s="8" t="s">
        <v>43</v>
      </c>
      <c r="G96" s="8"/>
      <c r="H96" s="8">
        <v>315</v>
      </c>
      <c r="I96" s="8" t="s">
        <v>2465</v>
      </c>
      <c r="J96" s="8">
        <v>1</v>
      </c>
      <c r="K96" s="8">
        <v>243</v>
      </c>
      <c r="L96" s="8">
        <v>244</v>
      </c>
      <c r="M96" s="8">
        <v>244</v>
      </c>
      <c r="N96" s="8">
        <v>421</v>
      </c>
      <c r="O96" s="8">
        <v>422</v>
      </c>
      <c r="P96" s="8">
        <v>424</v>
      </c>
      <c r="Q96" s="9" t="s">
        <v>47</v>
      </c>
      <c r="R96" s="16"/>
      <c r="S96" s="10">
        <v>29</v>
      </c>
      <c r="T96" s="10">
        <v>37</v>
      </c>
      <c r="U96" s="10">
        <v>13</v>
      </c>
      <c r="V96" s="11">
        <v>19</v>
      </c>
      <c r="W96" s="12"/>
      <c r="X96" s="17"/>
      <c r="Y96" s="13">
        <v>45</v>
      </c>
      <c r="Z96" s="13">
        <v>57</v>
      </c>
      <c r="AA96" s="13">
        <v>59</v>
      </c>
      <c r="AB96" s="14">
        <v>13</v>
      </c>
      <c r="AC96" s="9"/>
      <c r="AD96" s="16"/>
      <c r="AE96" s="10"/>
      <c r="AF96" s="10"/>
      <c r="AG96" s="10"/>
      <c r="AH96" s="11"/>
      <c r="AI96" s="12"/>
      <c r="AJ96" s="17"/>
      <c r="AK96" s="13"/>
      <c r="AL96" s="13"/>
      <c r="AM96" s="13"/>
      <c r="AN96" s="14"/>
      <c r="AO96" s="9"/>
      <c r="AP96" s="16"/>
      <c r="AQ96" s="10"/>
      <c r="AR96" s="10"/>
      <c r="AS96" s="10"/>
      <c r="AT96" s="11"/>
      <c r="AU96" s="12"/>
      <c r="AV96" s="17"/>
      <c r="AW96" s="13"/>
      <c r="AX96" s="13"/>
      <c r="AY96" s="13"/>
      <c r="AZ96" s="14"/>
      <c r="BA96" s="9"/>
      <c r="BB96" s="16"/>
      <c r="BC96" s="10"/>
      <c r="BD96" s="10"/>
      <c r="BE96" s="10"/>
      <c r="BF96" s="11"/>
      <c r="BG96" s="12"/>
      <c r="BH96" s="17"/>
      <c r="BI96" s="13"/>
      <c r="BJ96" s="13"/>
      <c r="BK96" s="13"/>
      <c r="BL96" s="14"/>
      <c r="BM96" s="8">
        <f t="shared" si="18"/>
        <v>74</v>
      </c>
      <c r="BN96" s="8">
        <f t="shared" si="19"/>
        <v>94</v>
      </c>
      <c r="BO96" s="8">
        <f t="shared" si="20"/>
        <v>72</v>
      </c>
      <c r="BP96" s="8">
        <f t="shared" si="21"/>
        <v>32</v>
      </c>
      <c r="BQ96" s="8">
        <f t="shared" si="22"/>
        <v>94</v>
      </c>
      <c r="BR96" s="8">
        <f t="shared" si="23"/>
        <v>72</v>
      </c>
      <c r="BS96" s="15">
        <f t="shared" si="24"/>
        <v>21.760056717057381</v>
      </c>
      <c r="BT96" s="15" t="str">
        <f t="shared" si="25"/>
        <v>OK - No Upgrade</v>
      </c>
      <c r="BU96" s="15" t="str">
        <f t="shared" si="26"/>
        <v>Need to Balance</v>
      </c>
    </row>
    <row r="97" spans="1:73" ht="15.75" customHeight="1" x14ac:dyDescent="0.25">
      <c r="A97" s="8" t="s">
        <v>1459</v>
      </c>
      <c r="B97" s="8" t="s">
        <v>2205</v>
      </c>
      <c r="C97" s="8" t="s">
        <v>2296</v>
      </c>
      <c r="D97" s="8" t="s">
        <v>2463</v>
      </c>
      <c r="E97" s="8" t="s">
        <v>2466</v>
      </c>
      <c r="F97" s="8" t="s">
        <v>43</v>
      </c>
      <c r="G97" s="8"/>
      <c r="H97" s="8">
        <v>100</v>
      </c>
      <c r="I97" s="8" t="s">
        <v>2467</v>
      </c>
      <c r="J97" s="8">
        <v>1</v>
      </c>
      <c r="K97" s="8">
        <v>243</v>
      </c>
      <c r="L97" s="8">
        <v>244</v>
      </c>
      <c r="M97" s="8">
        <v>243</v>
      </c>
      <c r="N97" s="8">
        <v>422</v>
      </c>
      <c r="O97" s="8">
        <v>426</v>
      </c>
      <c r="P97" s="8">
        <v>423</v>
      </c>
      <c r="Q97" s="9" t="s">
        <v>47</v>
      </c>
      <c r="R97" s="16"/>
      <c r="S97" s="10">
        <v>10</v>
      </c>
      <c r="T97" s="10">
        <v>0</v>
      </c>
      <c r="U97" s="10">
        <v>29</v>
      </c>
      <c r="V97" s="11">
        <v>22</v>
      </c>
      <c r="W97" s="12"/>
      <c r="X97" s="17"/>
      <c r="Y97" s="13"/>
      <c r="Z97" s="13"/>
      <c r="AA97" s="13"/>
      <c r="AB97" s="14"/>
      <c r="AC97" s="9"/>
      <c r="AD97" s="16"/>
      <c r="AE97" s="10"/>
      <c r="AF97" s="10"/>
      <c r="AG97" s="10"/>
      <c r="AH97" s="11"/>
      <c r="AI97" s="12"/>
      <c r="AJ97" s="17"/>
      <c r="AK97" s="13"/>
      <c r="AL97" s="13"/>
      <c r="AM97" s="13"/>
      <c r="AN97" s="14"/>
      <c r="AO97" s="9"/>
      <c r="AP97" s="16"/>
      <c r="AQ97" s="10"/>
      <c r="AR97" s="10"/>
      <c r="AS97" s="10"/>
      <c r="AT97" s="11"/>
      <c r="AU97" s="12"/>
      <c r="AV97" s="17"/>
      <c r="AW97" s="13"/>
      <c r="AX97" s="13"/>
      <c r="AY97" s="13"/>
      <c r="AZ97" s="14"/>
      <c r="BA97" s="9"/>
      <c r="BB97" s="16"/>
      <c r="BC97" s="10"/>
      <c r="BD97" s="10"/>
      <c r="BE97" s="10"/>
      <c r="BF97" s="11"/>
      <c r="BG97" s="12"/>
      <c r="BH97" s="17"/>
      <c r="BI97" s="13"/>
      <c r="BJ97" s="13"/>
      <c r="BK97" s="13"/>
      <c r="BL97" s="14"/>
      <c r="BM97" s="8">
        <f t="shared" si="18"/>
        <v>10</v>
      </c>
      <c r="BN97" s="8">
        <f t="shared" si="19"/>
        <v>0</v>
      </c>
      <c r="BO97" s="8">
        <f t="shared" si="20"/>
        <v>29</v>
      </c>
      <c r="BP97" s="8">
        <f t="shared" si="21"/>
        <v>22</v>
      </c>
      <c r="BQ97" s="8">
        <f t="shared" si="22"/>
        <v>29</v>
      </c>
      <c r="BR97" s="8">
        <f t="shared" si="23"/>
        <v>0</v>
      </c>
      <c r="BS97" s="15">
        <f t="shared" si="24"/>
        <v>21.19683778302792</v>
      </c>
      <c r="BT97" s="15" t="str">
        <f t="shared" si="25"/>
        <v>OK - No Upgrade</v>
      </c>
      <c r="BU97" s="15" t="str">
        <f t="shared" si="26"/>
        <v>Need to Balance</v>
      </c>
    </row>
    <row r="98" spans="1:73" ht="15.75" customHeight="1" x14ac:dyDescent="0.25">
      <c r="A98" s="8" t="s">
        <v>1459</v>
      </c>
      <c r="B98" s="8" t="s">
        <v>2205</v>
      </c>
      <c r="C98" s="8" t="s">
        <v>2296</v>
      </c>
      <c r="D98" s="8" t="s">
        <v>2463</v>
      </c>
      <c r="E98" s="8" t="s">
        <v>2468</v>
      </c>
      <c r="F98" s="8" t="s">
        <v>43</v>
      </c>
      <c r="G98" s="8"/>
      <c r="H98" s="8">
        <v>50</v>
      </c>
      <c r="I98" s="8" t="s">
        <v>2469</v>
      </c>
      <c r="J98" s="8">
        <v>1</v>
      </c>
      <c r="K98" s="8">
        <v>238</v>
      </c>
      <c r="L98" s="8">
        <v>242</v>
      </c>
      <c r="M98" s="8">
        <v>249</v>
      </c>
      <c r="N98" s="8">
        <v>428</v>
      </c>
      <c r="O98" s="8">
        <v>430</v>
      </c>
      <c r="P98" s="8">
        <v>429</v>
      </c>
      <c r="Q98" s="9" t="s">
        <v>46</v>
      </c>
      <c r="R98" s="16"/>
      <c r="S98" s="10">
        <v>0</v>
      </c>
      <c r="T98" s="10">
        <v>0</v>
      </c>
      <c r="U98" s="10">
        <v>0</v>
      </c>
      <c r="V98" s="11">
        <v>0</v>
      </c>
      <c r="W98" s="12"/>
      <c r="X98" s="17"/>
      <c r="Y98" s="13"/>
      <c r="Z98" s="13"/>
      <c r="AA98" s="13"/>
      <c r="AB98" s="14"/>
      <c r="AC98" s="9"/>
      <c r="AD98" s="16"/>
      <c r="AE98" s="10"/>
      <c r="AF98" s="10"/>
      <c r="AG98" s="10"/>
      <c r="AH98" s="11"/>
      <c r="AI98" s="12"/>
      <c r="AJ98" s="17"/>
      <c r="AK98" s="13"/>
      <c r="AL98" s="13"/>
      <c r="AM98" s="13"/>
      <c r="AN98" s="14"/>
      <c r="AO98" s="9"/>
      <c r="AP98" s="16"/>
      <c r="AQ98" s="10"/>
      <c r="AR98" s="10"/>
      <c r="AS98" s="10"/>
      <c r="AT98" s="11"/>
      <c r="AU98" s="12"/>
      <c r="AV98" s="17"/>
      <c r="AW98" s="13"/>
      <c r="AX98" s="13"/>
      <c r="AY98" s="13"/>
      <c r="AZ98" s="14"/>
      <c r="BA98" s="9"/>
      <c r="BB98" s="16"/>
      <c r="BC98" s="10"/>
      <c r="BD98" s="10"/>
      <c r="BE98" s="10"/>
      <c r="BF98" s="11"/>
      <c r="BG98" s="12"/>
      <c r="BH98" s="17"/>
      <c r="BI98" s="13"/>
      <c r="BJ98" s="13"/>
      <c r="BK98" s="13"/>
      <c r="BL98" s="14"/>
      <c r="BM98" s="8">
        <f t="shared" si="18"/>
        <v>0</v>
      </c>
      <c r="BN98" s="8">
        <f t="shared" si="19"/>
        <v>0</v>
      </c>
      <c r="BO98" s="8">
        <f t="shared" si="20"/>
        <v>0</v>
      </c>
      <c r="BP98" s="8">
        <f t="shared" si="21"/>
        <v>0</v>
      </c>
      <c r="BQ98" s="8">
        <f t="shared" si="22"/>
        <v>0</v>
      </c>
      <c r="BR98" s="8">
        <f t="shared" si="23"/>
        <v>0</v>
      </c>
      <c r="BS98" s="15">
        <f t="shared" si="24"/>
        <v>0</v>
      </c>
      <c r="BT98" s="15" t="str">
        <f t="shared" si="25"/>
        <v>OK - No Upgrade</v>
      </c>
      <c r="BU98" s="15" t="str">
        <f t="shared" si="26"/>
        <v>OK - Balanced</v>
      </c>
    </row>
    <row r="99" spans="1:73" ht="15.75" customHeight="1" x14ac:dyDescent="0.25">
      <c r="A99" s="8" t="s">
        <v>1459</v>
      </c>
      <c r="B99" s="8" t="s">
        <v>2205</v>
      </c>
      <c r="C99" s="8" t="s">
        <v>2296</v>
      </c>
      <c r="D99" s="8" t="s">
        <v>2470</v>
      </c>
      <c r="E99" s="8" t="s">
        <v>2471</v>
      </c>
      <c r="F99" s="8" t="s">
        <v>43</v>
      </c>
      <c r="G99" s="8"/>
      <c r="H99" s="8">
        <v>500</v>
      </c>
      <c r="I99" s="8" t="s">
        <v>2472</v>
      </c>
      <c r="J99" s="8">
        <v>1</v>
      </c>
      <c r="K99" s="8">
        <v>244</v>
      </c>
      <c r="L99" s="8">
        <v>245</v>
      </c>
      <c r="M99" s="8">
        <v>245</v>
      </c>
      <c r="N99" s="8">
        <v>423</v>
      </c>
      <c r="O99" s="8">
        <v>424</v>
      </c>
      <c r="P99" s="8">
        <v>424</v>
      </c>
      <c r="Q99" s="9" t="s">
        <v>47</v>
      </c>
      <c r="R99" s="16"/>
      <c r="S99" s="10">
        <v>63</v>
      </c>
      <c r="T99" s="10">
        <v>17</v>
      </c>
      <c r="U99" s="10">
        <v>63</v>
      </c>
      <c r="V99" s="11">
        <v>46</v>
      </c>
      <c r="W99" s="12" t="s">
        <v>47</v>
      </c>
      <c r="X99" s="17"/>
      <c r="Y99" s="13">
        <v>45</v>
      </c>
      <c r="Z99" s="13">
        <v>43</v>
      </c>
      <c r="AA99" s="13">
        <v>12</v>
      </c>
      <c r="AB99" s="14">
        <v>37</v>
      </c>
      <c r="AC99" s="9"/>
      <c r="AD99" s="16"/>
      <c r="AE99" s="10"/>
      <c r="AF99" s="10"/>
      <c r="AG99" s="10"/>
      <c r="AH99" s="11"/>
      <c r="AI99" s="12"/>
      <c r="AJ99" s="17"/>
      <c r="AK99" s="13"/>
      <c r="AL99" s="13"/>
      <c r="AM99" s="13"/>
      <c r="AN99" s="14"/>
      <c r="AO99" s="9"/>
      <c r="AP99" s="16"/>
      <c r="AQ99" s="10"/>
      <c r="AR99" s="10"/>
      <c r="AS99" s="10"/>
      <c r="AT99" s="11"/>
      <c r="AU99" s="12"/>
      <c r="AV99" s="17"/>
      <c r="AW99" s="13"/>
      <c r="AX99" s="13"/>
      <c r="AY99" s="13"/>
      <c r="AZ99" s="14"/>
      <c r="BA99" s="9"/>
      <c r="BB99" s="16"/>
      <c r="BC99" s="10"/>
      <c r="BD99" s="10"/>
      <c r="BE99" s="10"/>
      <c r="BF99" s="11"/>
      <c r="BG99" s="12"/>
      <c r="BH99" s="17"/>
      <c r="BI99" s="13"/>
      <c r="BJ99" s="13"/>
      <c r="BK99" s="13"/>
      <c r="BL99" s="14"/>
      <c r="BM99" s="8">
        <f t="shared" si="18"/>
        <v>108</v>
      </c>
      <c r="BN99" s="8">
        <f t="shared" si="19"/>
        <v>60</v>
      </c>
      <c r="BO99" s="8">
        <f t="shared" si="20"/>
        <v>75</v>
      </c>
      <c r="BP99" s="8">
        <f t="shared" si="21"/>
        <v>83</v>
      </c>
      <c r="BQ99" s="8">
        <f t="shared" si="22"/>
        <v>108</v>
      </c>
      <c r="BR99" s="8">
        <f t="shared" si="23"/>
        <v>60</v>
      </c>
      <c r="BS99" s="15">
        <f t="shared" si="24"/>
        <v>15.825401818595317</v>
      </c>
      <c r="BT99" s="15" t="str">
        <f t="shared" si="25"/>
        <v>OK - No Upgrade</v>
      </c>
      <c r="BU99" s="15" t="str">
        <f t="shared" si="26"/>
        <v>Need to Balance</v>
      </c>
    </row>
    <row r="100" spans="1:73" ht="15.75" customHeight="1" x14ac:dyDescent="0.25">
      <c r="A100" s="8" t="s">
        <v>1459</v>
      </c>
      <c r="B100" s="8" t="s">
        <v>2205</v>
      </c>
      <c r="C100" s="8" t="s">
        <v>2296</v>
      </c>
      <c r="D100" s="8" t="s">
        <v>2470</v>
      </c>
      <c r="E100" s="8" t="s">
        <v>2473</v>
      </c>
      <c r="F100" s="8" t="s">
        <v>43</v>
      </c>
      <c r="G100" s="8"/>
      <c r="H100" s="8">
        <v>315</v>
      </c>
      <c r="I100" s="8" t="s">
        <v>2474</v>
      </c>
      <c r="J100" s="8">
        <v>1</v>
      </c>
      <c r="K100" s="8">
        <v>247</v>
      </c>
      <c r="L100" s="8">
        <v>245</v>
      </c>
      <c r="M100" s="8">
        <v>246</v>
      </c>
      <c r="N100" s="8">
        <v>426</v>
      </c>
      <c r="O100" s="8">
        <v>428</v>
      </c>
      <c r="P100" s="8">
        <v>426</v>
      </c>
      <c r="Q100" s="9" t="s">
        <v>46</v>
      </c>
      <c r="R100" s="16"/>
      <c r="S100" s="10">
        <v>0</v>
      </c>
      <c r="T100" s="10">
        <v>0</v>
      </c>
      <c r="U100" s="10">
        <v>0</v>
      </c>
      <c r="V100" s="11">
        <v>0</v>
      </c>
      <c r="W100" s="12" t="s">
        <v>132</v>
      </c>
      <c r="X100" s="17"/>
      <c r="Y100" s="13">
        <v>0</v>
      </c>
      <c r="Z100" s="13">
        <v>0</v>
      </c>
      <c r="AA100" s="13">
        <v>0</v>
      </c>
      <c r="AB100" s="14">
        <v>0</v>
      </c>
      <c r="AC100" s="9"/>
      <c r="AD100" s="16"/>
      <c r="AE100" s="10"/>
      <c r="AF100" s="10"/>
      <c r="AG100" s="10"/>
      <c r="AH100" s="11"/>
      <c r="AI100" s="12"/>
      <c r="AJ100" s="17"/>
      <c r="AK100" s="13"/>
      <c r="AL100" s="13"/>
      <c r="AM100" s="13"/>
      <c r="AN100" s="14"/>
      <c r="AO100" s="9"/>
      <c r="AP100" s="16"/>
      <c r="AQ100" s="10"/>
      <c r="AR100" s="10"/>
      <c r="AS100" s="10"/>
      <c r="AT100" s="11"/>
      <c r="AU100" s="12"/>
      <c r="AV100" s="17"/>
      <c r="AW100" s="13"/>
      <c r="AX100" s="13"/>
      <c r="AY100" s="13"/>
      <c r="AZ100" s="14"/>
      <c r="BA100" s="9"/>
      <c r="BB100" s="16"/>
      <c r="BC100" s="10"/>
      <c r="BD100" s="10"/>
      <c r="BE100" s="10"/>
      <c r="BF100" s="11"/>
      <c r="BG100" s="12"/>
      <c r="BH100" s="17"/>
      <c r="BI100" s="13"/>
      <c r="BJ100" s="13"/>
      <c r="BK100" s="13"/>
      <c r="BL100" s="14"/>
      <c r="BM100" s="8">
        <f t="shared" ref="BM100:BM126" si="27">SUM(S100,Y100,AE100,AK100,AQ100,AW100,BC100,BI100)</f>
        <v>0</v>
      </c>
      <c r="BN100" s="8">
        <f t="shared" ref="BN100:BN126" si="28">SUM(T100,Z100,AF100,AL100,AR100,AX100,BD100,BJ100)</f>
        <v>0</v>
      </c>
      <c r="BO100" s="8">
        <f t="shared" ref="BO100:BO126" si="29">SUM(U100,AA100,AG100,AM100,AS100,AY100,BE100,BK100)</f>
        <v>0</v>
      </c>
      <c r="BP100" s="8">
        <f t="shared" ref="BP100:BP126" si="30">SUM(V100,AB100,AH100,AN100,AT100,AZ100,BF100,BL100)</f>
        <v>0</v>
      </c>
      <c r="BQ100" s="8">
        <f t="shared" ref="BQ100:BQ126" si="31">MAX(BM100:BO100)</f>
        <v>0</v>
      </c>
      <c r="BR100" s="8">
        <f t="shared" ref="BR100:BR126" si="32">MIN(BM100:BO100)</f>
        <v>0</v>
      </c>
      <c r="BS100" s="15">
        <f t="shared" ref="BS100:BS126" si="33">IF(H100&gt;0,(BQ100*SQRT(3)*IF(N100&gt;0,N100,IF(O100&gt;0,O100,IF(P100&gt;0,P100,415)))/(H100*1000))*100,0)</f>
        <v>0</v>
      </c>
      <c r="BT100" s="15" t="str">
        <f t="shared" ref="BT100:BT131" si="34">IF(BS100&gt;70,"Upgrade","OK - No Upgrade")</f>
        <v>OK - No Upgrade</v>
      </c>
      <c r="BU100" s="15" t="str">
        <f t="shared" ref="BU100:BU126" si="35">IF(IF(AVERAGE(BM100:BO100)&gt;0,((BQ100-AVERAGE(BM100:BO100))/AVERAGE(BM100:BO100))*100,0)&gt;10,"Need to Balance","OK - Balanced")</f>
        <v>OK - Balanced</v>
      </c>
    </row>
    <row r="101" spans="1:73" ht="15.75" customHeight="1" x14ac:dyDescent="0.25">
      <c r="A101" s="8" t="s">
        <v>1459</v>
      </c>
      <c r="B101" s="8" t="s">
        <v>2205</v>
      </c>
      <c r="C101" s="8" t="s">
        <v>2296</v>
      </c>
      <c r="D101" s="8" t="s">
        <v>2470</v>
      </c>
      <c r="E101" s="8" t="s">
        <v>2475</v>
      </c>
      <c r="F101" s="8" t="s">
        <v>43</v>
      </c>
      <c r="G101" s="8"/>
      <c r="H101" s="8">
        <v>100</v>
      </c>
      <c r="I101" s="8" t="s">
        <v>2476</v>
      </c>
      <c r="J101" s="8">
        <v>1</v>
      </c>
      <c r="K101" s="8">
        <v>247</v>
      </c>
      <c r="L101" s="8">
        <v>244</v>
      </c>
      <c r="M101" s="8">
        <v>243</v>
      </c>
      <c r="N101" s="8">
        <v>428</v>
      </c>
      <c r="O101" s="8">
        <v>425</v>
      </c>
      <c r="P101" s="8">
        <v>425</v>
      </c>
      <c r="Q101" s="9" t="s">
        <v>46</v>
      </c>
      <c r="R101" s="16"/>
      <c r="S101" s="10">
        <v>0</v>
      </c>
      <c r="T101" s="10">
        <v>13</v>
      </c>
      <c r="U101" s="10">
        <v>44</v>
      </c>
      <c r="V101" s="11">
        <v>0</v>
      </c>
      <c r="W101" s="12"/>
      <c r="X101" s="17"/>
      <c r="Y101" s="13"/>
      <c r="Z101" s="13"/>
      <c r="AA101" s="13"/>
      <c r="AB101" s="14"/>
      <c r="AC101" s="9"/>
      <c r="AD101" s="16"/>
      <c r="AE101" s="10"/>
      <c r="AF101" s="10"/>
      <c r="AG101" s="10"/>
      <c r="AH101" s="11"/>
      <c r="AI101" s="12"/>
      <c r="AJ101" s="17"/>
      <c r="AK101" s="13"/>
      <c r="AL101" s="13"/>
      <c r="AM101" s="13"/>
      <c r="AN101" s="14"/>
      <c r="AO101" s="9"/>
      <c r="AP101" s="16"/>
      <c r="AQ101" s="10"/>
      <c r="AR101" s="10"/>
      <c r="AS101" s="10"/>
      <c r="AT101" s="11"/>
      <c r="AU101" s="12"/>
      <c r="AV101" s="17"/>
      <c r="AW101" s="13"/>
      <c r="AX101" s="13"/>
      <c r="AY101" s="13"/>
      <c r="AZ101" s="14"/>
      <c r="BA101" s="9"/>
      <c r="BB101" s="16"/>
      <c r="BC101" s="10"/>
      <c r="BD101" s="10"/>
      <c r="BE101" s="10"/>
      <c r="BF101" s="11"/>
      <c r="BG101" s="12"/>
      <c r="BH101" s="17"/>
      <c r="BI101" s="13"/>
      <c r="BJ101" s="13"/>
      <c r="BK101" s="13"/>
      <c r="BL101" s="14"/>
      <c r="BM101" s="8">
        <f t="shared" si="27"/>
        <v>0</v>
      </c>
      <c r="BN101" s="8">
        <f t="shared" si="28"/>
        <v>13</v>
      </c>
      <c r="BO101" s="8">
        <f t="shared" si="29"/>
        <v>44</v>
      </c>
      <c r="BP101" s="8">
        <f t="shared" si="30"/>
        <v>0</v>
      </c>
      <c r="BQ101" s="8">
        <f t="shared" si="31"/>
        <v>44</v>
      </c>
      <c r="BR101" s="8">
        <f t="shared" si="32"/>
        <v>0</v>
      </c>
      <c r="BS101" s="15">
        <f t="shared" si="33"/>
        <v>32.617980808137098</v>
      </c>
      <c r="BT101" s="15" t="str">
        <f t="shared" si="34"/>
        <v>OK - No Upgrade</v>
      </c>
      <c r="BU101" s="15" t="str">
        <f t="shared" si="35"/>
        <v>Need to Balance</v>
      </c>
    </row>
    <row r="102" spans="1:73" ht="15.75" customHeight="1" x14ac:dyDescent="0.25">
      <c r="A102" s="8" t="s">
        <v>1459</v>
      </c>
      <c r="B102" s="8" t="s">
        <v>2205</v>
      </c>
      <c r="C102" s="8" t="s">
        <v>2296</v>
      </c>
      <c r="D102" s="8" t="s">
        <v>2470</v>
      </c>
      <c r="E102" s="8" t="s">
        <v>2477</v>
      </c>
      <c r="F102" s="8" t="s">
        <v>43</v>
      </c>
      <c r="G102" s="8"/>
      <c r="H102" s="8">
        <v>315</v>
      </c>
      <c r="I102" s="8" t="s">
        <v>2478</v>
      </c>
      <c r="J102" s="8">
        <v>1</v>
      </c>
      <c r="K102" s="8">
        <v>245</v>
      </c>
      <c r="L102" s="8">
        <v>245</v>
      </c>
      <c r="M102" s="8">
        <v>244</v>
      </c>
      <c r="N102" s="8">
        <v>425</v>
      </c>
      <c r="O102" s="8">
        <v>424</v>
      </c>
      <c r="P102" s="8">
        <v>422</v>
      </c>
      <c r="Q102" s="9" t="s">
        <v>46</v>
      </c>
      <c r="R102" s="16"/>
      <c r="S102" s="10">
        <v>89</v>
      </c>
      <c r="T102" s="10">
        <v>36</v>
      </c>
      <c r="U102" s="10">
        <v>45</v>
      </c>
      <c r="V102" s="11">
        <v>32</v>
      </c>
      <c r="W102" s="12" t="s">
        <v>47</v>
      </c>
      <c r="X102" s="17"/>
      <c r="Y102" s="13">
        <v>56</v>
      </c>
      <c r="Z102" s="13">
        <v>120</v>
      </c>
      <c r="AA102" s="13">
        <v>91</v>
      </c>
      <c r="AB102" s="14">
        <v>55</v>
      </c>
      <c r="AC102" s="9"/>
      <c r="AD102" s="16"/>
      <c r="AE102" s="10"/>
      <c r="AF102" s="10"/>
      <c r="AG102" s="10"/>
      <c r="AH102" s="11"/>
      <c r="AI102" s="12"/>
      <c r="AJ102" s="17"/>
      <c r="AK102" s="13"/>
      <c r="AL102" s="13"/>
      <c r="AM102" s="13"/>
      <c r="AN102" s="14"/>
      <c r="AO102" s="9"/>
      <c r="AP102" s="16"/>
      <c r="AQ102" s="10"/>
      <c r="AR102" s="10"/>
      <c r="AS102" s="10"/>
      <c r="AT102" s="11"/>
      <c r="AU102" s="12"/>
      <c r="AV102" s="17"/>
      <c r="AW102" s="13"/>
      <c r="AX102" s="13"/>
      <c r="AY102" s="13"/>
      <c r="AZ102" s="14"/>
      <c r="BA102" s="9"/>
      <c r="BB102" s="16"/>
      <c r="BC102" s="10"/>
      <c r="BD102" s="10"/>
      <c r="BE102" s="10"/>
      <c r="BF102" s="11"/>
      <c r="BG102" s="12"/>
      <c r="BH102" s="17"/>
      <c r="BI102" s="13"/>
      <c r="BJ102" s="13"/>
      <c r="BK102" s="13"/>
      <c r="BL102" s="14"/>
      <c r="BM102" s="8">
        <f t="shared" si="27"/>
        <v>145</v>
      </c>
      <c r="BN102" s="8">
        <f t="shared" si="28"/>
        <v>156</v>
      </c>
      <c r="BO102" s="8">
        <f t="shared" si="29"/>
        <v>136</v>
      </c>
      <c r="BP102" s="8">
        <f t="shared" si="30"/>
        <v>87</v>
      </c>
      <c r="BQ102" s="8">
        <f t="shared" si="31"/>
        <v>156</v>
      </c>
      <c r="BR102" s="8">
        <f t="shared" si="32"/>
        <v>136</v>
      </c>
      <c r="BS102" s="15">
        <f t="shared" si="33"/>
        <v>36.455545568830658</v>
      </c>
      <c r="BT102" s="15" t="str">
        <f t="shared" si="34"/>
        <v>OK - No Upgrade</v>
      </c>
      <c r="BU102" s="15" t="str">
        <f t="shared" si="35"/>
        <v>OK - Balanced</v>
      </c>
    </row>
    <row r="103" spans="1:73" ht="15.75" customHeight="1" x14ac:dyDescent="0.25">
      <c r="A103" s="8" t="s">
        <v>1459</v>
      </c>
      <c r="B103" s="8" t="s">
        <v>2205</v>
      </c>
      <c r="C103" s="8" t="s">
        <v>2296</v>
      </c>
      <c r="D103" s="8" t="s">
        <v>2479</v>
      </c>
      <c r="E103" s="8" t="s">
        <v>2480</v>
      </c>
      <c r="F103" s="8" t="s">
        <v>43</v>
      </c>
      <c r="G103" s="8"/>
      <c r="H103" s="8">
        <v>315</v>
      </c>
      <c r="I103" s="8" t="s">
        <v>2481</v>
      </c>
      <c r="J103" s="8">
        <v>1</v>
      </c>
      <c r="K103" s="8">
        <v>245</v>
      </c>
      <c r="L103" s="8">
        <v>247</v>
      </c>
      <c r="M103" s="8">
        <v>246</v>
      </c>
      <c r="N103" s="8">
        <v>426</v>
      </c>
      <c r="O103" s="8">
        <v>427</v>
      </c>
      <c r="P103" s="8">
        <v>426</v>
      </c>
      <c r="Q103" s="9" t="s">
        <v>47</v>
      </c>
      <c r="R103" s="16"/>
      <c r="S103" s="10">
        <v>47</v>
      </c>
      <c r="T103" s="10">
        <v>26</v>
      </c>
      <c r="U103" s="10">
        <v>11</v>
      </c>
      <c r="V103" s="11">
        <v>32</v>
      </c>
      <c r="W103" s="12" t="s">
        <v>47</v>
      </c>
      <c r="X103" s="17"/>
      <c r="Y103" s="13">
        <v>12</v>
      </c>
      <c r="Z103" s="13">
        <v>33</v>
      </c>
      <c r="AA103" s="13">
        <v>11</v>
      </c>
      <c r="AB103" s="14">
        <v>0</v>
      </c>
      <c r="AC103" s="9"/>
      <c r="AD103" s="16"/>
      <c r="AE103" s="10"/>
      <c r="AF103" s="10"/>
      <c r="AG103" s="10"/>
      <c r="AH103" s="11"/>
      <c r="AI103" s="12"/>
      <c r="AJ103" s="17"/>
      <c r="AK103" s="13"/>
      <c r="AL103" s="13"/>
      <c r="AM103" s="13"/>
      <c r="AN103" s="14"/>
      <c r="AO103" s="9"/>
      <c r="AP103" s="16"/>
      <c r="AQ103" s="10"/>
      <c r="AR103" s="10"/>
      <c r="AS103" s="10"/>
      <c r="AT103" s="11"/>
      <c r="AU103" s="12"/>
      <c r="AV103" s="17"/>
      <c r="AW103" s="13"/>
      <c r="AX103" s="13"/>
      <c r="AY103" s="13"/>
      <c r="AZ103" s="14"/>
      <c r="BA103" s="9"/>
      <c r="BB103" s="16"/>
      <c r="BC103" s="10"/>
      <c r="BD103" s="10"/>
      <c r="BE103" s="10"/>
      <c r="BF103" s="11"/>
      <c r="BG103" s="12"/>
      <c r="BH103" s="17"/>
      <c r="BI103" s="13"/>
      <c r="BJ103" s="13"/>
      <c r="BK103" s="13"/>
      <c r="BL103" s="14"/>
      <c r="BM103" s="8">
        <f t="shared" si="27"/>
        <v>59</v>
      </c>
      <c r="BN103" s="8">
        <f t="shared" si="28"/>
        <v>59</v>
      </c>
      <c r="BO103" s="8">
        <f t="shared" si="29"/>
        <v>22</v>
      </c>
      <c r="BP103" s="8">
        <f t="shared" si="30"/>
        <v>32</v>
      </c>
      <c r="BQ103" s="8">
        <f t="shared" si="31"/>
        <v>59</v>
      </c>
      <c r="BR103" s="8">
        <f t="shared" si="32"/>
        <v>22</v>
      </c>
      <c r="BS103" s="15">
        <f t="shared" si="33"/>
        <v>13.820115872201958</v>
      </c>
      <c r="BT103" s="15" t="str">
        <f t="shared" si="34"/>
        <v>OK - No Upgrade</v>
      </c>
      <c r="BU103" s="15" t="str">
        <f t="shared" si="35"/>
        <v>Need to Balance</v>
      </c>
    </row>
    <row r="104" spans="1:73" ht="15.75" customHeight="1" x14ac:dyDescent="0.25">
      <c r="A104" s="8" t="s">
        <v>1459</v>
      </c>
      <c r="B104" s="8" t="s">
        <v>2205</v>
      </c>
      <c r="C104" s="8" t="s">
        <v>2296</v>
      </c>
      <c r="D104" s="8" t="s">
        <v>2479</v>
      </c>
      <c r="E104" s="8" t="s">
        <v>2482</v>
      </c>
      <c r="F104" s="8" t="s">
        <v>43</v>
      </c>
      <c r="G104" s="8"/>
      <c r="H104" s="8">
        <v>315</v>
      </c>
      <c r="I104" s="8" t="s">
        <v>2483</v>
      </c>
      <c r="J104" s="8">
        <v>1</v>
      </c>
      <c r="K104" s="8">
        <v>247</v>
      </c>
      <c r="L104" s="8">
        <v>247</v>
      </c>
      <c r="M104" s="8">
        <v>246</v>
      </c>
      <c r="N104" s="8">
        <v>426</v>
      </c>
      <c r="O104" s="8">
        <v>427</v>
      </c>
      <c r="P104" s="8">
        <v>425</v>
      </c>
      <c r="Q104" s="9" t="s">
        <v>47</v>
      </c>
      <c r="R104" s="16"/>
      <c r="S104" s="10">
        <v>0</v>
      </c>
      <c r="T104" s="10">
        <v>0</v>
      </c>
      <c r="U104" s="10">
        <v>0</v>
      </c>
      <c r="V104" s="11">
        <v>0</v>
      </c>
      <c r="W104" s="12" t="s">
        <v>46</v>
      </c>
      <c r="X104" s="17"/>
      <c r="Y104" s="13">
        <v>74</v>
      </c>
      <c r="Z104" s="13">
        <v>77</v>
      </c>
      <c r="AA104" s="13">
        <v>90</v>
      </c>
      <c r="AB104" s="14">
        <v>23</v>
      </c>
      <c r="AC104" s="9"/>
      <c r="AD104" s="16"/>
      <c r="AE104" s="10"/>
      <c r="AF104" s="10"/>
      <c r="AG104" s="10"/>
      <c r="AH104" s="11"/>
      <c r="AI104" s="12"/>
      <c r="AJ104" s="17"/>
      <c r="AK104" s="13"/>
      <c r="AL104" s="13"/>
      <c r="AM104" s="13"/>
      <c r="AN104" s="14"/>
      <c r="AO104" s="9"/>
      <c r="AP104" s="16"/>
      <c r="AQ104" s="10"/>
      <c r="AR104" s="10"/>
      <c r="AS104" s="10"/>
      <c r="AT104" s="11"/>
      <c r="AU104" s="12"/>
      <c r="AV104" s="17"/>
      <c r="AW104" s="13"/>
      <c r="AX104" s="13"/>
      <c r="AY104" s="13"/>
      <c r="AZ104" s="14"/>
      <c r="BA104" s="9"/>
      <c r="BB104" s="16"/>
      <c r="BC104" s="10"/>
      <c r="BD104" s="10"/>
      <c r="BE104" s="10"/>
      <c r="BF104" s="11"/>
      <c r="BG104" s="12"/>
      <c r="BH104" s="17"/>
      <c r="BI104" s="13"/>
      <c r="BJ104" s="13"/>
      <c r="BK104" s="13"/>
      <c r="BL104" s="14"/>
      <c r="BM104" s="8">
        <f t="shared" si="27"/>
        <v>74</v>
      </c>
      <c r="BN104" s="8">
        <f t="shared" si="28"/>
        <v>77</v>
      </c>
      <c r="BO104" s="8">
        <f t="shared" si="29"/>
        <v>90</v>
      </c>
      <c r="BP104" s="8">
        <f t="shared" si="30"/>
        <v>23</v>
      </c>
      <c r="BQ104" s="8">
        <f t="shared" si="31"/>
        <v>90</v>
      </c>
      <c r="BR104" s="8">
        <f t="shared" si="32"/>
        <v>74</v>
      </c>
      <c r="BS104" s="15">
        <f t="shared" si="33"/>
        <v>21.081532686409766</v>
      </c>
      <c r="BT104" s="15" t="str">
        <f t="shared" si="34"/>
        <v>OK - No Upgrade</v>
      </c>
      <c r="BU104" s="15" t="str">
        <f t="shared" si="35"/>
        <v>Need to Balance</v>
      </c>
    </row>
    <row r="105" spans="1:73" ht="15.75" customHeight="1" x14ac:dyDescent="0.25">
      <c r="A105" s="8" t="s">
        <v>1459</v>
      </c>
      <c r="B105" s="8" t="s">
        <v>2205</v>
      </c>
      <c r="C105" s="8" t="s">
        <v>2296</v>
      </c>
      <c r="D105" s="8" t="s">
        <v>2479</v>
      </c>
      <c r="E105" s="8" t="s">
        <v>2484</v>
      </c>
      <c r="F105" s="8" t="s">
        <v>43</v>
      </c>
      <c r="G105" s="8"/>
      <c r="H105" s="8">
        <v>315</v>
      </c>
      <c r="I105" s="8" t="s">
        <v>2485</v>
      </c>
      <c r="J105" s="8">
        <v>1</v>
      </c>
      <c r="K105" s="8">
        <v>247</v>
      </c>
      <c r="L105" s="8">
        <v>247</v>
      </c>
      <c r="M105" s="8">
        <v>246</v>
      </c>
      <c r="N105" s="8">
        <v>437</v>
      </c>
      <c r="O105" s="8">
        <v>438</v>
      </c>
      <c r="P105" s="8">
        <v>439</v>
      </c>
      <c r="Q105" s="9" t="s">
        <v>47</v>
      </c>
      <c r="R105" s="16"/>
      <c r="S105" s="10">
        <v>21</v>
      </c>
      <c r="T105" s="10">
        <v>63</v>
      </c>
      <c r="U105" s="10">
        <v>42</v>
      </c>
      <c r="V105" s="11">
        <v>27</v>
      </c>
      <c r="W105" s="12" t="s">
        <v>47</v>
      </c>
      <c r="X105" s="17"/>
      <c r="Y105" s="13">
        <v>107</v>
      </c>
      <c r="Z105" s="13">
        <v>114</v>
      </c>
      <c r="AA105" s="13">
        <v>92</v>
      </c>
      <c r="AB105" s="14">
        <v>26</v>
      </c>
      <c r="AC105" s="9"/>
      <c r="AD105" s="16"/>
      <c r="AE105" s="10"/>
      <c r="AF105" s="10"/>
      <c r="AG105" s="10"/>
      <c r="AH105" s="11"/>
      <c r="AI105" s="12"/>
      <c r="AJ105" s="17"/>
      <c r="AK105" s="13"/>
      <c r="AL105" s="13"/>
      <c r="AM105" s="13"/>
      <c r="AN105" s="14"/>
      <c r="AO105" s="9"/>
      <c r="AP105" s="16"/>
      <c r="AQ105" s="10"/>
      <c r="AR105" s="10"/>
      <c r="AS105" s="10"/>
      <c r="AT105" s="11"/>
      <c r="AU105" s="12"/>
      <c r="AV105" s="17"/>
      <c r="AW105" s="13"/>
      <c r="AX105" s="13"/>
      <c r="AY105" s="13"/>
      <c r="AZ105" s="14"/>
      <c r="BA105" s="9"/>
      <c r="BB105" s="16"/>
      <c r="BC105" s="10"/>
      <c r="BD105" s="10"/>
      <c r="BE105" s="10"/>
      <c r="BF105" s="11"/>
      <c r="BG105" s="12"/>
      <c r="BH105" s="17"/>
      <c r="BI105" s="13"/>
      <c r="BJ105" s="13"/>
      <c r="BK105" s="13"/>
      <c r="BL105" s="14"/>
      <c r="BM105" s="8">
        <f t="shared" si="27"/>
        <v>128</v>
      </c>
      <c r="BN105" s="8">
        <f t="shared" si="28"/>
        <v>177</v>
      </c>
      <c r="BO105" s="8">
        <f t="shared" si="29"/>
        <v>134</v>
      </c>
      <c r="BP105" s="8">
        <f t="shared" si="30"/>
        <v>53</v>
      </c>
      <c r="BQ105" s="8">
        <f t="shared" si="31"/>
        <v>177</v>
      </c>
      <c r="BR105" s="8">
        <f t="shared" si="32"/>
        <v>128</v>
      </c>
      <c r="BS105" s="15">
        <f t="shared" si="33"/>
        <v>42.530919972903206</v>
      </c>
      <c r="BT105" s="15" t="str">
        <f t="shared" si="34"/>
        <v>OK - No Upgrade</v>
      </c>
      <c r="BU105" s="15" t="str">
        <f t="shared" si="35"/>
        <v>Need to Balance</v>
      </c>
    </row>
    <row r="106" spans="1:73" ht="15.75" customHeight="1" x14ac:dyDescent="0.25">
      <c r="A106" s="8" t="s">
        <v>1459</v>
      </c>
      <c r="B106" s="8" t="s">
        <v>2205</v>
      </c>
      <c r="C106" s="8" t="s">
        <v>2296</v>
      </c>
      <c r="D106" s="8" t="s">
        <v>2479</v>
      </c>
      <c r="E106" s="8" t="s">
        <v>2486</v>
      </c>
      <c r="F106" s="8" t="s">
        <v>43</v>
      </c>
      <c r="G106" s="8"/>
      <c r="H106" s="8">
        <v>100</v>
      </c>
      <c r="I106" s="8" t="s">
        <v>2487</v>
      </c>
      <c r="J106" s="8">
        <v>1</v>
      </c>
      <c r="K106" s="8">
        <v>230</v>
      </c>
      <c r="L106" s="8">
        <v>230</v>
      </c>
      <c r="M106" s="8">
        <v>229</v>
      </c>
      <c r="N106" s="8">
        <v>397</v>
      </c>
      <c r="O106" s="8">
        <v>395</v>
      </c>
      <c r="P106" s="8">
        <v>398</v>
      </c>
      <c r="Q106" s="9" t="s">
        <v>47</v>
      </c>
      <c r="R106" s="16"/>
      <c r="S106" s="10">
        <v>10</v>
      </c>
      <c r="T106" s="10">
        <v>52</v>
      </c>
      <c r="U106" s="10">
        <v>43</v>
      </c>
      <c r="V106" s="11">
        <v>30</v>
      </c>
      <c r="W106" s="12" t="s">
        <v>47</v>
      </c>
      <c r="X106" s="17"/>
      <c r="Y106" s="13">
        <v>18</v>
      </c>
      <c r="Z106" s="13">
        <v>12</v>
      </c>
      <c r="AA106" s="13">
        <v>21</v>
      </c>
      <c r="AB106" s="14">
        <v>10</v>
      </c>
      <c r="AC106" s="9"/>
      <c r="AD106" s="16"/>
      <c r="AE106" s="10"/>
      <c r="AF106" s="10"/>
      <c r="AG106" s="10"/>
      <c r="AH106" s="11"/>
      <c r="AI106" s="12"/>
      <c r="AJ106" s="17"/>
      <c r="AK106" s="13"/>
      <c r="AL106" s="13"/>
      <c r="AM106" s="13"/>
      <c r="AN106" s="14"/>
      <c r="AO106" s="9"/>
      <c r="AP106" s="16"/>
      <c r="AQ106" s="10"/>
      <c r="AR106" s="10"/>
      <c r="AS106" s="10"/>
      <c r="AT106" s="11"/>
      <c r="AU106" s="12"/>
      <c r="AV106" s="17"/>
      <c r="AW106" s="13"/>
      <c r="AX106" s="13"/>
      <c r="AY106" s="13"/>
      <c r="AZ106" s="14"/>
      <c r="BA106" s="9"/>
      <c r="BB106" s="16"/>
      <c r="BC106" s="10"/>
      <c r="BD106" s="10"/>
      <c r="BE106" s="10"/>
      <c r="BF106" s="11"/>
      <c r="BG106" s="12"/>
      <c r="BH106" s="17"/>
      <c r="BI106" s="13"/>
      <c r="BJ106" s="13"/>
      <c r="BK106" s="13"/>
      <c r="BL106" s="14"/>
      <c r="BM106" s="8">
        <f t="shared" si="27"/>
        <v>28</v>
      </c>
      <c r="BN106" s="8">
        <f t="shared" si="28"/>
        <v>64</v>
      </c>
      <c r="BO106" s="8">
        <f t="shared" si="29"/>
        <v>64</v>
      </c>
      <c r="BP106" s="8">
        <f t="shared" si="30"/>
        <v>40</v>
      </c>
      <c r="BQ106" s="8">
        <f t="shared" si="31"/>
        <v>64</v>
      </c>
      <c r="BR106" s="8">
        <f t="shared" si="32"/>
        <v>28</v>
      </c>
      <c r="BS106" s="15">
        <f t="shared" si="33"/>
        <v>44.007946918710033</v>
      </c>
      <c r="BT106" s="15" t="str">
        <f t="shared" si="34"/>
        <v>OK - No Upgrade</v>
      </c>
      <c r="BU106" s="15" t="str">
        <f t="shared" si="35"/>
        <v>Need to Balance</v>
      </c>
    </row>
    <row r="107" spans="1:73" ht="15.75" customHeight="1" x14ac:dyDescent="0.25">
      <c r="A107" s="8" t="s">
        <v>1459</v>
      </c>
      <c r="B107" s="8" t="s">
        <v>2205</v>
      </c>
      <c r="C107" s="8" t="s">
        <v>2296</v>
      </c>
      <c r="D107" s="8" t="s">
        <v>2479</v>
      </c>
      <c r="E107" s="8" t="s">
        <v>2488</v>
      </c>
      <c r="F107" s="8" t="s">
        <v>43</v>
      </c>
      <c r="G107" s="8"/>
      <c r="H107" s="8">
        <v>100</v>
      </c>
      <c r="I107" s="8" t="s">
        <v>2489</v>
      </c>
      <c r="J107" s="8">
        <v>1</v>
      </c>
      <c r="K107" s="8">
        <v>247</v>
      </c>
      <c r="L107" s="8">
        <v>246</v>
      </c>
      <c r="M107" s="8">
        <v>244</v>
      </c>
      <c r="N107" s="8">
        <v>428</v>
      </c>
      <c r="O107" s="8">
        <v>424</v>
      </c>
      <c r="P107" s="8">
        <v>426</v>
      </c>
      <c r="Q107" s="9" t="s">
        <v>46</v>
      </c>
      <c r="R107" s="16"/>
      <c r="S107" s="10">
        <v>0</v>
      </c>
      <c r="T107" s="10">
        <v>0</v>
      </c>
      <c r="U107" s="10">
        <v>0</v>
      </c>
      <c r="V107" s="11">
        <v>0</v>
      </c>
      <c r="W107" s="12" t="s">
        <v>47</v>
      </c>
      <c r="X107" s="17"/>
      <c r="Y107" s="13">
        <v>0</v>
      </c>
      <c r="Z107" s="13">
        <v>0</v>
      </c>
      <c r="AA107" s="13">
        <v>0</v>
      </c>
      <c r="AB107" s="14">
        <v>0</v>
      </c>
      <c r="AC107" s="9"/>
      <c r="AD107" s="16"/>
      <c r="AE107" s="10"/>
      <c r="AF107" s="10"/>
      <c r="AG107" s="10"/>
      <c r="AH107" s="11"/>
      <c r="AI107" s="12"/>
      <c r="AJ107" s="17"/>
      <c r="AK107" s="13"/>
      <c r="AL107" s="13"/>
      <c r="AM107" s="13"/>
      <c r="AN107" s="14"/>
      <c r="AO107" s="9"/>
      <c r="AP107" s="16"/>
      <c r="AQ107" s="10"/>
      <c r="AR107" s="10"/>
      <c r="AS107" s="10"/>
      <c r="AT107" s="11"/>
      <c r="AU107" s="12"/>
      <c r="AV107" s="17"/>
      <c r="AW107" s="13"/>
      <c r="AX107" s="13"/>
      <c r="AY107" s="13"/>
      <c r="AZ107" s="14"/>
      <c r="BA107" s="9"/>
      <c r="BB107" s="16"/>
      <c r="BC107" s="10"/>
      <c r="BD107" s="10"/>
      <c r="BE107" s="10"/>
      <c r="BF107" s="11"/>
      <c r="BG107" s="12"/>
      <c r="BH107" s="17"/>
      <c r="BI107" s="13"/>
      <c r="BJ107" s="13"/>
      <c r="BK107" s="13"/>
      <c r="BL107" s="14"/>
      <c r="BM107" s="8">
        <f t="shared" si="27"/>
        <v>0</v>
      </c>
      <c r="BN107" s="8">
        <f t="shared" si="28"/>
        <v>0</v>
      </c>
      <c r="BO107" s="8">
        <f t="shared" si="29"/>
        <v>0</v>
      </c>
      <c r="BP107" s="8">
        <f t="shared" si="30"/>
        <v>0</v>
      </c>
      <c r="BQ107" s="8">
        <f t="shared" si="31"/>
        <v>0</v>
      </c>
      <c r="BR107" s="8">
        <f t="shared" si="32"/>
        <v>0</v>
      </c>
      <c r="BS107" s="15">
        <f t="shared" si="33"/>
        <v>0</v>
      </c>
      <c r="BT107" s="15" t="str">
        <f t="shared" si="34"/>
        <v>OK - No Upgrade</v>
      </c>
      <c r="BU107" s="15" t="str">
        <f t="shared" si="35"/>
        <v>OK - Balanced</v>
      </c>
    </row>
    <row r="108" spans="1:73" ht="15.75" customHeight="1" x14ac:dyDescent="0.25">
      <c r="A108" s="8" t="s">
        <v>1459</v>
      </c>
      <c r="B108" s="8" t="s">
        <v>2205</v>
      </c>
      <c r="C108" s="8" t="s">
        <v>2296</v>
      </c>
      <c r="D108" s="8" t="s">
        <v>2490</v>
      </c>
      <c r="E108" s="8" t="s">
        <v>2491</v>
      </c>
      <c r="F108" s="8" t="s">
        <v>56</v>
      </c>
      <c r="G108" s="8"/>
      <c r="H108" s="8">
        <v>1000</v>
      </c>
      <c r="I108" s="8" t="s">
        <v>2492</v>
      </c>
      <c r="J108" s="8">
        <v>1</v>
      </c>
      <c r="K108" s="8">
        <v>233</v>
      </c>
      <c r="L108" s="8">
        <v>234</v>
      </c>
      <c r="M108" s="8">
        <v>234</v>
      </c>
      <c r="N108" s="8">
        <v>401</v>
      </c>
      <c r="O108" s="8">
        <v>404</v>
      </c>
      <c r="P108" s="8">
        <v>407</v>
      </c>
      <c r="Q108" s="9" t="s">
        <v>47</v>
      </c>
      <c r="R108" s="16"/>
      <c r="S108" s="10">
        <v>19</v>
      </c>
      <c r="T108" s="10">
        <v>22</v>
      </c>
      <c r="U108" s="10">
        <v>28</v>
      </c>
      <c r="V108" s="11">
        <v>10</v>
      </c>
      <c r="W108" s="12" t="s">
        <v>47</v>
      </c>
      <c r="X108" s="17"/>
      <c r="Y108" s="13">
        <v>0</v>
      </c>
      <c r="Z108" s="13">
        <v>14</v>
      </c>
      <c r="AA108" s="13">
        <v>16</v>
      </c>
      <c r="AB108" s="14">
        <v>12</v>
      </c>
      <c r="AC108" s="9" t="s">
        <v>47</v>
      </c>
      <c r="AD108" s="16"/>
      <c r="AE108" s="10">
        <v>13</v>
      </c>
      <c r="AF108" s="10">
        <v>15</v>
      </c>
      <c r="AG108" s="10">
        <v>13</v>
      </c>
      <c r="AH108" s="11">
        <v>0</v>
      </c>
      <c r="AI108" s="12"/>
      <c r="AJ108" s="17"/>
      <c r="AK108" s="13"/>
      <c r="AL108" s="13"/>
      <c r="AM108" s="13"/>
      <c r="AN108" s="14"/>
      <c r="AO108" s="9"/>
      <c r="AP108" s="16"/>
      <c r="AQ108" s="10"/>
      <c r="AR108" s="10"/>
      <c r="AS108" s="10"/>
      <c r="AT108" s="11"/>
      <c r="AU108" s="12"/>
      <c r="AV108" s="17"/>
      <c r="AW108" s="13"/>
      <c r="AX108" s="13"/>
      <c r="AY108" s="13"/>
      <c r="AZ108" s="14"/>
      <c r="BA108" s="9"/>
      <c r="BB108" s="16"/>
      <c r="BC108" s="10"/>
      <c r="BD108" s="10"/>
      <c r="BE108" s="10"/>
      <c r="BF108" s="11"/>
      <c r="BG108" s="12"/>
      <c r="BH108" s="17"/>
      <c r="BI108" s="13"/>
      <c r="BJ108" s="13"/>
      <c r="BK108" s="13"/>
      <c r="BL108" s="14"/>
      <c r="BM108" s="8">
        <f t="shared" si="27"/>
        <v>32</v>
      </c>
      <c r="BN108" s="8">
        <f t="shared" si="28"/>
        <v>51</v>
      </c>
      <c r="BO108" s="8">
        <f t="shared" si="29"/>
        <v>57</v>
      </c>
      <c r="BP108" s="8">
        <f t="shared" si="30"/>
        <v>22</v>
      </c>
      <c r="BQ108" s="8">
        <f t="shared" si="31"/>
        <v>57</v>
      </c>
      <c r="BR108" s="8">
        <f t="shared" si="32"/>
        <v>32</v>
      </c>
      <c r="BS108" s="15">
        <f t="shared" si="33"/>
        <v>3.9589485308601824</v>
      </c>
      <c r="BT108" s="15" t="str">
        <f t="shared" si="34"/>
        <v>OK - No Upgrade</v>
      </c>
      <c r="BU108" s="15" t="str">
        <f t="shared" si="35"/>
        <v>Need to Balance</v>
      </c>
    </row>
    <row r="109" spans="1:73" ht="15.75" customHeight="1" x14ac:dyDescent="0.25">
      <c r="A109" s="8" t="s">
        <v>1459</v>
      </c>
      <c r="B109" s="8" t="s">
        <v>2205</v>
      </c>
      <c r="C109" s="8" t="s">
        <v>2296</v>
      </c>
      <c r="D109" s="8" t="s">
        <v>2493</v>
      </c>
      <c r="E109" s="8" t="s">
        <v>2494</v>
      </c>
      <c r="F109" s="8" t="s">
        <v>43</v>
      </c>
      <c r="G109" s="8"/>
      <c r="H109" s="8">
        <v>100</v>
      </c>
      <c r="I109" s="8" t="s">
        <v>2495</v>
      </c>
      <c r="J109" s="8">
        <v>1</v>
      </c>
      <c r="K109" s="8">
        <v>234</v>
      </c>
      <c r="L109" s="8">
        <v>234</v>
      </c>
      <c r="M109" s="8">
        <v>236</v>
      </c>
      <c r="N109" s="8">
        <v>390</v>
      </c>
      <c r="O109" s="8">
        <v>395</v>
      </c>
      <c r="P109" s="8">
        <v>399</v>
      </c>
      <c r="Q109" s="9" t="s">
        <v>46</v>
      </c>
      <c r="R109" s="16"/>
      <c r="S109" s="10">
        <v>0</v>
      </c>
      <c r="T109" s="10">
        <v>0</v>
      </c>
      <c r="U109" s="10">
        <v>0</v>
      </c>
      <c r="V109" s="11">
        <v>0</v>
      </c>
      <c r="W109" s="12"/>
      <c r="X109" s="17"/>
      <c r="Y109" s="13"/>
      <c r="Z109" s="13"/>
      <c r="AA109" s="13"/>
      <c r="AB109" s="14"/>
      <c r="AC109" s="9"/>
      <c r="AD109" s="16"/>
      <c r="AE109" s="10"/>
      <c r="AF109" s="10"/>
      <c r="AG109" s="10"/>
      <c r="AH109" s="11"/>
      <c r="AI109" s="12"/>
      <c r="AJ109" s="17"/>
      <c r="AK109" s="13"/>
      <c r="AL109" s="13"/>
      <c r="AM109" s="13"/>
      <c r="AN109" s="14"/>
      <c r="AO109" s="9"/>
      <c r="AP109" s="16"/>
      <c r="AQ109" s="10"/>
      <c r="AR109" s="10"/>
      <c r="AS109" s="10"/>
      <c r="AT109" s="11"/>
      <c r="AU109" s="12"/>
      <c r="AV109" s="17"/>
      <c r="AW109" s="13"/>
      <c r="AX109" s="13"/>
      <c r="AY109" s="13"/>
      <c r="AZ109" s="14"/>
      <c r="BA109" s="9"/>
      <c r="BB109" s="16"/>
      <c r="BC109" s="10"/>
      <c r="BD109" s="10"/>
      <c r="BE109" s="10"/>
      <c r="BF109" s="11"/>
      <c r="BG109" s="12"/>
      <c r="BH109" s="17"/>
      <c r="BI109" s="13"/>
      <c r="BJ109" s="13"/>
      <c r="BK109" s="13"/>
      <c r="BL109" s="14"/>
      <c r="BM109" s="8">
        <f t="shared" si="27"/>
        <v>0</v>
      </c>
      <c r="BN109" s="8">
        <f t="shared" si="28"/>
        <v>0</v>
      </c>
      <c r="BO109" s="8">
        <f t="shared" si="29"/>
        <v>0</v>
      </c>
      <c r="BP109" s="8">
        <f t="shared" si="30"/>
        <v>0</v>
      </c>
      <c r="BQ109" s="8">
        <f t="shared" si="31"/>
        <v>0</v>
      </c>
      <c r="BR109" s="8">
        <f t="shared" si="32"/>
        <v>0</v>
      </c>
      <c r="BS109" s="15">
        <f t="shared" si="33"/>
        <v>0</v>
      </c>
      <c r="BT109" s="15" t="str">
        <f t="shared" si="34"/>
        <v>OK - No Upgrade</v>
      </c>
      <c r="BU109" s="15" t="str">
        <f t="shared" si="35"/>
        <v>OK - Balanced</v>
      </c>
    </row>
    <row r="110" spans="1:73" ht="15.75" customHeight="1" x14ac:dyDescent="0.25">
      <c r="A110" s="8" t="s">
        <v>1459</v>
      </c>
      <c r="B110" s="8" t="s">
        <v>2205</v>
      </c>
      <c r="C110" s="8" t="s">
        <v>2296</v>
      </c>
      <c r="D110" s="8" t="s">
        <v>2496</v>
      </c>
      <c r="E110" s="8" t="s">
        <v>2497</v>
      </c>
      <c r="F110" s="8" t="s">
        <v>43</v>
      </c>
      <c r="G110" s="8"/>
      <c r="H110" s="8">
        <v>100</v>
      </c>
      <c r="I110" s="8" t="s">
        <v>2498</v>
      </c>
      <c r="J110" s="8">
        <v>1</v>
      </c>
      <c r="K110" s="8">
        <v>225</v>
      </c>
      <c r="L110" s="8">
        <v>224</v>
      </c>
      <c r="M110" s="8">
        <v>228</v>
      </c>
      <c r="N110" s="8">
        <v>390</v>
      </c>
      <c r="O110" s="8">
        <v>399</v>
      </c>
      <c r="P110" s="8">
        <v>394</v>
      </c>
      <c r="Q110" s="9" t="s">
        <v>46</v>
      </c>
      <c r="R110" s="16"/>
      <c r="S110" s="10">
        <v>0</v>
      </c>
      <c r="T110" s="10">
        <v>0</v>
      </c>
      <c r="U110" s="10">
        <v>0</v>
      </c>
      <c r="V110" s="11">
        <v>0</v>
      </c>
      <c r="W110" s="12"/>
      <c r="X110" s="17"/>
      <c r="Y110" s="13"/>
      <c r="Z110" s="13"/>
      <c r="AA110" s="13"/>
      <c r="AB110" s="14"/>
      <c r="AC110" s="9"/>
      <c r="AD110" s="16"/>
      <c r="AE110" s="10"/>
      <c r="AF110" s="10"/>
      <c r="AG110" s="10"/>
      <c r="AH110" s="11"/>
      <c r="AI110" s="12"/>
      <c r="AJ110" s="17"/>
      <c r="AK110" s="13"/>
      <c r="AL110" s="13"/>
      <c r="AM110" s="13"/>
      <c r="AN110" s="14"/>
      <c r="AO110" s="9"/>
      <c r="AP110" s="16"/>
      <c r="AQ110" s="10"/>
      <c r="AR110" s="10"/>
      <c r="AS110" s="10"/>
      <c r="AT110" s="11"/>
      <c r="AU110" s="12"/>
      <c r="AV110" s="17"/>
      <c r="AW110" s="13"/>
      <c r="AX110" s="13"/>
      <c r="AY110" s="13"/>
      <c r="AZ110" s="14"/>
      <c r="BA110" s="9"/>
      <c r="BB110" s="16"/>
      <c r="BC110" s="10"/>
      <c r="BD110" s="10"/>
      <c r="BE110" s="10"/>
      <c r="BF110" s="11"/>
      <c r="BG110" s="12"/>
      <c r="BH110" s="17"/>
      <c r="BI110" s="13"/>
      <c r="BJ110" s="13"/>
      <c r="BK110" s="13"/>
      <c r="BL110" s="14"/>
      <c r="BM110" s="8">
        <f t="shared" si="27"/>
        <v>0</v>
      </c>
      <c r="BN110" s="8">
        <f t="shared" si="28"/>
        <v>0</v>
      </c>
      <c r="BO110" s="8">
        <f t="shared" si="29"/>
        <v>0</v>
      </c>
      <c r="BP110" s="8">
        <f t="shared" si="30"/>
        <v>0</v>
      </c>
      <c r="BQ110" s="8">
        <f t="shared" si="31"/>
        <v>0</v>
      </c>
      <c r="BR110" s="8">
        <f t="shared" si="32"/>
        <v>0</v>
      </c>
      <c r="BS110" s="15">
        <f t="shared" si="33"/>
        <v>0</v>
      </c>
      <c r="BT110" s="15" t="str">
        <f t="shared" si="34"/>
        <v>OK - No Upgrade</v>
      </c>
      <c r="BU110" s="15" t="str">
        <f t="shared" si="35"/>
        <v>OK - Balanced</v>
      </c>
    </row>
    <row r="111" spans="1:73" ht="15.75" customHeight="1" x14ac:dyDescent="0.25">
      <c r="A111" s="8" t="s">
        <v>1459</v>
      </c>
      <c r="B111" s="8" t="s">
        <v>2205</v>
      </c>
      <c r="C111" s="8" t="s">
        <v>2296</v>
      </c>
      <c r="D111" s="8" t="s">
        <v>2499</v>
      </c>
      <c r="E111" s="8" t="s">
        <v>2500</v>
      </c>
      <c r="F111" s="8" t="s">
        <v>56</v>
      </c>
      <c r="G111" s="8"/>
      <c r="H111" s="8">
        <v>500</v>
      </c>
      <c r="I111" s="8" t="s">
        <v>2501</v>
      </c>
      <c r="J111" s="8">
        <v>1</v>
      </c>
      <c r="K111" s="8">
        <v>226</v>
      </c>
      <c r="L111" s="8">
        <v>228</v>
      </c>
      <c r="M111" s="8">
        <v>227</v>
      </c>
      <c r="N111" s="8">
        <v>393</v>
      </c>
      <c r="O111" s="8">
        <v>391</v>
      </c>
      <c r="P111" s="8">
        <v>397</v>
      </c>
      <c r="Q111" s="9"/>
      <c r="R111" s="16"/>
      <c r="S111" s="10"/>
      <c r="T111" s="10"/>
      <c r="U111" s="10"/>
      <c r="V111" s="11"/>
      <c r="W111" s="12" t="s">
        <v>46</v>
      </c>
      <c r="X111" s="17"/>
      <c r="Y111" s="13">
        <v>70</v>
      </c>
      <c r="Z111" s="13">
        <v>28</v>
      </c>
      <c r="AA111" s="13">
        <v>128</v>
      </c>
      <c r="AB111" s="14">
        <v>83</v>
      </c>
      <c r="AC111" s="9" t="s">
        <v>46</v>
      </c>
      <c r="AD111" s="16"/>
      <c r="AE111" s="10">
        <v>0</v>
      </c>
      <c r="AF111" s="10">
        <v>16</v>
      </c>
      <c r="AG111" s="10">
        <v>0</v>
      </c>
      <c r="AH111" s="11">
        <v>13</v>
      </c>
      <c r="AI111" s="12" t="s">
        <v>46</v>
      </c>
      <c r="AJ111" s="17"/>
      <c r="AK111" s="13">
        <v>0</v>
      </c>
      <c r="AL111" s="13">
        <v>0</v>
      </c>
      <c r="AM111" s="13">
        <v>0</v>
      </c>
      <c r="AN111" s="14">
        <v>0</v>
      </c>
      <c r="AO111" s="9" t="s">
        <v>46</v>
      </c>
      <c r="AP111" s="16"/>
      <c r="AQ111" s="10">
        <v>43</v>
      </c>
      <c r="AR111" s="10">
        <v>18</v>
      </c>
      <c r="AS111" s="10">
        <v>0</v>
      </c>
      <c r="AT111" s="11">
        <v>26</v>
      </c>
      <c r="AU111" s="12" t="s">
        <v>47</v>
      </c>
      <c r="AV111" s="17"/>
      <c r="AW111" s="13">
        <v>70</v>
      </c>
      <c r="AX111" s="13">
        <v>80</v>
      </c>
      <c r="AY111" s="13">
        <v>71</v>
      </c>
      <c r="AZ111" s="14">
        <v>0</v>
      </c>
      <c r="BA111" s="9"/>
      <c r="BB111" s="16"/>
      <c r="BC111" s="10"/>
      <c r="BD111" s="10"/>
      <c r="BE111" s="10"/>
      <c r="BF111" s="11"/>
      <c r="BG111" s="12"/>
      <c r="BH111" s="17"/>
      <c r="BI111" s="13"/>
      <c r="BJ111" s="13"/>
      <c r="BK111" s="13"/>
      <c r="BL111" s="14"/>
      <c r="BM111" s="8">
        <f t="shared" si="27"/>
        <v>183</v>
      </c>
      <c r="BN111" s="8">
        <f t="shared" si="28"/>
        <v>142</v>
      </c>
      <c r="BO111" s="8">
        <f t="shared" si="29"/>
        <v>199</v>
      </c>
      <c r="BP111" s="8">
        <f t="shared" si="30"/>
        <v>122</v>
      </c>
      <c r="BQ111" s="8">
        <f t="shared" si="31"/>
        <v>199</v>
      </c>
      <c r="BR111" s="8">
        <f t="shared" si="32"/>
        <v>142</v>
      </c>
      <c r="BS111" s="15">
        <f t="shared" si="33"/>
        <v>27.091699501507833</v>
      </c>
      <c r="BT111" s="15" t="str">
        <f t="shared" si="34"/>
        <v>OK - No Upgrade</v>
      </c>
      <c r="BU111" s="15" t="str">
        <f t="shared" si="35"/>
        <v>Need to Balance</v>
      </c>
    </row>
    <row r="112" spans="1:73" ht="15.75" customHeight="1" x14ac:dyDescent="0.25">
      <c r="A112" s="8" t="s">
        <v>1459</v>
      </c>
      <c r="B112" s="8" t="s">
        <v>2205</v>
      </c>
      <c r="C112" s="8" t="s">
        <v>2296</v>
      </c>
      <c r="D112" s="8" t="s">
        <v>2502</v>
      </c>
      <c r="E112" s="8" t="s">
        <v>2503</v>
      </c>
      <c r="F112" s="8" t="s">
        <v>43</v>
      </c>
      <c r="G112" s="8"/>
      <c r="H112" s="8">
        <v>315</v>
      </c>
      <c r="I112" s="8" t="s">
        <v>2504</v>
      </c>
      <c r="J112" s="8">
        <v>1</v>
      </c>
      <c r="K112" s="8">
        <v>234</v>
      </c>
      <c r="L112" s="8">
        <v>235</v>
      </c>
      <c r="M112" s="8">
        <v>235</v>
      </c>
      <c r="N112" s="8">
        <v>407</v>
      </c>
      <c r="O112" s="8">
        <v>405</v>
      </c>
      <c r="P112" s="8">
        <v>408</v>
      </c>
      <c r="Q112" s="9" t="s">
        <v>70</v>
      </c>
      <c r="R112" s="16"/>
      <c r="S112" s="10">
        <v>0</v>
      </c>
      <c r="T112" s="10">
        <v>0</v>
      </c>
      <c r="U112" s="10">
        <v>16</v>
      </c>
      <c r="V112" s="11">
        <v>0</v>
      </c>
      <c r="W112" s="12" t="s">
        <v>46</v>
      </c>
      <c r="X112" s="17"/>
      <c r="Y112" s="13">
        <v>0</v>
      </c>
      <c r="Z112" s="13">
        <v>0</v>
      </c>
      <c r="AA112" s="13">
        <v>0</v>
      </c>
      <c r="AB112" s="14">
        <v>0</v>
      </c>
      <c r="AC112" s="9" t="s">
        <v>46</v>
      </c>
      <c r="AD112" s="16"/>
      <c r="AE112" s="10">
        <v>0</v>
      </c>
      <c r="AF112" s="10">
        <v>0</v>
      </c>
      <c r="AG112" s="10">
        <v>0</v>
      </c>
      <c r="AH112" s="11">
        <v>0</v>
      </c>
      <c r="AI112" s="12"/>
      <c r="AJ112" s="17"/>
      <c r="AK112" s="13"/>
      <c r="AL112" s="13"/>
      <c r="AM112" s="13"/>
      <c r="AN112" s="14"/>
      <c r="AO112" s="9"/>
      <c r="AP112" s="16"/>
      <c r="AQ112" s="10"/>
      <c r="AR112" s="10"/>
      <c r="AS112" s="10"/>
      <c r="AT112" s="11"/>
      <c r="AU112" s="12"/>
      <c r="AV112" s="17"/>
      <c r="AW112" s="13"/>
      <c r="AX112" s="13"/>
      <c r="AY112" s="13"/>
      <c r="AZ112" s="14"/>
      <c r="BA112" s="9"/>
      <c r="BB112" s="16"/>
      <c r="BC112" s="10"/>
      <c r="BD112" s="10"/>
      <c r="BE112" s="10"/>
      <c r="BF112" s="11"/>
      <c r="BG112" s="12"/>
      <c r="BH112" s="17"/>
      <c r="BI112" s="13"/>
      <c r="BJ112" s="13"/>
      <c r="BK112" s="13"/>
      <c r="BL112" s="14"/>
      <c r="BM112" s="8">
        <f t="shared" si="27"/>
        <v>0</v>
      </c>
      <c r="BN112" s="8">
        <f t="shared" si="28"/>
        <v>0</v>
      </c>
      <c r="BO112" s="8">
        <f t="shared" si="29"/>
        <v>16</v>
      </c>
      <c r="BP112" s="8">
        <f t="shared" si="30"/>
        <v>0</v>
      </c>
      <c r="BQ112" s="8">
        <f t="shared" si="31"/>
        <v>16</v>
      </c>
      <c r="BR112" s="8">
        <f t="shared" si="32"/>
        <v>0</v>
      </c>
      <c r="BS112" s="15">
        <f t="shared" si="33"/>
        <v>3.5806713837741357</v>
      </c>
      <c r="BT112" s="15" t="str">
        <f t="shared" si="34"/>
        <v>OK - No Upgrade</v>
      </c>
      <c r="BU112" s="15" t="str">
        <f t="shared" si="35"/>
        <v>Need to Balance</v>
      </c>
    </row>
    <row r="113" spans="1:73" ht="15.75" customHeight="1" x14ac:dyDescent="0.25">
      <c r="A113" s="8" t="s">
        <v>1459</v>
      </c>
      <c r="B113" s="8" t="s">
        <v>2205</v>
      </c>
      <c r="C113" s="8" t="s">
        <v>2296</v>
      </c>
      <c r="D113" s="8" t="s">
        <v>2502</v>
      </c>
      <c r="E113" s="8" t="s">
        <v>2505</v>
      </c>
      <c r="F113" s="8" t="s">
        <v>43</v>
      </c>
      <c r="G113" s="8"/>
      <c r="H113" s="8">
        <v>315</v>
      </c>
      <c r="I113" s="8" t="s">
        <v>2506</v>
      </c>
      <c r="J113" s="8">
        <v>1</v>
      </c>
      <c r="K113" s="8">
        <v>232</v>
      </c>
      <c r="L113" s="8">
        <v>234</v>
      </c>
      <c r="M113" s="8">
        <v>234</v>
      </c>
      <c r="N113" s="8">
        <v>404</v>
      </c>
      <c r="O113" s="8">
        <v>403</v>
      </c>
      <c r="P113" s="8">
        <v>405</v>
      </c>
      <c r="Q113" s="9" t="s">
        <v>46</v>
      </c>
      <c r="R113" s="16"/>
      <c r="S113" s="10">
        <v>34</v>
      </c>
      <c r="T113" s="10">
        <v>68</v>
      </c>
      <c r="U113" s="10">
        <v>49</v>
      </c>
      <c r="V113" s="11">
        <v>44</v>
      </c>
      <c r="W113" s="12"/>
      <c r="X113" s="17"/>
      <c r="Y113" s="13"/>
      <c r="Z113" s="13"/>
      <c r="AA113" s="13"/>
      <c r="AB113" s="14"/>
      <c r="AC113" s="9"/>
      <c r="AD113" s="16"/>
      <c r="AE113" s="10"/>
      <c r="AF113" s="10"/>
      <c r="AG113" s="10"/>
      <c r="AH113" s="11"/>
      <c r="AI113" s="12"/>
      <c r="AJ113" s="17"/>
      <c r="AK113" s="13"/>
      <c r="AL113" s="13"/>
      <c r="AM113" s="13"/>
      <c r="AN113" s="14"/>
      <c r="AO113" s="9"/>
      <c r="AP113" s="16"/>
      <c r="AQ113" s="10"/>
      <c r="AR113" s="10"/>
      <c r="AS113" s="10"/>
      <c r="AT113" s="11"/>
      <c r="AU113" s="12"/>
      <c r="AV113" s="17"/>
      <c r="AW113" s="13"/>
      <c r="AX113" s="13"/>
      <c r="AY113" s="13"/>
      <c r="AZ113" s="14"/>
      <c r="BA113" s="9"/>
      <c r="BB113" s="16"/>
      <c r="BC113" s="10"/>
      <c r="BD113" s="10"/>
      <c r="BE113" s="10"/>
      <c r="BF113" s="11"/>
      <c r="BG113" s="12"/>
      <c r="BH113" s="17"/>
      <c r="BI113" s="13"/>
      <c r="BJ113" s="13"/>
      <c r="BK113" s="13"/>
      <c r="BL113" s="14"/>
      <c r="BM113" s="8">
        <f t="shared" si="27"/>
        <v>34</v>
      </c>
      <c r="BN113" s="8">
        <f t="shared" si="28"/>
        <v>68</v>
      </c>
      <c r="BO113" s="8">
        <f t="shared" si="29"/>
        <v>49</v>
      </c>
      <c r="BP113" s="8">
        <f t="shared" si="30"/>
        <v>44</v>
      </c>
      <c r="BQ113" s="8">
        <f t="shared" si="31"/>
        <v>68</v>
      </c>
      <c r="BR113" s="8">
        <f t="shared" si="32"/>
        <v>34</v>
      </c>
      <c r="BS113" s="15">
        <f t="shared" si="33"/>
        <v>15.105682471597524</v>
      </c>
      <c r="BT113" s="15" t="str">
        <f t="shared" si="34"/>
        <v>OK - No Upgrade</v>
      </c>
      <c r="BU113" s="15" t="str">
        <f t="shared" si="35"/>
        <v>Need to Balance</v>
      </c>
    </row>
    <row r="114" spans="1:73" ht="15.75" customHeight="1" x14ac:dyDescent="0.25">
      <c r="A114" s="8" t="s">
        <v>1459</v>
      </c>
      <c r="B114" s="8" t="s">
        <v>2205</v>
      </c>
      <c r="C114" s="8" t="s">
        <v>2296</v>
      </c>
      <c r="D114" s="8" t="s">
        <v>2507</v>
      </c>
      <c r="E114" s="8" t="s">
        <v>2508</v>
      </c>
      <c r="F114" s="8" t="s">
        <v>43</v>
      </c>
      <c r="G114" s="8"/>
      <c r="H114" s="8">
        <v>200</v>
      </c>
      <c r="I114" s="8" t="s">
        <v>2509</v>
      </c>
      <c r="J114" s="8">
        <v>1</v>
      </c>
      <c r="K114" s="8">
        <v>230</v>
      </c>
      <c r="L114" s="8">
        <v>232</v>
      </c>
      <c r="M114" s="8">
        <v>232</v>
      </c>
      <c r="N114" s="8">
        <v>401</v>
      </c>
      <c r="O114" s="8">
        <v>399</v>
      </c>
      <c r="P114" s="8">
        <v>402</v>
      </c>
      <c r="Q114" s="9" t="s">
        <v>46</v>
      </c>
      <c r="R114" s="16"/>
      <c r="S114" s="10">
        <v>0</v>
      </c>
      <c r="T114" s="10">
        <v>26</v>
      </c>
      <c r="U114" s="10">
        <v>0</v>
      </c>
      <c r="V114" s="11">
        <v>19</v>
      </c>
      <c r="W114" s="12" t="s">
        <v>46</v>
      </c>
      <c r="X114" s="17"/>
      <c r="Y114" s="13">
        <v>49</v>
      </c>
      <c r="Z114" s="13">
        <v>27</v>
      </c>
      <c r="AA114" s="13">
        <v>65</v>
      </c>
      <c r="AB114" s="14">
        <v>42</v>
      </c>
      <c r="AC114" s="9"/>
      <c r="AD114" s="16"/>
      <c r="AE114" s="10"/>
      <c r="AF114" s="10"/>
      <c r="AG114" s="10"/>
      <c r="AH114" s="11"/>
      <c r="AI114" s="12"/>
      <c r="AJ114" s="17"/>
      <c r="AK114" s="13"/>
      <c r="AL114" s="13"/>
      <c r="AM114" s="13"/>
      <c r="AN114" s="14"/>
      <c r="AO114" s="9"/>
      <c r="AP114" s="16"/>
      <c r="AQ114" s="10"/>
      <c r="AR114" s="10"/>
      <c r="AS114" s="10"/>
      <c r="AT114" s="11"/>
      <c r="AU114" s="12"/>
      <c r="AV114" s="17"/>
      <c r="AW114" s="13"/>
      <c r="AX114" s="13"/>
      <c r="AY114" s="13"/>
      <c r="AZ114" s="14"/>
      <c r="BA114" s="9"/>
      <c r="BB114" s="16"/>
      <c r="BC114" s="10"/>
      <c r="BD114" s="10"/>
      <c r="BE114" s="10"/>
      <c r="BF114" s="11"/>
      <c r="BG114" s="12"/>
      <c r="BH114" s="17"/>
      <c r="BI114" s="13"/>
      <c r="BJ114" s="13"/>
      <c r="BK114" s="13"/>
      <c r="BL114" s="14"/>
      <c r="BM114" s="8">
        <f t="shared" si="27"/>
        <v>49</v>
      </c>
      <c r="BN114" s="8">
        <f t="shared" si="28"/>
        <v>53</v>
      </c>
      <c r="BO114" s="8">
        <f t="shared" si="29"/>
        <v>65</v>
      </c>
      <c r="BP114" s="8">
        <f t="shared" si="30"/>
        <v>61</v>
      </c>
      <c r="BQ114" s="8">
        <f t="shared" si="31"/>
        <v>65</v>
      </c>
      <c r="BR114" s="8">
        <f t="shared" si="32"/>
        <v>49</v>
      </c>
      <c r="BS114" s="15">
        <f t="shared" si="33"/>
        <v>22.572952149641395</v>
      </c>
      <c r="BT114" s="15" t="str">
        <f t="shared" si="34"/>
        <v>OK - No Upgrade</v>
      </c>
      <c r="BU114" s="15" t="str">
        <f t="shared" si="35"/>
        <v>Need to Balance</v>
      </c>
    </row>
    <row r="115" spans="1:73" ht="15.75" customHeight="1" x14ac:dyDescent="0.25">
      <c r="A115" s="8" t="s">
        <v>1459</v>
      </c>
      <c r="B115" s="8" t="s">
        <v>2205</v>
      </c>
      <c r="C115" s="8" t="s">
        <v>2296</v>
      </c>
      <c r="D115" s="8" t="s">
        <v>2507</v>
      </c>
      <c r="E115" s="8" t="s">
        <v>2510</v>
      </c>
      <c r="F115" s="8" t="s">
        <v>43</v>
      </c>
      <c r="G115" s="8"/>
      <c r="H115" s="8">
        <v>315</v>
      </c>
      <c r="I115" s="8" t="s">
        <v>2511</v>
      </c>
      <c r="J115" s="8">
        <v>1</v>
      </c>
      <c r="K115" s="8">
        <v>242</v>
      </c>
      <c r="L115" s="8">
        <v>244</v>
      </c>
      <c r="M115" s="8">
        <v>244</v>
      </c>
      <c r="N115" s="8">
        <v>421</v>
      </c>
      <c r="O115" s="8">
        <v>420</v>
      </c>
      <c r="P115" s="8">
        <v>426</v>
      </c>
      <c r="Q115" s="9" t="s">
        <v>47</v>
      </c>
      <c r="R115" s="16"/>
      <c r="S115" s="10">
        <v>179</v>
      </c>
      <c r="T115" s="10">
        <v>127</v>
      </c>
      <c r="U115" s="10">
        <v>194</v>
      </c>
      <c r="V115" s="11">
        <v>65</v>
      </c>
      <c r="W115" s="12" t="s">
        <v>132</v>
      </c>
      <c r="X115" s="17"/>
      <c r="Y115" s="13">
        <v>0</v>
      </c>
      <c r="Z115" s="13">
        <v>0</v>
      </c>
      <c r="AA115" s="13">
        <v>0</v>
      </c>
      <c r="AB115" s="14">
        <v>45</v>
      </c>
      <c r="AC115" s="9"/>
      <c r="AD115" s="16"/>
      <c r="AE115" s="10"/>
      <c r="AF115" s="10"/>
      <c r="AG115" s="10"/>
      <c r="AH115" s="11"/>
      <c r="AI115" s="12"/>
      <c r="AJ115" s="17"/>
      <c r="AK115" s="13"/>
      <c r="AL115" s="13"/>
      <c r="AM115" s="13"/>
      <c r="AN115" s="14"/>
      <c r="AO115" s="9"/>
      <c r="AP115" s="16"/>
      <c r="AQ115" s="10"/>
      <c r="AR115" s="10"/>
      <c r="AS115" s="10"/>
      <c r="AT115" s="11"/>
      <c r="AU115" s="12"/>
      <c r="AV115" s="17"/>
      <c r="AW115" s="13"/>
      <c r="AX115" s="13"/>
      <c r="AY115" s="13"/>
      <c r="AZ115" s="14"/>
      <c r="BA115" s="9"/>
      <c r="BB115" s="16"/>
      <c r="BC115" s="10"/>
      <c r="BD115" s="10"/>
      <c r="BE115" s="10"/>
      <c r="BF115" s="11"/>
      <c r="BG115" s="12"/>
      <c r="BH115" s="17"/>
      <c r="BI115" s="13"/>
      <c r="BJ115" s="13"/>
      <c r="BK115" s="13"/>
      <c r="BL115" s="14"/>
      <c r="BM115" s="8">
        <f t="shared" si="27"/>
        <v>179</v>
      </c>
      <c r="BN115" s="8">
        <f t="shared" si="28"/>
        <v>127</v>
      </c>
      <c r="BO115" s="8">
        <f t="shared" si="29"/>
        <v>194</v>
      </c>
      <c r="BP115" s="8">
        <f t="shared" si="30"/>
        <v>110</v>
      </c>
      <c r="BQ115" s="8">
        <f t="shared" si="31"/>
        <v>194</v>
      </c>
      <c r="BR115" s="8">
        <f t="shared" si="32"/>
        <v>127</v>
      </c>
      <c r="BS115" s="15">
        <f t="shared" si="33"/>
        <v>44.909053224565234</v>
      </c>
      <c r="BT115" s="15" t="str">
        <f t="shared" si="34"/>
        <v>OK - No Upgrade</v>
      </c>
      <c r="BU115" s="15" t="str">
        <f t="shared" si="35"/>
        <v>Need to Balance</v>
      </c>
    </row>
    <row r="116" spans="1:73" ht="15.75" customHeight="1" x14ac:dyDescent="0.25">
      <c r="A116" s="8" t="s">
        <v>1459</v>
      </c>
      <c r="B116" s="8" t="s">
        <v>2205</v>
      </c>
      <c r="C116" s="8" t="s">
        <v>2296</v>
      </c>
      <c r="D116" s="8" t="s">
        <v>2512</v>
      </c>
      <c r="E116" s="8" t="s">
        <v>2513</v>
      </c>
      <c r="F116" s="8" t="s">
        <v>56</v>
      </c>
      <c r="G116" s="8"/>
      <c r="H116" s="8">
        <v>1000</v>
      </c>
      <c r="I116" s="8" t="s">
        <v>2514</v>
      </c>
      <c r="J116" s="8">
        <v>1</v>
      </c>
      <c r="K116" s="8">
        <v>232</v>
      </c>
      <c r="L116" s="8">
        <v>235</v>
      </c>
      <c r="M116" s="8">
        <v>234</v>
      </c>
      <c r="N116" s="8">
        <v>403</v>
      </c>
      <c r="O116" s="8">
        <v>402</v>
      </c>
      <c r="P116" s="8">
        <v>408</v>
      </c>
      <c r="Q116" s="9" t="s">
        <v>47</v>
      </c>
      <c r="R116" s="16"/>
      <c r="S116" s="10">
        <v>71</v>
      </c>
      <c r="T116" s="10">
        <v>43</v>
      </c>
      <c r="U116" s="10">
        <v>48</v>
      </c>
      <c r="V116" s="11">
        <v>29</v>
      </c>
      <c r="W116" s="12" t="s">
        <v>47</v>
      </c>
      <c r="X116" s="17"/>
      <c r="Y116" s="13">
        <v>54</v>
      </c>
      <c r="Z116" s="13">
        <v>36</v>
      </c>
      <c r="AA116" s="13">
        <v>63</v>
      </c>
      <c r="AB116" s="14">
        <v>21</v>
      </c>
      <c r="AC116" s="9" t="s">
        <v>47</v>
      </c>
      <c r="AD116" s="16"/>
      <c r="AE116" s="10">
        <v>66</v>
      </c>
      <c r="AF116" s="10">
        <v>64</v>
      </c>
      <c r="AG116" s="10">
        <v>115</v>
      </c>
      <c r="AH116" s="11">
        <v>33</v>
      </c>
      <c r="AI116" s="12"/>
      <c r="AJ116" s="17"/>
      <c r="AK116" s="13"/>
      <c r="AL116" s="13"/>
      <c r="AM116" s="13"/>
      <c r="AN116" s="14"/>
      <c r="AO116" s="9"/>
      <c r="AP116" s="16"/>
      <c r="AQ116" s="10"/>
      <c r="AR116" s="10"/>
      <c r="AS116" s="10"/>
      <c r="AT116" s="11"/>
      <c r="AU116" s="12"/>
      <c r="AV116" s="17"/>
      <c r="AW116" s="13"/>
      <c r="AX116" s="13"/>
      <c r="AY116" s="13"/>
      <c r="AZ116" s="14"/>
      <c r="BA116" s="9"/>
      <c r="BB116" s="16"/>
      <c r="BC116" s="10"/>
      <c r="BD116" s="10"/>
      <c r="BE116" s="10"/>
      <c r="BF116" s="11"/>
      <c r="BG116" s="12"/>
      <c r="BH116" s="17"/>
      <c r="BI116" s="13"/>
      <c r="BJ116" s="13"/>
      <c r="BK116" s="13"/>
      <c r="BL116" s="14"/>
      <c r="BM116" s="8">
        <f t="shared" si="27"/>
        <v>191</v>
      </c>
      <c r="BN116" s="8">
        <f t="shared" si="28"/>
        <v>143</v>
      </c>
      <c r="BO116" s="8">
        <f t="shared" si="29"/>
        <v>226</v>
      </c>
      <c r="BP116" s="8">
        <f t="shared" si="30"/>
        <v>83</v>
      </c>
      <c r="BQ116" s="8">
        <f t="shared" si="31"/>
        <v>226</v>
      </c>
      <c r="BR116" s="8">
        <f t="shared" si="32"/>
        <v>143</v>
      </c>
      <c r="BS116" s="15">
        <f t="shared" si="33"/>
        <v>15.775172345175816</v>
      </c>
      <c r="BT116" s="15" t="str">
        <f t="shared" si="34"/>
        <v>OK - No Upgrade</v>
      </c>
      <c r="BU116" s="15" t="str">
        <f t="shared" si="35"/>
        <v>Need to Balance</v>
      </c>
    </row>
    <row r="117" spans="1:73" ht="15.75" customHeight="1" x14ac:dyDescent="0.25">
      <c r="A117" s="8" t="s">
        <v>1459</v>
      </c>
      <c r="B117" s="8" t="s">
        <v>2205</v>
      </c>
      <c r="C117" s="8" t="s">
        <v>2296</v>
      </c>
      <c r="D117" s="8" t="s">
        <v>2512</v>
      </c>
      <c r="E117" s="8" t="s">
        <v>2515</v>
      </c>
      <c r="F117" s="8" t="s">
        <v>56</v>
      </c>
      <c r="G117" s="8"/>
      <c r="H117" s="8">
        <v>1000</v>
      </c>
      <c r="I117" s="8" t="s">
        <v>2516</v>
      </c>
      <c r="J117" s="8">
        <v>1</v>
      </c>
      <c r="K117" s="8">
        <v>233</v>
      </c>
      <c r="L117" s="8">
        <v>236</v>
      </c>
      <c r="M117" s="8">
        <v>235</v>
      </c>
      <c r="N117" s="8">
        <v>406</v>
      </c>
      <c r="O117" s="8">
        <v>404</v>
      </c>
      <c r="P117" s="8">
        <v>410</v>
      </c>
      <c r="Q117" s="9"/>
      <c r="R117" s="16"/>
      <c r="S117" s="10"/>
      <c r="T117" s="10"/>
      <c r="U117" s="10"/>
      <c r="V117" s="11"/>
      <c r="W117" s="12"/>
      <c r="X117" s="17"/>
      <c r="Y117" s="13"/>
      <c r="Z117" s="13"/>
      <c r="AA117" s="13"/>
      <c r="AB117" s="14"/>
      <c r="AC117" s="9" t="s">
        <v>47</v>
      </c>
      <c r="AD117" s="16"/>
      <c r="AE117" s="10">
        <v>53</v>
      </c>
      <c r="AF117" s="10">
        <v>22</v>
      </c>
      <c r="AG117" s="10">
        <v>43</v>
      </c>
      <c r="AH117" s="11">
        <v>21</v>
      </c>
      <c r="AI117" s="12" t="s">
        <v>47</v>
      </c>
      <c r="AJ117" s="17"/>
      <c r="AK117" s="13">
        <v>64</v>
      </c>
      <c r="AL117" s="13">
        <v>14</v>
      </c>
      <c r="AM117" s="13">
        <v>47</v>
      </c>
      <c r="AN117" s="14">
        <v>48</v>
      </c>
      <c r="AO117" s="9" t="s">
        <v>47</v>
      </c>
      <c r="AP117" s="16"/>
      <c r="AQ117" s="10">
        <v>100</v>
      </c>
      <c r="AR117" s="10">
        <v>59</v>
      </c>
      <c r="AS117" s="10">
        <v>83</v>
      </c>
      <c r="AT117" s="11">
        <v>32</v>
      </c>
      <c r="AU117" s="12" t="s">
        <v>47</v>
      </c>
      <c r="AV117" s="17"/>
      <c r="AW117" s="13">
        <v>74</v>
      </c>
      <c r="AX117" s="13">
        <v>48</v>
      </c>
      <c r="AY117" s="13">
        <v>60</v>
      </c>
      <c r="AZ117" s="14">
        <v>12</v>
      </c>
      <c r="BA117" s="9"/>
      <c r="BB117" s="16"/>
      <c r="BC117" s="10"/>
      <c r="BD117" s="10"/>
      <c r="BE117" s="10"/>
      <c r="BF117" s="11"/>
      <c r="BG117" s="12"/>
      <c r="BH117" s="17"/>
      <c r="BI117" s="13"/>
      <c r="BJ117" s="13"/>
      <c r="BK117" s="13"/>
      <c r="BL117" s="14"/>
      <c r="BM117" s="8">
        <f t="shared" si="27"/>
        <v>291</v>
      </c>
      <c r="BN117" s="8">
        <f t="shared" si="28"/>
        <v>143</v>
      </c>
      <c r="BO117" s="8">
        <f t="shared" si="29"/>
        <v>233</v>
      </c>
      <c r="BP117" s="8">
        <f t="shared" si="30"/>
        <v>113</v>
      </c>
      <c r="BQ117" s="8">
        <f t="shared" si="31"/>
        <v>291</v>
      </c>
      <c r="BR117" s="8">
        <f t="shared" si="32"/>
        <v>143</v>
      </c>
      <c r="BS117" s="15">
        <f t="shared" si="33"/>
        <v>20.463487471103257</v>
      </c>
      <c r="BT117" s="15" t="str">
        <f t="shared" si="34"/>
        <v>OK - No Upgrade</v>
      </c>
      <c r="BU117" s="15" t="str">
        <f t="shared" si="35"/>
        <v>Need to Balance</v>
      </c>
    </row>
    <row r="118" spans="1:73" ht="15.75" customHeight="1" x14ac:dyDescent="0.25">
      <c r="A118" s="8" t="s">
        <v>1459</v>
      </c>
      <c r="B118" s="8" t="s">
        <v>2205</v>
      </c>
      <c r="C118" s="8" t="s">
        <v>2296</v>
      </c>
      <c r="D118" s="8" t="s">
        <v>2517</v>
      </c>
      <c r="E118" s="8" t="s">
        <v>2518</v>
      </c>
      <c r="F118" s="8" t="s">
        <v>43</v>
      </c>
      <c r="G118" s="8"/>
      <c r="H118" s="8">
        <v>315</v>
      </c>
      <c r="I118" s="8" t="s">
        <v>2519</v>
      </c>
      <c r="J118" s="8">
        <v>1</v>
      </c>
      <c r="K118" s="8">
        <v>223</v>
      </c>
      <c r="L118" s="8">
        <v>226</v>
      </c>
      <c r="M118" s="8">
        <v>226</v>
      </c>
      <c r="N118" s="8">
        <v>390</v>
      </c>
      <c r="O118" s="8">
        <v>388</v>
      </c>
      <c r="P118" s="8">
        <v>390</v>
      </c>
      <c r="Q118" s="9" t="s">
        <v>47</v>
      </c>
      <c r="R118" s="16"/>
      <c r="S118" s="10">
        <v>27</v>
      </c>
      <c r="T118" s="10">
        <v>0</v>
      </c>
      <c r="U118" s="10">
        <v>0</v>
      </c>
      <c r="V118" s="11">
        <v>21</v>
      </c>
      <c r="W118" s="12" t="s">
        <v>132</v>
      </c>
      <c r="X118" s="17"/>
      <c r="Y118" s="13">
        <v>12</v>
      </c>
      <c r="Z118" s="13">
        <v>0</v>
      </c>
      <c r="AA118" s="13">
        <v>0</v>
      </c>
      <c r="AB118" s="14">
        <v>12</v>
      </c>
      <c r="AC118" s="9"/>
      <c r="AD118" s="16"/>
      <c r="AE118" s="10"/>
      <c r="AF118" s="10"/>
      <c r="AG118" s="10"/>
      <c r="AH118" s="11"/>
      <c r="AI118" s="12"/>
      <c r="AJ118" s="17"/>
      <c r="AK118" s="13"/>
      <c r="AL118" s="13"/>
      <c r="AM118" s="13"/>
      <c r="AN118" s="14"/>
      <c r="AO118" s="9"/>
      <c r="AP118" s="16"/>
      <c r="AQ118" s="10"/>
      <c r="AR118" s="10"/>
      <c r="AS118" s="10"/>
      <c r="AT118" s="11"/>
      <c r="AU118" s="12"/>
      <c r="AV118" s="17"/>
      <c r="AW118" s="13"/>
      <c r="AX118" s="13"/>
      <c r="AY118" s="13"/>
      <c r="AZ118" s="14"/>
      <c r="BA118" s="9"/>
      <c r="BB118" s="16"/>
      <c r="BC118" s="10"/>
      <c r="BD118" s="10"/>
      <c r="BE118" s="10"/>
      <c r="BF118" s="11"/>
      <c r="BG118" s="12"/>
      <c r="BH118" s="17"/>
      <c r="BI118" s="13"/>
      <c r="BJ118" s="13"/>
      <c r="BK118" s="13"/>
      <c r="BL118" s="14"/>
      <c r="BM118" s="8">
        <f t="shared" si="27"/>
        <v>39</v>
      </c>
      <c r="BN118" s="8">
        <f t="shared" si="28"/>
        <v>0</v>
      </c>
      <c r="BO118" s="8">
        <f t="shared" si="29"/>
        <v>0</v>
      </c>
      <c r="BP118" s="8">
        <f t="shared" si="30"/>
        <v>33</v>
      </c>
      <c r="BQ118" s="8">
        <f t="shared" si="31"/>
        <v>39</v>
      </c>
      <c r="BR118" s="8">
        <f t="shared" si="32"/>
        <v>0</v>
      </c>
      <c r="BS118" s="15">
        <f t="shared" si="33"/>
        <v>8.3633310422611498</v>
      </c>
      <c r="BT118" s="15" t="str">
        <f t="shared" si="34"/>
        <v>OK - No Upgrade</v>
      </c>
      <c r="BU118" s="15" t="str">
        <f t="shared" si="35"/>
        <v>Need to Balance</v>
      </c>
    </row>
    <row r="119" spans="1:73" ht="15.75" customHeight="1" x14ac:dyDescent="0.25">
      <c r="A119" s="8" t="s">
        <v>1459</v>
      </c>
      <c r="B119" s="8" t="s">
        <v>2205</v>
      </c>
      <c r="C119" s="8" t="s">
        <v>2296</v>
      </c>
      <c r="D119" s="8" t="s">
        <v>2520</v>
      </c>
      <c r="E119" s="8" t="s">
        <v>2521</v>
      </c>
      <c r="F119" s="8" t="s">
        <v>43</v>
      </c>
      <c r="G119" s="8"/>
      <c r="H119" s="8">
        <v>315</v>
      </c>
      <c r="I119" s="8" t="s">
        <v>2522</v>
      </c>
      <c r="J119" s="8">
        <v>1</v>
      </c>
      <c r="K119" s="8">
        <v>230</v>
      </c>
      <c r="L119" s="8">
        <v>232</v>
      </c>
      <c r="M119" s="8">
        <v>232</v>
      </c>
      <c r="N119" s="8">
        <v>400</v>
      </c>
      <c r="O119" s="8">
        <v>400</v>
      </c>
      <c r="P119" s="8">
        <v>402</v>
      </c>
      <c r="Q119" s="9" t="s">
        <v>46</v>
      </c>
      <c r="R119" s="16"/>
      <c r="S119" s="10">
        <v>0</v>
      </c>
      <c r="T119" s="10">
        <v>14</v>
      </c>
      <c r="U119" s="10">
        <v>0</v>
      </c>
      <c r="V119" s="11">
        <v>0</v>
      </c>
      <c r="W119" s="12"/>
      <c r="X119" s="17"/>
      <c r="Y119" s="13"/>
      <c r="Z119" s="13"/>
      <c r="AA119" s="13"/>
      <c r="AB119" s="14"/>
      <c r="AC119" s="9"/>
      <c r="AD119" s="16"/>
      <c r="AE119" s="10"/>
      <c r="AF119" s="10"/>
      <c r="AG119" s="10"/>
      <c r="AH119" s="11"/>
      <c r="AI119" s="12"/>
      <c r="AJ119" s="17"/>
      <c r="AK119" s="13"/>
      <c r="AL119" s="13"/>
      <c r="AM119" s="13"/>
      <c r="AN119" s="14"/>
      <c r="AO119" s="9"/>
      <c r="AP119" s="16"/>
      <c r="AQ119" s="10"/>
      <c r="AR119" s="10"/>
      <c r="AS119" s="10"/>
      <c r="AT119" s="11"/>
      <c r="AU119" s="12"/>
      <c r="AV119" s="17"/>
      <c r="AW119" s="13"/>
      <c r="AX119" s="13"/>
      <c r="AY119" s="13"/>
      <c r="AZ119" s="14"/>
      <c r="BA119" s="9"/>
      <c r="BB119" s="16"/>
      <c r="BC119" s="10"/>
      <c r="BD119" s="10"/>
      <c r="BE119" s="10"/>
      <c r="BF119" s="11"/>
      <c r="BG119" s="12"/>
      <c r="BH119" s="17"/>
      <c r="BI119" s="13"/>
      <c r="BJ119" s="13"/>
      <c r="BK119" s="13"/>
      <c r="BL119" s="14"/>
      <c r="BM119" s="8">
        <f t="shared" si="27"/>
        <v>0</v>
      </c>
      <c r="BN119" s="8">
        <f t="shared" si="28"/>
        <v>14</v>
      </c>
      <c r="BO119" s="8">
        <f t="shared" si="29"/>
        <v>0</v>
      </c>
      <c r="BP119" s="8">
        <f t="shared" si="30"/>
        <v>0</v>
      </c>
      <c r="BQ119" s="8">
        <f t="shared" si="31"/>
        <v>14</v>
      </c>
      <c r="BR119" s="8">
        <f t="shared" si="32"/>
        <v>0</v>
      </c>
      <c r="BS119" s="15">
        <f t="shared" si="33"/>
        <v>3.0792014356780038</v>
      </c>
      <c r="BT119" s="15" t="str">
        <f t="shared" si="34"/>
        <v>OK - No Upgrade</v>
      </c>
      <c r="BU119" s="15" t="str">
        <f t="shared" si="35"/>
        <v>Need to Balance</v>
      </c>
    </row>
    <row r="120" spans="1:73" ht="15.75" customHeight="1" x14ac:dyDescent="0.25">
      <c r="A120" s="8" t="s">
        <v>1459</v>
      </c>
      <c r="B120" s="8" t="s">
        <v>2205</v>
      </c>
      <c r="C120" s="8" t="s">
        <v>2296</v>
      </c>
      <c r="D120" s="8" t="s">
        <v>2520</v>
      </c>
      <c r="E120" s="8" t="s">
        <v>2523</v>
      </c>
      <c r="F120" s="8" t="s">
        <v>43</v>
      </c>
      <c r="G120" s="8"/>
      <c r="H120" s="8">
        <v>100</v>
      </c>
      <c r="I120" s="8" t="s">
        <v>2524</v>
      </c>
      <c r="J120" s="8">
        <v>1</v>
      </c>
      <c r="K120" s="8">
        <v>225</v>
      </c>
      <c r="L120" s="8">
        <v>227</v>
      </c>
      <c r="M120" s="8">
        <v>228</v>
      </c>
      <c r="N120" s="8">
        <v>390</v>
      </c>
      <c r="O120" s="8">
        <v>394</v>
      </c>
      <c r="P120" s="8">
        <v>394</v>
      </c>
      <c r="Q120" s="9" t="s">
        <v>46</v>
      </c>
      <c r="R120" s="16"/>
      <c r="S120" s="10">
        <v>0</v>
      </c>
      <c r="T120" s="10">
        <v>0</v>
      </c>
      <c r="U120" s="10">
        <v>0</v>
      </c>
      <c r="V120" s="11">
        <v>0</v>
      </c>
      <c r="W120" s="12"/>
      <c r="X120" s="17"/>
      <c r="Y120" s="13"/>
      <c r="Z120" s="13"/>
      <c r="AA120" s="13"/>
      <c r="AB120" s="14"/>
      <c r="AC120" s="9"/>
      <c r="AD120" s="16"/>
      <c r="AE120" s="10"/>
      <c r="AF120" s="10"/>
      <c r="AG120" s="10"/>
      <c r="AH120" s="11"/>
      <c r="AI120" s="12"/>
      <c r="AJ120" s="17"/>
      <c r="AK120" s="13"/>
      <c r="AL120" s="13"/>
      <c r="AM120" s="13"/>
      <c r="AN120" s="14"/>
      <c r="AO120" s="9"/>
      <c r="AP120" s="16"/>
      <c r="AQ120" s="10"/>
      <c r="AR120" s="10"/>
      <c r="AS120" s="10"/>
      <c r="AT120" s="11"/>
      <c r="AU120" s="12"/>
      <c r="AV120" s="17"/>
      <c r="AW120" s="13"/>
      <c r="AX120" s="13"/>
      <c r="AY120" s="13"/>
      <c r="AZ120" s="14"/>
      <c r="BA120" s="9"/>
      <c r="BB120" s="16"/>
      <c r="BC120" s="10"/>
      <c r="BD120" s="10"/>
      <c r="BE120" s="10"/>
      <c r="BF120" s="11"/>
      <c r="BG120" s="12"/>
      <c r="BH120" s="17"/>
      <c r="BI120" s="13"/>
      <c r="BJ120" s="13"/>
      <c r="BK120" s="13"/>
      <c r="BL120" s="14"/>
      <c r="BM120" s="8">
        <f t="shared" si="27"/>
        <v>0</v>
      </c>
      <c r="BN120" s="8">
        <f t="shared" si="28"/>
        <v>0</v>
      </c>
      <c r="BO120" s="8">
        <f t="shared" si="29"/>
        <v>0</v>
      </c>
      <c r="BP120" s="8">
        <f t="shared" si="30"/>
        <v>0</v>
      </c>
      <c r="BQ120" s="8">
        <f t="shared" si="31"/>
        <v>0</v>
      </c>
      <c r="BR120" s="8">
        <f t="shared" si="32"/>
        <v>0</v>
      </c>
      <c r="BS120" s="15">
        <f t="shared" si="33"/>
        <v>0</v>
      </c>
      <c r="BT120" s="15" t="str">
        <f t="shared" si="34"/>
        <v>OK - No Upgrade</v>
      </c>
      <c r="BU120" s="15" t="str">
        <f t="shared" si="35"/>
        <v>OK - Balanced</v>
      </c>
    </row>
    <row r="121" spans="1:73" ht="15.75" customHeight="1" x14ac:dyDescent="0.25">
      <c r="A121" s="8" t="s">
        <v>1459</v>
      </c>
      <c r="B121" s="8" t="s">
        <v>2205</v>
      </c>
      <c r="C121" s="8" t="s">
        <v>2296</v>
      </c>
      <c r="D121" s="8" t="s">
        <v>2520</v>
      </c>
      <c r="E121" s="8" t="s">
        <v>2525</v>
      </c>
      <c r="F121" s="8" t="s">
        <v>43</v>
      </c>
      <c r="G121" s="8"/>
      <c r="H121" s="8">
        <v>315</v>
      </c>
      <c r="I121" s="8" t="s">
        <v>2526</v>
      </c>
      <c r="J121" s="8">
        <v>1</v>
      </c>
      <c r="K121" s="8">
        <v>229</v>
      </c>
      <c r="L121" s="8">
        <v>230</v>
      </c>
      <c r="M121" s="8">
        <v>231</v>
      </c>
      <c r="N121" s="8">
        <v>398</v>
      </c>
      <c r="O121" s="8">
        <v>397</v>
      </c>
      <c r="P121" s="8">
        <v>401</v>
      </c>
      <c r="Q121" s="9" t="s">
        <v>70</v>
      </c>
      <c r="R121" s="16"/>
      <c r="S121" s="10">
        <v>0</v>
      </c>
      <c r="T121" s="10">
        <v>0</v>
      </c>
      <c r="U121" s="10">
        <v>0</v>
      </c>
      <c r="V121" s="11">
        <v>0</v>
      </c>
      <c r="W121" s="12"/>
      <c r="X121" s="17"/>
      <c r="Y121" s="13"/>
      <c r="Z121" s="13"/>
      <c r="AA121" s="13"/>
      <c r="AB121" s="14"/>
      <c r="AC121" s="9"/>
      <c r="AD121" s="16"/>
      <c r="AE121" s="10"/>
      <c r="AF121" s="10"/>
      <c r="AG121" s="10"/>
      <c r="AH121" s="11"/>
      <c r="AI121" s="12"/>
      <c r="AJ121" s="17"/>
      <c r="AK121" s="13"/>
      <c r="AL121" s="13"/>
      <c r="AM121" s="13"/>
      <c r="AN121" s="14"/>
      <c r="AO121" s="9"/>
      <c r="AP121" s="16"/>
      <c r="AQ121" s="10"/>
      <c r="AR121" s="10"/>
      <c r="AS121" s="10"/>
      <c r="AT121" s="11"/>
      <c r="AU121" s="12"/>
      <c r="AV121" s="17"/>
      <c r="AW121" s="13"/>
      <c r="AX121" s="13"/>
      <c r="AY121" s="13"/>
      <c r="AZ121" s="14"/>
      <c r="BA121" s="9"/>
      <c r="BB121" s="16"/>
      <c r="BC121" s="10"/>
      <c r="BD121" s="10"/>
      <c r="BE121" s="10"/>
      <c r="BF121" s="11"/>
      <c r="BG121" s="12"/>
      <c r="BH121" s="17"/>
      <c r="BI121" s="13"/>
      <c r="BJ121" s="13"/>
      <c r="BK121" s="13"/>
      <c r="BL121" s="14"/>
      <c r="BM121" s="8">
        <f t="shared" si="27"/>
        <v>0</v>
      </c>
      <c r="BN121" s="8">
        <f t="shared" si="28"/>
        <v>0</v>
      </c>
      <c r="BO121" s="8">
        <f t="shared" si="29"/>
        <v>0</v>
      </c>
      <c r="BP121" s="8">
        <f t="shared" si="30"/>
        <v>0</v>
      </c>
      <c r="BQ121" s="8">
        <f t="shared" si="31"/>
        <v>0</v>
      </c>
      <c r="BR121" s="8">
        <f t="shared" si="32"/>
        <v>0</v>
      </c>
      <c r="BS121" s="15">
        <f t="shared" si="33"/>
        <v>0</v>
      </c>
      <c r="BT121" s="15" t="str">
        <f t="shared" si="34"/>
        <v>OK - No Upgrade</v>
      </c>
      <c r="BU121" s="15" t="str">
        <f t="shared" si="35"/>
        <v>OK - Balanced</v>
      </c>
    </row>
    <row r="122" spans="1:73" ht="15.75" customHeight="1" x14ac:dyDescent="0.25">
      <c r="A122" s="8" t="s">
        <v>1459</v>
      </c>
      <c r="B122" s="8" t="s">
        <v>2205</v>
      </c>
      <c r="C122" s="8" t="s">
        <v>2296</v>
      </c>
      <c r="D122" s="8" t="s">
        <v>2527</v>
      </c>
      <c r="E122" s="8" t="s">
        <v>2528</v>
      </c>
      <c r="F122" s="8" t="s">
        <v>43</v>
      </c>
      <c r="G122" s="8"/>
      <c r="H122" s="8">
        <v>100</v>
      </c>
      <c r="I122" s="8" t="s">
        <v>2529</v>
      </c>
      <c r="J122" s="8">
        <v>1</v>
      </c>
      <c r="K122" s="8">
        <v>221</v>
      </c>
      <c r="L122" s="8">
        <v>239</v>
      </c>
      <c r="M122" s="8">
        <v>243</v>
      </c>
      <c r="N122" s="8">
        <v>418</v>
      </c>
      <c r="O122" s="8">
        <v>416</v>
      </c>
      <c r="P122" s="8">
        <v>419</v>
      </c>
      <c r="Q122" s="9" t="s">
        <v>46</v>
      </c>
      <c r="R122" s="16"/>
      <c r="S122" s="10">
        <v>0</v>
      </c>
      <c r="T122" s="10">
        <v>11</v>
      </c>
      <c r="U122" s="10">
        <v>13</v>
      </c>
      <c r="V122" s="11">
        <v>0</v>
      </c>
      <c r="W122" s="12"/>
      <c r="X122" s="17"/>
      <c r="Y122" s="13"/>
      <c r="Z122" s="13"/>
      <c r="AA122" s="13"/>
      <c r="AB122" s="14"/>
      <c r="AC122" s="9"/>
      <c r="AD122" s="16"/>
      <c r="AE122" s="10"/>
      <c r="AF122" s="10"/>
      <c r="AG122" s="10"/>
      <c r="AH122" s="11"/>
      <c r="AI122" s="12"/>
      <c r="AJ122" s="17"/>
      <c r="AK122" s="13"/>
      <c r="AL122" s="13"/>
      <c r="AM122" s="13"/>
      <c r="AN122" s="14"/>
      <c r="AO122" s="9"/>
      <c r="AP122" s="16"/>
      <c r="AQ122" s="10"/>
      <c r="AR122" s="10"/>
      <c r="AS122" s="10"/>
      <c r="AT122" s="11"/>
      <c r="AU122" s="12"/>
      <c r="AV122" s="17"/>
      <c r="AW122" s="13"/>
      <c r="AX122" s="13"/>
      <c r="AY122" s="13"/>
      <c r="AZ122" s="14"/>
      <c r="BA122" s="9"/>
      <c r="BB122" s="16"/>
      <c r="BC122" s="10"/>
      <c r="BD122" s="10"/>
      <c r="BE122" s="10"/>
      <c r="BF122" s="11"/>
      <c r="BG122" s="12"/>
      <c r="BH122" s="17"/>
      <c r="BI122" s="13"/>
      <c r="BJ122" s="13"/>
      <c r="BK122" s="13"/>
      <c r="BL122" s="14"/>
      <c r="BM122" s="8">
        <f t="shared" si="27"/>
        <v>0</v>
      </c>
      <c r="BN122" s="8">
        <f t="shared" si="28"/>
        <v>11</v>
      </c>
      <c r="BO122" s="8">
        <f t="shared" si="29"/>
        <v>13</v>
      </c>
      <c r="BP122" s="8">
        <f t="shared" si="30"/>
        <v>0</v>
      </c>
      <c r="BQ122" s="8">
        <f t="shared" si="31"/>
        <v>13</v>
      </c>
      <c r="BR122" s="8">
        <f t="shared" si="32"/>
        <v>0</v>
      </c>
      <c r="BS122" s="15">
        <f t="shared" si="33"/>
        <v>9.4119640883292774</v>
      </c>
      <c r="BT122" s="15" t="str">
        <f t="shared" si="34"/>
        <v>OK - No Upgrade</v>
      </c>
      <c r="BU122" s="15" t="str">
        <f t="shared" si="35"/>
        <v>Need to Balance</v>
      </c>
    </row>
    <row r="123" spans="1:73" ht="15.75" customHeight="1" x14ac:dyDescent="0.25">
      <c r="A123" s="8" t="s">
        <v>1459</v>
      </c>
      <c r="B123" s="8" t="s">
        <v>2205</v>
      </c>
      <c r="C123" s="8" t="s">
        <v>2296</v>
      </c>
      <c r="D123" s="8" t="s">
        <v>2527</v>
      </c>
      <c r="E123" s="8" t="s">
        <v>2530</v>
      </c>
      <c r="F123" s="8" t="s">
        <v>43</v>
      </c>
      <c r="G123" s="8"/>
      <c r="H123" s="8">
        <v>100</v>
      </c>
      <c r="I123" s="8" t="s">
        <v>2531</v>
      </c>
      <c r="J123" s="8">
        <v>1</v>
      </c>
      <c r="K123" s="8">
        <v>246</v>
      </c>
      <c r="L123" s="8">
        <v>246</v>
      </c>
      <c r="M123" s="8">
        <v>248</v>
      </c>
      <c r="N123" s="8">
        <v>423</v>
      </c>
      <c r="O123" s="8">
        <v>428</v>
      </c>
      <c r="P123" s="8">
        <v>426</v>
      </c>
      <c r="Q123" s="9" t="s">
        <v>46</v>
      </c>
      <c r="R123" s="16"/>
      <c r="S123" s="10">
        <v>0</v>
      </c>
      <c r="T123" s="10">
        <v>0</v>
      </c>
      <c r="U123" s="10">
        <v>0</v>
      </c>
      <c r="V123" s="11">
        <v>0</v>
      </c>
      <c r="W123" s="12"/>
      <c r="X123" s="17"/>
      <c r="Y123" s="13"/>
      <c r="Z123" s="13"/>
      <c r="AA123" s="13"/>
      <c r="AB123" s="14"/>
      <c r="AC123" s="9"/>
      <c r="AD123" s="16"/>
      <c r="AE123" s="10"/>
      <c r="AF123" s="10"/>
      <c r="AG123" s="10"/>
      <c r="AH123" s="11"/>
      <c r="AI123" s="12"/>
      <c r="AJ123" s="17"/>
      <c r="AK123" s="13"/>
      <c r="AL123" s="13"/>
      <c r="AM123" s="13"/>
      <c r="AN123" s="14"/>
      <c r="AO123" s="9"/>
      <c r="AP123" s="16"/>
      <c r="AQ123" s="10"/>
      <c r="AR123" s="10"/>
      <c r="AS123" s="10"/>
      <c r="AT123" s="11"/>
      <c r="AU123" s="12"/>
      <c r="AV123" s="17"/>
      <c r="AW123" s="13"/>
      <c r="AX123" s="13"/>
      <c r="AY123" s="13"/>
      <c r="AZ123" s="14"/>
      <c r="BA123" s="9"/>
      <c r="BB123" s="16"/>
      <c r="BC123" s="10"/>
      <c r="BD123" s="10"/>
      <c r="BE123" s="10"/>
      <c r="BF123" s="11"/>
      <c r="BG123" s="12"/>
      <c r="BH123" s="17"/>
      <c r="BI123" s="13"/>
      <c r="BJ123" s="13"/>
      <c r="BK123" s="13"/>
      <c r="BL123" s="14"/>
      <c r="BM123" s="8">
        <f t="shared" si="27"/>
        <v>0</v>
      </c>
      <c r="BN123" s="8">
        <f t="shared" si="28"/>
        <v>0</v>
      </c>
      <c r="BO123" s="8">
        <f t="shared" si="29"/>
        <v>0</v>
      </c>
      <c r="BP123" s="8">
        <f t="shared" si="30"/>
        <v>0</v>
      </c>
      <c r="BQ123" s="8">
        <f t="shared" si="31"/>
        <v>0</v>
      </c>
      <c r="BR123" s="8">
        <f t="shared" si="32"/>
        <v>0</v>
      </c>
      <c r="BS123" s="15">
        <f t="shared" si="33"/>
        <v>0</v>
      </c>
      <c r="BT123" s="15" t="str">
        <f t="shared" si="34"/>
        <v>OK - No Upgrade</v>
      </c>
      <c r="BU123" s="15" t="str">
        <f t="shared" si="35"/>
        <v>OK - Balanced</v>
      </c>
    </row>
    <row r="124" spans="1:73" ht="15.75" customHeight="1" x14ac:dyDescent="0.25">
      <c r="A124" s="8" t="s">
        <v>1459</v>
      </c>
      <c r="B124" s="8" t="s">
        <v>2205</v>
      </c>
      <c r="C124" s="8" t="s">
        <v>2296</v>
      </c>
      <c r="D124" s="8" t="s">
        <v>2527</v>
      </c>
      <c r="E124" s="8" t="s">
        <v>2532</v>
      </c>
      <c r="F124" s="8" t="s">
        <v>43</v>
      </c>
      <c r="G124" s="8"/>
      <c r="H124" s="8">
        <v>100</v>
      </c>
      <c r="I124" s="8" t="s">
        <v>2533</v>
      </c>
      <c r="J124" s="8">
        <v>1</v>
      </c>
      <c r="K124" s="8">
        <v>245</v>
      </c>
      <c r="L124" s="8">
        <v>245</v>
      </c>
      <c r="M124" s="8">
        <v>248</v>
      </c>
      <c r="N124" s="8">
        <v>423</v>
      </c>
      <c r="O124" s="8">
        <v>429</v>
      </c>
      <c r="P124" s="8">
        <v>426</v>
      </c>
      <c r="Q124" s="9" t="s">
        <v>46</v>
      </c>
      <c r="R124" s="16"/>
      <c r="S124" s="10">
        <v>0</v>
      </c>
      <c r="T124" s="10">
        <v>0</v>
      </c>
      <c r="U124" s="10">
        <v>0</v>
      </c>
      <c r="V124" s="11">
        <v>0</v>
      </c>
      <c r="W124" s="12"/>
      <c r="X124" s="17"/>
      <c r="Y124" s="13"/>
      <c r="Z124" s="13"/>
      <c r="AA124" s="13"/>
      <c r="AB124" s="14"/>
      <c r="AC124" s="9"/>
      <c r="AD124" s="16"/>
      <c r="AE124" s="10"/>
      <c r="AF124" s="10"/>
      <c r="AG124" s="10"/>
      <c r="AH124" s="11"/>
      <c r="AI124" s="12"/>
      <c r="AJ124" s="17"/>
      <c r="AK124" s="13"/>
      <c r="AL124" s="13"/>
      <c r="AM124" s="13"/>
      <c r="AN124" s="14"/>
      <c r="AO124" s="9"/>
      <c r="AP124" s="16"/>
      <c r="AQ124" s="10"/>
      <c r="AR124" s="10"/>
      <c r="AS124" s="10"/>
      <c r="AT124" s="11"/>
      <c r="AU124" s="12"/>
      <c r="AV124" s="17"/>
      <c r="AW124" s="13"/>
      <c r="AX124" s="13"/>
      <c r="AY124" s="13"/>
      <c r="AZ124" s="14"/>
      <c r="BA124" s="9"/>
      <c r="BB124" s="16"/>
      <c r="BC124" s="10"/>
      <c r="BD124" s="10"/>
      <c r="BE124" s="10"/>
      <c r="BF124" s="11"/>
      <c r="BG124" s="12"/>
      <c r="BH124" s="17"/>
      <c r="BI124" s="13"/>
      <c r="BJ124" s="13"/>
      <c r="BK124" s="13"/>
      <c r="BL124" s="14"/>
      <c r="BM124" s="8">
        <f t="shared" si="27"/>
        <v>0</v>
      </c>
      <c r="BN124" s="8">
        <f t="shared" si="28"/>
        <v>0</v>
      </c>
      <c r="BO124" s="8">
        <f t="shared" si="29"/>
        <v>0</v>
      </c>
      <c r="BP124" s="8">
        <f t="shared" si="30"/>
        <v>0</v>
      </c>
      <c r="BQ124" s="8">
        <f t="shared" si="31"/>
        <v>0</v>
      </c>
      <c r="BR124" s="8">
        <f t="shared" si="32"/>
        <v>0</v>
      </c>
      <c r="BS124" s="15">
        <f t="shared" si="33"/>
        <v>0</v>
      </c>
      <c r="BT124" s="15" t="str">
        <f t="shared" si="34"/>
        <v>OK - No Upgrade</v>
      </c>
      <c r="BU124" s="15" t="str">
        <f t="shared" si="35"/>
        <v>OK - Balanced</v>
      </c>
    </row>
    <row r="125" spans="1:73" ht="15.75" customHeight="1" x14ac:dyDescent="0.25">
      <c r="A125" s="8" t="s">
        <v>1459</v>
      </c>
      <c r="B125" s="8" t="s">
        <v>2205</v>
      </c>
      <c r="C125" s="8" t="s">
        <v>2296</v>
      </c>
      <c r="D125" s="8" t="s">
        <v>2534</v>
      </c>
      <c r="E125" s="8" t="s">
        <v>2535</v>
      </c>
      <c r="F125" s="8" t="s">
        <v>56</v>
      </c>
      <c r="G125" s="8"/>
      <c r="H125" s="8">
        <v>1000</v>
      </c>
      <c r="I125" s="8" t="s">
        <v>2536</v>
      </c>
      <c r="J125" s="8">
        <v>1</v>
      </c>
      <c r="K125" s="8">
        <v>240</v>
      </c>
      <c r="L125" s="8">
        <v>240</v>
      </c>
      <c r="M125" s="8">
        <v>243</v>
      </c>
      <c r="N125" s="8">
        <v>413</v>
      </c>
      <c r="O125" s="8">
        <v>420</v>
      </c>
      <c r="P125" s="8">
        <v>418</v>
      </c>
      <c r="Q125" s="9" t="s">
        <v>46</v>
      </c>
      <c r="R125" s="16"/>
      <c r="S125" s="10"/>
      <c r="T125" s="10"/>
      <c r="U125" s="10"/>
      <c r="V125" s="11"/>
      <c r="W125" s="12" t="s">
        <v>47</v>
      </c>
      <c r="X125" s="17"/>
      <c r="Y125" s="13">
        <v>63</v>
      </c>
      <c r="Z125" s="13">
        <v>60</v>
      </c>
      <c r="AA125" s="13">
        <v>34</v>
      </c>
      <c r="AB125" s="14">
        <v>35</v>
      </c>
      <c r="AC125" s="9" t="s">
        <v>46</v>
      </c>
      <c r="AD125" s="16"/>
      <c r="AE125" s="10">
        <v>80</v>
      </c>
      <c r="AF125" s="10">
        <v>129</v>
      </c>
      <c r="AG125" s="10">
        <v>65</v>
      </c>
      <c r="AH125" s="11">
        <v>43</v>
      </c>
      <c r="AI125" s="12" t="s">
        <v>46</v>
      </c>
      <c r="AJ125" s="17"/>
      <c r="AK125" s="13">
        <v>192</v>
      </c>
      <c r="AL125" s="13">
        <v>125</v>
      </c>
      <c r="AM125" s="13">
        <v>123</v>
      </c>
      <c r="AN125" s="14">
        <v>49</v>
      </c>
      <c r="AO125" s="9" t="s">
        <v>46</v>
      </c>
      <c r="AP125" s="16"/>
      <c r="AQ125" s="10">
        <v>231</v>
      </c>
      <c r="AR125" s="10">
        <v>116</v>
      </c>
      <c r="AS125" s="10">
        <v>128</v>
      </c>
      <c r="AT125" s="11">
        <v>92</v>
      </c>
      <c r="AU125" s="12" t="s">
        <v>46</v>
      </c>
      <c r="AV125" s="17"/>
      <c r="AW125" s="13">
        <v>230</v>
      </c>
      <c r="AX125" s="13">
        <v>117</v>
      </c>
      <c r="AY125" s="13">
        <v>129</v>
      </c>
      <c r="AZ125" s="14">
        <v>94</v>
      </c>
      <c r="BA125" s="9"/>
      <c r="BB125" s="16"/>
      <c r="BC125" s="10"/>
      <c r="BD125" s="10"/>
      <c r="BE125" s="10"/>
      <c r="BF125" s="11"/>
      <c r="BG125" s="12"/>
      <c r="BH125" s="17"/>
      <c r="BI125" s="13"/>
      <c r="BJ125" s="13"/>
      <c r="BK125" s="13"/>
      <c r="BL125" s="14"/>
      <c r="BM125" s="8">
        <f t="shared" si="27"/>
        <v>796</v>
      </c>
      <c r="BN125" s="8">
        <f t="shared" si="28"/>
        <v>547</v>
      </c>
      <c r="BO125" s="8">
        <f t="shared" si="29"/>
        <v>479</v>
      </c>
      <c r="BP125" s="8">
        <f t="shared" si="30"/>
        <v>313</v>
      </c>
      <c r="BQ125" s="8">
        <f t="shared" si="31"/>
        <v>796</v>
      </c>
      <c r="BR125" s="8">
        <f t="shared" si="32"/>
        <v>479</v>
      </c>
      <c r="BS125" s="15">
        <f t="shared" si="33"/>
        <v>56.940823888665328</v>
      </c>
      <c r="BT125" s="15" t="str">
        <f t="shared" si="34"/>
        <v>OK - No Upgrade</v>
      </c>
      <c r="BU125" s="15" t="str">
        <f t="shared" si="35"/>
        <v>Need to Balance</v>
      </c>
    </row>
    <row r="126" spans="1:73" ht="15.75" customHeight="1" x14ac:dyDescent="0.25">
      <c r="A126" s="8" t="s">
        <v>1459</v>
      </c>
      <c r="B126" s="8" t="s">
        <v>2205</v>
      </c>
      <c r="C126" s="8" t="s">
        <v>389</v>
      </c>
      <c r="D126" s="8" t="s">
        <v>2537</v>
      </c>
      <c r="E126" s="8" t="s">
        <v>2538</v>
      </c>
      <c r="F126" s="8" t="s">
        <v>56</v>
      </c>
      <c r="G126" s="8"/>
      <c r="H126" s="8">
        <v>500</v>
      </c>
      <c r="I126" s="8" t="s">
        <v>2539</v>
      </c>
      <c r="J126" s="8">
        <v>1</v>
      </c>
      <c r="K126" s="8">
        <v>240</v>
      </c>
      <c r="L126" s="8">
        <v>243</v>
      </c>
      <c r="M126" s="8">
        <v>233</v>
      </c>
      <c r="N126" s="8">
        <v>423</v>
      </c>
      <c r="O126" s="8">
        <v>421</v>
      </c>
      <c r="P126" s="8">
        <v>422</v>
      </c>
      <c r="Q126" s="9" t="s">
        <v>47</v>
      </c>
      <c r="R126" s="16"/>
      <c r="S126" s="10">
        <v>184</v>
      </c>
      <c r="T126" s="10">
        <v>142</v>
      </c>
      <c r="U126" s="10">
        <v>114</v>
      </c>
      <c r="V126" s="11">
        <v>51</v>
      </c>
      <c r="W126" s="12" t="s">
        <v>47</v>
      </c>
      <c r="X126" s="17"/>
      <c r="Y126" s="13">
        <v>37</v>
      </c>
      <c r="Z126" s="13">
        <v>36</v>
      </c>
      <c r="AA126" s="13">
        <v>31</v>
      </c>
      <c r="AB126" s="14">
        <v>29</v>
      </c>
      <c r="AC126" s="9" t="s">
        <v>47</v>
      </c>
      <c r="AD126" s="16"/>
      <c r="AE126" s="10"/>
      <c r="AF126" s="10"/>
      <c r="AG126" s="10"/>
      <c r="AH126" s="11"/>
      <c r="AI126" s="12"/>
      <c r="AJ126" s="17"/>
      <c r="AK126" s="13"/>
      <c r="AL126" s="13"/>
      <c r="AM126" s="13"/>
      <c r="AN126" s="14"/>
      <c r="AO126" s="9"/>
      <c r="AP126" s="16"/>
      <c r="AQ126" s="10"/>
      <c r="AR126" s="10"/>
      <c r="AS126" s="10"/>
      <c r="AT126" s="11"/>
      <c r="AU126" s="12"/>
      <c r="AV126" s="17"/>
      <c r="AW126" s="13"/>
      <c r="AX126" s="13"/>
      <c r="AY126" s="13"/>
      <c r="AZ126" s="14"/>
      <c r="BA126" s="9"/>
      <c r="BB126" s="16"/>
      <c r="BC126" s="10"/>
      <c r="BD126" s="10"/>
      <c r="BE126" s="10"/>
      <c r="BF126" s="11"/>
      <c r="BG126" s="12"/>
      <c r="BH126" s="17"/>
      <c r="BI126" s="13"/>
      <c r="BJ126" s="13"/>
      <c r="BK126" s="13"/>
      <c r="BL126" s="14"/>
      <c r="BM126" s="8">
        <f t="shared" si="27"/>
        <v>221</v>
      </c>
      <c r="BN126" s="8">
        <f t="shared" si="28"/>
        <v>178</v>
      </c>
      <c r="BO126" s="8">
        <f t="shared" si="29"/>
        <v>145</v>
      </c>
      <c r="BP126" s="8">
        <f t="shared" si="30"/>
        <v>80</v>
      </c>
      <c r="BQ126" s="8">
        <f t="shared" si="31"/>
        <v>221</v>
      </c>
      <c r="BR126" s="8">
        <f t="shared" si="32"/>
        <v>145</v>
      </c>
      <c r="BS126" s="15">
        <f t="shared" si="33"/>
        <v>32.383461128792277</v>
      </c>
      <c r="BT126" s="15" t="str">
        <f t="shared" si="34"/>
        <v>OK - No Upgrade</v>
      </c>
      <c r="BU126" s="15" t="str">
        <f t="shared" si="35"/>
        <v>Need to Balance</v>
      </c>
    </row>
  </sheetData>
  <mergeCells count="79">
    <mergeCell ref="BU1:BU3"/>
    <mergeCell ref="BI2:BI3"/>
    <mergeCell ref="AE2:AE3"/>
    <mergeCell ref="AG2:AG3"/>
    <mergeCell ref="Y2:Y3"/>
    <mergeCell ref="AQ2:AQ3"/>
    <mergeCell ref="AS2:AS3"/>
    <mergeCell ref="AY2:AY3"/>
    <mergeCell ref="BK2:BK3"/>
    <mergeCell ref="AZ2:AZ3"/>
    <mergeCell ref="BB2:BB3"/>
    <mergeCell ref="BL2:BL3"/>
    <mergeCell ref="BN2:BN3"/>
    <mergeCell ref="AU1:AZ1"/>
    <mergeCell ref="AJ2:AJ3"/>
    <mergeCell ref="AL2:AL3"/>
    <mergeCell ref="BR1:BR3"/>
    <mergeCell ref="H1:H3"/>
    <mergeCell ref="AR2:AR3"/>
    <mergeCell ref="AT2:AT3"/>
    <mergeCell ref="E1:E3"/>
    <mergeCell ref="BF2:BF3"/>
    <mergeCell ref="K2:M2"/>
    <mergeCell ref="F1:F3"/>
    <mergeCell ref="J1:J3"/>
    <mergeCell ref="R2:R3"/>
    <mergeCell ref="AD2:AD3"/>
    <mergeCell ref="AN2:AN3"/>
    <mergeCell ref="AP2:AP3"/>
    <mergeCell ref="A1:A3"/>
    <mergeCell ref="BA1:BF1"/>
    <mergeCell ref="C1:C3"/>
    <mergeCell ref="D1:D2"/>
    <mergeCell ref="BQ1:BQ3"/>
    <mergeCell ref="BS1:BS3"/>
    <mergeCell ref="BA2:BA3"/>
    <mergeCell ref="S2:S3"/>
    <mergeCell ref="BC2:BC3"/>
    <mergeCell ref="K1:P1"/>
    <mergeCell ref="BM2:BM3"/>
    <mergeCell ref="BO2:BO3"/>
    <mergeCell ref="W1:AB1"/>
    <mergeCell ref="Q1:V1"/>
    <mergeCell ref="BP2:BP3"/>
    <mergeCell ref="AC1:AH1"/>
    <mergeCell ref="AO1:AT1"/>
    <mergeCell ref="Z2:Z3"/>
    <mergeCell ref="B1:B3"/>
    <mergeCell ref="AI1:AN1"/>
    <mergeCell ref="V2:V3"/>
    <mergeCell ref="X2:X3"/>
    <mergeCell ref="BG1:BL1"/>
    <mergeCell ref="BD2:BD3"/>
    <mergeCell ref="AV2:AV3"/>
    <mergeCell ref="AX2:AX3"/>
    <mergeCell ref="I1:I3"/>
    <mergeCell ref="BH2:BH3"/>
    <mergeCell ref="BJ2:BJ3"/>
    <mergeCell ref="AF2:AF3"/>
    <mergeCell ref="AH2:AH3"/>
    <mergeCell ref="Q2:Q3"/>
    <mergeCell ref="AI2:AI3"/>
    <mergeCell ref="AK2:AK3"/>
    <mergeCell ref="N2:P2"/>
    <mergeCell ref="G1:G3"/>
    <mergeCell ref="U2:U3"/>
    <mergeCell ref="BT1:BT3"/>
    <mergeCell ref="BE2:BE3"/>
    <mergeCell ref="W2:W3"/>
    <mergeCell ref="BG2:BG3"/>
    <mergeCell ref="AA2:AA3"/>
    <mergeCell ref="AC2:AC3"/>
    <mergeCell ref="AM2:AM3"/>
    <mergeCell ref="AO2:AO3"/>
    <mergeCell ref="BM1:BP1"/>
    <mergeCell ref="AU2:AU3"/>
    <mergeCell ref="AW2:AW3"/>
    <mergeCell ref="AB2:AB3"/>
    <mergeCell ref="T2:T3"/>
  </mergeCells>
  <dataValidations count="1">
    <dataValidation type="list" allowBlank="1" errorTitle="Invalid value" error="Please choose Cu or Al" promptTitle="Cable Type" prompt="Choose cable material" sqref="R4:R126 BH4:BH126 BB4:BB126 AV4:AV126 AP4:AP126 AJ4:AJ126 AD4:AD126 X4:X126" xr:uid="{00000000-0002-0000-0D00-000000000000}">
      <formula1>"Cu,Al"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U88"/>
  <sheetViews>
    <sheetView workbookViewId="0"/>
  </sheetViews>
  <sheetFormatPr defaultRowHeight="15" x14ac:dyDescent="0.25"/>
  <cols>
    <col min="1" max="1" width="12.85546875" customWidth="1"/>
    <col min="2" max="2" width="14.85546875" customWidth="1"/>
    <col min="3" max="3" width="9.85546875" customWidth="1"/>
    <col min="4" max="4" width="20.85546875" customWidth="1"/>
    <col min="5" max="5" width="8.85546875" customWidth="1"/>
    <col min="6" max="6" width="10.85546875" customWidth="1"/>
    <col min="7" max="7" width="5.85546875" customWidth="1"/>
    <col min="8" max="8" width="9.85546875" customWidth="1"/>
    <col min="9" max="9" width="10.85546875" customWidth="1"/>
    <col min="10" max="10" width="5.85546875" customWidth="1"/>
    <col min="11" max="11" width="7.85546875" customWidth="1"/>
    <col min="12" max="16" width="6.85546875" customWidth="1"/>
    <col min="17" max="17" width="8.85546875" customWidth="1"/>
    <col min="18" max="21" width="6.85546875" customWidth="1"/>
    <col min="22" max="22" width="8.85546875" customWidth="1"/>
    <col min="23" max="26" width="6.85546875" customWidth="1"/>
    <col min="27" max="27" width="8.85546875" customWidth="1"/>
    <col min="28" max="31" width="6.85546875" customWidth="1"/>
    <col min="32" max="32" width="8.85546875" customWidth="1"/>
    <col min="33" max="36" width="6.85546875" customWidth="1"/>
    <col min="37" max="37" width="8.85546875" customWidth="1"/>
    <col min="38" max="41" width="6.85546875" customWidth="1"/>
    <col min="42" max="42" width="8.85546875" customWidth="1"/>
    <col min="43" max="46" width="6.85546875" customWidth="1"/>
    <col min="47" max="47" width="8.85546875" customWidth="1"/>
    <col min="48" max="51" width="6.85546875" customWidth="1"/>
    <col min="52" max="52" width="8.85546875" customWidth="1"/>
    <col min="53" max="60" width="6.85546875" customWidth="1"/>
    <col min="61" max="62" width="7.85546875" customWidth="1"/>
    <col min="63" max="63" width="9.85546875" customWidth="1"/>
    <col min="64" max="65" width="24.85546875" customWidth="1"/>
  </cols>
  <sheetData>
    <row r="1" spans="1:73" ht="19.5" customHeight="1" x14ac:dyDescent="0.25">
      <c r="A1" s="21" t="s">
        <v>0</v>
      </c>
      <c r="B1" s="21" t="s">
        <v>1</v>
      </c>
      <c r="C1" s="21" t="s">
        <v>2</v>
      </c>
      <c r="D1" s="38" t="s">
        <v>3</v>
      </c>
      <c r="E1" s="21" t="s">
        <v>4</v>
      </c>
      <c r="F1" s="40" t="s">
        <v>5</v>
      </c>
      <c r="G1" s="21" t="s">
        <v>6</v>
      </c>
      <c r="H1" s="21" t="s">
        <v>7</v>
      </c>
      <c r="I1" s="21" t="s">
        <v>8</v>
      </c>
      <c r="J1" s="41" t="s">
        <v>9</v>
      </c>
      <c r="K1" s="18" t="s">
        <v>10</v>
      </c>
      <c r="L1" s="19"/>
      <c r="M1" s="19"/>
      <c r="N1" s="19"/>
      <c r="O1" s="19"/>
      <c r="P1" s="20"/>
      <c r="Q1" s="29" t="s">
        <v>11</v>
      </c>
      <c r="R1" s="30"/>
      <c r="S1" s="30"/>
      <c r="T1" s="30"/>
      <c r="U1" s="30"/>
      <c r="V1" s="31"/>
      <c r="W1" s="29" t="s">
        <v>12</v>
      </c>
      <c r="X1" s="30"/>
      <c r="Y1" s="30"/>
      <c r="Z1" s="30"/>
      <c r="AA1" s="30"/>
      <c r="AB1" s="31"/>
      <c r="AC1" s="29" t="s">
        <v>13</v>
      </c>
      <c r="AD1" s="30"/>
      <c r="AE1" s="30"/>
      <c r="AF1" s="30"/>
      <c r="AG1" s="30"/>
      <c r="AH1" s="31"/>
      <c r="AI1" s="29" t="s">
        <v>14</v>
      </c>
      <c r="AJ1" s="30"/>
      <c r="AK1" s="30"/>
      <c r="AL1" s="30"/>
      <c r="AM1" s="30"/>
      <c r="AN1" s="31"/>
      <c r="AO1" s="29" t="s">
        <v>15</v>
      </c>
      <c r="AP1" s="30"/>
      <c r="AQ1" s="30"/>
      <c r="AR1" s="30"/>
      <c r="AS1" s="30"/>
      <c r="AT1" s="31"/>
      <c r="AU1" s="29" t="s">
        <v>16</v>
      </c>
      <c r="AV1" s="30"/>
      <c r="AW1" s="30"/>
      <c r="AX1" s="30"/>
      <c r="AY1" s="30"/>
      <c r="AZ1" s="31"/>
      <c r="BA1" s="29" t="s">
        <v>17</v>
      </c>
      <c r="BB1" s="30"/>
      <c r="BC1" s="30"/>
      <c r="BD1" s="30"/>
      <c r="BE1" s="30"/>
      <c r="BF1" s="31"/>
      <c r="BG1" s="29" t="s">
        <v>18</v>
      </c>
      <c r="BH1" s="30"/>
      <c r="BI1" s="30"/>
      <c r="BJ1" s="30"/>
      <c r="BK1" s="30"/>
      <c r="BL1" s="31"/>
      <c r="BM1" s="37" t="s">
        <v>19</v>
      </c>
      <c r="BN1" s="19"/>
      <c r="BO1" s="19"/>
      <c r="BP1" s="20"/>
      <c r="BQ1" s="18" t="s">
        <v>20</v>
      </c>
      <c r="BR1" s="18" t="s">
        <v>21</v>
      </c>
      <c r="BS1" s="39" t="s">
        <v>22</v>
      </c>
      <c r="BT1" s="26" t="s">
        <v>23</v>
      </c>
      <c r="BU1" s="26" t="s">
        <v>24</v>
      </c>
    </row>
    <row r="2" spans="1:73" ht="19.5" customHeight="1" x14ac:dyDescent="0.25">
      <c r="A2" s="22"/>
      <c r="B2" s="22"/>
      <c r="C2" s="22"/>
      <c r="D2" s="23"/>
      <c r="E2" s="22"/>
      <c r="F2" s="22"/>
      <c r="G2" s="22"/>
      <c r="H2" s="22"/>
      <c r="I2" s="22"/>
      <c r="J2" s="22"/>
      <c r="K2" s="18" t="s">
        <v>25</v>
      </c>
      <c r="L2" s="19"/>
      <c r="M2" s="20"/>
      <c r="N2" s="18" t="s">
        <v>26</v>
      </c>
      <c r="O2" s="19"/>
      <c r="P2" s="20"/>
      <c r="Q2" s="27" t="s">
        <v>27</v>
      </c>
      <c r="R2" s="34" t="s">
        <v>5</v>
      </c>
      <c r="S2" s="36" t="s">
        <v>28</v>
      </c>
      <c r="T2" s="35" t="s">
        <v>29</v>
      </c>
      <c r="U2" s="24" t="s">
        <v>30</v>
      </c>
      <c r="V2" s="32" t="s">
        <v>31</v>
      </c>
      <c r="W2" s="27" t="s">
        <v>27</v>
      </c>
      <c r="X2" s="34" t="s">
        <v>5</v>
      </c>
      <c r="Y2" s="36" t="s">
        <v>28</v>
      </c>
      <c r="Z2" s="35" t="s">
        <v>29</v>
      </c>
      <c r="AA2" s="24" t="s">
        <v>30</v>
      </c>
      <c r="AB2" s="32" t="s">
        <v>31</v>
      </c>
      <c r="AC2" s="27" t="s">
        <v>27</v>
      </c>
      <c r="AD2" s="34" t="s">
        <v>5</v>
      </c>
      <c r="AE2" s="36" t="s">
        <v>28</v>
      </c>
      <c r="AF2" s="35" t="s">
        <v>29</v>
      </c>
      <c r="AG2" s="24" t="s">
        <v>30</v>
      </c>
      <c r="AH2" s="32" t="s">
        <v>31</v>
      </c>
      <c r="AI2" s="27" t="s">
        <v>27</v>
      </c>
      <c r="AJ2" s="34" t="s">
        <v>5</v>
      </c>
      <c r="AK2" s="36" t="s">
        <v>28</v>
      </c>
      <c r="AL2" s="35" t="s">
        <v>29</v>
      </c>
      <c r="AM2" s="24" t="s">
        <v>30</v>
      </c>
      <c r="AN2" s="32" t="s">
        <v>31</v>
      </c>
      <c r="AO2" s="27" t="s">
        <v>27</v>
      </c>
      <c r="AP2" s="34" t="s">
        <v>5</v>
      </c>
      <c r="AQ2" s="36" t="s">
        <v>28</v>
      </c>
      <c r="AR2" s="35" t="s">
        <v>29</v>
      </c>
      <c r="AS2" s="24" t="s">
        <v>30</v>
      </c>
      <c r="AT2" s="32" t="s">
        <v>31</v>
      </c>
      <c r="AU2" s="27" t="s">
        <v>27</v>
      </c>
      <c r="AV2" s="34" t="s">
        <v>5</v>
      </c>
      <c r="AW2" s="36" t="s">
        <v>28</v>
      </c>
      <c r="AX2" s="35" t="s">
        <v>29</v>
      </c>
      <c r="AY2" s="24" t="s">
        <v>30</v>
      </c>
      <c r="AZ2" s="32" t="s">
        <v>31</v>
      </c>
      <c r="BA2" s="27" t="s">
        <v>27</v>
      </c>
      <c r="BB2" s="34" t="s">
        <v>5</v>
      </c>
      <c r="BC2" s="36" t="s">
        <v>28</v>
      </c>
      <c r="BD2" s="35" t="s">
        <v>29</v>
      </c>
      <c r="BE2" s="24" t="s">
        <v>30</v>
      </c>
      <c r="BF2" s="32" t="s">
        <v>31</v>
      </c>
      <c r="BG2" s="27" t="s">
        <v>27</v>
      </c>
      <c r="BH2" s="34" t="s">
        <v>5</v>
      </c>
      <c r="BI2" s="36" t="s">
        <v>28</v>
      </c>
      <c r="BJ2" s="35" t="s">
        <v>29</v>
      </c>
      <c r="BK2" s="24" t="s">
        <v>30</v>
      </c>
      <c r="BL2" s="32" t="s">
        <v>31</v>
      </c>
      <c r="BM2" s="37" t="s">
        <v>28</v>
      </c>
      <c r="BN2" s="37" t="s">
        <v>29</v>
      </c>
      <c r="BO2" s="37" t="s">
        <v>30</v>
      </c>
      <c r="BP2" s="37" t="s">
        <v>31</v>
      </c>
      <c r="BQ2" s="22"/>
      <c r="BR2" s="22"/>
      <c r="BS2" s="22"/>
      <c r="BT2" s="22"/>
      <c r="BU2" s="22"/>
    </row>
    <row r="3" spans="1:73" ht="19.5" customHeight="1" x14ac:dyDescent="0.25">
      <c r="A3" s="23"/>
      <c r="B3" s="23"/>
      <c r="C3" s="23"/>
      <c r="D3" s="1"/>
      <c r="E3" s="23"/>
      <c r="F3" s="23"/>
      <c r="G3" s="23"/>
      <c r="H3" s="23"/>
      <c r="I3" s="23"/>
      <c r="J3" s="23"/>
      <c r="K3" s="2" t="s">
        <v>32</v>
      </c>
      <c r="L3" s="3" t="s">
        <v>33</v>
      </c>
      <c r="M3" s="4" t="s">
        <v>34</v>
      </c>
      <c r="N3" s="5" t="s">
        <v>35</v>
      </c>
      <c r="O3" s="6" t="s">
        <v>36</v>
      </c>
      <c r="P3" s="7" t="s">
        <v>37</v>
      </c>
      <c r="Q3" s="28"/>
      <c r="R3" s="25"/>
      <c r="S3" s="25"/>
      <c r="T3" s="25"/>
      <c r="U3" s="25"/>
      <c r="V3" s="33"/>
      <c r="W3" s="28"/>
      <c r="X3" s="25"/>
      <c r="Y3" s="25"/>
      <c r="Z3" s="25"/>
      <c r="AA3" s="25"/>
      <c r="AB3" s="33"/>
      <c r="AC3" s="28"/>
      <c r="AD3" s="25"/>
      <c r="AE3" s="25"/>
      <c r="AF3" s="25"/>
      <c r="AG3" s="25"/>
      <c r="AH3" s="33"/>
      <c r="AI3" s="28"/>
      <c r="AJ3" s="25"/>
      <c r="AK3" s="25"/>
      <c r="AL3" s="25"/>
      <c r="AM3" s="25"/>
      <c r="AN3" s="33"/>
      <c r="AO3" s="28"/>
      <c r="AP3" s="25"/>
      <c r="AQ3" s="25"/>
      <c r="AR3" s="25"/>
      <c r="AS3" s="25"/>
      <c r="AT3" s="33"/>
      <c r="AU3" s="28"/>
      <c r="AV3" s="25"/>
      <c r="AW3" s="25"/>
      <c r="AX3" s="25"/>
      <c r="AY3" s="25"/>
      <c r="AZ3" s="33"/>
      <c r="BA3" s="28"/>
      <c r="BB3" s="25"/>
      <c r="BC3" s="25"/>
      <c r="BD3" s="25"/>
      <c r="BE3" s="25"/>
      <c r="BF3" s="33"/>
      <c r="BG3" s="28"/>
      <c r="BH3" s="25"/>
      <c r="BI3" s="25"/>
      <c r="BJ3" s="25"/>
      <c r="BK3" s="25"/>
      <c r="BL3" s="33"/>
      <c r="BM3" s="23"/>
      <c r="BN3" s="23"/>
      <c r="BO3" s="23"/>
      <c r="BP3" s="23"/>
      <c r="BQ3" s="23"/>
      <c r="BR3" s="23"/>
      <c r="BS3" s="23"/>
      <c r="BT3" s="23"/>
      <c r="BU3" s="23"/>
    </row>
    <row r="4" spans="1:73" ht="15.75" customHeight="1" x14ac:dyDescent="0.25">
      <c r="A4" s="8" t="s">
        <v>1459</v>
      </c>
      <c r="B4" s="8" t="s">
        <v>2540</v>
      </c>
      <c r="C4" s="8" t="s">
        <v>124</v>
      </c>
      <c r="D4" s="8" t="s">
        <v>2541</v>
      </c>
      <c r="E4" s="8" t="s">
        <v>2494</v>
      </c>
      <c r="F4" s="8" t="s">
        <v>56</v>
      </c>
      <c r="G4" s="8"/>
      <c r="H4" s="8">
        <v>500</v>
      </c>
      <c r="I4" s="8" t="s">
        <v>2542</v>
      </c>
      <c r="J4" s="8">
        <v>1</v>
      </c>
      <c r="K4" s="8">
        <v>215</v>
      </c>
      <c r="L4" s="8">
        <v>219</v>
      </c>
      <c r="M4" s="8">
        <v>216</v>
      </c>
      <c r="N4" s="8">
        <v>376</v>
      </c>
      <c r="O4" s="8">
        <v>372</v>
      </c>
      <c r="P4" s="8">
        <v>378</v>
      </c>
      <c r="Q4" s="9"/>
      <c r="R4" s="16"/>
      <c r="S4" s="10"/>
      <c r="T4" s="10"/>
      <c r="U4" s="10"/>
      <c r="V4" s="11"/>
      <c r="W4" s="12" t="s">
        <v>46</v>
      </c>
      <c r="X4" s="17"/>
      <c r="Y4" s="13">
        <v>0</v>
      </c>
      <c r="Z4" s="13">
        <v>10</v>
      </c>
      <c r="AA4" s="13">
        <v>0</v>
      </c>
      <c r="AB4" s="14">
        <v>11</v>
      </c>
      <c r="AC4" s="9"/>
      <c r="AD4" s="16"/>
      <c r="AE4" s="10"/>
      <c r="AF4" s="10"/>
      <c r="AG4" s="10"/>
      <c r="AH4" s="11"/>
      <c r="AI4" s="12"/>
      <c r="AJ4" s="17"/>
      <c r="AK4" s="13"/>
      <c r="AL4" s="13"/>
      <c r="AM4" s="13"/>
      <c r="AN4" s="14"/>
      <c r="AO4" s="9"/>
      <c r="AP4" s="16"/>
      <c r="AQ4" s="10"/>
      <c r="AR4" s="10"/>
      <c r="AS4" s="10"/>
      <c r="AT4" s="11"/>
      <c r="AU4" s="12"/>
      <c r="AV4" s="17"/>
      <c r="AW4" s="13"/>
      <c r="AX4" s="13"/>
      <c r="AY4" s="13"/>
      <c r="AZ4" s="14"/>
      <c r="BA4" s="9"/>
      <c r="BB4" s="16"/>
      <c r="BC4" s="10"/>
      <c r="BD4" s="10"/>
      <c r="BE4" s="10"/>
      <c r="BF4" s="11"/>
      <c r="BG4" s="12"/>
      <c r="BH4" s="17"/>
      <c r="BI4" s="13"/>
      <c r="BJ4" s="13"/>
      <c r="BK4" s="13"/>
      <c r="BL4" s="14"/>
      <c r="BM4" s="8">
        <f t="shared" ref="BM4:BM35" si="0">SUM(S4,Y4,AE4,AK4,AQ4,AW4,BC4,BI4)</f>
        <v>0</v>
      </c>
      <c r="BN4" s="8">
        <f t="shared" ref="BN4:BN35" si="1">SUM(T4,Z4,AF4,AL4,AR4,AX4,BD4,BJ4)</f>
        <v>10</v>
      </c>
      <c r="BO4" s="8">
        <f t="shared" ref="BO4:BO35" si="2">SUM(U4,AA4,AG4,AM4,AS4,AY4,BE4,BK4)</f>
        <v>0</v>
      </c>
      <c r="BP4" s="8">
        <f t="shared" ref="BP4:BP35" si="3">SUM(V4,AB4,AH4,AN4,AT4,AZ4,BF4,BL4)</f>
        <v>11</v>
      </c>
      <c r="BQ4" s="8">
        <f t="shared" ref="BQ4:BQ35" si="4">MAX(BM4:BO4)</f>
        <v>10</v>
      </c>
      <c r="BR4" s="8">
        <f t="shared" ref="BR4:BR35" si="5">MIN(BM4:BO4)</f>
        <v>0</v>
      </c>
      <c r="BS4" s="15">
        <f t="shared" ref="BS4:BS35" si="6">IF(H4&gt;0,(BQ4*SQRT(3)*IF(N4&gt;0,N4,IF(O4&gt;0,O4,IF(P4&gt;0,P4,415)))/(H4*1000))*100,0)</f>
        <v>1.3025022072917958</v>
      </c>
      <c r="BT4" s="15" t="str">
        <f t="shared" ref="BT4:BT35" si="7">IF(BS4&gt;70,"Upgrade","OK - No Upgrade")</f>
        <v>OK - No Upgrade</v>
      </c>
      <c r="BU4" s="15" t="str">
        <f t="shared" ref="BU4:BU35" si="8">IF(IF(AVERAGE(BM4:BO4)&gt;0,((BQ4-AVERAGE(BM4:BO4))/AVERAGE(BM4:BO4))*100,0)&gt;10,"Need to Balance","OK - Balanced")</f>
        <v>Need to Balance</v>
      </c>
    </row>
    <row r="5" spans="1:73" ht="15.75" customHeight="1" x14ac:dyDescent="0.25">
      <c r="A5" s="8" t="s">
        <v>1459</v>
      </c>
      <c r="B5" s="8" t="s">
        <v>2540</v>
      </c>
      <c r="C5" s="8" t="s">
        <v>124</v>
      </c>
      <c r="D5" s="8" t="s">
        <v>2543</v>
      </c>
      <c r="E5" s="8" t="s">
        <v>2544</v>
      </c>
      <c r="F5" s="8" t="s">
        <v>43</v>
      </c>
      <c r="G5" s="8"/>
      <c r="H5" s="8">
        <v>315</v>
      </c>
      <c r="I5" s="8" t="s">
        <v>2545</v>
      </c>
      <c r="J5" s="8">
        <v>1</v>
      </c>
      <c r="K5" s="8">
        <v>213</v>
      </c>
      <c r="L5" s="8">
        <v>216</v>
      </c>
      <c r="M5" s="8">
        <v>216</v>
      </c>
      <c r="N5" s="8">
        <v>378</v>
      </c>
      <c r="O5" s="8">
        <v>372</v>
      </c>
      <c r="P5" s="8">
        <v>375</v>
      </c>
      <c r="Q5" s="9" t="s">
        <v>47</v>
      </c>
      <c r="R5" s="16"/>
      <c r="S5" s="10">
        <v>57</v>
      </c>
      <c r="T5" s="10">
        <v>38</v>
      </c>
      <c r="U5" s="10">
        <v>34</v>
      </c>
      <c r="V5" s="11">
        <v>20</v>
      </c>
      <c r="W5" s="12" t="s">
        <v>46</v>
      </c>
      <c r="X5" s="17"/>
      <c r="Y5" s="13">
        <v>64</v>
      </c>
      <c r="Z5" s="13">
        <v>69</v>
      </c>
      <c r="AA5" s="13">
        <v>18</v>
      </c>
      <c r="AB5" s="14">
        <v>50</v>
      </c>
      <c r="AC5" s="9"/>
      <c r="AD5" s="16"/>
      <c r="AE5" s="10"/>
      <c r="AF5" s="10"/>
      <c r="AG5" s="10"/>
      <c r="AH5" s="11"/>
      <c r="AI5" s="12"/>
      <c r="AJ5" s="17"/>
      <c r="AK5" s="13"/>
      <c r="AL5" s="13"/>
      <c r="AM5" s="13"/>
      <c r="AN5" s="14"/>
      <c r="AO5" s="9"/>
      <c r="AP5" s="16"/>
      <c r="AQ5" s="10"/>
      <c r="AR5" s="10"/>
      <c r="AS5" s="10"/>
      <c r="AT5" s="11"/>
      <c r="AU5" s="12"/>
      <c r="AV5" s="17"/>
      <c r="AW5" s="13"/>
      <c r="AX5" s="13"/>
      <c r="AY5" s="13"/>
      <c r="AZ5" s="14"/>
      <c r="BA5" s="9"/>
      <c r="BB5" s="16"/>
      <c r="BC5" s="10"/>
      <c r="BD5" s="10"/>
      <c r="BE5" s="10"/>
      <c r="BF5" s="11"/>
      <c r="BG5" s="12"/>
      <c r="BH5" s="17"/>
      <c r="BI5" s="13"/>
      <c r="BJ5" s="13"/>
      <c r="BK5" s="13"/>
      <c r="BL5" s="14"/>
      <c r="BM5" s="8">
        <f t="shared" si="0"/>
        <v>121</v>
      </c>
      <c r="BN5" s="8">
        <f t="shared" si="1"/>
        <v>107</v>
      </c>
      <c r="BO5" s="8">
        <f t="shared" si="2"/>
        <v>52</v>
      </c>
      <c r="BP5" s="8">
        <f t="shared" si="3"/>
        <v>70</v>
      </c>
      <c r="BQ5" s="8">
        <f t="shared" si="4"/>
        <v>121</v>
      </c>
      <c r="BR5" s="8">
        <f t="shared" si="5"/>
        <v>52</v>
      </c>
      <c r="BS5" s="15">
        <f t="shared" si="6"/>
        <v>25.149377725900095</v>
      </c>
      <c r="BT5" s="15" t="str">
        <f t="shared" si="7"/>
        <v>OK - No Upgrade</v>
      </c>
      <c r="BU5" s="15" t="str">
        <f t="shared" si="8"/>
        <v>Need to Balance</v>
      </c>
    </row>
    <row r="6" spans="1:73" ht="15.75" customHeight="1" x14ac:dyDescent="0.25">
      <c r="A6" s="8" t="s">
        <v>1459</v>
      </c>
      <c r="B6" s="8" t="s">
        <v>2540</v>
      </c>
      <c r="C6" s="8" t="s">
        <v>124</v>
      </c>
      <c r="D6" s="8" t="s">
        <v>2546</v>
      </c>
      <c r="E6" s="8" t="s">
        <v>2547</v>
      </c>
      <c r="F6" s="8" t="s">
        <v>43</v>
      </c>
      <c r="G6" s="8"/>
      <c r="H6" s="8">
        <v>100</v>
      </c>
      <c r="I6" s="8" t="s">
        <v>2548</v>
      </c>
      <c r="J6" s="8">
        <v>1</v>
      </c>
      <c r="K6" s="8">
        <v>212</v>
      </c>
      <c r="L6" s="8">
        <v>215</v>
      </c>
      <c r="M6" s="8">
        <v>214</v>
      </c>
      <c r="N6" s="8">
        <v>369</v>
      </c>
      <c r="O6" s="8">
        <v>366</v>
      </c>
      <c r="P6" s="8">
        <v>373</v>
      </c>
      <c r="Q6" s="9"/>
      <c r="R6" s="16"/>
      <c r="S6" s="10"/>
      <c r="T6" s="10"/>
      <c r="U6" s="10"/>
      <c r="V6" s="11"/>
      <c r="W6" s="12" t="s">
        <v>46</v>
      </c>
      <c r="X6" s="17"/>
      <c r="Y6" s="13">
        <v>58</v>
      </c>
      <c r="Z6" s="13">
        <v>68</v>
      </c>
      <c r="AA6" s="13">
        <v>76</v>
      </c>
      <c r="AB6" s="14">
        <v>17</v>
      </c>
      <c r="AC6" s="9"/>
      <c r="AD6" s="16"/>
      <c r="AE6" s="10"/>
      <c r="AF6" s="10"/>
      <c r="AG6" s="10"/>
      <c r="AH6" s="11"/>
      <c r="AI6" s="12"/>
      <c r="AJ6" s="17"/>
      <c r="AK6" s="13"/>
      <c r="AL6" s="13"/>
      <c r="AM6" s="13"/>
      <c r="AN6" s="14"/>
      <c r="AO6" s="9"/>
      <c r="AP6" s="16"/>
      <c r="AQ6" s="10"/>
      <c r="AR6" s="10"/>
      <c r="AS6" s="10"/>
      <c r="AT6" s="11"/>
      <c r="AU6" s="12"/>
      <c r="AV6" s="17"/>
      <c r="AW6" s="13"/>
      <c r="AX6" s="13"/>
      <c r="AY6" s="13"/>
      <c r="AZ6" s="14"/>
      <c r="BA6" s="9"/>
      <c r="BB6" s="16"/>
      <c r="BC6" s="10"/>
      <c r="BD6" s="10"/>
      <c r="BE6" s="10"/>
      <c r="BF6" s="11"/>
      <c r="BG6" s="12"/>
      <c r="BH6" s="17"/>
      <c r="BI6" s="13"/>
      <c r="BJ6" s="13"/>
      <c r="BK6" s="13"/>
      <c r="BL6" s="14"/>
      <c r="BM6" s="8">
        <f t="shared" si="0"/>
        <v>58</v>
      </c>
      <c r="BN6" s="8">
        <f t="shared" si="1"/>
        <v>68</v>
      </c>
      <c r="BO6" s="8">
        <f t="shared" si="2"/>
        <v>76</v>
      </c>
      <c r="BP6" s="8">
        <f t="shared" si="3"/>
        <v>17</v>
      </c>
      <c r="BQ6" s="8">
        <f t="shared" si="4"/>
        <v>76</v>
      </c>
      <c r="BR6" s="8">
        <f t="shared" si="5"/>
        <v>58</v>
      </c>
      <c r="BS6" s="15">
        <f t="shared" si="6"/>
        <v>48.573632847461596</v>
      </c>
      <c r="BT6" s="15" t="str">
        <f t="shared" si="7"/>
        <v>OK - No Upgrade</v>
      </c>
      <c r="BU6" s="15" t="str">
        <f t="shared" si="8"/>
        <v>Need to Balance</v>
      </c>
    </row>
    <row r="7" spans="1:73" ht="15.75" customHeight="1" x14ac:dyDescent="0.25">
      <c r="A7" s="8" t="s">
        <v>1459</v>
      </c>
      <c r="B7" s="8" t="s">
        <v>2540</v>
      </c>
      <c r="C7" s="8" t="s">
        <v>124</v>
      </c>
      <c r="D7" s="8" t="s">
        <v>2549</v>
      </c>
      <c r="E7" s="8" t="s">
        <v>2550</v>
      </c>
      <c r="F7" s="8" t="s">
        <v>43</v>
      </c>
      <c r="G7" s="8"/>
      <c r="H7" s="8">
        <v>100</v>
      </c>
      <c r="I7" s="8" t="s">
        <v>2046</v>
      </c>
      <c r="J7" s="8">
        <v>1</v>
      </c>
      <c r="K7" s="8">
        <v>217</v>
      </c>
      <c r="L7" s="8">
        <v>214</v>
      </c>
      <c r="M7" s="8">
        <v>219</v>
      </c>
      <c r="N7" s="8">
        <v>374</v>
      </c>
      <c r="O7" s="8">
        <v>372</v>
      </c>
      <c r="P7" s="8">
        <v>379</v>
      </c>
      <c r="Q7" s="9" t="s">
        <v>46</v>
      </c>
      <c r="R7" s="16"/>
      <c r="S7" s="10">
        <v>0</v>
      </c>
      <c r="T7" s="10">
        <v>0</v>
      </c>
      <c r="U7" s="10">
        <v>0</v>
      </c>
      <c r="V7" s="11">
        <v>0</v>
      </c>
      <c r="W7" s="12"/>
      <c r="X7" s="17"/>
      <c r="Y7" s="13"/>
      <c r="Z7" s="13"/>
      <c r="AA7" s="13"/>
      <c r="AB7" s="14"/>
      <c r="AC7" s="9"/>
      <c r="AD7" s="16"/>
      <c r="AE7" s="10"/>
      <c r="AF7" s="10"/>
      <c r="AG7" s="10"/>
      <c r="AH7" s="11"/>
      <c r="AI7" s="12"/>
      <c r="AJ7" s="17"/>
      <c r="AK7" s="13"/>
      <c r="AL7" s="13"/>
      <c r="AM7" s="13"/>
      <c r="AN7" s="14"/>
      <c r="AO7" s="9"/>
      <c r="AP7" s="16"/>
      <c r="AQ7" s="10"/>
      <c r="AR7" s="10"/>
      <c r="AS7" s="10"/>
      <c r="AT7" s="11"/>
      <c r="AU7" s="12"/>
      <c r="AV7" s="17"/>
      <c r="AW7" s="13"/>
      <c r="AX7" s="13"/>
      <c r="AY7" s="13"/>
      <c r="AZ7" s="14"/>
      <c r="BA7" s="9"/>
      <c r="BB7" s="16"/>
      <c r="BC7" s="10"/>
      <c r="BD7" s="10"/>
      <c r="BE7" s="10"/>
      <c r="BF7" s="11"/>
      <c r="BG7" s="12"/>
      <c r="BH7" s="17"/>
      <c r="BI7" s="13"/>
      <c r="BJ7" s="13"/>
      <c r="BK7" s="13"/>
      <c r="BL7" s="14"/>
      <c r="BM7" s="8">
        <f t="shared" si="0"/>
        <v>0</v>
      </c>
      <c r="BN7" s="8">
        <f t="shared" si="1"/>
        <v>0</v>
      </c>
      <c r="BO7" s="8">
        <f t="shared" si="2"/>
        <v>0</v>
      </c>
      <c r="BP7" s="8">
        <f t="shared" si="3"/>
        <v>0</v>
      </c>
      <c r="BQ7" s="8">
        <f t="shared" si="4"/>
        <v>0</v>
      </c>
      <c r="BR7" s="8">
        <f t="shared" si="5"/>
        <v>0</v>
      </c>
      <c r="BS7" s="15">
        <f t="shared" si="6"/>
        <v>0</v>
      </c>
      <c r="BT7" s="15" t="str">
        <f t="shared" si="7"/>
        <v>OK - No Upgrade</v>
      </c>
      <c r="BU7" s="15" t="str">
        <f t="shared" si="8"/>
        <v>OK - Balanced</v>
      </c>
    </row>
    <row r="8" spans="1:73" ht="15.75" customHeight="1" x14ac:dyDescent="0.25">
      <c r="A8" s="8" t="s">
        <v>1459</v>
      </c>
      <c r="B8" s="8" t="s">
        <v>2540</v>
      </c>
      <c r="C8" s="8" t="s">
        <v>124</v>
      </c>
      <c r="D8" s="8" t="s">
        <v>2551</v>
      </c>
      <c r="E8" s="8" t="s">
        <v>2552</v>
      </c>
      <c r="F8" s="8" t="s">
        <v>43</v>
      </c>
      <c r="G8" s="8"/>
      <c r="H8" s="8">
        <v>100</v>
      </c>
      <c r="I8" s="8" t="s">
        <v>2553</v>
      </c>
      <c r="J8" s="8">
        <v>1</v>
      </c>
      <c r="K8" s="8">
        <v>214</v>
      </c>
      <c r="L8" s="8">
        <v>219</v>
      </c>
      <c r="M8" s="8">
        <v>217</v>
      </c>
      <c r="N8" s="8">
        <v>374</v>
      </c>
      <c r="O8" s="8">
        <v>372</v>
      </c>
      <c r="P8" s="8">
        <v>379</v>
      </c>
      <c r="Q8" s="9" t="s">
        <v>46</v>
      </c>
      <c r="R8" s="16"/>
      <c r="S8" s="10">
        <v>0</v>
      </c>
      <c r="T8" s="10">
        <v>0</v>
      </c>
      <c r="U8" s="10">
        <v>0</v>
      </c>
      <c r="V8" s="11">
        <v>0</v>
      </c>
      <c r="W8" s="12"/>
      <c r="X8" s="17"/>
      <c r="Y8" s="13"/>
      <c r="Z8" s="13"/>
      <c r="AA8" s="13"/>
      <c r="AB8" s="14"/>
      <c r="AC8" s="9"/>
      <c r="AD8" s="16"/>
      <c r="AE8" s="10"/>
      <c r="AF8" s="10"/>
      <c r="AG8" s="10"/>
      <c r="AH8" s="11"/>
      <c r="AI8" s="12"/>
      <c r="AJ8" s="17"/>
      <c r="AK8" s="13"/>
      <c r="AL8" s="13"/>
      <c r="AM8" s="13"/>
      <c r="AN8" s="14"/>
      <c r="AO8" s="9"/>
      <c r="AP8" s="16"/>
      <c r="AQ8" s="10"/>
      <c r="AR8" s="10"/>
      <c r="AS8" s="10"/>
      <c r="AT8" s="11"/>
      <c r="AU8" s="12"/>
      <c r="AV8" s="17"/>
      <c r="AW8" s="13"/>
      <c r="AX8" s="13"/>
      <c r="AY8" s="13"/>
      <c r="AZ8" s="14"/>
      <c r="BA8" s="9"/>
      <c r="BB8" s="16"/>
      <c r="BC8" s="10"/>
      <c r="BD8" s="10"/>
      <c r="BE8" s="10"/>
      <c r="BF8" s="11"/>
      <c r="BG8" s="12"/>
      <c r="BH8" s="17"/>
      <c r="BI8" s="13"/>
      <c r="BJ8" s="13"/>
      <c r="BK8" s="13"/>
      <c r="BL8" s="14"/>
      <c r="BM8" s="8">
        <f t="shared" si="0"/>
        <v>0</v>
      </c>
      <c r="BN8" s="8">
        <f t="shared" si="1"/>
        <v>0</v>
      </c>
      <c r="BO8" s="8">
        <f t="shared" si="2"/>
        <v>0</v>
      </c>
      <c r="BP8" s="8">
        <f t="shared" si="3"/>
        <v>0</v>
      </c>
      <c r="BQ8" s="8">
        <f t="shared" si="4"/>
        <v>0</v>
      </c>
      <c r="BR8" s="8">
        <f t="shared" si="5"/>
        <v>0</v>
      </c>
      <c r="BS8" s="15">
        <f t="shared" si="6"/>
        <v>0</v>
      </c>
      <c r="BT8" s="15" t="str">
        <f t="shared" si="7"/>
        <v>OK - No Upgrade</v>
      </c>
      <c r="BU8" s="15" t="str">
        <f t="shared" si="8"/>
        <v>OK - Balanced</v>
      </c>
    </row>
    <row r="9" spans="1:73" ht="15.75" customHeight="1" x14ac:dyDescent="0.25">
      <c r="A9" s="8" t="s">
        <v>1459</v>
      </c>
      <c r="B9" s="8" t="s">
        <v>2540</v>
      </c>
      <c r="C9" s="8" t="s">
        <v>265</v>
      </c>
      <c r="D9" s="8" t="s">
        <v>2554</v>
      </c>
      <c r="E9" s="8" t="s">
        <v>2555</v>
      </c>
      <c r="F9" s="8" t="s">
        <v>43</v>
      </c>
      <c r="G9" s="8"/>
      <c r="H9" s="8">
        <v>100</v>
      </c>
      <c r="I9" s="8" t="s">
        <v>2556</v>
      </c>
      <c r="J9" s="8">
        <v>1</v>
      </c>
      <c r="K9" s="8">
        <v>214</v>
      </c>
      <c r="L9" s="8">
        <v>219</v>
      </c>
      <c r="M9" s="8">
        <v>217</v>
      </c>
      <c r="N9" s="8">
        <v>374</v>
      </c>
      <c r="O9" s="8">
        <v>372</v>
      </c>
      <c r="P9" s="8">
        <v>379</v>
      </c>
      <c r="Q9" s="9" t="s">
        <v>47</v>
      </c>
      <c r="R9" s="16"/>
      <c r="S9" s="10">
        <v>28</v>
      </c>
      <c r="T9" s="10">
        <v>0</v>
      </c>
      <c r="U9" s="10">
        <v>0</v>
      </c>
      <c r="V9" s="11">
        <v>21</v>
      </c>
      <c r="W9" s="12"/>
      <c r="X9" s="17"/>
      <c r="Y9" s="13"/>
      <c r="Z9" s="13"/>
      <c r="AA9" s="13"/>
      <c r="AB9" s="14"/>
      <c r="AC9" s="9"/>
      <c r="AD9" s="16"/>
      <c r="AE9" s="10"/>
      <c r="AF9" s="10"/>
      <c r="AG9" s="10"/>
      <c r="AH9" s="11"/>
      <c r="AI9" s="12"/>
      <c r="AJ9" s="17"/>
      <c r="AK9" s="13"/>
      <c r="AL9" s="13"/>
      <c r="AM9" s="13"/>
      <c r="AN9" s="14"/>
      <c r="AO9" s="9"/>
      <c r="AP9" s="16"/>
      <c r="AQ9" s="10"/>
      <c r="AR9" s="10"/>
      <c r="AS9" s="10"/>
      <c r="AT9" s="11"/>
      <c r="AU9" s="12"/>
      <c r="AV9" s="17"/>
      <c r="AW9" s="13"/>
      <c r="AX9" s="13"/>
      <c r="AY9" s="13"/>
      <c r="AZ9" s="14"/>
      <c r="BA9" s="9"/>
      <c r="BB9" s="16"/>
      <c r="BC9" s="10"/>
      <c r="BD9" s="10"/>
      <c r="BE9" s="10"/>
      <c r="BF9" s="11"/>
      <c r="BG9" s="12"/>
      <c r="BH9" s="17"/>
      <c r="BI9" s="13"/>
      <c r="BJ9" s="13"/>
      <c r="BK9" s="13"/>
      <c r="BL9" s="14"/>
      <c r="BM9" s="8">
        <f t="shared" si="0"/>
        <v>28</v>
      </c>
      <c r="BN9" s="8">
        <f t="shared" si="1"/>
        <v>0</v>
      </c>
      <c r="BO9" s="8">
        <f t="shared" si="2"/>
        <v>0</v>
      </c>
      <c r="BP9" s="8">
        <f t="shared" si="3"/>
        <v>21</v>
      </c>
      <c r="BQ9" s="8">
        <f t="shared" si="4"/>
        <v>28</v>
      </c>
      <c r="BR9" s="8">
        <f t="shared" si="5"/>
        <v>0</v>
      </c>
      <c r="BS9" s="15">
        <f t="shared" si="6"/>
        <v>18.138036056861282</v>
      </c>
      <c r="BT9" s="15" t="str">
        <f t="shared" si="7"/>
        <v>OK - No Upgrade</v>
      </c>
      <c r="BU9" s="15" t="str">
        <f t="shared" si="8"/>
        <v>Need to Balance</v>
      </c>
    </row>
    <row r="10" spans="1:73" ht="15.75" customHeight="1" x14ac:dyDescent="0.25">
      <c r="A10" s="8" t="s">
        <v>1459</v>
      </c>
      <c r="B10" s="8" t="s">
        <v>2540</v>
      </c>
      <c r="C10" s="8" t="s">
        <v>124</v>
      </c>
      <c r="D10" s="8" t="s">
        <v>2557</v>
      </c>
      <c r="E10" s="8" t="s">
        <v>2558</v>
      </c>
      <c r="F10" s="8" t="s">
        <v>43</v>
      </c>
      <c r="G10" s="8"/>
      <c r="H10" s="8">
        <v>200</v>
      </c>
      <c r="I10" s="8" t="s">
        <v>2559</v>
      </c>
      <c r="J10" s="8">
        <v>1</v>
      </c>
      <c r="K10" s="8">
        <v>214</v>
      </c>
      <c r="L10" s="8">
        <v>218</v>
      </c>
      <c r="M10" s="8">
        <v>218</v>
      </c>
      <c r="N10" s="8">
        <v>373</v>
      </c>
      <c r="O10" s="8">
        <v>373</v>
      </c>
      <c r="P10" s="8">
        <v>379</v>
      </c>
      <c r="Q10" s="9" t="s">
        <v>47</v>
      </c>
      <c r="R10" s="16"/>
      <c r="S10" s="10">
        <v>62</v>
      </c>
      <c r="T10" s="10">
        <v>34</v>
      </c>
      <c r="U10" s="10">
        <v>83</v>
      </c>
      <c r="V10" s="11">
        <v>45</v>
      </c>
      <c r="W10" s="12" t="s">
        <v>46</v>
      </c>
      <c r="X10" s="17"/>
      <c r="Y10" s="13">
        <v>60</v>
      </c>
      <c r="Z10" s="13">
        <v>67</v>
      </c>
      <c r="AA10" s="13">
        <v>20</v>
      </c>
      <c r="AB10" s="14">
        <v>43</v>
      </c>
      <c r="AC10" s="9"/>
      <c r="AD10" s="16"/>
      <c r="AE10" s="10"/>
      <c r="AF10" s="10"/>
      <c r="AG10" s="10"/>
      <c r="AH10" s="11"/>
      <c r="AI10" s="12"/>
      <c r="AJ10" s="17"/>
      <c r="AK10" s="13"/>
      <c r="AL10" s="13"/>
      <c r="AM10" s="13"/>
      <c r="AN10" s="14"/>
      <c r="AO10" s="9"/>
      <c r="AP10" s="16"/>
      <c r="AQ10" s="10"/>
      <c r="AR10" s="10"/>
      <c r="AS10" s="10"/>
      <c r="AT10" s="11"/>
      <c r="AU10" s="12"/>
      <c r="AV10" s="17"/>
      <c r="AW10" s="13"/>
      <c r="AX10" s="13"/>
      <c r="AY10" s="13"/>
      <c r="AZ10" s="14"/>
      <c r="BA10" s="9"/>
      <c r="BB10" s="16"/>
      <c r="BC10" s="10"/>
      <c r="BD10" s="10"/>
      <c r="BE10" s="10"/>
      <c r="BF10" s="11"/>
      <c r="BG10" s="12"/>
      <c r="BH10" s="17"/>
      <c r="BI10" s="13"/>
      <c r="BJ10" s="13"/>
      <c r="BK10" s="13"/>
      <c r="BL10" s="14"/>
      <c r="BM10" s="8">
        <f t="shared" si="0"/>
        <v>122</v>
      </c>
      <c r="BN10" s="8">
        <f t="shared" si="1"/>
        <v>101</v>
      </c>
      <c r="BO10" s="8">
        <f t="shared" si="2"/>
        <v>103</v>
      </c>
      <c r="BP10" s="8">
        <f t="shared" si="3"/>
        <v>88</v>
      </c>
      <c r="BQ10" s="8">
        <f t="shared" si="4"/>
        <v>122</v>
      </c>
      <c r="BR10" s="8">
        <f t="shared" si="5"/>
        <v>101</v>
      </c>
      <c r="BS10" s="15">
        <f t="shared" si="6"/>
        <v>39.409352024614662</v>
      </c>
      <c r="BT10" s="15" t="str">
        <f t="shared" si="7"/>
        <v>OK - No Upgrade</v>
      </c>
      <c r="BU10" s="15" t="str">
        <f t="shared" si="8"/>
        <v>Need to Balance</v>
      </c>
    </row>
    <row r="11" spans="1:73" ht="15.75" customHeight="1" x14ac:dyDescent="0.25">
      <c r="A11" s="8" t="s">
        <v>1459</v>
      </c>
      <c r="B11" s="8" t="s">
        <v>2540</v>
      </c>
      <c r="C11" s="8" t="s">
        <v>124</v>
      </c>
      <c r="D11" s="8" t="s">
        <v>2560</v>
      </c>
      <c r="E11" s="8" t="s">
        <v>2561</v>
      </c>
      <c r="F11" s="8" t="s">
        <v>43</v>
      </c>
      <c r="G11" s="8"/>
      <c r="H11" s="8">
        <v>100</v>
      </c>
      <c r="I11" s="8" t="s">
        <v>2562</v>
      </c>
      <c r="J11" s="8">
        <v>1</v>
      </c>
      <c r="K11" s="8">
        <v>229</v>
      </c>
      <c r="L11" s="8">
        <v>227</v>
      </c>
      <c r="M11" s="8">
        <v>226</v>
      </c>
      <c r="N11" s="8">
        <v>378</v>
      </c>
      <c r="O11" s="8">
        <v>378</v>
      </c>
      <c r="P11" s="8">
        <v>375</v>
      </c>
      <c r="Q11" s="9" t="s">
        <v>46</v>
      </c>
      <c r="R11" s="16"/>
      <c r="S11" s="10">
        <v>0</v>
      </c>
      <c r="T11" s="10">
        <v>0</v>
      </c>
      <c r="U11" s="10">
        <v>0</v>
      </c>
      <c r="V11" s="11">
        <v>0</v>
      </c>
      <c r="W11" s="12"/>
      <c r="X11" s="17"/>
      <c r="Y11" s="13"/>
      <c r="Z11" s="13"/>
      <c r="AA11" s="13"/>
      <c r="AB11" s="14"/>
      <c r="AC11" s="9"/>
      <c r="AD11" s="16"/>
      <c r="AE11" s="10"/>
      <c r="AF11" s="10"/>
      <c r="AG11" s="10"/>
      <c r="AH11" s="11"/>
      <c r="AI11" s="12"/>
      <c r="AJ11" s="17"/>
      <c r="AK11" s="13"/>
      <c r="AL11" s="13"/>
      <c r="AM11" s="13"/>
      <c r="AN11" s="14"/>
      <c r="AO11" s="9"/>
      <c r="AP11" s="16"/>
      <c r="AQ11" s="10"/>
      <c r="AR11" s="10"/>
      <c r="AS11" s="10"/>
      <c r="AT11" s="11"/>
      <c r="AU11" s="12"/>
      <c r="AV11" s="17"/>
      <c r="AW11" s="13"/>
      <c r="AX11" s="13"/>
      <c r="AY11" s="13"/>
      <c r="AZ11" s="14"/>
      <c r="BA11" s="9"/>
      <c r="BB11" s="16"/>
      <c r="BC11" s="10"/>
      <c r="BD11" s="10"/>
      <c r="BE11" s="10"/>
      <c r="BF11" s="11"/>
      <c r="BG11" s="12"/>
      <c r="BH11" s="17"/>
      <c r="BI11" s="13"/>
      <c r="BJ11" s="13"/>
      <c r="BK11" s="13"/>
      <c r="BL11" s="14"/>
      <c r="BM11" s="8">
        <f t="shared" si="0"/>
        <v>0</v>
      </c>
      <c r="BN11" s="8">
        <f t="shared" si="1"/>
        <v>0</v>
      </c>
      <c r="BO11" s="8">
        <f t="shared" si="2"/>
        <v>0</v>
      </c>
      <c r="BP11" s="8">
        <f t="shared" si="3"/>
        <v>0</v>
      </c>
      <c r="BQ11" s="8">
        <f t="shared" si="4"/>
        <v>0</v>
      </c>
      <c r="BR11" s="8">
        <f t="shared" si="5"/>
        <v>0</v>
      </c>
      <c r="BS11" s="15">
        <f t="shared" si="6"/>
        <v>0</v>
      </c>
      <c r="BT11" s="15" t="str">
        <f t="shared" si="7"/>
        <v>OK - No Upgrade</v>
      </c>
      <c r="BU11" s="15" t="str">
        <f t="shared" si="8"/>
        <v>OK - Balanced</v>
      </c>
    </row>
    <row r="12" spans="1:73" ht="15.75" customHeight="1" x14ac:dyDescent="0.25">
      <c r="A12" s="8" t="s">
        <v>1459</v>
      </c>
      <c r="B12" s="8" t="s">
        <v>2540</v>
      </c>
      <c r="C12" s="8" t="s">
        <v>124</v>
      </c>
      <c r="D12" s="8" t="s">
        <v>2563</v>
      </c>
      <c r="E12" s="8" t="s">
        <v>2564</v>
      </c>
      <c r="F12" s="8" t="s">
        <v>43</v>
      </c>
      <c r="G12" s="8"/>
      <c r="H12" s="8">
        <v>315</v>
      </c>
      <c r="I12" s="8" t="s">
        <v>2565</v>
      </c>
      <c r="J12" s="8">
        <v>1</v>
      </c>
      <c r="K12" s="8">
        <v>214</v>
      </c>
      <c r="L12" s="8">
        <v>219</v>
      </c>
      <c r="M12" s="8">
        <v>219</v>
      </c>
      <c r="N12" s="8">
        <v>373</v>
      </c>
      <c r="O12" s="8">
        <v>376</v>
      </c>
      <c r="P12" s="8">
        <v>381</v>
      </c>
      <c r="Q12" s="9" t="s">
        <v>46</v>
      </c>
      <c r="R12" s="16"/>
      <c r="S12" s="10">
        <v>172</v>
      </c>
      <c r="T12" s="10">
        <v>46</v>
      </c>
      <c r="U12" s="10">
        <v>47</v>
      </c>
      <c r="V12" s="11">
        <v>120</v>
      </c>
      <c r="W12" s="12"/>
      <c r="X12" s="17"/>
      <c r="Y12" s="13"/>
      <c r="Z12" s="13"/>
      <c r="AA12" s="13"/>
      <c r="AB12" s="14"/>
      <c r="AC12" s="9"/>
      <c r="AD12" s="16"/>
      <c r="AE12" s="10"/>
      <c r="AF12" s="10"/>
      <c r="AG12" s="10"/>
      <c r="AH12" s="11"/>
      <c r="AI12" s="12"/>
      <c r="AJ12" s="17"/>
      <c r="AK12" s="13"/>
      <c r="AL12" s="13"/>
      <c r="AM12" s="13"/>
      <c r="AN12" s="14"/>
      <c r="AO12" s="9"/>
      <c r="AP12" s="16"/>
      <c r="AQ12" s="10"/>
      <c r="AR12" s="10"/>
      <c r="AS12" s="10"/>
      <c r="AT12" s="11"/>
      <c r="AU12" s="12"/>
      <c r="AV12" s="17"/>
      <c r="AW12" s="13"/>
      <c r="AX12" s="13"/>
      <c r="AY12" s="13"/>
      <c r="AZ12" s="14"/>
      <c r="BA12" s="9"/>
      <c r="BB12" s="16"/>
      <c r="BC12" s="10"/>
      <c r="BD12" s="10"/>
      <c r="BE12" s="10"/>
      <c r="BF12" s="11"/>
      <c r="BG12" s="12"/>
      <c r="BH12" s="17"/>
      <c r="BI12" s="13"/>
      <c r="BJ12" s="13"/>
      <c r="BK12" s="13"/>
      <c r="BL12" s="14"/>
      <c r="BM12" s="8">
        <f t="shared" si="0"/>
        <v>172</v>
      </c>
      <c r="BN12" s="8">
        <f t="shared" si="1"/>
        <v>46</v>
      </c>
      <c r="BO12" s="8">
        <f t="shared" si="2"/>
        <v>47</v>
      </c>
      <c r="BP12" s="8">
        <f t="shared" si="3"/>
        <v>120</v>
      </c>
      <c r="BQ12" s="8">
        <f t="shared" si="4"/>
        <v>172</v>
      </c>
      <c r="BR12" s="8">
        <f t="shared" si="5"/>
        <v>46</v>
      </c>
      <c r="BS12" s="15">
        <f t="shared" si="6"/>
        <v>35.276651304885362</v>
      </c>
      <c r="BT12" s="15" t="str">
        <f t="shared" si="7"/>
        <v>OK - No Upgrade</v>
      </c>
      <c r="BU12" s="15" t="str">
        <f t="shared" si="8"/>
        <v>Need to Balance</v>
      </c>
    </row>
    <row r="13" spans="1:73" ht="15.75" customHeight="1" x14ac:dyDescent="0.25">
      <c r="A13" s="8" t="s">
        <v>1459</v>
      </c>
      <c r="B13" s="8" t="s">
        <v>2540</v>
      </c>
      <c r="C13" s="8" t="s">
        <v>124</v>
      </c>
      <c r="D13" s="8" t="s">
        <v>2566</v>
      </c>
      <c r="E13" s="8" t="s">
        <v>2567</v>
      </c>
      <c r="F13" s="8" t="s">
        <v>43</v>
      </c>
      <c r="G13" s="8"/>
      <c r="H13" s="8">
        <v>315</v>
      </c>
      <c r="I13" s="8" t="s">
        <v>2568</v>
      </c>
      <c r="J13" s="8">
        <v>1</v>
      </c>
      <c r="K13" s="8">
        <v>218</v>
      </c>
      <c r="L13" s="8">
        <v>221</v>
      </c>
      <c r="M13" s="8">
        <v>219</v>
      </c>
      <c r="N13" s="8">
        <v>378</v>
      </c>
      <c r="O13" s="8">
        <v>376</v>
      </c>
      <c r="P13" s="8">
        <v>382</v>
      </c>
      <c r="Q13" s="9" t="s">
        <v>46</v>
      </c>
      <c r="R13" s="16"/>
      <c r="S13" s="10">
        <v>37</v>
      </c>
      <c r="T13" s="10">
        <v>38</v>
      </c>
      <c r="U13" s="10">
        <v>115</v>
      </c>
      <c r="V13" s="11">
        <v>66</v>
      </c>
      <c r="W13" s="12"/>
      <c r="X13" s="17"/>
      <c r="Y13" s="13"/>
      <c r="Z13" s="13"/>
      <c r="AA13" s="13"/>
      <c r="AB13" s="14"/>
      <c r="AC13" s="9"/>
      <c r="AD13" s="16"/>
      <c r="AE13" s="10"/>
      <c r="AF13" s="10"/>
      <c r="AG13" s="10"/>
      <c r="AH13" s="11"/>
      <c r="AI13" s="12"/>
      <c r="AJ13" s="17"/>
      <c r="AK13" s="13"/>
      <c r="AL13" s="13"/>
      <c r="AM13" s="13"/>
      <c r="AN13" s="14"/>
      <c r="AO13" s="9"/>
      <c r="AP13" s="16"/>
      <c r="AQ13" s="10"/>
      <c r="AR13" s="10"/>
      <c r="AS13" s="10"/>
      <c r="AT13" s="11"/>
      <c r="AU13" s="12"/>
      <c r="AV13" s="17"/>
      <c r="AW13" s="13"/>
      <c r="AX13" s="13"/>
      <c r="AY13" s="13"/>
      <c r="AZ13" s="14"/>
      <c r="BA13" s="9"/>
      <c r="BB13" s="16"/>
      <c r="BC13" s="10"/>
      <c r="BD13" s="10"/>
      <c r="BE13" s="10"/>
      <c r="BF13" s="11"/>
      <c r="BG13" s="12"/>
      <c r="BH13" s="17"/>
      <c r="BI13" s="13"/>
      <c r="BJ13" s="13"/>
      <c r="BK13" s="13"/>
      <c r="BL13" s="14"/>
      <c r="BM13" s="8">
        <f t="shared" si="0"/>
        <v>37</v>
      </c>
      <c r="BN13" s="8">
        <f t="shared" si="1"/>
        <v>38</v>
      </c>
      <c r="BO13" s="8">
        <f t="shared" si="2"/>
        <v>115</v>
      </c>
      <c r="BP13" s="8">
        <f t="shared" si="3"/>
        <v>66</v>
      </c>
      <c r="BQ13" s="8">
        <f t="shared" si="4"/>
        <v>115</v>
      </c>
      <c r="BR13" s="8">
        <f t="shared" si="5"/>
        <v>37</v>
      </c>
      <c r="BS13" s="15">
        <f t="shared" si="6"/>
        <v>23.902301144450504</v>
      </c>
      <c r="BT13" s="15" t="str">
        <f t="shared" si="7"/>
        <v>OK - No Upgrade</v>
      </c>
      <c r="BU13" s="15" t="str">
        <f t="shared" si="8"/>
        <v>Need to Balance</v>
      </c>
    </row>
    <row r="14" spans="1:73" ht="15.75" customHeight="1" x14ac:dyDescent="0.25">
      <c r="A14" s="8" t="s">
        <v>1459</v>
      </c>
      <c r="B14" s="8" t="s">
        <v>2540</v>
      </c>
      <c r="C14" s="8" t="s">
        <v>124</v>
      </c>
      <c r="D14" s="8" t="s">
        <v>2569</v>
      </c>
      <c r="E14" s="8" t="s">
        <v>2570</v>
      </c>
      <c r="F14" s="8" t="s">
        <v>43</v>
      </c>
      <c r="G14" s="8"/>
      <c r="H14" s="8">
        <v>100</v>
      </c>
      <c r="I14" s="8" t="s">
        <v>2571</v>
      </c>
      <c r="J14" s="8">
        <v>1</v>
      </c>
      <c r="K14" s="8">
        <v>223</v>
      </c>
      <c r="L14" s="8">
        <v>225</v>
      </c>
      <c r="M14" s="8">
        <v>223</v>
      </c>
      <c r="N14" s="8">
        <v>410</v>
      </c>
      <c r="O14" s="8">
        <v>411</v>
      </c>
      <c r="P14" s="8">
        <v>410</v>
      </c>
      <c r="Q14" s="9" t="s">
        <v>46</v>
      </c>
      <c r="R14" s="16"/>
      <c r="S14" s="10">
        <v>0</v>
      </c>
      <c r="T14" s="10">
        <v>0</v>
      </c>
      <c r="U14" s="10">
        <v>0</v>
      </c>
      <c r="V14" s="11">
        <v>0</v>
      </c>
      <c r="W14" s="12" t="s">
        <v>46</v>
      </c>
      <c r="X14" s="17"/>
      <c r="Y14" s="13">
        <v>0</v>
      </c>
      <c r="Z14" s="13">
        <v>0</v>
      </c>
      <c r="AA14" s="13">
        <v>0</v>
      </c>
      <c r="AB14" s="14">
        <v>0</v>
      </c>
      <c r="AC14" s="9"/>
      <c r="AD14" s="16"/>
      <c r="AE14" s="10"/>
      <c r="AF14" s="10"/>
      <c r="AG14" s="10"/>
      <c r="AH14" s="11"/>
      <c r="AI14" s="12"/>
      <c r="AJ14" s="17"/>
      <c r="AK14" s="13"/>
      <c r="AL14" s="13"/>
      <c r="AM14" s="13"/>
      <c r="AN14" s="14"/>
      <c r="AO14" s="9"/>
      <c r="AP14" s="16"/>
      <c r="AQ14" s="10"/>
      <c r="AR14" s="10"/>
      <c r="AS14" s="10"/>
      <c r="AT14" s="11"/>
      <c r="AU14" s="12"/>
      <c r="AV14" s="17"/>
      <c r="AW14" s="13"/>
      <c r="AX14" s="13"/>
      <c r="AY14" s="13"/>
      <c r="AZ14" s="14"/>
      <c r="BA14" s="9"/>
      <c r="BB14" s="16"/>
      <c r="BC14" s="10"/>
      <c r="BD14" s="10"/>
      <c r="BE14" s="10"/>
      <c r="BF14" s="11"/>
      <c r="BG14" s="12"/>
      <c r="BH14" s="17"/>
      <c r="BI14" s="13"/>
      <c r="BJ14" s="13"/>
      <c r="BK14" s="13"/>
      <c r="BL14" s="14"/>
      <c r="BM14" s="8">
        <f t="shared" si="0"/>
        <v>0</v>
      </c>
      <c r="BN14" s="8">
        <f t="shared" si="1"/>
        <v>0</v>
      </c>
      <c r="BO14" s="8">
        <f t="shared" si="2"/>
        <v>0</v>
      </c>
      <c r="BP14" s="8">
        <f t="shared" si="3"/>
        <v>0</v>
      </c>
      <c r="BQ14" s="8">
        <f t="shared" si="4"/>
        <v>0</v>
      </c>
      <c r="BR14" s="8">
        <f t="shared" si="5"/>
        <v>0</v>
      </c>
      <c r="BS14" s="15">
        <f t="shared" si="6"/>
        <v>0</v>
      </c>
      <c r="BT14" s="15" t="str">
        <f t="shared" si="7"/>
        <v>OK - No Upgrade</v>
      </c>
      <c r="BU14" s="15" t="str">
        <f t="shared" si="8"/>
        <v>OK - Balanced</v>
      </c>
    </row>
    <row r="15" spans="1:73" ht="15.75" customHeight="1" x14ac:dyDescent="0.25">
      <c r="A15" s="8" t="s">
        <v>1459</v>
      </c>
      <c r="B15" s="8" t="s">
        <v>2540</v>
      </c>
      <c r="C15" s="8" t="s">
        <v>124</v>
      </c>
      <c r="D15" s="8" t="s">
        <v>2572</v>
      </c>
      <c r="E15" s="8" t="s">
        <v>2573</v>
      </c>
      <c r="F15" s="8" t="s">
        <v>43</v>
      </c>
      <c r="G15" s="8"/>
      <c r="H15" s="8">
        <v>100</v>
      </c>
      <c r="I15" s="8" t="s">
        <v>2574</v>
      </c>
      <c r="J15" s="8">
        <v>1</v>
      </c>
      <c r="K15" s="8">
        <v>222</v>
      </c>
      <c r="L15" s="8">
        <v>223</v>
      </c>
      <c r="M15" s="8">
        <v>224</v>
      </c>
      <c r="N15" s="8">
        <v>389</v>
      </c>
      <c r="O15" s="8">
        <v>387</v>
      </c>
      <c r="P15" s="8">
        <v>389</v>
      </c>
      <c r="Q15" s="9" t="s">
        <v>46</v>
      </c>
      <c r="R15" s="16"/>
      <c r="S15" s="10"/>
      <c r="T15" s="10"/>
      <c r="U15" s="10"/>
      <c r="V15" s="11"/>
      <c r="W15" s="12" t="s">
        <v>46</v>
      </c>
      <c r="X15" s="17"/>
      <c r="Y15" s="13">
        <v>0</v>
      </c>
      <c r="Z15" s="13">
        <v>0</v>
      </c>
      <c r="AA15" s="13">
        <v>18</v>
      </c>
      <c r="AB15" s="14">
        <v>19</v>
      </c>
      <c r="AC15" s="9"/>
      <c r="AD15" s="16"/>
      <c r="AE15" s="10"/>
      <c r="AF15" s="10"/>
      <c r="AG15" s="10"/>
      <c r="AH15" s="11"/>
      <c r="AI15" s="12"/>
      <c r="AJ15" s="17"/>
      <c r="AK15" s="13"/>
      <c r="AL15" s="13"/>
      <c r="AM15" s="13"/>
      <c r="AN15" s="14"/>
      <c r="AO15" s="9"/>
      <c r="AP15" s="16"/>
      <c r="AQ15" s="10"/>
      <c r="AR15" s="10"/>
      <c r="AS15" s="10"/>
      <c r="AT15" s="11"/>
      <c r="AU15" s="12"/>
      <c r="AV15" s="17"/>
      <c r="AW15" s="13"/>
      <c r="AX15" s="13"/>
      <c r="AY15" s="13"/>
      <c r="AZ15" s="14"/>
      <c r="BA15" s="9"/>
      <c r="BB15" s="16"/>
      <c r="BC15" s="10"/>
      <c r="BD15" s="10"/>
      <c r="BE15" s="10"/>
      <c r="BF15" s="11"/>
      <c r="BG15" s="12"/>
      <c r="BH15" s="17"/>
      <c r="BI15" s="13"/>
      <c r="BJ15" s="13"/>
      <c r="BK15" s="13"/>
      <c r="BL15" s="14"/>
      <c r="BM15" s="8">
        <f t="shared" si="0"/>
        <v>0</v>
      </c>
      <c r="BN15" s="8">
        <f t="shared" si="1"/>
        <v>0</v>
      </c>
      <c r="BO15" s="8">
        <f t="shared" si="2"/>
        <v>18</v>
      </c>
      <c r="BP15" s="8">
        <f t="shared" si="3"/>
        <v>19</v>
      </c>
      <c r="BQ15" s="8">
        <f t="shared" si="4"/>
        <v>18</v>
      </c>
      <c r="BR15" s="8">
        <f t="shared" si="5"/>
        <v>0</v>
      </c>
      <c r="BS15" s="15">
        <f t="shared" si="6"/>
        <v>12.127819754597278</v>
      </c>
      <c r="BT15" s="15" t="str">
        <f t="shared" si="7"/>
        <v>OK - No Upgrade</v>
      </c>
      <c r="BU15" s="15" t="str">
        <f t="shared" si="8"/>
        <v>Need to Balance</v>
      </c>
    </row>
    <row r="16" spans="1:73" ht="15.75" customHeight="1" x14ac:dyDescent="0.25">
      <c r="A16" s="8" t="s">
        <v>1459</v>
      </c>
      <c r="B16" s="8" t="s">
        <v>2540</v>
      </c>
      <c r="C16" s="8" t="s">
        <v>124</v>
      </c>
      <c r="D16" s="8" t="s">
        <v>2575</v>
      </c>
      <c r="E16" s="8" t="s">
        <v>2576</v>
      </c>
      <c r="F16" s="8" t="s">
        <v>43</v>
      </c>
      <c r="G16" s="8"/>
      <c r="H16" s="8">
        <v>100</v>
      </c>
      <c r="I16" s="8" t="s">
        <v>2577</v>
      </c>
      <c r="J16" s="8">
        <v>1</v>
      </c>
      <c r="K16" s="8">
        <v>223</v>
      </c>
      <c r="L16" s="8">
        <v>224</v>
      </c>
      <c r="M16" s="8">
        <v>222</v>
      </c>
      <c r="N16" s="8">
        <v>381</v>
      </c>
      <c r="O16" s="8">
        <v>386</v>
      </c>
      <c r="P16" s="8">
        <v>381</v>
      </c>
      <c r="Q16" s="9" t="s">
        <v>46</v>
      </c>
      <c r="R16" s="16"/>
      <c r="S16" s="10">
        <v>0</v>
      </c>
      <c r="T16" s="10">
        <v>24</v>
      </c>
      <c r="U16" s="10">
        <v>35</v>
      </c>
      <c r="V16" s="11">
        <v>26</v>
      </c>
      <c r="W16" s="12"/>
      <c r="X16" s="17"/>
      <c r="Y16" s="13"/>
      <c r="Z16" s="13"/>
      <c r="AA16" s="13"/>
      <c r="AB16" s="14"/>
      <c r="AC16" s="9"/>
      <c r="AD16" s="16"/>
      <c r="AE16" s="10"/>
      <c r="AF16" s="10"/>
      <c r="AG16" s="10"/>
      <c r="AH16" s="11"/>
      <c r="AI16" s="12"/>
      <c r="AJ16" s="17"/>
      <c r="AK16" s="13"/>
      <c r="AL16" s="13"/>
      <c r="AM16" s="13"/>
      <c r="AN16" s="14"/>
      <c r="AO16" s="9"/>
      <c r="AP16" s="16"/>
      <c r="AQ16" s="10"/>
      <c r="AR16" s="10"/>
      <c r="AS16" s="10"/>
      <c r="AT16" s="11"/>
      <c r="AU16" s="12"/>
      <c r="AV16" s="17"/>
      <c r="AW16" s="13"/>
      <c r="AX16" s="13"/>
      <c r="AY16" s="13"/>
      <c r="AZ16" s="14"/>
      <c r="BA16" s="9"/>
      <c r="BB16" s="16"/>
      <c r="BC16" s="10"/>
      <c r="BD16" s="10"/>
      <c r="BE16" s="10"/>
      <c r="BF16" s="11"/>
      <c r="BG16" s="12"/>
      <c r="BH16" s="17"/>
      <c r="BI16" s="13"/>
      <c r="BJ16" s="13"/>
      <c r="BK16" s="13"/>
      <c r="BL16" s="14"/>
      <c r="BM16" s="8">
        <f t="shared" si="0"/>
        <v>0</v>
      </c>
      <c r="BN16" s="8">
        <f t="shared" si="1"/>
        <v>24</v>
      </c>
      <c r="BO16" s="8">
        <f t="shared" si="2"/>
        <v>35</v>
      </c>
      <c r="BP16" s="8">
        <f t="shared" si="3"/>
        <v>26</v>
      </c>
      <c r="BQ16" s="8">
        <f t="shared" si="4"/>
        <v>35</v>
      </c>
      <c r="BR16" s="8">
        <f t="shared" si="5"/>
        <v>0</v>
      </c>
      <c r="BS16" s="15">
        <f t="shared" si="6"/>
        <v>23.096897518930977</v>
      </c>
      <c r="BT16" s="15" t="str">
        <f t="shared" si="7"/>
        <v>OK - No Upgrade</v>
      </c>
      <c r="BU16" s="15" t="str">
        <f t="shared" si="8"/>
        <v>Need to Balance</v>
      </c>
    </row>
    <row r="17" spans="1:73" ht="15.75" customHeight="1" x14ac:dyDescent="0.25">
      <c r="A17" s="8" t="s">
        <v>1459</v>
      </c>
      <c r="B17" s="8" t="s">
        <v>2540</v>
      </c>
      <c r="C17" s="8" t="s">
        <v>124</v>
      </c>
      <c r="D17" s="8" t="s">
        <v>2578</v>
      </c>
      <c r="E17" s="8" t="s">
        <v>2579</v>
      </c>
      <c r="F17" s="8" t="s">
        <v>43</v>
      </c>
      <c r="G17" s="8"/>
      <c r="H17" s="8">
        <v>100</v>
      </c>
      <c r="I17" s="8" t="s">
        <v>2580</v>
      </c>
      <c r="J17" s="8">
        <v>1</v>
      </c>
      <c r="K17" s="8">
        <v>240</v>
      </c>
      <c r="L17" s="8">
        <v>241</v>
      </c>
      <c r="M17" s="8">
        <v>240</v>
      </c>
      <c r="N17" s="8">
        <v>400</v>
      </c>
      <c r="O17" s="8">
        <v>402</v>
      </c>
      <c r="P17" s="8">
        <v>401</v>
      </c>
      <c r="Q17" s="9" t="s">
        <v>47</v>
      </c>
      <c r="R17" s="16"/>
      <c r="S17" s="10">
        <v>0</v>
      </c>
      <c r="T17" s="10">
        <v>0</v>
      </c>
      <c r="U17" s="10">
        <v>0</v>
      </c>
      <c r="V17" s="11">
        <v>0</v>
      </c>
      <c r="W17" s="12"/>
      <c r="X17" s="17"/>
      <c r="Y17" s="13"/>
      <c r="Z17" s="13"/>
      <c r="AA17" s="13"/>
      <c r="AB17" s="14"/>
      <c r="AC17" s="9"/>
      <c r="AD17" s="16"/>
      <c r="AE17" s="10"/>
      <c r="AF17" s="10"/>
      <c r="AG17" s="10"/>
      <c r="AH17" s="11"/>
      <c r="AI17" s="12"/>
      <c r="AJ17" s="17"/>
      <c r="AK17" s="13"/>
      <c r="AL17" s="13"/>
      <c r="AM17" s="13"/>
      <c r="AN17" s="14"/>
      <c r="AO17" s="9"/>
      <c r="AP17" s="16"/>
      <c r="AQ17" s="10"/>
      <c r="AR17" s="10"/>
      <c r="AS17" s="10"/>
      <c r="AT17" s="11"/>
      <c r="AU17" s="12"/>
      <c r="AV17" s="17"/>
      <c r="AW17" s="13"/>
      <c r="AX17" s="13"/>
      <c r="AY17" s="13"/>
      <c r="AZ17" s="14"/>
      <c r="BA17" s="9"/>
      <c r="BB17" s="16"/>
      <c r="BC17" s="10"/>
      <c r="BD17" s="10"/>
      <c r="BE17" s="10"/>
      <c r="BF17" s="11"/>
      <c r="BG17" s="12"/>
      <c r="BH17" s="17"/>
      <c r="BI17" s="13"/>
      <c r="BJ17" s="13"/>
      <c r="BK17" s="13"/>
      <c r="BL17" s="14"/>
      <c r="BM17" s="8">
        <f t="shared" si="0"/>
        <v>0</v>
      </c>
      <c r="BN17" s="8">
        <f t="shared" si="1"/>
        <v>0</v>
      </c>
      <c r="BO17" s="8">
        <f t="shared" si="2"/>
        <v>0</v>
      </c>
      <c r="BP17" s="8">
        <f t="shared" si="3"/>
        <v>0</v>
      </c>
      <c r="BQ17" s="8">
        <f t="shared" si="4"/>
        <v>0</v>
      </c>
      <c r="BR17" s="8">
        <f t="shared" si="5"/>
        <v>0</v>
      </c>
      <c r="BS17" s="15">
        <f t="shared" si="6"/>
        <v>0</v>
      </c>
      <c r="BT17" s="15" t="str">
        <f t="shared" si="7"/>
        <v>OK - No Upgrade</v>
      </c>
      <c r="BU17" s="15" t="str">
        <f t="shared" si="8"/>
        <v>OK - Balanced</v>
      </c>
    </row>
    <row r="18" spans="1:73" ht="15.75" customHeight="1" x14ac:dyDescent="0.25">
      <c r="A18" s="8" t="s">
        <v>1459</v>
      </c>
      <c r="B18" s="8" t="s">
        <v>2540</v>
      </c>
      <c r="C18" s="8" t="s">
        <v>124</v>
      </c>
      <c r="D18" s="8" t="s">
        <v>2581</v>
      </c>
      <c r="E18" s="8" t="s">
        <v>2582</v>
      </c>
      <c r="F18" s="8" t="s">
        <v>43</v>
      </c>
      <c r="G18" s="8"/>
      <c r="H18" s="8">
        <v>315</v>
      </c>
      <c r="I18" s="8" t="s">
        <v>2583</v>
      </c>
      <c r="J18" s="8">
        <v>1</v>
      </c>
      <c r="K18" s="8">
        <v>226</v>
      </c>
      <c r="L18" s="8">
        <v>227</v>
      </c>
      <c r="M18" s="8">
        <v>226</v>
      </c>
      <c r="N18" s="8">
        <v>396</v>
      </c>
      <c r="O18" s="8">
        <v>389</v>
      </c>
      <c r="P18" s="8">
        <v>393</v>
      </c>
      <c r="Q18" s="9" t="s">
        <v>46</v>
      </c>
      <c r="R18" s="16"/>
      <c r="S18" s="10">
        <v>150</v>
      </c>
      <c r="T18" s="10">
        <v>59</v>
      </c>
      <c r="U18" s="10">
        <v>82</v>
      </c>
      <c r="V18" s="11">
        <v>68</v>
      </c>
      <c r="W18" s="12"/>
      <c r="X18" s="17"/>
      <c r="Y18" s="13"/>
      <c r="Z18" s="13"/>
      <c r="AA18" s="13"/>
      <c r="AB18" s="14"/>
      <c r="AC18" s="9"/>
      <c r="AD18" s="16"/>
      <c r="AE18" s="10"/>
      <c r="AF18" s="10"/>
      <c r="AG18" s="10"/>
      <c r="AH18" s="11"/>
      <c r="AI18" s="12"/>
      <c r="AJ18" s="17"/>
      <c r="AK18" s="13"/>
      <c r="AL18" s="13"/>
      <c r="AM18" s="13"/>
      <c r="AN18" s="14"/>
      <c r="AO18" s="9"/>
      <c r="AP18" s="16"/>
      <c r="AQ18" s="10"/>
      <c r="AR18" s="10"/>
      <c r="AS18" s="10"/>
      <c r="AT18" s="11"/>
      <c r="AU18" s="12"/>
      <c r="AV18" s="17"/>
      <c r="AW18" s="13"/>
      <c r="AX18" s="13"/>
      <c r="AY18" s="13"/>
      <c r="AZ18" s="14"/>
      <c r="BA18" s="9"/>
      <c r="BB18" s="16"/>
      <c r="BC18" s="10"/>
      <c r="BD18" s="10"/>
      <c r="BE18" s="10"/>
      <c r="BF18" s="11"/>
      <c r="BG18" s="12"/>
      <c r="BH18" s="17"/>
      <c r="BI18" s="13"/>
      <c r="BJ18" s="13"/>
      <c r="BK18" s="13"/>
      <c r="BL18" s="14"/>
      <c r="BM18" s="8">
        <f t="shared" si="0"/>
        <v>150</v>
      </c>
      <c r="BN18" s="8">
        <f t="shared" si="1"/>
        <v>59</v>
      </c>
      <c r="BO18" s="8">
        <f t="shared" si="2"/>
        <v>82</v>
      </c>
      <c r="BP18" s="8">
        <f t="shared" si="3"/>
        <v>68</v>
      </c>
      <c r="BQ18" s="8">
        <f t="shared" si="4"/>
        <v>150</v>
      </c>
      <c r="BR18" s="8">
        <f t="shared" si="5"/>
        <v>59</v>
      </c>
      <c r="BS18" s="15">
        <f t="shared" si="6"/>
        <v>32.661529514155973</v>
      </c>
      <c r="BT18" s="15" t="str">
        <f t="shared" si="7"/>
        <v>OK - No Upgrade</v>
      </c>
      <c r="BU18" s="15" t="str">
        <f t="shared" si="8"/>
        <v>Need to Balance</v>
      </c>
    </row>
    <row r="19" spans="1:73" ht="15.75" customHeight="1" x14ac:dyDescent="0.25">
      <c r="A19" s="8" t="s">
        <v>1459</v>
      </c>
      <c r="B19" s="8" t="s">
        <v>2540</v>
      </c>
      <c r="C19" s="8" t="s">
        <v>124</v>
      </c>
      <c r="D19" s="8" t="s">
        <v>2584</v>
      </c>
      <c r="E19" s="8" t="s">
        <v>2585</v>
      </c>
      <c r="F19" s="8" t="s">
        <v>43</v>
      </c>
      <c r="G19" s="8"/>
      <c r="H19" s="8">
        <v>315</v>
      </c>
      <c r="I19" s="8" t="s">
        <v>2072</v>
      </c>
      <c r="J19" s="8">
        <v>1</v>
      </c>
      <c r="K19" s="8">
        <v>225</v>
      </c>
      <c r="L19" s="8">
        <v>227</v>
      </c>
      <c r="M19" s="8">
        <v>228</v>
      </c>
      <c r="N19" s="8">
        <v>390</v>
      </c>
      <c r="O19" s="8">
        <v>392</v>
      </c>
      <c r="P19" s="8">
        <v>391</v>
      </c>
      <c r="Q19" s="9"/>
      <c r="R19" s="16"/>
      <c r="S19" s="10">
        <v>62</v>
      </c>
      <c r="T19" s="10">
        <v>99</v>
      </c>
      <c r="U19" s="10">
        <v>37</v>
      </c>
      <c r="V19" s="11">
        <v>55</v>
      </c>
      <c r="W19" s="12" t="s">
        <v>46</v>
      </c>
      <c r="X19" s="17"/>
      <c r="Y19" s="13">
        <v>70</v>
      </c>
      <c r="Z19" s="13">
        <v>58</v>
      </c>
      <c r="AA19" s="13">
        <v>42</v>
      </c>
      <c r="AB19" s="14">
        <v>23</v>
      </c>
      <c r="AC19" s="9"/>
      <c r="AD19" s="16"/>
      <c r="AE19" s="10"/>
      <c r="AF19" s="10"/>
      <c r="AG19" s="10"/>
      <c r="AH19" s="11"/>
      <c r="AI19" s="12"/>
      <c r="AJ19" s="17"/>
      <c r="AK19" s="13"/>
      <c r="AL19" s="13"/>
      <c r="AM19" s="13"/>
      <c r="AN19" s="14"/>
      <c r="AO19" s="9"/>
      <c r="AP19" s="16"/>
      <c r="AQ19" s="10"/>
      <c r="AR19" s="10"/>
      <c r="AS19" s="10"/>
      <c r="AT19" s="11"/>
      <c r="AU19" s="12"/>
      <c r="AV19" s="17"/>
      <c r="AW19" s="13"/>
      <c r="AX19" s="13"/>
      <c r="AY19" s="13"/>
      <c r="AZ19" s="14"/>
      <c r="BA19" s="9"/>
      <c r="BB19" s="16"/>
      <c r="BC19" s="10"/>
      <c r="BD19" s="10"/>
      <c r="BE19" s="10"/>
      <c r="BF19" s="11"/>
      <c r="BG19" s="12"/>
      <c r="BH19" s="17"/>
      <c r="BI19" s="13"/>
      <c r="BJ19" s="13"/>
      <c r="BK19" s="13"/>
      <c r="BL19" s="14"/>
      <c r="BM19" s="8">
        <f t="shared" si="0"/>
        <v>132</v>
      </c>
      <c r="BN19" s="8">
        <f t="shared" si="1"/>
        <v>157</v>
      </c>
      <c r="BO19" s="8">
        <f t="shared" si="2"/>
        <v>79</v>
      </c>
      <c r="BP19" s="8">
        <f t="shared" si="3"/>
        <v>78</v>
      </c>
      <c r="BQ19" s="8">
        <f t="shared" si="4"/>
        <v>157</v>
      </c>
      <c r="BR19" s="8">
        <f t="shared" si="5"/>
        <v>79</v>
      </c>
      <c r="BS19" s="15">
        <f t="shared" si="6"/>
        <v>33.667768554743596</v>
      </c>
      <c r="BT19" s="15" t="str">
        <f t="shared" si="7"/>
        <v>OK - No Upgrade</v>
      </c>
      <c r="BU19" s="15" t="str">
        <f t="shared" si="8"/>
        <v>Need to Balance</v>
      </c>
    </row>
    <row r="20" spans="1:73" ht="15.75" customHeight="1" x14ac:dyDescent="0.25">
      <c r="A20" s="8" t="s">
        <v>1459</v>
      </c>
      <c r="B20" s="8" t="s">
        <v>2540</v>
      </c>
      <c r="C20" s="8" t="s">
        <v>124</v>
      </c>
      <c r="D20" s="8" t="s">
        <v>2586</v>
      </c>
      <c r="E20" s="8" t="s">
        <v>2587</v>
      </c>
      <c r="F20" s="8" t="s">
        <v>43</v>
      </c>
      <c r="G20" s="8"/>
      <c r="H20" s="8">
        <v>100</v>
      </c>
      <c r="I20" s="8" t="s">
        <v>2588</v>
      </c>
      <c r="J20" s="8">
        <v>1</v>
      </c>
      <c r="K20" s="8">
        <v>227</v>
      </c>
      <c r="L20" s="8">
        <v>228</v>
      </c>
      <c r="M20" s="8">
        <v>229</v>
      </c>
      <c r="N20" s="8">
        <v>394</v>
      </c>
      <c r="O20" s="8">
        <v>396</v>
      </c>
      <c r="P20" s="8">
        <v>397</v>
      </c>
      <c r="Q20" s="9" t="s">
        <v>46</v>
      </c>
      <c r="R20" s="16"/>
      <c r="S20" s="10">
        <v>16</v>
      </c>
      <c r="T20" s="10">
        <v>35</v>
      </c>
      <c r="U20" s="10">
        <v>26</v>
      </c>
      <c r="V20" s="11">
        <v>17</v>
      </c>
      <c r="W20" s="12" t="s">
        <v>46</v>
      </c>
      <c r="X20" s="17"/>
      <c r="Y20" s="13">
        <v>0</v>
      </c>
      <c r="Z20" s="13">
        <v>0</v>
      </c>
      <c r="AA20" s="13">
        <v>0</v>
      </c>
      <c r="AB20" s="14">
        <v>0</v>
      </c>
      <c r="AC20" s="9"/>
      <c r="AD20" s="16"/>
      <c r="AE20" s="10"/>
      <c r="AF20" s="10"/>
      <c r="AG20" s="10"/>
      <c r="AH20" s="11"/>
      <c r="AI20" s="12"/>
      <c r="AJ20" s="17"/>
      <c r="AK20" s="13"/>
      <c r="AL20" s="13"/>
      <c r="AM20" s="13"/>
      <c r="AN20" s="14"/>
      <c r="AO20" s="9"/>
      <c r="AP20" s="16"/>
      <c r="AQ20" s="10"/>
      <c r="AR20" s="10"/>
      <c r="AS20" s="10"/>
      <c r="AT20" s="11"/>
      <c r="AU20" s="12"/>
      <c r="AV20" s="17"/>
      <c r="AW20" s="13"/>
      <c r="AX20" s="13"/>
      <c r="AY20" s="13"/>
      <c r="AZ20" s="14"/>
      <c r="BA20" s="9"/>
      <c r="BB20" s="16"/>
      <c r="BC20" s="10"/>
      <c r="BD20" s="10"/>
      <c r="BE20" s="10"/>
      <c r="BF20" s="11"/>
      <c r="BG20" s="12"/>
      <c r="BH20" s="17"/>
      <c r="BI20" s="13"/>
      <c r="BJ20" s="13"/>
      <c r="BK20" s="13"/>
      <c r="BL20" s="14"/>
      <c r="BM20" s="8">
        <f t="shared" si="0"/>
        <v>16</v>
      </c>
      <c r="BN20" s="8">
        <f t="shared" si="1"/>
        <v>35</v>
      </c>
      <c r="BO20" s="8">
        <f t="shared" si="2"/>
        <v>26</v>
      </c>
      <c r="BP20" s="8">
        <f t="shared" si="3"/>
        <v>17</v>
      </c>
      <c r="BQ20" s="8">
        <f t="shared" si="4"/>
        <v>35</v>
      </c>
      <c r="BR20" s="8">
        <f t="shared" si="5"/>
        <v>16</v>
      </c>
      <c r="BS20" s="15">
        <f t="shared" si="6"/>
        <v>23.884980636374816</v>
      </c>
      <c r="BT20" s="15" t="str">
        <f t="shared" si="7"/>
        <v>OK - No Upgrade</v>
      </c>
      <c r="BU20" s="15" t="str">
        <f t="shared" si="8"/>
        <v>Need to Balance</v>
      </c>
    </row>
    <row r="21" spans="1:73" ht="15.75" customHeight="1" x14ac:dyDescent="0.25">
      <c r="A21" s="8" t="s">
        <v>1459</v>
      </c>
      <c r="B21" s="8" t="s">
        <v>2540</v>
      </c>
      <c r="C21" s="8" t="s">
        <v>124</v>
      </c>
      <c r="D21" s="8" t="s">
        <v>2589</v>
      </c>
      <c r="E21" s="8" t="s">
        <v>2590</v>
      </c>
      <c r="F21" s="8" t="s">
        <v>43</v>
      </c>
      <c r="G21" s="8"/>
      <c r="H21" s="8">
        <v>200</v>
      </c>
      <c r="I21" s="8" t="s">
        <v>2591</v>
      </c>
      <c r="J21" s="8">
        <v>1</v>
      </c>
      <c r="K21" s="8">
        <v>227</v>
      </c>
      <c r="L21" s="8">
        <v>230</v>
      </c>
      <c r="M21" s="8">
        <v>231</v>
      </c>
      <c r="N21" s="8">
        <v>394</v>
      </c>
      <c r="O21" s="8">
        <v>396</v>
      </c>
      <c r="P21" s="8">
        <v>401</v>
      </c>
      <c r="Q21" s="9" t="s">
        <v>47</v>
      </c>
      <c r="R21" s="16"/>
      <c r="S21" s="10">
        <v>46</v>
      </c>
      <c r="T21" s="10">
        <v>23</v>
      </c>
      <c r="U21" s="10">
        <v>10</v>
      </c>
      <c r="V21" s="11">
        <v>37</v>
      </c>
      <c r="W21" s="12"/>
      <c r="X21" s="17"/>
      <c r="Y21" s="13"/>
      <c r="Z21" s="13"/>
      <c r="AA21" s="13"/>
      <c r="AB21" s="14"/>
      <c r="AC21" s="9"/>
      <c r="AD21" s="16"/>
      <c r="AE21" s="10"/>
      <c r="AF21" s="10"/>
      <c r="AG21" s="10"/>
      <c r="AH21" s="11"/>
      <c r="AI21" s="12"/>
      <c r="AJ21" s="17"/>
      <c r="AK21" s="13"/>
      <c r="AL21" s="13"/>
      <c r="AM21" s="13"/>
      <c r="AN21" s="14"/>
      <c r="AO21" s="9"/>
      <c r="AP21" s="16"/>
      <c r="AQ21" s="10"/>
      <c r="AR21" s="10"/>
      <c r="AS21" s="10"/>
      <c r="AT21" s="11"/>
      <c r="AU21" s="12"/>
      <c r="AV21" s="17"/>
      <c r="AW21" s="13"/>
      <c r="AX21" s="13"/>
      <c r="AY21" s="13"/>
      <c r="AZ21" s="14"/>
      <c r="BA21" s="9"/>
      <c r="BB21" s="16"/>
      <c r="BC21" s="10"/>
      <c r="BD21" s="10"/>
      <c r="BE21" s="10"/>
      <c r="BF21" s="11"/>
      <c r="BG21" s="12"/>
      <c r="BH21" s="17"/>
      <c r="BI21" s="13"/>
      <c r="BJ21" s="13"/>
      <c r="BK21" s="13"/>
      <c r="BL21" s="14"/>
      <c r="BM21" s="8">
        <f t="shared" si="0"/>
        <v>46</v>
      </c>
      <c r="BN21" s="8">
        <f t="shared" si="1"/>
        <v>23</v>
      </c>
      <c r="BO21" s="8">
        <f t="shared" si="2"/>
        <v>10</v>
      </c>
      <c r="BP21" s="8">
        <f t="shared" si="3"/>
        <v>37</v>
      </c>
      <c r="BQ21" s="8">
        <f t="shared" si="4"/>
        <v>46</v>
      </c>
      <c r="BR21" s="8">
        <f t="shared" si="5"/>
        <v>10</v>
      </c>
      <c r="BS21" s="15">
        <f t="shared" si="6"/>
        <v>15.695844418189164</v>
      </c>
      <c r="BT21" s="15" t="str">
        <f t="shared" si="7"/>
        <v>OK - No Upgrade</v>
      </c>
      <c r="BU21" s="15" t="str">
        <f t="shared" si="8"/>
        <v>Need to Balance</v>
      </c>
    </row>
    <row r="22" spans="1:73" ht="15.75" customHeight="1" x14ac:dyDescent="0.25">
      <c r="A22" s="8" t="s">
        <v>1459</v>
      </c>
      <c r="B22" s="8" t="s">
        <v>2540</v>
      </c>
      <c r="C22" s="8" t="s">
        <v>124</v>
      </c>
      <c r="D22" s="8" t="s">
        <v>2592</v>
      </c>
      <c r="E22" s="8" t="s">
        <v>2593</v>
      </c>
      <c r="F22" s="8" t="s">
        <v>43</v>
      </c>
      <c r="G22" s="8"/>
      <c r="H22" s="8">
        <v>100</v>
      </c>
      <c r="I22" s="8" t="s">
        <v>2594</v>
      </c>
      <c r="J22" s="8">
        <v>1</v>
      </c>
      <c r="K22" s="8">
        <v>229</v>
      </c>
      <c r="L22" s="8">
        <v>232</v>
      </c>
      <c r="M22" s="8">
        <v>233</v>
      </c>
      <c r="N22" s="8">
        <v>398</v>
      </c>
      <c r="O22" s="8">
        <v>400</v>
      </c>
      <c r="P22" s="8">
        <v>402</v>
      </c>
      <c r="Q22" s="9" t="s">
        <v>47</v>
      </c>
      <c r="R22" s="16"/>
      <c r="S22" s="10">
        <v>0</v>
      </c>
      <c r="T22" s="10">
        <v>0</v>
      </c>
      <c r="U22" s="10">
        <v>0</v>
      </c>
      <c r="V22" s="11">
        <v>0</v>
      </c>
      <c r="W22" s="12"/>
      <c r="X22" s="17"/>
      <c r="Y22" s="13">
        <v>34</v>
      </c>
      <c r="Z22" s="13">
        <v>0</v>
      </c>
      <c r="AA22" s="13">
        <v>0</v>
      </c>
      <c r="AB22" s="14">
        <v>30</v>
      </c>
      <c r="AC22" s="9"/>
      <c r="AD22" s="16"/>
      <c r="AE22" s="10"/>
      <c r="AF22" s="10"/>
      <c r="AG22" s="10"/>
      <c r="AH22" s="11"/>
      <c r="AI22" s="12"/>
      <c r="AJ22" s="17"/>
      <c r="AK22" s="13"/>
      <c r="AL22" s="13"/>
      <c r="AM22" s="13"/>
      <c r="AN22" s="14"/>
      <c r="AO22" s="9"/>
      <c r="AP22" s="16"/>
      <c r="AQ22" s="10"/>
      <c r="AR22" s="10"/>
      <c r="AS22" s="10"/>
      <c r="AT22" s="11"/>
      <c r="AU22" s="12"/>
      <c r="AV22" s="17"/>
      <c r="AW22" s="13"/>
      <c r="AX22" s="13"/>
      <c r="AY22" s="13"/>
      <c r="AZ22" s="14"/>
      <c r="BA22" s="9"/>
      <c r="BB22" s="16"/>
      <c r="BC22" s="10"/>
      <c r="BD22" s="10"/>
      <c r="BE22" s="10"/>
      <c r="BF22" s="11"/>
      <c r="BG22" s="12"/>
      <c r="BH22" s="17"/>
      <c r="BI22" s="13"/>
      <c r="BJ22" s="13"/>
      <c r="BK22" s="13"/>
      <c r="BL22" s="14"/>
      <c r="BM22" s="8">
        <f t="shared" si="0"/>
        <v>34</v>
      </c>
      <c r="BN22" s="8">
        <f t="shared" si="1"/>
        <v>0</v>
      </c>
      <c r="BO22" s="8">
        <f t="shared" si="2"/>
        <v>0</v>
      </c>
      <c r="BP22" s="8">
        <f t="shared" si="3"/>
        <v>30</v>
      </c>
      <c r="BQ22" s="8">
        <f t="shared" si="4"/>
        <v>34</v>
      </c>
      <c r="BR22" s="8">
        <f t="shared" si="5"/>
        <v>0</v>
      </c>
      <c r="BS22" s="15">
        <f t="shared" si="6"/>
        <v>23.438111528022048</v>
      </c>
      <c r="BT22" s="15" t="str">
        <f t="shared" si="7"/>
        <v>OK - No Upgrade</v>
      </c>
      <c r="BU22" s="15" t="str">
        <f t="shared" si="8"/>
        <v>Need to Balance</v>
      </c>
    </row>
    <row r="23" spans="1:73" ht="15.75" customHeight="1" x14ac:dyDescent="0.25">
      <c r="A23" s="8" t="s">
        <v>1459</v>
      </c>
      <c r="B23" s="8" t="s">
        <v>2540</v>
      </c>
      <c r="C23" s="8" t="s">
        <v>124</v>
      </c>
      <c r="D23" s="8" t="s">
        <v>2595</v>
      </c>
      <c r="E23" s="8" t="s">
        <v>2596</v>
      </c>
      <c r="F23" s="8" t="s">
        <v>43</v>
      </c>
      <c r="G23" s="8"/>
      <c r="H23" s="8">
        <v>315</v>
      </c>
      <c r="I23" s="8" t="s">
        <v>2597</v>
      </c>
      <c r="J23" s="8">
        <v>1</v>
      </c>
      <c r="K23" s="8">
        <v>230</v>
      </c>
      <c r="L23" s="8">
        <v>233</v>
      </c>
      <c r="M23" s="8">
        <v>233</v>
      </c>
      <c r="N23" s="8">
        <v>366</v>
      </c>
      <c r="O23" s="8">
        <v>401</v>
      </c>
      <c r="P23" s="8">
        <v>404</v>
      </c>
      <c r="Q23" s="9" t="s">
        <v>47</v>
      </c>
      <c r="R23" s="16"/>
      <c r="S23" s="10">
        <v>29</v>
      </c>
      <c r="T23" s="10">
        <v>27</v>
      </c>
      <c r="U23" s="10">
        <v>34</v>
      </c>
      <c r="V23" s="11">
        <v>11</v>
      </c>
      <c r="W23" s="12"/>
      <c r="X23" s="17"/>
      <c r="Y23" s="13"/>
      <c r="Z23" s="13"/>
      <c r="AA23" s="13"/>
      <c r="AB23" s="14"/>
      <c r="AC23" s="9"/>
      <c r="AD23" s="16"/>
      <c r="AE23" s="10"/>
      <c r="AF23" s="10"/>
      <c r="AG23" s="10"/>
      <c r="AH23" s="11"/>
      <c r="AI23" s="12"/>
      <c r="AJ23" s="17"/>
      <c r="AK23" s="13"/>
      <c r="AL23" s="13"/>
      <c r="AM23" s="13"/>
      <c r="AN23" s="14"/>
      <c r="AO23" s="9"/>
      <c r="AP23" s="16"/>
      <c r="AQ23" s="10"/>
      <c r="AR23" s="10"/>
      <c r="AS23" s="10"/>
      <c r="AT23" s="11"/>
      <c r="AU23" s="12"/>
      <c r="AV23" s="17"/>
      <c r="AW23" s="13"/>
      <c r="AX23" s="13"/>
      <c r="AY23" s="13"/>
      <c r="AZ23" s="14"/>
      <c r="BA23" s="9"/>
      <c r="BB23" s="16"/>
      <c r="BC23" s="10"/>
      <c r="BD23" s="10"/>
      <c r="BE23" s="10"/>
      <c r="BF23" s="11"/>
      <c r="BG23" s="12"/>
      <c r="BH23" s="17"/>
      <c r="BI23" s="13"/>
      <c r="BJ23" s="13"/>
      <c r="BK23" s="13"/>
      <c r="BL23" s="14"/>
      <c r="BM23" s="8">
        <f t="shared" si="0"/>
        <v>29</v>
      </c>
      <c r="BN23" s="8">
        <f t="shared" si="1"/>
        <v>27</v>
      </c>
      <c r="BO23" s="8">
        <f t="shared" si="2"/>
        <v>34</v>
      </c>
      <c r="BP23" s="8">
        <f t="shared" si="3"/>
        <v>11</v>
      </c>
      <c r="BQ23" s="8">
        <f t="shared" si="4"/>
        <v>34</v>
      </c>
      <c r="BR23" s="8">
        <f t="shared" si="5"/>
        <v>27</v>
      </c>
      <c r="BS23" s="15">
        <f t="shared" si="6"/>
        <v>6.8424254759959089</v>
      </c>
      <c r="BT23" s="15" t="str">
        <f t="shared" si="7"/>
        <v>OK - No Upgrade</v>
      </c>
      <c r="BU23" s="15" t="str">
        <f t="shared" si="8"/>
        <v>Need to Balance</v>
      </c>
    </row>
    <row r="24" spans="1:73" ht="15.75" customHeight="1" x14ac:dyDescent="0.25">
      <c r="A24" s="8" t="s">
        <v>1459</v>
      </c>
      <c r="B24" s="8" t="s">
        <v>2540</v>
      </c>
      <c r="C24" s="8" t="s">
        <v>124</v>
      </c>
      <c r="D24" s="8" t="s">
        <v>2598</v>
      </c>
      <c r="E24" s="8" t="s">
        <v>2599</v>
      </c>
      <c r="F24" s="8" t="s">
        <v>43</v>
      </c>
      <c r="G24" s="8"/>
      <c r="H24" s="8">
        <v>100</v>
      </c>
      <c r="I24" s="8" t="s">
        <v>2600</v>
      </c>
      <c r="J24" s="8">
        <v>1</v>
      </c>
      <c r="K24" s="8">
        <v>241</v>
      </c>
      <c r="L24" s="8">
        <v>240</v>
      </c>
      <c r="M24" s="8">
        <v>241</v>
      </c>
      <c r="N24" s="8">
        <v>420</v>
      </c>
      <c r="O24" s="8">
        <v>421</v>
      </c>
      <c r="P24" s="8">
        <v>420</v>
      </c>
      <c r="Q24" s="9" t="s">
        <v>46</v>
      </c>
      <c r="R24" s="16"/>
      <c r="S24" s="10">
        <v>0</v>
      </c>
      <c r="T24" s="10">
        <v>0</v>
      </c>
      <c r="U24" s="10">
        <v>0</v>
      </c>
      <c r="V24" s="11">
        <v>0</v>
      </c>
      <c r="W24" s="12"/>
      <c r="X24" s="17"/>
      <c r="Y24" s="13"/>
      <c r="Z24" s="13"/>
      <c r="AA24" s="13"/>
      <c r="AB24" s="14"/>
      <c r="AC24" s="9"/>
      <c r="AD24" s="16"/>
      <c r="AE24" s="10"/>
      <c r="AF24" s="10"/>
      <c r="AG24" s="10"/>
      <c r="AH24" s="11"/>
      <c r="AI24" s="12"/>
      <c r="AJ24" s="17"/>
      <c r="AK24" s="13"/>
      <c r="AL24" s="13"/>
      <c r="AM24" s="13"/>
      <c r="AN24" s="14"/>
      <c r="AO24" s="9"/>
      <c r="AP24" s="16"/>
      <c r="AQ24" s="10"/>
      <c r="AR24" s="10"/>
      <c r="AS24" s="10"/>
      <c r="AT24" s="11"/>
      <c r="AU24" s="12"/>
      <c r="AV24" s="17"/>
      <c r="AW24" s="13"/>
      <c r="AX24" s="13"/>
      <c r="AY24" s="13"/>
      <c r="AZ24" s="14"/>
      <c r="BA24" s="9"/>
      <c r="BB24" s="16"/>
      <c r="BC24" s="10"/>
      <c r="BD24" s="10"/>
      <c r="BE24" s="10"/>
      <c r="BF24" s="11"/>
      <c r="BG24" s="12"/>
      <c r="BH24" s="17"/>
      <c r="BI24" s="13"/>
      <c r="BJ24" s="13"/>
      <c r="BK24" s="13"/>
      <c r="BL24" s="14"/>
      <c r="BM24" s="8">
        <f t="shared" si="0"/>
        <v>0</v>
      </c>
      <c r="BN24" s="8">
        <f t="shared" si="1"/>
        <v>0</v>
      </c>
      <c r="BO24" s="8">
        <f t="shared" si="2"/>
        <v>0</v>
      </c>
      <c r="BP24" s="8">
        <f t="shared" si="3"/>
        <v>0</v>
      </c>
      <c r="BQ24" s="8">
        <f t="shared" si="4"/>
        <v>0</v>
      </c>
      <c r="BR24" s="8">
        <f t="shared" si="5"/>
        <v>0</v>
      </c>
      <c r="BS24" s="15">
        <f t="shared" si="6"/>
        <v>0</v>
      </c>
      <c r="BT24" s="15" t="str">
        <f t="shared" si="7"/>
        <v>OK - No Upgrade</v>
      </c>
      <c r="BU24" s="15" t="str">
        <f t="shared" si="8"/>
        <v>OK - Balanced</v>
      </c>
    </row>
    <row r="25" spans="1:73" ht="15.75" customHeight="1" x14ac:dyDescent="0.25">
      <c r="A25" s="8" t="s">
        <v>1459</v>
      </c>
      <c r="B25" s="8" t="s">
        <v>2540</v>
      </c>
      <c r="C25" s="8" t="s">
        <v>124</v>
      </c>
      <c r="D25" s="8" t="s">
        <v>2601</v>
      </c>
      <c r="E25" s="8" t="s">
        <v>2602</v>
      </c>
      <c r="F25" s="8" t="s">
        <v>56</v>
      </c>
      <c r="G25" s="8"/>
      <c r="H25" s="8">
        <v>500</v>
      </c>
      <c r="I25" s="8" t="s">
        <v>2603</v>
      </c>
      <c r="J25" s="8">
        <v>1</v>
      </c>
      <c r="K25" s="8">
        <v>231</v>
      </c>
      <c r="L25" s="8">
        <v>234</v>
      </c>
      <c r="M25" s="8">
        <v>233</v>
      </c>
      <c r="N25" s="8">
        <v>400</v>
      </c>
      <c r="O25" s="8">
        <v>405</v>
      </c>
      <c r="P25" s="8">
        <v>404</v>
      </c>
      <c r="Q25" s="9"/>
      <c r="R25" s="16"/>
      <c r="S25" s="10"/>
      <c r="T25" s="10"/>
      <c r="U25" s="10"/>
      <c r="V25" s="11"/>
      <c r="W25" s="12" t="s">
        <v>47</v>
      </c>
      <c r="X25" s="17"/>
      <c r="Y25" s="13">
        <v>49</v>
      </c>
      <c r="Z25" s="13">
        <v>16</v>
      </c>
      <c r="AA25" s="13">
        <v>75</v>
      </c>
      <c r="AB25" s="14">
        <v>47</v>
      </c>
      <c r="AC25" s="9" t="s">
        <v>47</v>
      </c>
      <c r="AD25" s="16"/>
      <c r="AE25" s="10">
        <v>52</v>
      </c>
      <c r="AF25" s="10">
        <v>62</v>
      </c>
      <c r="AG25" s="10">
        <v>37</v>
      </c>
      <c r="AH25" s="11">
        <v>109</v>
      </c>
      <c r="AI25" s="12" t="s">
        <v>47</v>
      </c>
      <c r="AJ25" s="17"/>
      <c r="AK25" s="13">
        <v>42</v>
      </c>
      <c r="AL25" s="13">
        <v>55</v>
      </c>
      <c r="AM25" s="13">
        <v>59</v>
      </c>
      <c r="AN25" s="14">
        <v>30</v>
      </c>
      <c r="AO25" s="9" t="s">
        <v>47</v>
      </c>
      <c r="AP25" s="16"/>
      <c r="AQ25" s="10">
        <v>62</v>
      </c>
      <c r="AR25" s="10">
        <v>49</v>
      </c>
      <c r="AS25" s="10">
        <v>51</v>
      </c>
      <c r="AT25" s="11">
        <v>23</v>
      </c>
      <c r="AU25" s="12" t="s">
        <v>47</v>
      </c>
      <c r="AV25" s="17"/>
      <c r="AW25" s="13">
        <v>41</v>
      </c>
      <c r="AX25" s="13">
        <v>88</v>
      </c>
      <c r="AY25" s="13">
        <v>105</v>
      </c>
      <c r="AZ25" s="14">
        <v>44</v>
      </c>
      <c r="BA25" s="9"/>
      <c r="BB25" s="16"/>
      <c r="BC25" s="10"/>
      <c r="BD25" s="10"/>
      <c r="BE25" s="10"/>
      <c r="BF25" s="11"/>
      <c r="BG25" s="12"/>
      <c r="BH25" s="17"/>
      <c r="BI25" s="13"/>
      <c r="BJ25" s="13"/>
      <c r="BK25" s="13"/>
      <c r="BL25" s="14"/>
      <c r="BM25" s="8">
        <f t="shared" si="0"/>
        <v>246</v>
      </c>
      <c r="BN25" s="8">
        <f t="shared" si="1"/>
        <v>270</v>
      </c>
      <c r="BO25" s="8">
        <f t="shared" si="2"/>
        <v>327</v>
      </c>
      <c r="BP25" s="8">
        <f t="shared" si="3"/>
        <v>253</v>
      </c>
      <c r="BQ25" s="8">
        <f t="shared" si="4"/>
        <v>327</v>
      </c>
      <c r="BR25" s="8">
        <f t="shared" si="5"/>
        <v>246</v>
      </c>
      <c r="BS25" s="15">
        <f t="shared" si="6"/>
        <v>45.310449126001835</v>
      </c>
      <c r="BT25" s="15" t="str">
        <f t="shared" si="7"/>
        <v>OK - No Upgrade</v>
      </c>
      <c r="BU25" s="15" t="str">
        <f t="shared" si="8"/>
        <v>Need to Balance</v>
      </c>
    </row>
    <row r="26" spans="1:73" ht="15.75" customHeight="1" x14ac:dyDescent="0.25">
      <c r="A26" s="8" t="s">
        <v>1459</v>
      </c>
      <c r="B26" s="8" t="s">
        <v>2540</v>
      </c>
      <c r="C26" s="8" t="s">
        <v>124</v>
      </c>
      <c r="D26" s="8" t="s">
        <v>2604</v>
      </c>
      <c r="E26" s="8" t="s">
        <v>2605</v>
      </c>
      <c r="F26" s="8" t="s">
        <v>43</v>
      </c>
      <c r="G26" s="8"/>
      <c r="H26" s="8">
        <v>100</v>
      </c>
      <c r="I26" s="8" t="s">
        <v>2606</v>
      </c>
      <c r="J26" s="8">
        <v>1</v>
      </c>
      <c r="K26" s="8">
        <v>235</v>
      </c>
      <c r="L26" s="8">
        <v>235</v>
      </c>
      <c r="M26" s="8">
        <v>235</v>
      </c>
      <c r="N26" s="8">
        <v>407</v>
      </c>
      <c r="O26" s="8">
        <v>403</v>
      </c>
      <c r="P26" s="8">
        <v>409</v>
      </c>
      <c r="Q26" s="9"/>
      <c r="R26" s="16"/>
      <c r="S26" s="10"/>
      <c r="T26" s="10"/>
      <c r="U26" s="10"/>
      <c r="V26" s="11"/>
      <c r="W26" s="12" t="s">
        <v>46</v>
      </c>
      <c r="X26" s="17"/>
      <c r="Y26" s="13">
        <v>0</v>
      </c>
      <c r="Z26" s="13">
        <v>18</v>
      </c>
      <c r="AA26" s="13">
        <v>27</v>
      </c>
      <c r="AB26" s="14">
        <v>23</v>
      </c>
      <c r="AC26" s="9"/>
      <c r="AD26" s="16"/>
      <c r="AE26" s="10"/>
      <c r="AF26" s="10"/>
      <c r="AG26" s="10"/>
      <c r="AH26" s="11"/>
      <c r="AI26" s="12"/>
      <c r="AJ26" s="17"/>
      <c r="AK26" s="13"/>
      <c r="AL26" s="13"/>
      <c r="AM26" s="13"/>
      <c r="AN26" s="14"/>
      <c r="AO26" s="9"/>
      <c r="AP26" s="16"/>
      <c r="AQ26" s="10"/>
      <c r="AR26" s="10"/>
      <c r="AS26" s="10"/>
      <c r="AT26" s="11"/>
      <c r="AU26" s="12"/>
      <c r="AV26" s="17"/>
      <c r="AW26" s="13"/>
      <c r="AX26" s="13"/>
      <c r="AY26" s="13"/>
      <c r="AZ26" s="14"/>
      <c r="BA26" s="9"/>
      <c r="BB26" s="16"/>
      <c r="BC26" s="10"/>
      <c r="BD26" s="10"/>
      <c r="BE26" s="10"/>
      <c r="BF26" s="11"/>
      <c r="BG26" s="12"/>
      <c r="BH26" s="17"/>
      <c r="BI26" s="13"/>
      <c r="BJ26" s="13"/>
      <c r="BK26" s="13"/>
      <c r="BL26" s="14"/>
      <c r="BM26" s="8">
        <f t="shared" si="0"/>
        <v>0</v>
      </c>
      <c r="BN26" s="8">
        <f t="shared" si="1"/>
        <v>18</v>
      </c>
      <c r="BO26" s="8">
        <f t="shared" si="2"/>
        <v>27</v>
      </c>
      <c r="BP26" s="8">
        <f t="shared" si="3"/>
        <v>23</v>
      </c>
      <c r="BQ26" s="8">
        <f t="shared" si="4"/>
        <v>27</v>
      </c>
      <c r="BR26" s="8">
        <f t="shared" si="5"/>
        <v>0</v>
      </c>
      <c r="BS26" s="15">
        <f t="shared" si="6"/>
        <v>19.03350632437439</v>
      </c>
      <c r="BT26" s="15" t="str">
        <f t="shared" si="7"/>
        <v>OK - No Upgrade</v>
      </c>
      <c r="BU26" s="15" t="str">
        <f t="shared" si="8"/>
        <v>Need to Balance</v>
      </c>
    </row>
    <row r="27" spans="1:73" ht="15.75" customHeight="1" x14ac:dyDescent="0.25">
      <c r="A27" s="8" t="s">
        <v>1459</v>
      </c>
      <c r="B27" s="8" t="s">
        <v>2540</v>
      </c>
      <c r="C27" s="8" t="s">
        <v>124</v>
      </c>
      <c r="D27" s="8" t="s">
        <v>2607</v>
      </c>
      <c r="E27" s="8" t="s">
        <v>2608</v>
      </c>
      <c r="F27" s="8" t="s">
        <v>43</v>
      </c>
      <c r="G27" s="8"/>
      <c r="H27" s="8">
        <v>315</v>
      </c>
      <c r="I27" s="8" t="s">
        <v>2609</v>
      </c>
      <c r="J27" s="8">
        <v>1</v>
      </c>
      <c r="K27" s="8">
        <v>246</v>
      </c>
      <c r="L27" s="8">
        <v>247</v>
      </c>
      <c r="M27" s="8">
        <v>248</v>
      </c>
      <c r="N27" s="8">
        <v>427</v>
      </c>
      <c r="O27" s="8">
        <v>429</v>
      </c>
      <c r="P27" s="8">
        <v>424</v>
      </c>
      <c r="Q27" s="9" t="s">
        <v>46</v>
      </c>
      <c r="R27" s="16"/>
      <c r="S27" s="10">
        <v>71</v>
      </c>
      <c r="T27" s="10">
        <v>69</v>
      </c>
      <c r="U27" s="10">
        <v>38</v>
      </c>
      <c r="V27" s="11">
        <v>32</v>
      </c>
      <c r="W27" s="12" t="s">
        <v>46</v>
      </c>
      <c r="X27" s="17"/>
      <c r="Y27" s="13">
        <v>72</v>
      </c>
      <c r="Z27" s="13">
        <v>22</v>
      </c>
      <c r="AA27" s="13">
        <v>74</v>
      </c>
      <c r="AB27" s="14">
        <v>69</v>
      </c>
      <c r="AC27" s="9"/>
      <c r="AD27" s="16"/>
      <c r="AE27" s="10"/>
      <c r="AF27" s="10"/>
      <c r="AG27" s="10"/>
      <c r="AH27" s="11"/>
      <c r="AI27" s="12"/>
      <c r="AJ27" s="17"/>
      <c r="AK27" s="13"/>
      <c r="AL27" s="13"/>
      <c r="AM27" s="13"/>
      <c r="AN27" s="14"/>
      <c r="AO27" s="9"/>
      <c r="AP27" s="16"/>
      <c r="AQ27" s="10"/>
      <c r="AR27" s="10"/>
      <c r="AS27" s="10"/>
      <c r="AT27" s="11"/>
      <c r="AU27" s="12"/>
      <c r="AV27" s="17"/>
      <c r="AW27" s="13"/>
      <c r="AX27" s="13"/>
      <c r="AY27" s="13"/>
      <c r="AZ27" s="14"/>
      <c r="BA27" s="9"/>
      <c r="BB27" s="16"/>
      <c r="BC27" s="10"/>
      <c r="BD27" s="10"/>
      <c r="BE27" s="10"/>
      <c r="BF27" s="11"/>
      <c r="BG27" s="12"/>
      <c r="BH27" s="17"/>
      <c r="BI27" s="13"/>
      <c r="BJ27" s="13"/>
      <c r="BK27" s="13"/>
      <c r="BL27" s="14"/>
      <c r="BM27" s="8">
        <f t="shared" si="0"/>
        <v>143</v>
      </c>
      <c r="BN27" s="8">
        <f t="shared" si="1"/>
        <v>91</v>
      </c>
      <c r="BO27" s="8">
        <f t="shared" si="2"/>
        <v>112</v>
      </c>
      <c r="BP27" s="8">
        <f t="shared" si="3"/>
        <v>101</v>
      </c>
      <c r="BQ27" s="8">
        <f t="shared" si="4"/>
        <v>143</v>
      </c>
      <c r="BR27" s="8">
        <f t="shared" si="5"/>
        <v>91</v>
      </c>
      <c r="BS27" s="15">
        <f t="shared" si="6"/>
        <v>33.574842654274036</v>
      </c>
      <c r="BT27" s="15" t="str">
        <f t="shared" si="7"/>
        <v>OK - No Upgrade</v>
      </c>
      <c r="BU27" s="15" t="str">
        <f t="shared" si="8"/>
        <v>Need to Balance</v>
      </c>
    </row>
    <row r="28" spans="1:73" ht="15.75" customHeight="1" x14ac:dyDescent="0.25">
      <c r="A28" s="8" t="s">
        <v>1459</v>
      </c>
      <c r="B28" s="8" t="s">
        <v>2540</v>
      </c>
      <c r="C28" s="8" t="s">
        <v>124</v>
      </c>
      <c r="D28" s="8" t="s">
        <v>2610</v>
      </c>
      <c r="E28" s="8" t="s">
        <v>2611</v>
      </c>
      <c r="F28" s="8" t="s">
        <v>43</v>
      </c>
      <c r="G28" s="8"/>
      <c r="H28" s="8">
        <v>315</v>
      </c>
      <c r="I28" s="8" t="s">
        <v>2612</v>
      </c>
      <c r="J28" s="8">
        <v>1</v>
      </c>
      <c r="K28" s="8">
        <v>228</v>
      </c>
      <c r="L28" s="8">
        <v>229</v>
      </c>
      <c r="M28" s="8">
        <v>228</v>
      </c>
      <c r="N28" s="8">
        <v>398</v>
      </c>
      <c r="O28" s="8">
        <v>396</v>
      </c>
      <c r="P28" s="8">
        <v>397</v>
      </c>
      <c r="Q28" s="9" t="s">
        <v>47</v>
      </c>
      <c r="R28" s="16"/>
      <c r="S28" s="10">
        <v>8</v>
      </c>
      <c r="T28" s="10">
        <v>1</v>
      </c>
      <c r="U28" s="10">
        <v>9</v>
      </c>
      <c r="V28" s="11">
        <v>6</v>
      </c>
      <c r="W28" s="12" t="s">
        <v>47</v>
      </c>
      <c r="X28" s="17"/>
      <c r="Y28" s="13">
        <v>0</v>
      </c>
      <c r="Z28" s="13">
        <v>8</v>
      </c>
      <c r="AA28" s="13">
        <v>2</v>
      </c>
      <c r="AB28" s="14">
        <v>2</v>
      </c>
      <c r="AC28" s="9"/>
      <c r="AD28" s="16"/>
      <c r="AE28" s="10"/>
      <c r="AF28" s="10"/>
      <c r="AG28" s="10"/>
      <c r="AH28" s="11"/>
      <c r="AI28" s="12"/>
      <c r="AJ28" s="17"/>
      <c r="AK28" s="13"/>
      <c r="AL28" s="13"/>
      <c r="AM28" s="13"/>
      <c r="AN28" s="14"/>
      <c r="AO28" s="9"/>
      <c r="AP28" s="16"/>
      <c r="AQ28" s="10"/>
      <c r="AR28" s="10"/>
      <c r="AS28" s="10"/>
      <c r="AT28" s="11"/>
      <c r="AU28" s="12"/>
      <c r="AV28" s="17"/>
      <c r="AW28" s="13"/>
      <c r="AX28" s="13"/>
      <c r="AY28" s="13"/>
      <c r="AZ28" s="14"/>
      <c r="BA28" s="9"/>
      <c r="BB28" s="16"/>
      <c r="BC28" s="10"/>
      <c r="BD28" s="10"/>
      <c r="BE28" s="10"/>
      <c r="BF28" s="11"/>
      <c r="BG28" s="12"/>
      <c r="BH28" s="17"/>
      <c r="BI28" s="13"/>
      <c r="BJ28" s="13"/>
      <c r="BK28" s="13"/>
      <c r="BL28" s="14"/>
      <c r="BM28" s="8">
        <f t="shared" si="0"/>
        <v>8</v>
      </c>
      <c r="BN28" s="8">
        <f t="shared" si="1"/>
        <v>9</v>
      </c>
      <c r="BO28" s="8">
        <f t="shared" si="2"/>
        <v>11</v>
      </c>
      <c r="BP28" s="8">
        <f t="shared" si="3"/>
        <v>8</v>
      </c>
      <c r="BQ28" s="8">
        <f t="shared" si="4"/>
        <v>11</v>
      </c>
      <c r="BR28" s="8">
        <f t="shared" si="5"/>
        <v>8</v>
      </c>
      <c r="BS28" s="15">
        <f t="shared" si="6"/>
        <v>2.4072756938211253</v>
      </c>
      <c r="BT28" s="15" t="str">
        <f t="shared" si="7"/>
        <v>OK - No Upgrade</v>
      </c>
      <c r="BU28" s="15" t="str">
        <f t="shared" si="8"/>
        <v>Need to Balance</v>
      </c>
    </row>
    <row r="29" spans="1:73" ht="15.75" customHeight="1" x14ac:dyDescent="0.25">
      <c r="A29" s="8" t="s">
        <v>1459</v>
      </c>
      <c r="B29" s="8" t="s">
        <v>2540</v>
      </c>
      <c r="C29" s="8" t="s">
        <v>124</v>
      </c>
      <c r="D29" s="8" t="s">
        <v>2613</v>
      </c>
      <c r="E29" s="8" t="s">
        <v>2614</v>
      </c>
      <c r="F29" s="8" t="s">
        <v>43</v>
      </c>
      <c r="G29" s="8"/>
      <c r="H29" s="8">
        <v>315</v>
      </c>
      <c r="I29" s="8" t="s">
        <v>2615</v>
      </c>
      <c r="J29" s="8">
        <v>1</v>
      </c>
      <c r="K29" s="8">
        <v>227</v>
      </c>
      <c r="L29" s="8">
        <v>228</v>
      </c>
      <c r="M29" s="8">
        <v>227</v>
      </c>
      <c r="N29" s="8">
        <v>395</v>
      </c>
      <c r="O29" s="8">
        <v>394</v>
      </c>
      <c r="P29" s="8">
        <v>394</v>
      </c>
      <c r="Q29" s="9" t="s">
        <v>46</v>
      </c>
      <c r="R29" s="16"/>
      <c r="S29" s="10">
        <v>78</v>
      </c>
      <c r="T29" s="10">
        <v>58</v>
      </c>
      <c r="U29" s="10">
        <v>114</v>
      </c>
      <c r="V29" s="11">
        <v>38</v>
      </c>
      <c r="W29" s="12" t="s">
        <v>46</v>
      </c>
      <c r="X29" s="17"/>
      <c r="Y29" s="13">
        <v>11</v>
      </c>
      <c r="Z29" s="13">
        <v>11</v>
      </c>
      <c r="AA29" s="13">
        <v>14</v>
      </c>
      <c r="AB29" s="14">
        <v>4</v>
      </c>
      <c r="AC29" s="9"/>
      <c r="AD29" s="16"/>
      <c r="AE29" s="10"/>
      <c r="AF29" s="10"/>
      <c r="AG29" s="10"/>
      <c r="AH29" s="11"/>
      <c r="AI29" s="12"/>
      <c r="AJ29" s="17"/>
      <c r="AK29" s="13"/>
      <c r="AL29" s="13"/>
      <c r="AM29" s="13"/>
      <c r="AN29" s="14"/>
      <c r="AO29" s="9"/>
      <c r="AP29" s="16"/>
      <c r="AQ29" s="10"/>
      <c r="AR29" s="10"/>
      <c r="AS29" s="10"/>
      <c r="AT29" s="11"/>
      <c r="AU29" s="12"/>
      <c r="AV29" s="17"/>
      <c r="AW29" s="13"/>
      <c r="AX29" s="13"/>
      <c r="AY29" s="13"/>
      <c r="AZ29" s="14"/>
      <c r="BA29" s="9"/>
      <c r="BB29" s="16"/>
      <c r="BC29" s="10"/>
      <c r="BD29" s="10"/>
      <c r="BE29" s="10"/>
      <c r="BF29" s="11"/>
      <c r="BG29" s="12"/>
      <c r="BH29" s="17"/>
      <c r="BI29" s="13"/>
      <c r="BJ29" s="13"/>
      <c r="BK29" s="13"/>
      <c r="BL29" s="14"/>
      <c r="BM29" s="8">
        <f t="shared" si="0"/>
        <v>89</v>
      </c>
      <c r="BN29" s="8">
        <f t="shared" si="1"/>
        <v>69</v>
      </c>
      <c r="BO29" s="8">
        <f t="shared" si="2"/>
        <v>128</v>
      </c>
      <c r="BP29" s="8">
        <f t="shared" si="3"/>
        <v>42</v>
      </c>
      <c r="BQ29" s="8">
        <f t="shared" si="4"/>
        <v>128</v>
      </c>
      <c r="BR29" s="8">
        <f t="shared" si="5"/>
        <v>69</v>
      </c>
      <c r="BS29" s="15">
        <f t="shared" si="6"/>
        <v>27.80079010497855</v>
      </c>
      <c r="BT29" s="15" t="str">
        <f t="shared" si="7"/>
        <v>OK - No Upgrade</v>
      </c>
      <c r="BU29" s="15" t="str">
        <f t="shared" si="8"/>
        <v>Need to Balance</v>
      </c>
    </row>
    <row r="30" spans="1:73" ht="15.75" customHeight="1" x14ac:dyDescent="0.25">
      <c r="A30" s="8" t="s">
        <v>1459</v>
      </c>
      <c r="B30" s="8" t="s">
        <v>2540</v>
      </c>
      <c r="C30" s="8" t="s">
        <v>124</v>
      </c>
      <c r="D30" s="8" t="s">
        <v>2616</v>
      </c>
      <c r="E30" s="8" t="s">
        <v>2617</v>
      </c>
      <c r="F30" s="8" t="s">
        <v>43</v>
      </c>
      <c r="G30" s="8"/>
      <c r="H30" s="8">
        <v>200</v>
      </c>
      <c r="I30" s="8" t="s">
        <v>2618</v>
      </c>
      <c r="J30" s="8">
        <v>1</v>
      </c>
      <c r="K30" s="8">
        <v>226</v>
      </c>
      <c r="L30" s="8">
        <v>227</v>
      </c>
      <c r="M30" s="8">
        <v>226</v>
      </c>
      <c r="N30" s="8">
        <v>393</v>
      </c>
      <c r="O30" s="8">
        <v>392</v>
      </c>
      <c r="P30" s="8">
        <v>392</v>
      </c>
      <c r="Q30" s="9" t="s">
        <v>46</v>
      </c>
      <c r="R30" s="16"/>
      <c r="S30" s="10">
        <v>82</v>
      </c>
      <c r="T30" s="10">
        <v>42</v>
      </c>
      <c r="U30" s="10">
        <v>52</v>
      </c>
      <c r="V30" s="11">
        <v>44</v>
      </c>
      <c r="W30" s="12" t="s">
        <v>46</v>
      </c>
      <c r="X30" s="17"/>
      <c r="Y30" s="13">
        <v>23</v>
      </c>
      <c r="Z30" s="13">
        <v>31</v>
      </c>
      <c r="AA30" s="13">
        <v>19</v>
      </c>
      <c r="AB30" s="14">
        <v>10</v>
      </c>
      <c r="AC30" s="9"/>
      <c r="AD30" s="16"/>
      <c r="AE30" s="10"/>
      <c r="AF30" s="10"/>
      <c r="AG30" s="10"/>
      <c r="AH30" s="11"/>
      <c r="AI30" s="12"/>
      <c r="AJ30" s="17"/>
      <c r="AK30" s="13"/>
      <c r="AL30" s="13"/>
      <c r="AM30" s="13"/>
      <c r="AN30" s="14"/>
      <c r="AO30" s="9"/>
      <c r="AP30" s="16"/>
      <c r="AQ30" s="10"/>
      <c r="AR30" s="10"/>
      <c r="AS30" s="10"/>
      <c r="AT30" s="11"/>
      <c r="AU30" s="12"/>
      <c r="AV30" s="17"/>
      <c r="AW30" s="13"/>
      <c r="AX30" s="13"/>
      <c r="AY30" s="13"/>
      <c r="AZ30" s="14"/>
      <c r="BA30" s="9"/>
      <c r="BB30" s="16"/>
      <c r="BC30" s="10"/>
      <c r="BD30" s="10"/>
      <c r="BE30" s="10"/>
      <c r="BF30" s="11"/>
      <c r="BG30" s="12"/>
      <c r="BH30" s="17"/>
      <c r="BI30" s="13"/>
      <c r="BJ30" s="13"/>
      <c r="BK30" s="13"/>
      <c r="BL30" s="14"/>
      <c r="BM30" s="8">
        <f t="shared" si="0"/>
        <v>105</v>
      </c>
      <c r="BN30" s="8">
        <f t="shared" si="1"/>
        <v>73</v>
      </c>
      <c r="BO30" s="8">
        <f t="shared" si="2"/>
        <v>71</v>
      </c>
      <c r="BP30" s="8">
        <f t="shared" si="3"/>
        <v>54</v>
      </c>
      <c r="BQ30" s="8">
        <f t="shared" si="4"/>
        <v>105</v>
      </c>
      <c r="BR30" s="8">
        <f t="shared" si="5"/>
        <v>71</v>
      </c>
      <c r="BS30" s="15">
        <f t="shared" si="6"/>
        <v>35.736538287164855</v>
      </c>
      <c r="BT30" s="15" t="str">
        <f t="shared" si="7"/>
        <v>OK - No Upgrade</v>
      </c>
      <c r="BU30" s="15" t="str">
        <f t="shared" si="8"/>
        <v>Need to Balance</v>
      </c>
    </row>
    <row r="31" spans="1:73" ht="15.75" customHeight="1" x14ac:dyDescent="0.25">
      <c r="A31" s="8" t="s">
        <v>1459</v>
      </c>
      <c r="B31" s="8" t="s">
        <v>2540</v>
      </c>
      <c r="C31" s="8" t="s">
        <v>124</v>
      </c>
      <c r="D31" s="8" t="s">
        <v>2619</v>
      </c>
      <c r="E31" s="8" t="s">
        <v>2620</v>
      </c>
      <c r="F31" s="8" t="s">
        <v>43</v>
      </c>
      <c r="G31" s="8"/>
      <c r="H31" s="8">
        <v>315</v>
      </c>
      <c r="I31" s="8" t="s">
        <v>2621</v>
      </c>
      <c r="J31" s="8">
        <v>1</v>
      </c>
      <c r="K31" s="8">
        <v>228</v>
      </c>
      <c r="L31" s="8">
        <v>229</v>
      </c>
      <c r="M31" s="8">
        <v>228</v>
      </c>
      <c r="N31" s="8">
        <v>395</v>
      </c>
      <c r="O31" s="8">
        <v>395</v>
      </c>
      <c r="P31" s="8">
        <v>396</v>
      </c>
      <c r="Q31" s="9" t="s">
        <v>46</v>
      </c>
      <c r="R31" s="16"/>
      <c r="S31" s="10"/>
      <c r="T31" s="10"/>
      <c r="U31" s="10"/>
      <c r="V31" s="11"/>
      <c r="W31" s="12" t="s">
        <v>46</v>
      </c>
      <c r="X31" s="17"/>
      <c r="Y31" s="13">
        <v>117</v>
      </c>
      <c r="Z31" s="13">
        <v>111</v>
      </c>
      <c r="AA31" s="13">
        <v>100</v>
      </c>
      <c r="AB31" s="14">
        <v>25</v>
      </c>
      <c r="AC31" s="9"/>
      <c r="AD31" s="16"/>
      <c r="AE31" s="10"/>
      <c r="AF31" s="10"/>
      <c r="AG31" s="10"/>
      <c r="AH31" s="11"/>
      <c r="AI31" s="12"/>
      <c r="AJ31" s="17"/>
      <c r="AK31" s="13"/>
      <c r="AL31" s="13"/>
      <c r="AM31" s="13"/>
      <c r="AN31" s="14"/>
      <c r="AO31" s="9"/>
      <c r="AP31" s="16"/>
      <c r="AQ31" s="10"/>
      <c r="AR31" s="10"/>
      <c r="AS31" s="10"/>
      <c r="AT31" s="11"/>
      <c r="AU31" s="12"/>
      <c r="AV31" s="17"/>
      <c r="AW31" s="13"/>
      <c r="AX31" s="13"/>
      <c r="AY31" s="13"/>
      <c r="AZ31" s="14"/>
      <c r="BA31" s="9"/>
      <c r="BB31" s="16"/>
      <c r="BC31" s="10"/>
      <c r="BD31" s="10"/>
      <c r="BE31" s="10"/>
      <c r="BF31" s="11"/>
      <c r="BG31" s="12"/>
      <c r="BH31" s="17"/>
      <c r="BI31" s="13"/>
      <c r="BJ31" s="13"/>
      <c r="BK31" s="13"/>
      <c r="BL31" s="14"/>
      <c r="BM31" s="8">
        <f t="shared" si="0"/>
        <v>117</v>
      </c>
      <c r="BN31" s="8">
        <f t="shared" si="1"/>
        <v>111</v>
      </c>
      <c r="BO31" s="8">
        <f t="shared" si="2"/>
        <v>100</v>
      </c>
      <c r="BP31" s="8">
        <f t="shared" si="3"/>
        <v>25</v>
      </c>
      <c r="BQ31" s="8">
        <f t="shared" si="4"/>
        <v>117</v>
      </c>
      <c r="BR31" s="8">
        <f t="shared" si="5"/>
        <v>100</v>
      </c>
      <c r="BS31" s="15">
        <f t="shared" si="6"/>
        <v>25.411659705331957</v>
      </c>
      <c r="BT31" s="15" t="str">
        <f t="shared" si="7"/>
        <v>OK - No Upgrade</v>
      </c>
      <c r="BU31" s="15" t="str">
        <f t="shared" si="8"/>
        <v>OK - Balanced</v>
      </c>
    </row>
    <row r="32" spans="1:73" ht="15.75" customHeight="1" x14ac:dyDescent="0.25">
      <c r="A32" s="8" t="s">
        <v>1459</v>
      </c>
      <c r="B32" s="8" t="s">
        <v>2540</v>
      </c>
      <c r="C32" s="8" t="s">
        <v>124</v>
      </c>
      <c r="D32" s="8" t="s">
        <v>2622</v>
      </c>
      <c r="E32" s="8" t="s">
        <v>2623</v>
      </c>
      <c r="F32" s="8" t="s">
        <v>43</v>
      </c>
      <c r="G32" s="8"/>
      <c r="H32" s="8">
        <v>100</v>
      </c>
      <c r="I32" s="8" t="s">
        <v>2624</v>
      </c>
      <c r="J32" s="8">
        <v>1</v>
      </c>
      <c r="K32" s="8">
        <v>212</v>
      </c>
      <c r="L32" s="8">
        <v>245</v>
      </c>
      <c r="M32" s="8">
        <v>244</v>
      </c>
      <c r="N32" s="8">
        <v>423</v>
      </c>
      <c r="O32" s="8">
        <v>421</v>
      </c>
      <c r="P32" s="8">
        <v>425</v>
      </c>
      <c r="Q32" s="9" t="s">
        <v>46</v>
      </c>
      <c r="R32" s="16"/>
      <c r="S32" s="10">
        <v>57</v>
      </c>
      <c r="T32" s="10">
        <v>16</v>
      </c>
      <c r="U32" s="10">
        <v>18</v>
      </c>
      <c r="V32" s="11">
        <v>28</v>
      </c>
      <c r="W32" s="12" t="s">
        <v>46</v>
      </c>
      <c r="X32" s="17"/>
      <c r="Y32" s="13">
        <v>5</v>
      </c>
      <c r="Z32" s="13">
        <v>0</v>
      </c>
      <c r="AA32" s="13">
        <v>9</v>
      </c>
      <c r="AB32" s="14">
        <v>5</v>
      </c>
      <c r="AC32" s="9"/>
      <c r="AD32" s="16"/>
      <c r="AE32" s="10"/>
      <c r="AF32" s="10"/>
      <c r="AG32" s="10"/>
      <c r="AH32" s="11"/>
      <c r="AI32" s="12"/>
      <c r="AJ32" s="17"/>
      <c r="AK32" s="13"/>
      <c r="AL32" s="13"/>
      <c r="AM32" s="13"/>
      <c r="AN32" s="14"/>
      <c r="AO32" s="9"/>
      <c r="AP32" s="16"/>
      <c r="AQ32" s="10"/>
      <c r="AR32" s="10"/>
      <c r="AS32" s="10"/>
      <c r="AT32" s="11"/>
      <c r="AU32" s="12"/>
      <c r="AV32" s="17"/>
      <c r="AW32" s="13"/>
      <c r="AX32" s="13"/>
      <c r="AY32" s="13"/>
      <c r="AZ32" s="14"/>
      <c r="BA32" s="9"/>
      <c r="BB32" s="16"/>
      <c r="BC32" s="10"/>
      <c r="BD32" s="10"/>
      <c r="BE32" s="10"/>
      <c r="BF32" s="11"/>
      <c r="BG32" s="12"/>
      <c r="BH32" s="17"/>
      <c r="BI32" s="13"/>
      <c r="BJ32" s="13"/>
      <c r="BK32" s="13"/>
      <c r="BL32" s="14"/>
      <c r="BM32" s="8">
        <f t="shared" si="0"/>
        <v>62</v>
      </c>
      <c r="BN32" s="8">
        <f t="shared" si="1"/>
        <v>16</v>
      </c>
      <c r="BO32" s="8">
        <f t="shared" si="2"/>
        <v>27</v>
      </c>
      <c r="BP32" s="8">
        <f t="shared" si="3"/>
        <v>33</v>
      </c>
      <c r="BQ32" s="8">
        <f t="shared" si="4"/>
        <v>62</v>
      </c>
      <c r="BR32" s="8">
        <f t="shared" si="5"/>
        <v>16</v>
      </c>
      <c r="BS32" s="15">
        <f t="shared" si="6"/>
        <v>45.424764479301381</v>
      </c>
      <c r="BT32" s="15" t="str">
        <f t="shared" si="7"/>
        <v>OK - No Upgrade</v>
      </c>
      <c r="BU32" s="15" t="str">
        <f t="shared" si="8"/>
        <v>Need to Balance</v>
      </c>
    </row>
    <row r="33" spans="1:73" ht="15.75" customHeight="1" x14ac:dyDescent="0.25">
      <c r="A33" s="8" t="s">
        <v>1459</v>
      </c>
      <c r="B33" s="8" t="s">
        <v>2540</v>
      </c>
      <c r="C33" s="8" t="s">
        <v>124</v>
      </c>
      <c r="D33" s="8" t="s">
        <v>2625</v>
      </c>
      <c r="E33" s="8" t="s">
        <v>2626</v>
      </c>
      <c r="F33" s="8" t="s">
        <v>43</v>
      </c>
      <c r="G33" s="8"/>
      <c r="H33" s="8">
        <v>200</v>
      </c>
      <c r="I33" s="8" t="s">
        <v>2627</v>
      </c>
      <c r="J33" s="8">
        <v>1</v>
      </c>
      <c r="K33" s="8">
        <v>232</v>
      </c>
      <c r="L33" s="8">
        <v>233</v>
      </c>
      <c r="M33" s="8">
        <v>233</v>
      </c>
      <c r="N33" s="8">
        <v>404</v>
      </c>
      <c r="O33" s="8">
        <v>404</v>
      </c>
      <c r="P33" s="8">
        <v>402</v>
      </c>
      <c r="Q33" s="9" t="s">
        <v>47</v>
      </c>
      <c r="R33" s="16"/>
      <c r="S33" s="10">
        <v>67</v>
      </c>
      <c r="T33" s="10">
        <v>13</v>
      </c>
      <c r="U33" s="10">
        <v>44</v>
      </c>
      <c r="V33" s="11">
        <v>36</v>
      </c>
      <c r="W33" s="12" t="s">
        <v>46</v>
      </c>
      <c r="X33" s="17"/>
      <c r="Y33" s="13">
        <v>72</v>
      </c>
      <c r="Z33" s="13">
        <v>20</v>
      </c>
      <c r="AA33" s="13">
        <v>41</v>
      </c>
      <c r="AB33" s="14">
        <v>19</v>
      </c>
      <c r="AC33" s="9"/>
      <c r="AD33" s="16"/>
      <c r="AE33" s="10"/>
      <c r="AF33" s="10"/>
      <c r="AG33" s="10"/>
      <c r="AH33" s="11"/>
      <c r="AI33" s="12"/>
      <c r="AJ33" s="17"/>
      <c r="AK33" s="13"/>
      <c r="AL33" s="13"/>
      <c r="AM33" s="13"/>
      <c r="AN33" s="14"/>
      <c r="AO33" s="9"/>
      <c r="AP33" s="16"/>
      <c r="AQ33" s="10"/>
      <c r="AR33" s="10"/>
      <c r="AS33" s="10"/>
      <c r="AT33" s="11"/>
      <c r="AU33" s="12"/>
      <c r="AV33" s="17"/>
      <c r="AW33" s="13"/>
      <c r="AX33" s="13"/>
      <c r="AY33" s="13"/>
      <c r="AZ33" s="14"/>
      <c r="BA33" s="9"/>
      <c r="BB33" s="16"/>
      <c r="BC33" s="10"/>
      <c r="BD33" s="10"/>
      <c r="BE33" s="10"/>
      <c r="BF33" s="11"/>
      <c r="BG33" s="12"/>
      <c r="BH33" s="17"/>
      <c r="BI33" s="13"/>
      <c r="BJ33" s="13"/>
      <c r="BK33" s="13"/>
      <c r="BL33" s="14"/>
      <c r="BM33" s="8">
        <f t="shared" si="0"/>
        <v>139</v>
      </c>
      <c r="BN33" s="8">
        <f t="shared" si="1"/>
        <v>33</v>
      </c>
      <c r="BO33" s="8">
        <f t="shared" si="2"/>
        <v>85</v>
      </c>
      <c r="BP33" s="8">
        <f t="shared" si="3"/>
        <v>55</v>
      </c>
      <c r="BQ33" s="8">
        <f t="shared" si="4"/>
        <v>139</v>
      </c>
      <c r="BR33" s="8">
        <f t="shared" si="5"/>
        <v>33</v>
      </c>
      <c r="BS33" s="15">
        <f t="shared" si="6"/>
        <v>48.632522574918937</v>
      </c>
      <c r="BT33" s="15" t="str">
        <f t="shared" si="7"/>
        <v>OK - No Upgrade</v>
      </c>
      <c r="BU33" s="15" t="str">
        <f t="shared" si="8"/>
        <v>Need to Balance</v>
      </c>
    </row>
    <row r="34" spans="1:73" ht="15.75" customHeight="1" x14ac:dyDescent="0.25">
      <c r="A34" s="8" t="s">
        <v>1459</v>
      </c>
      <c r="B34" s="8" t="s">
        <v>2540</v>
      </c>
      <c r="C34" s="8" t="s">
        <v>124</v>
      </c>
      <c r="D34" s="8" t="s">
        <v>2628</v>
      </c>
      <c r="E34" s="8" t="s">
        <v>2629</v>
      </c>
      <c r="F34" s="8" t="s">
        <v>43</v>
      </c>
      <c r="G34" s="8"/>
      <c r="H34" s="8">
        <v>315</v>
      </c>
      <c r="I34" s="8" t="s">
        <v>2630</v>
      </c>
      <c r="J34" s="8">
        <v>1</v>
      </c>
      <c r="K34" s="8">
        <v>233</v>
      </c>
      <c r="L34" s="8">
        <v>234</v>
      </c>
      <c r="M34" s="8">
        <v>234</v>
      </c>
      <c r="N34" s="8">
        <v>404</v>
      </c>
      <c r="O34" s="8">
        <v>406</v>
      </c>
      <c r="P34" s="8">
        <v>405</v>
      </c>
      <c r="Q34" s="9" t="s">
        <v>46</v>
      </c>
      <c r="R34" s="16"/>
      <c r="S34" s="10">
        <v>119</v>
      </c>
      <c r="T34" s="10">
        <v>76</v>
      </c>
      <c r="U34" s="10">
        <v>126</v>
      </c>
      <c r="V34" s="11">
        <v>35</v>
      </c>
      <c r="W34" s="12"/>
      <c r="X34" s="17"/>
      <c r="Y34" s="13"/>
      <c r="Z34" s="13"/>
      <c r="AA34" s="13"/>
      <c r="AB34" s="14"/>
      <c r="AC34" s="9"/>
      <c r="AD34" s="16"/>
      <c r="AE34" s="10"/>
      <c r="AF34" s="10"/>
      <c r="AG34" s="10"/>
      <c r="AH34" s="11"/>
      <c r="AI34" s="12"/>
      <c r="AJ34" s="17"/>
      <c r="AK34" s="13"/>
      <c r="AL34" s="13"/>
      <c r="AM34" s="13"/>
      <c r="AN34" s="14"/>
      <c r="AO34" s="9"/>
      <c r="AP34" s="16"/>
      <c r="AQ34" s="10"/>
      <c r="AR34" s="10"/>
      <c r="AS34" s="10"/>
      <c r="AT34" s="11"/>
      <c r="AU34" s="12"/>
      <c r="AV34" s="17"/>
      <c r="AW34" s="13"/>
      <c r="AX34" s="13"/>
      <c r="AY34" s="13"/>
      <c r="AZ34" s="14"/>
      <c r="BA34" s="9"/>
      <c r="BB34" s="16"/>
      <c r="BC34" s="10"/>
      <c r="BD34" s="10"/>
      <c r="BE34" s="10"/>
      <c r="BF34" s="11"/>
      <c r="BG34" s="12"/>
      <c r="BH34" s="17"/>
      <c r="BI34" s="13"/>
      <c r="BJ34" s="13"/>
      <c r="BK34" s="13"/>
      <c r="BL34" s="14"/>
      <c r="BM34" s="8">
        <f t="shared" si="0"/>
        <v>119</v>
      </c>
      <c r="BN34" s="8">
        <f t="shared" si="1"/>
        <v>76</v>
      </c>
      <c r="BO34" s="8">
        <f t="shared" si="2"/>
        <v>126</v>
      </c>
      <c r="BP34" s="8">
        <f t="shared" si="3"/>
        <v>35</v>
      </c>
      <c r="BQ34" s="8">
        <f t="shared" si="4"/>
        <v>126</v>
      </c>
      <c r="BR34" s="8">
        <f t="shared" si="5"/>
        <v>76</v>
      </c>
      <c r="BS34" s="15">
        <f t="shared" si="6"/>
        <v>27.989941050313057</v>
      </c>
      <c r="BT34" s="15" t="str">
        <f t="shared" si="7"/>
        <v>OK - No Upgrade</v>
      </c>
      <c r="BU34" s="15" t="str">
        <f t="shared" si="8"/>
        <v>Need to Balance</v>
      </c>
    </row>
    <row r="35" spans="1:73" ht="15.75" customHeight="1" x14ac:dyDescent="0.25">
      <c r="A35" s="8" t="s">
        <v>1459</v>
      </c>
      <c r="B35" s="8" t="s">
        <v>2540</v>
      </c>
      <c r="C35" s="8" t="s">
        <v>265</v>
      </c>
      <c r="D35" s="8" t="s">
        <v>2631</v>
      </c>
      <c r="E35" s="8" t="s">
        <v>2632</v>
      </c>
      <c r="F35" s="8" t="s">
        <v>43</v>
      </c>
      <c r="G35" s="8"/>
      <c r="H35" s="8">
        <v>100</v>
      </c>
      <c r="I35" s="8" t="s">
        <v>2633</v>
      </c>
      <c r="J35" s="8">
        <v>1</v>
      </c>
      <c r="K35" s="8">
        <v>233</v>
      </c>
      <c r="L35" s="8">
        <v>232</v>
      </c>
      <c r="M35" s="8">
        <v>231</v>
      </c>
      <c r="N35" s="8">
        <v>408</v>
      </c>
      <c r="O35" s="8">
        <v>406</v>
      </c>
      <c r="P35" s="8">
        <v>409</v>
      </c>
      <c r="Q35" s="9" t="s">
        <v>46</v>
      </c>
      <c r="R35" s="16"/>
      <c r="S35" s="10">
        <v>9</v>
      </c>
      <c r="T35" s="10">
        <v>7</v>
      </c>
      <c r="U35" s="10">
        <v>0</v>
      </c>
      <c r="V35" s="11">
        <v>2</v>
      </c>
      <c r="W35" s="12"/>
      <c r="X35" s="17"/>
      <c r="Y35" s="13"/>
      <c r="Z35" s="13"/>
      <c r="AA35" s="13"/>
      <c r="AB35" s="14"/>
      <c r="AC35" s="9"/>
      <c r="AD35" s="16"/>
      <c r="AE35" s="10"/>
      <c r="AF35" s="10"/>
      <c r="AG35" s="10"/>
      <c r="AH35" s="11"/>
      <c r="AI35" s="12"/>
      <c r="AJ35" s="17"/>
      <c r="AK35" s="13"/>
      <c r="AL35" s="13"/>
      <c r="AM35" s="13"/>
      <c r="AN35" s="14"/>
      <c r="AO35" s="9"/>
      <c r="AP35" s="16"/>
      <c r="AQ35" s="10"/>
      <c r="AR35" s="10"/>
      <c r="AS35" s="10"/>
      <c r="AT35" s="11"/>
      <c r="AU35" s="12"/>
      <c r="AV35" s="17"/>
      <c r="AW35" s="13"/>
      <c r="AX35" s="13"/>
      <c r="AY35" s="13"/>
      <c r="AZ35" s="14"/>
      <c r="BA35" s="9"/>
      <c r="BB35" s="16"/>
      <c r="BC35" s="10"/>
      <c r="BD35" s="10"/>
      <c r="BE35" s="10"/>
      <c r="BF35" s="11"/>
      <c r="BG35" s="12"/>
      <c r="BH35" s="17"/>
      <c r="BI35" s="13"/>
      <c r="BJ35" s="13"/>
      <c r="BK35" s="13"/>
      <c r="BL35" s="14"/>
      <c r="BM35" s="8">
        <f t="shared" si="0"/>
        <v>9</v>
      </c>
      <c r="BN35" s="8">
        <f t="shared" si="1"/>
        <v>7</v>
      </c>
      <c r="BO35" s="8">
        <f t="shared" si="2"/>
        <v>0</v>
      </c>
      <c r="BP35" s="8">
        <f t="shared" si="3"/>
        <v>2</v>
      </c>
      <c r="BQ35" s="8">
        <f t="shared" si="4"/>
        <v>9</v>
      </c>
      <c r="BR35" s="8">
        <f t="shared" si="5"/>
        <v>0</v>
      </c>
      <c r="BS35" s="15">
        <f t="shared" si="6"/>
        <v>6.3600905653929161</v>
      </c>
      <c r="BT35" s="15" t="str">
        <f t="shared" si="7"/>
        <v>OK - No Upgrade</v>
      </c>
      <c r="BU35" s="15" t="str">
        <f t="shared" si="8"/>
        <v>Need to Balance</v>
      </c>
    </row>
    <row r="36" spans="1:73" ht="15.75" customHeight="1" x14ac:dyDescent="0.25">
      <c r="A36" s="8" t="s">
        <v>1459</v>
      </c>
      <c r="B36" s="8" t="s">
        <v>2540</v>
      </c>
      <c r="C36" s="8" t="s">
        <v>265</v>
      </c>
      <c r="D36" s="8" t="s">
        <v>2634</v>
      </c>
      <c r="E36" s="8" t="s">
        <v>2635</v>
      </c>
      <c r="F36" s="8" t="s">
        <v>43</v>
      </c>
      <c r="G36" s="8"/>
      <c r="H36" s="8">
        <v>100</v>
      </c>
      <c r="I36" s="8" t="s">
        <v>2636</v>
      </c>
      <c r="J36" s="8">
        <v>1</v>
      </c>
      <c r="K36" s="8">
        <v>236</v>
      </c>
      <c r="L36" s="8">
        <v>236</v>
      </c>
      <c r="M36" s="8">
        <v>236</v>
      </c>
      <c r="N36" s="8">
        <v>409</v>
      </c>
      <c r="O36" s="8">
        <v>408</v>
      </c>
      <c r="P36" s="8">
        <v>409</v>
      </c>
      <c r="Q36" s="9" t="s">
        <v>46</v>
      </c>
      <c r="R36" s="16"/>
      <c r="S36" s="10">
        <v>23</v>
      </c>
      <c r="T36" s="10">
        <v>23</v>
      </c>
      <c r="U36" s="10">
        <v>29</v>
      </c>
      <c r="V36" s="11">
        <v>5</v>
      </c>
      <c r="W36" s="12" t="s">
        <v>46</v>
      </c>
      <c r="X36" s="17"/>
      <c r="Y36" s="13">
        <v>25</v>
      </c>
      <c r="Z36" s="13">
        <v>15</v>
      </c>
      <c r="AA36" s="13">
        <v>21</v>
      </c>
      <c r="AB36" s="14">
        <v>15</v>
      </c>
      <c r="AC36" s="9"/>
      <c r="AD36" s="16"/>
      <c r="AE36" s="10"/>
      <c r="AF36" s="10"/>
      <c r="AG36" s="10"/>
      <c r="AH36" s="11"/>
      <c r="AI36" s="12"/>
      <c r="AJ36" s="17"/>
      <c r="AK36" s="13"/>
      <c r="AL36" s="13"/>
      <c r="AM36" s="13"/>
      <c r="AN36" s="14"/>
      <c r="AO36" s="9"/>
      <c r="AP36" s="16"/>
      <c r="AQ36" s="10"/>
      <c r="AR36" s="10"/>
      <c r="AS36" s="10"/>
      <c r="AT36" s="11"/>
      <c r="AU36" s="12"/>
      <c r="AV36" s="17"/>
      <c r="AW36" s="13"/>
      <c r="AX36" s="13"/>
      <c r="AY36" s="13"/>
      <c r="AZ36" s="14"/>
      <c r="BA36" s="9"/>
      <c r="BB36" s="16"/>
      <c r="BC36" s="10"/>
      <c r="BD36" s="10"/>
      <c r="BE36" s="10"/>
      <c r="BF36" s="11"/>
      <c r="BG36" s="12"/>
      <c r="BH36" s="17"/>
      <c r="BI36" s="13"/>
      <c r="BJ36" s="13"/>
      <c r="BK36" s="13"/>
      <c r="BL36" s="14"/>
      <c r="BM36" s="8">
        <f t="shared" ref="BM36:BM67" si="9">SUM(S36,Y36,AE36,AK36,AQ36,AW36,BC36,BI36)</f>
        <v>48</v>
      </c>
      <c r="BN36" s="8">
        <f t="shared" ref="BN36:BN67" si="10">SUM(T36,Z36,AF36,AL36,AR36,AX36,BD36,BJ36)</f>
        <v>38</v>
      </c>
      <c r="BO36" s="8">
        <f t="shared" ref="BO36:BO67" si="11">SUM(U36,AA36,AG36,AM36,AS36,AY36,BE36,BK36)</f>
        <v>50</v>
      </c>
      <c r="BP36" s="8">
        <f t="shared" ref="BP36:BP67" si="12">SUM(V36,AB36,AH36,AN36,AT36,AZ36,BF36,BL36)</f>
        <v>20</v>
      </c>
      <c r="BQ36" s="8">
        <f t="shared" ref="BQ36:BQ67" si="13">MAX(BM36:BO36)</f>
        <v>50</v>
      </c>
      <c r="BR36" s="8">
        <f t="shared" ref="BR36:BR67" si="14">MIN(BM36:BO36)</f>
        <v>38</v>
      </c>
      <c r="BS36" s="15">
        <f t="shared" ref="BS36:BS67" si="15">IF(H36&gt;0,(BQ36*SQRT(3)*IF(N36&gt;0,N36,IF(O36&gt;0,O36,IF(P36&gt;0,P36,415)))/(H36*1000))*100,0)</f>
        <v>35.42043901478354</v>
      </c>
      <c r="BT36" s="15" t="str">
        <f t="shared" ref="BT36:BT67" si="16">IF(BS36&gt;70,"Upgrade","OK - No Upgrade")</f>
        <v>OK - No Upgrade</v>
      </c>
      <c r="BU36" s="15" t="str">
        <f t="shared" ref="BU36:BU67" si="17">IF(IF(AVERAGE(BM36:BO36)&gt;0,((BQ36-AVERAGE(BM36:BO36))/AVERAGE(BM36:BO36))*100,0)&gt;10,"Need to Balance","OK - Balanced")</f>
        <v>Need to Balance</v>
      </c>
    </row>
    <row r="37" spans="1:73" ht="15.75" customHeight="1" x14ac:dyDescent="0.25">
      <c r="A37" s="8" t="s">
        <v>1459</v>
      </c>
      <c r="B37" s="8" t="s">
        <v>2540</v>
      </c>
      <c r="C37" s="8" t="s">
        <v>265</v>
      </c>
      <c r="D37" s="8" t="s">
        <v>2637</v>
      </c>
      <c r="E37" s="8" t="s">
        <v>2638</v>
      </c>
      <c r="F37" s="8" t="s">
        <v>43</v>
      </c>
      <c r="G37" s="8"/>
      <c r="H37" s="8">
        <v>100</v>
      </c>
      <c r="I37" s="8" t="s">
        <v>2639</v>
      </c>
      <c r="J37" s="8">
        <v>1</v>
      </c>
      <c r="K37" s="8">
        <v>237</v>
      </c>
      <c r="L37" s="8">
        <v>235</v>
      </c>
      <c r="M37" s="8">
        <v>238</v>
      </c>
      <c r="N37" s="8">
        <v>411</v>
      </c>
      <c r="O37" s="8">
        <v>415</v>
      </c>
      <c r="P37" s="8">
        <v>413</v>
      </c>
      <c r="Q37" s="9" t="s">
        <v>46</v>
      </c>
      <c r="R37" s="16"/>
      <c r="S37" s="10">
        <v>12</v>
      </c>
      <c r="T37" s="10">
        <v>0</v>
      </c>
      <c r="U37" s="10">
        <v>0</v>
      </c>
      <c r="V37" s="11">
        <v>9</v>
      </c>
      <c r="W37" s="12"/>
      <c r="X37" s="17"/>
      <c r="Y37" s="13"/>
      <c r="Z37" s="13"/>
      <c r="AA37" s="13"/>
      <c r="AB37" s="14"/>
      <c r="AC37" s="9"/>
      <c r="AD37" s="16"/>
      <c r="AE37" s="10"/>
      <c r="AF37" s="10"/>
      <c r="AG37" s="10"/>
      <c r="AH37" s="11"/>
      <c r="AI37" s="12"/>
      <c r="AJ37" s="17"/>
      <c r="AK37" s="13"/>
      <c r="AL37" s="13"/>
      <c r="AM37" s="13"/>
      <c r="AN37" s="14"/>
      <c r="AO37" s="9"/>
      <c r="AP37" s="16"/>
      <c r="AQ37" s="10"/>
      <c r="AR37" s="10"/>
      <c r="AS37" s="10"/>
      <c r="AT37" s="11"/>
      <c r="AU37" s="12"/>
      <c r="AV37" s="17"/>
      <c r="AW37" s="13"/>
      <c r="AX37" s="13"/>
      <c r="AY37" s="13"/>
      <c r="AZ37" s="14"/>
      <c r="BA37" s="9"/>
      <c r="BB37" s="16"/>
      <c r="BC37" s="10"/>
      <c r="BD37" s="10"/>
      <c r="BE37" s="10"/>
      <c r="BF37" s="11"/>
      <c r="BG37" s="12"/>
      <c r="BH37" s="17"/>
      <c r="BI37" s="13"/>
      <c r="BJ37" s="13"/>
      <c r="BK37" s="13"/>
      <c r="BL37" s="14"/>
      <c r="BM37" s="8">
        <f t="shared" si="9"/>
        <v>12</v>
      </c>
      <c r="BN37" s="8">
        <f t="shared" si="10"/>
        <v>0</v>
      </c>
      <c r="BO37" s="8">
        <f t="shared" si="11"/>
        <v>0</v>
      </c>
      <c r="BP37" s="8">
        <f t="shared" si="12"/>
        <v>9</v>
      </c>
      <c r="BQ37" s="8">
        <f t="shared" si="13"/>
        <v>12</v>
      </c>
      <c r="BR37" s="8">
        <f t="shared" si="14"/>
        <v>0</v>
      </c>
      <c r="BS37" s="15">
        <f t="shared" si="15"/>
        <v>8.5424745829297031</v>
      </c>
      <c r="BT37" s="15" t="str">
        <f t="shared" si="16"/>
        <v>OK - No Upgrade</v>
      </c>
      <c r="BU37" s="15" t="str">
        <f t="shared" si="17"/>
        <v>Need to Balance</v>
      </c>
    </row>
    <row r="38" spans="1:73" ht="15.75" customHeight="1" x14ac:dyDescent="0.25">
      <c r="A38" s="8" t="s">
        <v>1459</v>
      </c>
      <c r="B38" s="8" t="s">
        <v>2540</v>
      </c>
      <c r="C38" s="8" t="s">
        <v>265</v>
      </c>
      <c r="D38" s="8" t="s">
        <v>2640</v>
      </c>
      <c r="E38" s="8" t="s">
        <v>2641</v>
      </c>
      <c r="F38" s="8" t="s">
        <v>43</v>
      </c>
      <c r="G38" s="8"/>
      <c r="H38" s="8">
        <v>100</v>
      </c>
      <c r="I38" s="8" t="s">
        <v>2642</v>
      </c>
      <c r="J38" s="8">
        <v>1</v>
      </c>
      <c r="K38" s="8">
        <v>227</v>
      </c>
      <c r="L38" s="8">
        <v>226</v>
      </c>
      <c r="M38" s="8">
        <v>227</v>
      </c>
      <c r="N38" s="8">
        <v>395</v>
      </c>
      <c r="O38" s="8">
        <v>391</v>
      </c>
      <c r="P38" s="8">
        <v>391</v>
      </c>
      <c r="Q38" s="9"/>
      <c r="R38" s="16"/>
      <c r="S38" s="10"/>
      <c r="T38" s="10"/>
      <c r="U38" s="10"/>
      <c r="V38" s="11"/>
      <c r="W38" s="12" t="s">
        <v>47</v>
      </c>
      <c r="X38" s="17"/>
      <c r="Y38" s="13">
        <v>2</v>
      </c>
      <c r="Z38" s="13">
        <v>8</v>
      </c>
      <c r="AA38" s="13">
        <v>0</v>
      </c>
      <c r="AB38" s="14">
        <v>0</v>
      </c>
      <c r="AC38" s="9"/>
      <c r="AD38" s="16"/>
      <c r="AE38" s="10"/>
      <c r="AF38" s="10"/>
      <c r="AG38" s="10"/>
      <c r="AH38" s="11"/>
      <c r="AI38" s="12"/>
      <c r="AJ38" s="17"/>
      <c r="AK38" s="13"/>
      <c r="AL38" s="13"/>
      <c r="AM38" s="13"/>
      <c r="AN38" s="14"/>
      <c r="AO38" s="9"/>
      <c r="AP38" s="16"/>
      <c r="AQ38" s="10"/>
      <c r="AR38" s="10"/>
      <c r="AS38" s="10"/>
      <c r="AT38" s="11"/>
      <c r="AU38" s="12"/>
      <c r="AV38" s="17"/>
      <c r="AW38" s="13"/>
      <c r="AX38" s="13"/>
      <c r="AY38" s="13"/>
      <c r="AZ38" s="14"/>
      <c r="BA38" s="9"/>
      <c r="BB38" s="16"/>
      <c r="BC38" s="10"/>
      <c r="BD38" s="10"/>
      <c r="BE38" s="10"/>
      <c r="BF38" s="11"/>
      <c r="BG38" s="12"/>
      <c r="BH38" s="17"/>
      <c r="BI38" s="13"/>
      <c r="BJ38" s="13"/>
      <c r="BK38" s="13"/>
      <c r="BL38" s="14"/>
      <c r="BM38" s="8">
        <f t="shared" si="9"/>
        <v>2</v>
      </c>
      <c r="BN38" s="8">
        <f t="shared" si="10"/>
        <v>8</v>
      </c>
      <c r="BO38" s="8">
        <f t="shared" si="11"/>
        <v>0</v>
      </c>
      <c r="BP38" s="8">
        <f t="shared" si="12"/>
        <v>0</v>
      </c>
      <c r="BQ38" s="8">
        <f t="shared" si="13"/>
        <v>8</v>
      </c>
      <c r="BR38" s="8">
        <f t="shared" si="14"/>
        <v>0</v>
      </c>
      <c r="BS38" s="15">
        <f t="shared" si="15"/>
        <v>5.4732805519176519</v>
      </c>
      <c r="BT38" s="15" t="str">
        <f t="shared" si="16"/>
        <v>OK - No Upgrade</v>
      </c>
      <c r="BU38" s="15" t="str">
        <f t="shared" si="17"/>
        <v>Need to Balance</v>
      </c>
    </row>
    <row r="39" spans="1:73" ht="15.75" customHeight="1" x14ac:dyDescent="0.25">
      <c r="A39" s="8" t="s">
        <v>1459</v>
      </c>
      <c r="B39" s="8" t="s">
        <v>2540</v>
      </c>
      <c r="C39" s="8" t="s">
        <v>265</v>
      </c>
      <c r="D39" s="8" t="s">
        <v>2643</v>
      </c>
      <c r="E39" s="8" t="s">
        <v>2644</v>
      </c>
      <c r="F39" s="8" t="s">
        <v>43</v>
      </c>
      <c r="G39" s="8"/>
      <c r="H39" s="8">
        <v>315</v>
      </c>
      <c r="I39" s="8" t="s">
        <v>2645</v>
      </c>
      <c r="J39" s="8">
        <v>1</v>
      </c>
      <c r="K39" s="8">
        <v>236</v>
      </c>
      <c r="L39" s="8">
        <v>237</v>
      </c>
      <c r="M39" s="8">
        <v>237</v>
      </c>
      <c r="N39" s="8">
        <v>413</v>
      </c>
      <c r="O39" s="8">
        <v>410</v>
      </c>
      <c r="P39" s="8">
        <v>413</v>
      </c>
      <c r="Q39" s="9" t="s">
        <v>46</v>
      </c>
      <c r="R39" s="16"/>
      <c r="S39" s="10">
        <v>115</v>
      </c>
      <c r="T39" s="10">
        <v>40</v>
      </c>
      <c r="U39" s="10">
        <v>20</v>
      </c>
      <c r="V39" s="11">
        <v>80</v>
      </c>
      <c r="W39" s="12" t="s">
        <v>47</v>
      </c>
      <c r="X39" s="17"/>
      <c r="Y39" s="13">
        <v>0</v>
      </c>
      <c r="Z39" s="13">
        <v>0</v>
      </c>
      <c r="AA39" s="13">
        <v>0</v>
      </c>
      <c r="AB39" s="14">
        <v>0</v>
      </c>
      <c r="AC39" s="9"/>
      <c r="AD39" s="16"/>
      <c r="AE39" s="10"/>
      <c r="AF39" s="10"/>
      <c r="AG39" s="10"/>
      <c r="AH39" s="11"/>
      <c r="AI39" s="12"/>
      <c r="AJ39" s="17"/>
      <c r="AK39" s="13"/>
      <c r="AL39" s="13"/>
      <c r="AM39" s="13"/>
      <c r="AN39" s="14"/>
      <c r="AO39" s="9"/>
      <c r="AP39" s="16"/>
      <c r="AQ39" s="10"/>
      <c r="AR39" s="10"/>
      <c r="AS39" s="10"/>
      <c r="AT39" s="11"/>
      <c r="AU39" s="12"/>
      <c r="AV39" s="17"/>
      <c r="AW39" s="13"/>
      <c r="AX39" s="13"/>
      <c r="AY39" s="13"/>
      <c r="AZ39" s="14"/>
      <c r="BA39" s="9"/>
      <c r="BB39" s="16"/>
      <c r="BC39" s="10"/>
      <c r="BD39" s="10"/>
      <c r="BE39" s="10"/>
      <c r="BF39" s="11"/>
      <c r="BG39" s="12"/>
      <c r="BH39" s="17"/>
      <c r="BI39" s="13"/>
      <c r="BJ39" s="13"/>
      <c r="BK39" s="13"/>
      <c r="BL39" s="14"/>
      <c r="BM39" s="8">
        <f t="shared" si="9"/>
        <v>115</v>
      </c>
      <c r="BN39" s="8">
        <f t="shared" si="10"/>
        <v>40</v>
      </c>
      <c r="BO39" s="8">
        <f t="shared" si="11"/>
        <v>20</v>
      </c>
      <c r="BP39" s="8">
        <f t="shared" si="12"/>
        <v>80</v>
      </c>
      <c r="BQ39" s="8">
        <f t="shared" si="13"/>
        <v>115</v>
      </c>
      <c r="BR39" s="8">
        <f t="shared" si="14"/>
        <v>20</v>
      </c>
      <c r="BS39" s="15">
        <f t="shared" si="15"/>
        <v>26.115477176344072</v>
      </c>
      <c r="BT39" s="15" t="str">
        <f t="shared" si="16"/>
        <v>OK - No Upgrade</v>
      </c>
      <c r="BU39" s="15" t="str">
        <f t="shared" si="17"/>
        <v>Need to Balance</v>
      </c>
    </row>
    <row r="40" spans="1:73" ht="15.75" customHeight="1" x14ac:dyDescent="0.25">
      <c r="A40" s="8" t="s">
        <v>1459</v>
      </c>
      <c r="B40" s="8" t="s">
        <v>2540</v>
      </c>
      <c r="C40" s="8" t="s">
        <v>265</v>
      </c>
      <c r="D40" s="8" t="s">
        <v>2646</v>
      </c>
      <c r="E40" s="8" t="s">
        <v>2647</v>
      </c>
      <c r="F40" s="8" t="s">
        <v>43</v>
      </c>
      <c r="G40" s="8"/>
      <c r="H40" s="8">
        <v>100</v>
      </c>
      <c r="I40" s="8" t="s">
        <v>2648</v>
      </c>
      <c r="J40" s="8">
        <v>1</v>
      </c>
      <c r="K40" s="8">
        <v>237</v>
      </c>
      <c r="L40" s="8">
        <v>237</v>
      </c>
      <c r="M40" s="8">
        <v>237</v>
      </c>
      <c r="N40" s="8">
        <v>413</v>
      </c>
      <c r="O40" s="8">
        <v>410</v>
      </c>
      <c r="P40" s="8">
        <v>410</v>
      </c>
      <c r="Q40" s="9" t="s">
        <v>46</v>
      </c>
      <c r="R40" s="16"/>
      <c r="S40" s="10">
        <v>0</v>
      </c>
      <c r="T40" s="10">
        <v>0</v>
      </c>
      <c r="U40" s="10">
        <v>0</v>
      </c>
      <c r="V40" s="11">
        <v>0</v>
      </c>
      <c r="W40" s="12"/>
      <c r="X40" s="17"/>
      <c r="Y40" s="13"/>
      <c r="Z40" s="13"/>
      <c r="AA40" s="13"/>
      <c r="AB40" s="14"/>
      <c r="AC40" s="9"/>
      <c r="AD40" s="16"/>
      <c r="AE40" s="10"/>
      <c r="AF40" s="10"/>
      <c r="AG40" s="10"/>
      <c r="AH40" s="11"/>
      <c r="AI40" s="12"/>
      <c r="AJ40" s="17"/>
      <c r="AK40" s="13"/>
      <c r="AL40" s="13"/>
      <c r="AM40" s="13"/>
      <c r="AN40" s="14"/>
      <c r="AO40" s="9"/>
      <c r="AP40" s="16"/>
      <c r="AQ40" s="10"/>
      <c r="AR40" s="10"/>
      <c r="AS40" s="10"/>
      <c r="AT40" s="11"/>
      <c r="AU40" s="12"/>
      <c r="AV40" s="17"/>
      <c r="AW40" s="13"/>
      <c r="AX40" s="13"/>
      <c r="AY40" s="13"/>
      <c r="AZ40" s="14"/>
      <c r="BA40" s="9"/>
      <c r="BB40" s="16"/>
      <c r="BC40" s="10"/>
      <c r="BD40" s="10"/>
      <c r="BE40" s="10"/>
      <c r="BF40" s="11"/>
      <c r="BG40" s="12"/>
      <c r="BH40" s="17"/>
      <c r="BI40" s="13"/>
      <c r="BJ40" s="13"/>
      <c r="BK40" s="13"/>
      <c r="BL40" s="14"/>
      <c r="BM40" s="8">
        <f t="shared" si="9"/>
        <v>0</v>
      </c>
      <c r="BN40" s="8">
        <f t="shared" si="10"/>
        <v>0</v>
      </c>
      <c r="BO40" s="8">
        <f t="shared" si="11"/>
        <v>0</v>
      </c>
      <c r="BP40" s="8">
        <f t="shared" si="12"/>
        <v>0</v>
      </c>
      <c r="BQ40" s="8">
        <f t="shared" si="13"/>
        <v>0</v>
      </c>
      <c r="BR40" s="8">
        <f t="shared" si="14"/>
        <v>0</v>
      </c>
      <c r="BS40" s="15">
        <f t="shared" si="15"/>
        <v>0</v>
      </c>
      <c r="BT40" s="15" t="str">
        <f t="shared" si="16"/>
        <v>OK - No Upgrade</v>
      </c>
      <c r="BU40" s="15" t="str">
        <f t="shared" si="17"/>
        <v>OK - Balanced</v>
      </c>
    </row>
    <row r="41" spans="1:73" ht="15.75" customHeight="1" x14ac:dyDescent="0.25">
      <c r="A41" s="8" t="s">
        <v>1459</v>
      </c>
      <c r="B41" s="8" t="s">
        <v>2540</v>
      </c>
      <c r="C41" s="8" t="s">
        <v>265</v>
      </c>
      <c r="D41" s="8" t="s">
        <v>2649</v>
      </c>
      <c r="E41" s="8" t="s">
        <v>2650</v>
      </c>
      <c r="F41" s="8" t="s">
        <v>43</v>
      </c>
      <c r="G41" s="8"/>
      <c r="H41" s="8">
        <v>100</v>
      </c>
      <c r="I41" s="8" t="s">
        <v>2651</v>
      </c>
      <c r="J41" s="8">
        <v>1</v>
      </c>
      <c r="K41" s="8">
        <v>240</v>
      </c>
      <c r="L41" s="8">
        <v>241</v>
      </c>
      <c r="M41" s="8">
        <v>240</v>
      </c>
      <c r="N41" s="8">
        <v>429</v>
      </c>
      <c r="O41" s="8">
        <v>428</v>
      </c>
      <c r="P41" s="8">
        <v>430</v>
      </c>
      <c r="Q41" s="9" t="s">
        <v>46</v>
      </c>
      <c r="R41" s="16"/>
      <c r="S41" s="10">
        <v>0</v>
      </c>
      <c r="T41" s="10">
        <v>0</v>
      </c>
      <c r="U41" s="10">
        <v>0</v>
      </c>
      <c r="V41" s="11">
        <v>0</v>
      </c>
      <c r="W41" s="12"/>
      <c r="X41" s="17"/>
      <c r="Y41" s="13"/>
      <c r="Z41" s="13"/>
      <c r="AA41" s="13"/>
      <c r="AB41" s="14"/>
      <c r="AC41" s="9"/>
      <c r="AD41" s="16"/>
      <c r="AE41" s="10"/>
      <c r="AF41" s="10"/>
      <c r="AG41" s="10"/>
      <c r="AH41" s="11"/>
      <c r="AI41" s="12"/>
      <c r="AJ41" s="17"/>
      <c r="AK41" s="13"/>
      <c r="AL41" s="13"/>
      <c r="AM41" s="13"/>
      <c r="AN41" s="14"/>
      <c r="AO41" s="9"/>
      <c r="AP41" s="16"/>
      <c r="AQ41" s="10"/>
      <c r="AR41" s="10"/>
      <c r="AS41" s="10"/>
      <c r="AT41" s="11"/>
      <c r="AU41" s="12"/>
      <c r="AV41" s="17"/>
      <c r="AW41" s="13"/>
      <c r="AX41" s="13"/>
      <c r="AY41" s="13"/>
      <c r="AZ41" s="14"/>
      <c r="BA41" s="9"/>
      <c r="BB41" s="16"/>
      <c r="BC41" s="10"/>
      <c r="BD41" s="10"/>
      <c r="BE41" s="10"/>
      <c r="BF41" s="11"/>
      <c r="BG41" s="12"/>
      <c r="BH41" s="17"/>
      <c r="BI41" s="13"/>
      <c r="BJ41" s="13"/>
      <c r="BK41" s="13"/>
      <c r="BL41" s="14"/>
      <c r="BM41" s="8">
        <f t="shared" si="9"/>
        <v>0</v>
      </c>
      <c r="BN41" s="8">
        <f t="shared" si="10"/>
        <v>0</v>
      </c>
      <c r="BO41" s="8">
        <f t="shared" si="11"/>
        <v>0</v>
      </c>
      <c r="BP41" s="8">
        <f t="shared" si="12"/>
        <v>0</v>
      </c>
      <c r="BQ41" s="8">
        <f t="shared" si="13"/>
        <v>0</v>
      </c>
      <c r="BR41" s="8">
        <f t="shared" si="14"/>
        <v>0</v>
      </c>
      <c r="BS41" s="15">
        <f t="shared" si="15"/>
        <v>0</v>
      </c>
      <c r="BT41" s="15" t="str">
        <f t="shared" si="16"/>
        <v>OK - No Upgrade</v>
      </c>
      <c r="BU41" s="15" t="str">
        <f t="shared" si="17"/>
        <v>OK - Balanced</v>
      </c>
    </row>
    <row r="42" spans="1:73" ht="15.75" customHeight="1" x14ac:dyDescent="0.25">
      <c r="A42" s="8" t="s">
        <v>1459</v>
      </c>
      <c r="B42" s="8" t="s">
        <v>2540</v>
      </c>
      <c r="C42" s="8" t="s">
        <v>265</v>
      </c>
      <c r="D42" s="8" t="s">
        <v>2652</v>
      </c>
      <c r="E42" s="8" t="s">
        <v>2653</v>
      </c>
      <c r="F42" s="8" t="s">
        <v>43</v>
      </c>
      <c r="G42" s="8"/>
      <c r="H42" s="8">
        <v>100</v>
      </c>
      <c r="I42" s="8" t="s">
        <v>2654</v>
      </c>
      <c r="J42" s="8">
        <v>1</v>
      </c>
      <c r="K42" s="8">
        <v>249</v>
      </c>
      <c r="L42" s="8">
        <v>247</v>
      </c>
      <c r="M42" s="8">
        <v>249</v>
      </c>
      <c r="N42" s="8">
        <v>431</v>
      </c>
      <c r="O42" s="8">
        <v>431</v>
      </c>
      <c r="P42" s="8">
        <v>431</v>
      </c>
      <c r="Q42" s="9"/>
      <c r="R42" s="16"/>
      <c r="S42" s="10"/>
      <c r="T42" s="10"/>
      <c r="U42" s="10"/>
      <c r="V42" s="11"/>
      <c r="W42" s="12" t="s">
        <v>46</v>
      </c>
      <c r="X42" s="17"/>
      <c r="Y42" s="13">
        <v>10</v>
      </c>
      <c r="Z42" s="13">
        <v>24</v>
      </c>
      <c r="AA42" s="13">
        <v>14</v>
      </c>
      <c r="AB42" s="14">
        <v>15</v>
      </c>
      <c r="AC42" s="9"/>
      <c r="AD42" s="16"/>
      <c r="AE42" s="10"/>
      <c r="AF42" s="10"/>
      <c r="AG42" s="10"/>
      <c r="AH42" s="11"/>
      <c r="AI42" s="12"/>
      <c r="AJ42" s="17"/>
      <c r="AK42" s="13"/>
      <c r="AL42" s="13"/>
      <c r="AM42" s="13"/>
      <c r="AN42" s="14"/>
      <c r="AO42" s="9"/>
      <c r="AP42" s="16"/>
      <c r="AQ42" s="10"/>
      <c r="AR42" s="10"/>
      <c r="AS42" s="10"/>
      <c r="AT42" s="11"/>
      <c r="AU42" s="12"/>
      <c r="AV42" s="17"/>
      <c r="AW42" s="13"/>
      <c r="AX42" s="13"/>
      <c r="AY42" s="13"/>
      <c r="AZ42" s="14"/>
      <c r="BA42" s="9"/>
      <c r="BB42" s="16"/>
      <c r="BC42" s="10"/>
      <c r="BD42" s="10"/>
      <c r="BE42" s="10"/>
      <c r="BF42" s="11"/>
      <c r="BG42" s="12"/>
      <c r="BH42" s="17"/>
      <c r="BI42" s="13"/>
      <c r="BJ42" s="13"/>
      <c r="BK42" s="13"/>
      <c r="BL42" s="14"/>
      <c r="BM42" s="8">
        <f t="shared" si="9"/>
        <v>10</v>
      </c>
      <c r="BN42" s="8">
        <f t="shared" si="10"/>
        <v>24</v>
      </c>
      <c r="BO42" s="8">
        <f t="shared" si="11"/>
        <v>14</v>
      </c>
      <c r="BP42" s="8">
        <f t="shared" si="12"/>
        <v>15</v>
      </c>
      <c r="BQ42" s="8">
        <f t="shared" si="13"/>
        <v>24</v>
      </c>
      <c r="BR42" s="8">
        <f t="shared" si="14"/>
        <v>10</v>
      </c>
      <c r="BS42" s="15">
        <f t="shared" si="15"/>
        <v>17.916333553492468</v>
      </c>
      <c r="BT42" s="15" t="str">
        <f t="shared" si="16"/>
        <v>OK - No Upgrade</v>
      </c>
      <c r="BU42" s="15" t="str">
        <f t="shared" si="17"/>
        <v>Need to Balance</v>
      </c>
    </row>
    <row r="43" spans="1:73" ht="15.75" customHeight="1" x14ac:dyDescent="0.25">
      <c r="A43" s="8" t="s">
        <v>1459</v>
      </c>
      <c r="B43" s="8" t="s">
        <v>2540</v>
      </c>
      <c r="C43" s="8" t="s">
        <v>265</v>
      </c>
      <c r="D43" s="8" t="s">
        <v>2655</v>
      </c>
      <c r="E43" s="8" t="s">
        <v>2656</v>
      </c>
      <c r="F43" s="8" t="s">
        <v>43</v>
      </c>
      <c r="G43" s="8"/>
      <c r="H43" s="8">
        <v>100</v>
      </c>
      <c r="I43" s="8" t="s">
        <v>2657</v>
      </c>
      <c r="J43" s="8">
        <v>1</v>
      </c>
      <c r="K43" s="8">
        <v>237</v>
      </c>
      <c r="L43" s="8">
        <v>238</v>
      </c>
      <c r="M43" s="8">
        <v>240</v>
      </c>
      <c r="N43" s="8">
        <v>410</v>
      </c>
      <c r="O43" s="8">
        <v>409</v>
      </c>
      <c r="P43" s="8">
        <v>408</v>
      </c>
      <c r="Q43" s="9" t="s">
        <v>46</v>
      </c>
      <c r="R43" s="16"/>
      <c r="S43" s="10">
        <v>0</v>
      </c>
      <c r="T43" s="10">
        <v>0</v>
      </c>
      <c r="U43" s="10">
        <v>0</v>
      </c>
      <c r="V43" s="11">
        <v>0</v>
      </c>
      <c r="W43" s="12"/>
      <c r="X43" s="17"/>
      <c r="Y43" s="13"/>
      <c r="Z43" s="13"/>
      <c r="AA43" s="13"/>
      <c r="AB43" s="14"/>
      <c r="AC43" s="9"/>
      <c r="AD43" s="16"/>
      <c r="AE43" s="10"/>
      <c r="AF43" s="10"/>
      <c r="AG43" s="10"/>
      <c r="AH43" s="11"/>
      <c r="AI43" s="12"/>
      <c r="AJ43" s="17"/>
      <c r="AK43" s="13"/>
      <c r="AL43" s="13"/>
      <c r="AM43" s="13"/>
      <c r="AN43" s="14"/>
      <c r="AO43" s="9"/>
      <c r="AP43" s="16"/>
      <c r="AQ43" s="10"/>
      <c r="AR43" s="10"/>
      <c r="AS43" s="10"/>
      <c r="AT43" s="11"/>
      <c r="AU43" s="12"/>
      <c r="AV43" s="17"/>
      <c r="AW43" s="13"/>
      <c r="AX43" s="13"/>
      <c r="AY43" s="13"/>
      <c r="AZ43" s="14"/>
      <c r="BA43" s="9"/>
      <c r="BB43" s="16"/>
      <c r="BC43" s="10"/>
      <c r="BD43" s="10"/>
      <c r="BE43" s="10"/>
      <c r="BF43" s="11"/>
      <c r="BG43" s="12"/>
      <c r="BH43" s="17"/>
      <c r="BI43" s="13"/>
      <c r="BJ43" s="13"/>
      <c r="BK43" s="13"/>
      <c r="BL43" s="14"/>
      <c r="BM43" s="8">
        <f t="shared" si="9"/>
        <v>0</v>
      </c>
      <c r="BN43" s="8">
        <f t="shared" si="10"/>
        <v>0</v>
      </c>
      <c r="BO43" s="8">
        <f t="shared" si="11"/>
        <v>0</v>
      </c>
      <c r="BP43" s="8">
        <f t="shared" si="12"/>
        <v>0</v>
      </c>
      <c r="BQ43" s="8">
        <f t="shared" si="13"/>
        <v>0</v>
      </c>
      <c r="BR43" s="8">
        <f t="shared" si="14"/>
        <v>0</v>
      </c>
      <c r="BS43" s="15">
        <f t="shared" si="15"/>
        <v>0</v>
      </c>
      <c r="BT43" s="15" t="str">
        <f t="shared" si="16"/>
        <v>OK - No Upgrade</v>
      </c>
      <c r="BU43" s="15" t="str">
        <f t="shared" si="17"/>
        <v>OK - Balanced</v>
      </c>
    </row>
    <row r="44" spans="1:73" ht="15.75" customHeight="1" x14ac:dyDescent="0.25">
      <c r="A44" s="8" t="s">
        <v>1459</v>
      </c>
      <c r="B44" s="8" t="s">
        <v>2540</v>
      </c>
      <c r="C44" s="8" t="s">
        <v>265</v>
      </c>
      <c r="D44" s="8" t="s">
        <v>2658</v>
      </c>
      <c r="E44" s="8" t="s">
        <v>2659</v>
      </c>
      <c r="F44" s="8" t="s">
        <v>43</v>
      </c>
      <c r="G44" s="8"/>
      <c r="H44" s="8">
        <v>100</v>
      </c>
      <c r="I44" s="8" t="s">
        <v>2660</v>
      </c>
      <c r="J44" s="8">
        <v>1</v>
      </c>
      <c r="K44" s="8">
        <v>236</v>
      </c>
      <c r="L44" s="8">
        <v>235</v>
      </c>
      <c r="M44" s="8">
        <v>236</v>
      </c>
      <c r="N44" s="8">
        <v>412</v>
      </c>
      <c r="O44" s="8">
        <v>413</v>
      </c>
      <c r="P44" s="8">
        <v>411</v>
      </c>
      <c r="Q44" s="9" t="s">
        <v>46</v>
      </c>
      <c r="R44" s="16"/>
      <c r="S44" s="10">
        <v>44</v>
      </c>
      <c r="T44" s="10">
        <v>64</v>
      </c>
      <c r="U44" s="10">
        <v>26</v>
      </c>
      <c r="V44" s="11">
        <v>27</v>
      </c>
      <c r="W44" s="12"/>
      <c r="X44" s="17"/>
      <c r="Y44" s="13"/>
      <c r="Z44" s="13"/>
      <c r="AA44" s="13"/>
      <c r="AB44" s="14"/>
      <c r="AC44" s="9"/>
      <c r="AD44" s="16"/>
      <c r="AE44" s="10"/>
      <c r="AF44" s="10"/>
      <c r="AG44" s="10"/>
      <c r="AH44" s="11"/>
      <c r="AI44" s="12"/>
      <c r="AJ44" s="17"/>
      <c r="AK44" s="13"/>
      <c r="AL44" s="13"/>
      <c r="AM44" s="13"/>
      <c r="AN44" s="14"/>
      <c r="AO44" s="9"/>
      <c r="AP44" s="16"/>
      <c r="AQ44" s="10"/>
      <c r="AR44" s="10"/>
      <c r="AS44" s="10"/>
      <c r="AT44" s="11"/>
      <c r="AU44" s="12"/>
      <c r="AV44" s="17"/>
      <c r="AW44" s="13"/>
      <c r="AX44" s="13"/>
      <c r="AY44" s="13"/>
      <c r="AZ44" s="14"/>
      <c r="BA44" s="9"/>
      <c r="BB44" s="16"/>
      <c r="BC44" s="10"/>
      <c r="BD44" s="10"/>
      <c r="BE44" s="10"/>
      <c r="BF44" s="11"/>
      <c r="BG44" s="12"/>
      <c r="BH44" s="17"/>
      <c r="BI44" s="13"/>
      <c r="BJ44" s="13"/>
      <c r="BK44" s="13"/>
      <c r="BL44" s="14"/>
      <c r="BM44" s="8">
        <f t="shared" si="9"/>
        <v>44</v>
      </c>
      <c r="BN44" s="8">
        <f t="shared" si="10"/>
        <v>64</v>
      </c>
      <c r="BO44" s="8">
        <f t="shared" si="11"/>
        <v>26</v>
      </c>
      <c r="BP44" s="8">
        <f t="shared" si="12"/>
        <v>27</v>
      </c>
      <c r="BQ44" s="8">
        <f t="shared" si="13"/>
        <v>64</v>
      </c>
      <c r="BR44" s="8">
        <f t="shared" si="14"/>
        <v>26</v>
      </c>
      <c r="BS44" s="15">
        <f t="shared" si="15"/>
        <v>45.670715693976156</v>
      </c>
      <c r="BT44" s="15" t="str">
        <f t="shared" si="16"/>
        <v>OK - No Upgrade</v>
      </c>
      <c r="BU44" s="15" t="str">
        <f t="shared" si="17"/>
        <v>Need to Balance</v>
      </c>
    </row>
    <row r="45" spans="1:73" ht="15.75" customHeight="1" x14ac:dyDescent="0.25">
      <c r="A45" s="8" t="s">
        <v>1459</v>
      </c>
      <c r="B45" s="8" t="s">
        <v>2540</v>
      </c>
      <c r="C45" s="8" t="s">
        <v>265</v>
      </c>
      <c r="D45" s="8" t="s">
        <v>2661</v>
      </c>
      <c r="E45" s="8" t="s">
        <v>2662</v>
      </c>
      <c r="F45" s="8" t="s">
        <v>43</v>
      </c>
      <c r="G45" s="8"/>
      <c r="H45" s="8">
        <v>50</v>
      </c>
      <c r="I45" s="8" t="s">
        <v>2663</v>
      </c>
      <c r="J45" s="8">
        <v>1</v>
      </c>
      <c r="K45" s="8">
        <v>241</v>
      </c>
      <c r="L45" s="8">
        <v>240</v>
      </c>
      <c r="M45" s="8">
        <v>239</v>
      </c>
      <c r="N45" s="8">
        <v>417</v>
      </c>
      <c r="O45" s="8">
        <v>410</v>
      </c>
      <c r="P45" s="8">
        <v>418</v>
      </c>
      <c r="Q45" s="9" t="s">
        <v>46</v>
      </c>
      <c r="R45" s="16"/>
      <c r="S45" s="10">
        <v>0</v>
      </c>
      <c r="T45" s="10">
        <v>0</v>
      </c>
      <c r="U45" s="10">
        <v>0</v>
      </c>
      <c r="V45" s="11">
        <v>0</v>
      </c>
      <c r="W45" s="12"/>
      <c r="X45" s="17"/>
      <c r="Y45" s="13"/>
      <c r="Z45" s="13"/>
      <c r="AA45" s="13"/>
      <c r="AB45" s="14"/>
      <c r="AC45" s="9"/>
      <c r="AD45" s="16"/>
      <c r="AE45" s="10"/>
      <c r="AF45" s="10"/>
      <c r="AG45" s="10"/>
      <c r="AH45" s="11"/>
      <c r="AI45" s="12"/>
      <c r="AJ45" s="17"/>
      <c r="AK45" s="13"/>
      <c r="AL45" s="13"/>
      <c r="AM45" s="13"/>
      <c r="AN45" s="14"/>
      <c r="AO45" s="9"/>
      <c r="AP45" s="16"/>
      <c r="AQ45" s="10"/>
      <c r="AR45" s="10"/>
      <c r="AS45" s="10"/>
      <c r="AT45" s="11"/>
      <c r="AU45" s="12"/>
      <c r="AV45" s="17"/>
      <c r="AW45" s="13"/>
      <c r="AX45" s="13"/>
      <c r="AY45" s="13"/>
      <c r="AZ45" s="14"/>
      <c r="BA45" s="9"/>
      <c r="BB45" s="16"/>
      <c r="BC45" s="10"/>
      <c r="BD45" s="10"/>
      <c r="BE45" s="10"/>
      <c r="BF45" s="11"/>
      <c r="BG45" s="12"/>
      <c r="BH45" s="17"/>
      <c r="BI45" s="13"/>
      <c r="BJ45" s="13"/>
      <c r="BK45" s="13"/>
      <c r="BL45" s="14"/>
      <c r="BM45" s="8">
        <f t="shared" si="9"/>
        <v>0</v>
      </c>
      <c r="BN45" s="8">
        <f t="shared" si="10"/>
        <v>0</v>
      </c>
      <c r="BO45" s="8">
        <f t="shared" si="11"/>
        <v>0</v>
      </c>
      <c r="BP45" s="8">
        <f t="shared" si="12"/>
        <v>0</v>
      </c>
      <c r="BQ45" s="8">
        <f t="shared" si="13"/>
        <v>0</v>
      </c>
      <c r="BR45" s="8">
        <f t="shared" si="14"/>
        <v>0</v>
      </c>
      <c r="BS45" s="15">
        <f t="shared" si="15"/>
        <v>0</v>
      </c>
      <c r="BT45" s="15" t="str">
        <f t="shared" si="16"/>
        <v>OK - No Upgrade</v>
      </c>
      <c r="BU45" s="15" t="str">
        <f t="shared" si="17"/>
        <v>OK - Balanced</v>
      </c>
    </row>
    <row r="46" spans="1:73" ht="15.75" customHeight="1" x14ac:dyDescent="0.25">
      <c r="A46" s="8" t="s">
        <v>1459</v>
      </c>
      <c r="B46" s="8" t="s">
        <v>2540</v>
      </c>
      <c r="C46" s="8" t="s">
        <v>265</v>
      </c>
      <c r="D46" s="8" t="s">
        <v>2664</v>
      </c>
      <c r="E46" s="8" t="s">
        <v>2665</v>
      </c>
      <c r="F46" s="8" t="s">
        <v>43</v>
      </c>
      <c r="G46" s="8"/>
      <c r="H46" s="8">
        <v>100</v>
      </c>
      <c r="I46" s="8" t="s">
        <v>2666</v>
      </c>
      <c r="J46" s="8">
        <v>1</v>
      </c>
      <c r="K46" s="8">
        <v>241</v>
      </c>
      <c r="L46" s="8">
        <v>239</v>
      </c>
      <c r="M46" s="8">
        <v>240</v>
      </c>
      <c r="N46" s="8">
        <v>418</v>
      </c>
      <c r="O46" s="8">
        <v>417</v>
      </c>
      <c r="P46" s="8">
        <v>416</v>
      </c>
      <c r="Q46" s="9" t="s">
        <v>46</v>
      </c>
      <c r="R46" s="16"/>
      <c r="S46" s="10">
        <v>5</v>
      </c>
      <c r="T46" s="10">
        <v>7</v>
      </c>
      <c r="U46" s="10">
        <v>13</v>
      </c>
      <c r="V46" s="11">
        <v>10</v>
      </c>
      <c r="W46" s="12"/>
      <c r="X46" s="17"/>
      <c r="Y46" s="13"/>
      <c r="Z46" s="13"/>
      <c r="AA46" s="13"/>
      <c r="AB46" s="14"/>
      <c r="AC46" s="9"/>
      <c r="AD46" s="16"/>
      <c r="AE46" s="10"/>
      <c r="AF46" s="10"/>
      <c r="AG46" s="10"/>
      <c r="AH46" s="11"/>
      <c r="AI46" s="12"/>
      <c r="AJ46" s="17"/>
      <c r="AK46" s="13"/>
      <c r="AL46" s="13"/>
      <c r="AM46" s="13"/>
      <c r="AN46" s="14"/>
      <c r="AO46" s="9"/>
      <c r="AP46" s="16"/>
      <c r="AQ46" s="10"/>
      <c r="AR46" s="10"/>
      <c r="AS46" s="10"/>
      <c r="AT46" s="11"/>
      <c r="AU46" s="12"/>
      <c r="AV46" s="17"/>
      <c r="AW46" s="13"/>
      <c r="AX46" s="13"/>
      <c r="AY46" s="13"/>
      <c r="AZ46" s="14"/>
      <c r="BA46" s="9"/>
      <c r="BB46" s="16"/>
      <c r="BC46" s="10"/>
      <c r="BD46" s="10"/>
      <c r="BE46" s="10"/>
      <c r="BF46" s="11"/>
      <c r="BG46" s="12"/>
      <c r="BH46" s="17"/>
      <c r="BI46" s="13"/>
      <c r="BJ46" s="13"/>
      <c r="BK46" s="13"/>
      <c r="BL46" s="14"/>
      <c r="BM46" s="8">
        <f t="shared" si="9"/>
        <v>5</v>
      </c>
      <c r="BN46" s="8">
        <f t="shared" si="10"/>
        <v>7</v>
      </c>
      <c r="BO46" s="8">
        <f t="shared" si="11"/>
        <v>13</v>
      </c>
      <c r="BP46" s="8">
        <f t="shared" si="12"/>
        <v>10</v>
      </c>
      <c r="BQ46" s="8">
        <f t="shared" si="13"/>
        <v>13</v>
      </c>
      <c r="BR46" s="8">
        <f t="shared" si="14"/>
        <v>5</v>
      </c>
      <c r="BS46" s="15">
        <f t="shared" si="15"/>
        <v>9.4119640883292774</v>
      </c>
      <c r="BT46" s="15" t="str">
        <f t="shared" si="16"/>
        <v>OK - No Upgrade</v>
      </c>
      <c r="BU46" s="15" t="str">
        <f t="shared" si="17"/>
        <v>Need to Balance</v>
      </c>
    </row>
    <row r="47" spans="1:73" ht="15.75" customHeight="1" x14ac:dyDescent="0.25">
      <c r="A47" s="8" t="s">
        <v>1459</v>
      </c>
      <c r="B47" s="8" t="s">
        <v>2540</v>
      </c>
      <c r="C47" s="8" t="s">
        <v>265</v>
      </c>
      <c r="D47" s="8" t="s">
        <v>2667</v>
      </c>
      <c r="E47" s="8" t="s">
        <v>2668</v>
      </c>
      <c r="F47" s="8" t="s">
        <v>43</v>
      </c>
      <c r="G47" s="8"/>
      <c r="H47" s="8">
        <v>100</v>
      </c>
      <c r="I47" s="8" t="s">
        <v>2669</v>
      </c>
      <c r="J47" s="8">
        <v>1</v>
      </c>
      <c r="K47" s="8">
        <v>240</v>
      </c>
      <c r="L47" s="8">
        <v>240</v>
      </c>
      <c r="M47" s="8">
        <v>241</v>
      </c>
      <c r="N47" s="8">
        <v>417</v>
      </c>
      <c r="O47" s="8">
        <v>417</v>
      </c>
      <c r="P47" s="8">
        <v>416</v>
      </c>
      <c r="Q47" s="9" t="s">
        <v>46</v>
      </c>
      <c r="R47" s="16"/>
      <c r="S47" s="10">
        <v>20</v>
      </c>
      <c r="T47" s="10">
        <v>8</v>
      </c>
      <c r="U47" s="10">
        <v>12</v>
      </c>
      <c r="V47" s="11">
        <v>12</v>
      </c>
      <c r="W47" s="12"/>
      <c r="X47" s="17"/>
      <c r="Y47" s="13"/>
      <c r="Z47" s="13"/>
      <c r="AA47" s="13"/>
      <c r="AB47" s="14"/>
      <c r="AC47" s="9"/>
      <c r="AD47" s="16"/>
      <c r="AE47" s="10"/>
      <c r="AF47" s="10"/>
      <c r="AG47" s="10"/>
      <c r="AH47" s="11"/>
      <c r="AI47" s="12"/>
      <c r="AJ47" s="17"/>
      <c r="AK47" s="13"/>
      <c r="AL47" s="13"/>
      <c r="AM47" s="13"/>
      <c r="AN47" s="14"/>
      <c r="AO47" s="9"/>
      <c r="AP47" s="16"/>
      <c r="AQ47" s="10"/>
      <c r="AR47" s="10"/>
      <c r="AS47" s="10"/>
      <c r="AT47" s="11"/>
      <c r="AU47" s="12"/>
      <c r="AV47" s="17"/>
      <c r="AW47" s="13"/>
      <c r="AX47" s="13"/>
      <c r="AY47" s="13"/>
      <c r="AZ47" s="14"/>
      <c r="BA47" s="9"/>
      <c r="BB47" s="16"/>
      <c r="BC47" s="10"/>
      <c r="BD47" s="10"/>
      <c r="BE47" s="10"/>
      <c r="BF47" s="11"/>
      <c r="BG47" s="12"/>
      <c r="BH47" s="17"/>
      <c r="BI47" s="13"/>
      <c r="BJ47" s="13"/>
      <c r="BK47" s="13"/>
      <c r="BL47" s="14"/>
      <c r="BM47" s="8">
        <f t="shared" si="9"/>
        <v>20</v>
      </c>
      <c r="BN47" s="8">
        <f t="shared" si="10"/>
        <v>8</v>
      </c>
      <c r="BO47" s="8">
        <f t="shared" si="11"/>
        <v>12</v>
      </c>
      <c r="BP47" s="8">
        <f t="shared" si="12"/>
        <v>12</v>
      </c>
      <c r="BQ47" s="8">
        <f t="shared" si="13"/>
        <v>20</v>
      </c>
      <c r="BR47" s="8">
        <f t="shared" si="14"/>
        <v>8</v>
      </c>
      <c r="BS47" s="15">
        <f t="shared" si="15"/>
        <v>14.445303735124435</v>
      </c>
      <c r="BT47" s="15" t="str">
        <f t="shared" si="16"/>
        <v>OK - No Upgrade</v>
      </c>
      <c r="BU47" s="15" t="str">
        <f t="shared" si="17"/>
        <v>Need to Balance</v>
      </c>
    </row>
    <row r="48" spans="1:73" ht="15.75" customHeight="1" x14ac:dyDescent="0.25">
      <c r="A48" s="8" t="s">
        <v>1459</v>
      </c>
      <c r="B48" s="8" t="s">
        <v>2540</v>
      </c>
      <c r="C48" s="8" t="s">
        <v>265</v>
      </c>
      <c r="D48" s="8" t="s">
        <v>2670</v>
      </c>
      <c r="E48" s="8" t="s">
        <v>2671</v>
      </c>
      <c r="F48" s="8" t="s">
        <v>43</v>
      </c>
      <c r="G48" s="8"/>
      <c r="H48" s="8">
        <v>100</v>
      </c>
      <c r="I48" s="8" t="s">
        <v>2672</v>
      </c>
      <c r="J48" s="8">
        <v>1</v>
      </c>
      <c r="K48" s="8">
        <v>228</v>
      </c>
      <c r="L48" s="8">
        <v>230</v>
      </c>
      <c r="M48" s="8">
        <v>229</v>
      </c>
      <c r="N48" s="8">
        <v>400</v>
      </c>
      <c r="O48" s="8">
        <v>396</v>
      </c>
      <c r="P48" s="8">
        <v>396</v>
      </c>
      <c r="Q48" s="9" t="s">
        <v>46</v>
      </c>
      <c r="R48" s="16"/>
      <c r="S48" s="10">
        <v>16</v>
      </c>
      <c r="T48" s="10">
        <v>10</v>
      </c>
      <c r="U48" s="10">
        <v>23</v>
      </c>
      <c r="V48" s="11">
        <v>12</v>
      </c>
      <c r="W48" s="12" t="s">
        <v>46</v>
      </c>
      <c r="X48" s="17"/>
      <c r="Y48" s="13">
        <v>22</v>
      </c>
      <c r="Z48" s="13">
        <v>10</v>
      </c>
      <c r="AA48" s="13">
        <v>23</v>
      </c>
      <c r="AB48" s="14">
        <v>16</v>
      </c>
      <c r="AC48" s="9"/>
      <c r="AD48" s="16"/>
      <c r="AE48" s="10"/>
      <c r="AF48" s="10"/>
      <c r="AG48" s="10"/>
      <c r="AH48" s="11"/>
      <c r="AI48" s="12"/>
      <c r="AJ48" s="17"/>
      <c r="AK48" s="13"/>
      <c r="AL48" s="13"/>
      <c r="AM48" s="13"/>
      <c r="AN48" s="14"/>
      <c r="AO48" s="9"/>
      <c r="AP48" s="16"/>
      <c r="AQ48" s="10"/>
      <c r="AR48" s="10"/>
      <c r="AS48" s="10"/>
      <c r="AT48" s="11"/>
      <c r="AU48" s="12"/>
      <c r="AV48" s="17"/>
      <c r="AW48" s="13"/>
      <c r="AX48" s="13"/>
      <c r="AY48" s="13"/>
      <c r="AZ48" s="14"/>
      <c r="BA48" s="9"/>
      <c r="BB48" s="16"/>
      <c r="BC48" s="10"/>
      <c r="BD48" s="10"/>
      <c r="BE48" s="10"/>
      <c r="BF48" s="11"/>
      <c r="BG48" s="12"/>
      <c r="BH48" s="17"/>
      <c r="BI48" s="13"/>
      <c r="BJ48" s="13"/>
      <c r="BK48" s="13"/>
      <c r="BL48" s="14"/>
      <c r="BM48" s="8">
        <f t="shared" si="9"/>
        <v>38</v>
      </c>
      <c r="BN48" s="8">
        <f t="shared" si="10"/>
        <v>20</v>
      </c>
      <c r="BO48" s="8">
        <f t="shared" si="11"/>
        <v>46</v>
      </c>
      <c r="BP48" s="8">
        <f t="shared" si="12"/>
        <v>28</v>
      </c>
      <c r="BQ48" s="8">
        <f t="shared" si="13"/>
        <v>46</v>
      </c>
      <c r="BR48" s="8">
        <f t="shared" si="14"/>
        <v>20</v>
      </c>
      <c r="BS48" s="15">
        <f t="shared" si="15"/>
        <v>31.869734859267339</v>
      </c>
      <c r="BT48" s="15" t="str">
        <f t="shared" si="16"/>
        <v>OK - No Upgrade</v>
      </c>
      <c r="BU48" s="15" t="str">
        <f t="shared" si="17"/>
        <v>Need to Balance</v>
      </c>
    </row>
    <row r="49" spans="1:73" ht="15.75" customHeight="1" x14ac:dyDescent="0.25">
      <c r="A49" s="8" t="s">
        <v>1459</v>
      </c>
      <c r="B49" s="8" t="s">
        <v>2540</v>
      </c>
      <c r="C49" s="8" t="s">
        <v>265</v>
      </c>
      <c r="D49" s="8" t="s">
        <v>2673</v>
      </c>
      <c r="E49" s="8" t="s">
        <v>2674</v>
      </c>
      <c r="F49" s="8" t="s">
        <v>43</v>
      </c>
      <c r="G49" s="8"/>
      <c r="H49" s="8">
        <v>100</v>
      </c>
      <c r="I49" s="8" t="s">
        <v>2675</v>
      </c>
      <c r="J49" s="8">
        <v>1</v>
      </c>
      <c r="K49" s="8">
        <v>241</v>
      </c>
      <c r="L49" s="8">
        <v>243</v>
      </c>
      <c r="M49" s="8">
        <v>242</v>
      </c>
      <c r="N49" s="8">
        <v>422</v>
      </c>
      <c r="O49" s="8">
        <v>420</v>
      </c>
      <c r="P49" s="8">
        <v>424</v>
      </c>
      <c r="Q49" s="9" t="s">
        <v>47</v>
      </c>
      <c r="R49" s="16"/>
      <c r="S49" s="10">
        <v>13</v>
      </c>
      <c r="T49" s="10">
        <v>8</v>
      </c>
      <c r="U49" s="10">
        <v>17</v>
      </c>
      <c r="V49" s="11">
        <v>10</v>
      </c>
      <c r="W49" s="12"/>
      <c r="X49" s="17"/>
      <c r="Y49" s="13"/>
      <c r="Z49" s="13"/>
      <c r="AA49" s="13"/>
      <c r="AB49" s="14"/>
      <c r="AC49" s="9"/>
      <c r="AD49" s="16"/>
      <c r="AE49" s="10"/>
      <c r="AF49" s="10"/>
      <c r="AG49" s="10"/>
      <c r="AH49" s="11"/>
      <c r="AI49" s="12"/>
      <c r="AJ49" s="17"/>
      <c r="AK49" s="13"/>
      <c r="AL49" s="13"/>
      <c r="AM49" s="13"/>
      <c r="AN49" s="14"/>
      <c r="AO49" s="9"/>
      <c r="AP49" s="16"/>
      <c r="AQ49" s="10"/>
      <c r="AR49" s="10"/>
      <c r="AS49" s="10"/>
      <c r="AT49" s="11"/>
      <c r="AU49" s="12"/>
      <c r="AV49" s="17"/>
      <c r="AW49" s="13"/>
      <c r="AX49" s="13"/>
      <c r="AY49" s="13"/>
      <c r="AZ49" s="14"/>
      <c r="BA49" s="9"/>
      <c r="BB49" s="16"/>
      <c r="BC49" s="10"/>
      <c r="BD49" s="10"/>
      <c r="BE49" s="10"/>
      <c r="BF49" s="11"/>
      <c r="BG49" s="12"/>
      <c r="BH49" s="17"/>
      <c r="BI49" s="13"/>
      <c r="BJ49" s="13"/>
      <c r="BK49" s="13"/>
      <c r="BL49" s="14"/>
      <c r="BM49" s="8">
        <f t="shared" si="9"/>
        <v>13</v>
      </c>
      <c r="BN49" s="8">
        <f t="shared" si="10"/>
        <v>8</v>
      </c>
      <c r="BO49" s="8">
        <f t="shared" si="11"/>
        <v>17</v>
      </c>
      <c r="BP49" s="8">
        <f t="shared" si="12"/>
        <v>10</v>
      </c>
      <c r="BQ49" s="8">
        <f t="shared" si="13"/>
        <v>17</v>
      </c>
      <c r="BR49" s="8">
        <f t="shared" si="14"/>
        <v>8</v>
      </c>
      <c r="BS49" s="15">
        <f t="shared" si="15"/>
        <v>12.425732493499126</v>
      </c>
      <c r="BT49" s="15" t="str">
        <f t="shared" si="16"/>
        <v>OK - No Upgrade</v>
      </c>
      <c r="BU49" s="15" t="str">
        <f t="shared" si="17"/>
        <v>Need to Balance</v>
      </c>
    </row>
    <row r="50" spans="1:73" ht="15.75" customHeight="1" x14ac:dyDescent="0.25">
      <c r="A50" s="8" t="s">
        <v>1459</v>
      </c>
      <c r="B50" s="8" t="s">
        <v>2540</v>
      </c>
      <c r="C50" s="8" t="s">
        <v>265</v>
      </c>
      <c r="D50" s="8" t="s">
        <v>2676</v>
      </c>
      <c r="E50" s="8" t="s">
        <v>2677</v>
      </c>
      <c r="F50" s="8" t="s">
        <v>43</v>
      </c>
      <c r="G50" s="8"/>
      <c r="H50" s="8">
        <v>100</v>
      </c>
      <c r="I50" s="8" t="s">
        <v>2678</v>
      </c>
      <c r="J50" s="8">
        <v>1</v>
      </c>
      <c r="K50" s="8">
        <v>254</v>
      </c>
      <c r="L50" s="8">
        <v>253</v>
      </c>
      <c r="M50" s="8">
        <v>251</v>
      </c>
      <c r="N50" s="8">
        <v>440</v>
      </c>
      <c r="O50" s="8">
        <v>443</v>
      </c>
      <c r="P50" s="8">
        <v>449</v>
      </c>
      <c r="Q50" s="9" t="s">
        <v>46</v>
      </c>
      <c r="R50" s="16"/>
      <c r="S50" s="10">
        <v>28</v>
      </c>
      <c r="T50" s="10">
        <v>29</v>
      </c>
      <c r="U50" s="10">
        <v>56</v>
      </c>
      <c r="V50" s="11">
        <v>28</v>
      </c>
      <c r="W50" s="12"/>
      <c r="X50" s="17"/>
      <c r="Y50" s="13"/>
      <c r="Z50" s="13"/>
      <c r="AA50" s="13"/>
      <c r="AB50" s="14"/>
      <c r="AC50" s="9"/>
      <c r="AD50" s="16"/>
      <c r="AE50" s="10"/>
      <c r="AF50" s="10"/>
      <c r="AG50" s="10"/>
      <c r="AH50" s="11"/>
      <c r="AI50" s="12"/>
      <c r="AJ50" s="17"/>
      <c r="AK50" s="13"/>
      <c r="AL50" s="13"/>
      <c r="AM50" s="13"/>
      <c r="AN50" s="14"/>
      <c r="AO50" s="9"/>
      <c r="AP50" s="16"/>
      <c r="AQ50" s="10"/>
      <c r="AR50" s="10"/>
      <c r="AS50" s="10"/>
      <c r="AT50" s="11"/>
      <c r="AU50" s="12"/>
      <c r="AV50" s="17"/>
      <c r="AW50" s="13"/>
      <c r="AX50" s="13"/>
      <c r="AY50" s="13"/>
      <c r="AZ50" s="14"/>
      <c r="BA50" s="9"/>
      <c r="BB50" s="16"/>
      <c r="BC50" s="10"/>
      <c r="BD50" s="10"/>
      <c r="BE50" s="10"/>
      <c r="BF50" s="11"/>
      <c r="BG50" s="12"/>
      <c r="BH50" s="17"/>
      <c r="BI50" s="13"/>
      <c r="BJ50" s="13"/>
      <c r="BK50" s="13"/>
      <c r="BL50" s="14"/>
      <c r="BM50" s="8">
        <f t="shared" si="9"/>
        <v>28</v>
      </c>
      <c r="BN50" s="8">
        <f t="shared" si="10"/>
        <v>29</v>
      </c>
      <c r="BO50" s="8">
        <f t="shared" si="11"/>
        <v>56</v>
      </c>
      <c r="BP50" s="8">
        <f t="shared" si="12"/>
        <v>28</v>
      </c>
      <c r="BQ50" s="8">
        <f t="shared" si="13"/>
        <v>56</v>
      </c>
      <c r="BR50" s="8">
        <f t="shared" si="14"/>
        <v>28</v>
      </c>
      <c r="BS50" s="15">
        <f t="shared" si="15"/>
        <v>42.677731898497136</v>
      </c>
      <c r="BT50" s="15" t="str">
        <f t="shared" si="16"/>
        <v>OK - No Upgrade</v>
      </c>
      <c r="BU50" s="15" t="str">
        <f t="shared" si="17"/>
        <v>Need to Balance</v>
      </c>
    </row>
    <row r="51" spans="1:73" ht="15.75" customHeight="1" x14ac:dyDescent="0.25">
      <c r="A51" s="8" t="s">
        <v>1459</v>
      </c>
      <c r="B51" s="8" t="s">
        <v>2540</v>
      </c>
      <c r="C51" s="8" t="s">
        <v>265</v>
      </c>
      <c r="D51" s="8" t="s">
        <v>2679</v>
      </c>
      <c r="E51" s="8" t="s">
        <v>2680</v>
      </c>
      <c r="F51" s="8" t="s">
        <v>43</v>
      </c>
      <c r="G51" s="8"/>
      <c r="H51" s="8">
        <v>100</v>
      </c>
      <c r="I51" s="8" t="s">
        <v>2681</v>
      </c>
      <c r="J51" s="8">
        <v>1</v>
      </c>
      <c r="K51" s="8">
        <v>237</v>
      </c>
      <c r="L51" s="8">
        <v>238</v>
      </c>
      <c r="M51" s="8">
        <v>238</v>
      </c>
      <c r="N51" s="8">
        <v>414</v>
      </c>
      <c r="O51" s="8">
        <v>414</v>
      </c>
      <c r="P51" s="8">
        <v>413</v>
      </c>
      <c r="Q51" s="9" t="s">
        <v>46</v>
      </c>
      <c r="R51" s="16"/>
      <c r="S51" s="10">
        <v>6</v>
      </c>
      <c r="T51" s="10">
        <v>15</v>
      </c>
      <c r="U51" s="10">
        <v>6</v>
      </c>
      <c r="V51" s="11">
        <v>9</v>
      </c>
      <c r="W51" s="12" t="s">
        <v>46</v>
      </c>
      <c r="X51" s="17"/>
      <c r="Y51" s="13">
        <v>0</v>
      </c>
      <c r="Z51" s="13">
        <v>0</v>
      </c>
      <c r="AA51" s="13">
        <v>0</v>
      </c>
      <c r="AB51" s="14">
        <v>0</v>
      </c>
      <c r="AC51" s="9"/>
      <c r="AD51" s="16"/>
      <c r="AE51" s="10"/>
      <c r="AF51" s="10"/>
      <c r="AG51" s="10"/>
      <c r="AH51" s="11"/>
      <c r="AI51" s="12"/>
      <c r="AJ51" s="17"/>
      <c r="AK51" s="13"/>
      <c r="AL51" s="13"/>
      <c r="AM51" s="13"/>
      <c r="AN51" s="14"/>
      <c r="AO51" s="9"/>
      <c r="AP51" s="16"/>
      <c r="AQ51" s="10"/>
      <c r="AR51" s="10"/>
      <c r="AS51" s="10"/>
      <c r="AT51" s="11"/>
      <c r="AU51" s="12"/>
      <c r="AV51" s="17"/>
      <c r="AW51" s="13"/>
      <c r="AX51" s="13"/>
      <c r="AY51" s="13"/>
      <c r="AZ51" s="14"/>
      <c r="BA51" s="9"/>
      <c r="BB51" s="16"/>
      <c r="BC51" s="10"/>
      <c r="BD51" s="10"/>
      <c r="BE51" s="10"/>
      <c r="BF51" s="11"/>
      <c r="BG51" s="12"/>
      <c r="BH51" s="17"/>
      <c r="BI51" s="13"/>
      <c r="BJ51" s="13"/>
      <c r="BK51" s="13"/>
      <c r="BL51" s="14"/>
      <c r="BM51" s="8">
        <f t="shared" si="9"/>
        <v>6</v>
      </c>
      <c r="BN51" s="8">
        <f t="shared" si="10"/>
        <v>15</v>
      </c>
      <c r="BO51" s="8">
        <f t="shared" si="11"/>
        <v>6</v>
      </c>
      <c r="BP51" s="8">
        <f t="shared" si="12"/>
        <v>9</v>
      </c>
      <c r="BQ51" s="8">
        <f t="shared" si="13"/>
        <v>15</v>
      </c>
      <c r="BR51" s="8">
        <f t="shared" si="14"/>
        <v>6</v>
      </c>
      <c r="BS51" s="15">
        <f t="shared" si="15"/>
        <v>10.756035515002726</v>
      </c>
      <c r="BT51" s="15" t="str">
        <f t="shared" si="16"/>
        <v>OK - No Upgrade</v>
      </c>
      <c r="BU51" s="15" t="str">
        <f t="shared" si="17"/>
        <v>Need to Balance</v>
      </c>
    </row>
    <row r="52" spans="1:73" ht="15.75" customHeight="1" x14ac:dyDescent="0.25">
      <c r="A52" s="8" t="s">
        <v>1459</v>
      </c>
      <c r="B52" s="8" t="s">
        <v>2540</v>
      </c>
      <c r="C52" s="8" t="s">
        <v>124</v>
      </c>
      <c r="D52" s="8" t="s">
        <v>2682</v>
      </c>
      <c r="E52" s="8" t="s">
        <v>1045</v>
      </c>
      <c r="F52" s="8" t="s">
        <v>56</v>
      </c>
      <c r="G52" s="8"/>
      <c r="H52" s="8">
        <v>1000</v>
      </c>
      <c r="I52" s="8" t="s">
        <v>2469</v>
      </c>
      <c r="J52" s="8">
        <v>1</v>
      </c>
      <c r="K52" s="8">
        <v>235</v>
      </c>
      <c r="L52" s="8">
        <v>235</v>
      </c>
      <c r="M52" s="8">
        <v>235</v>
      </c>
      <c r="N52" s="8">
        <v>409</v>
      </c>
      <c r="O52" s="8">
        <v>407</v>
      </c>
      <c r="P52" s="8">
        <v>407</v>
      </c>
      <c r="Q52" s="9"/>
      <c r="R52" s="16"/>
      <c r="S52" s="10"/>
      <c r="T52" s="10"/>
      <c r="U52" s="10"/>
      <c r="V52" s="11"/>
      <c r="W52" s="12"/>
      <c r="X52" s="17"/>
      <c r="Y52" s="13"/>
      <c r="Z52" s="13"/>
      <c r="AA52" s="13"/>
      <c r="AB52" s="14"/>
      <c r="AC52" s="9" t="s">
        <v>47</v>
      </c>
      <c r="AD52" s="16"/>
      <c r="AE52" s="10">
        <v>150</v>
      </c>
      <c r="AF52" s="10">
        <v>78</v>
      </c>
      <c r="AG52" s="10">
        <v>94</v>
      </c>
      <c r="AH52" s="11">
        <v>75</v>
      </c>
      <c r="AI52" s="12" t="s">
        <v>47</v>
      </c>
      <c r="AJ52" s="17"/>
      <c r="AK52" s="13">
        <v>216</v>
      </c>
      <c r="AL52" s="13">
        <v>132</v>
      </c>
      <c r="AM52" s="13">
        <v>119</v>
      </c>
      <c r="AN52" s="14">
        <v>75</v>
      </c>
      <c r="AO52" s="9" t="s">
        <v>47</v>
      </c>
      <c r="AP52" s="16"/>
      <c r="AQ52" s="10">
        <v>0</v>
      </c>
      <c r="AR52" s="10">
        <v>0</v>
      </c>
      <c r="AS52" s="10">
        <v>0</v>
      </c>
      <c r="AT52" s="11">
        <v>0</v>
      </c>
      <c r="AU52" s="12"/>
      <c r="AV52" s="17"/>
      <c r="AW52" s="13"/>
      <c r="AX52" s="13"/>
      <c r="AY52" s="13"/>
      <c r="AZ52" s="14"/>
      <c r="BA52" s="9"/>
      <c r="BB52" s="16"/>
      <c r="BC52" s="10"/>
      <c r="BD52" s="10"/>
      <c r="BE52" s="10"/>
      <c r="BF52" s="11"/>
      <c r="BG52" s="12"/>
      <c r="BH52" s="17"/>
      <c r="BI52" s="13"/>
      <c r="BJ52" s="13"/>
      <c r="BK52" s="13"/>
      <c r="BL52" s="14"/>
      <c r="BM52" s="8">
        <f t="shared" si="9"/>
        <v>366</v>
      </c>
      <c r="BN52" s="8">
        <f t="shared" si="10"/>
        <v>210</v>
      </c>
      <c r="BO52" s="8">
        <f t="shared" si="11"/>
        <v>213</v>
      </c>
      <c r="BP52" s="8">
        <f t="shared" si="12"/>
        <v>150</v>
      </c>
      <c r="BQ52" s="8">
        <f t="shared" si="13"/>
        <v>366</v>
      </c>
      <c r="BR52" s="8">
        <f t="shared" si="14"/>
        <v>210</v>
      </c>
      <c r="BS52" s="15">
        <f t="shared" si="15"/>
        <v>25.927761358821549</v>
      </c>
      <c r="BT52" s="15" t="str">
        <f t="shared" si="16"/>
        <v>OK - No Upgrade</v>
      </c>
      <c r="BU52" s="15" t="str">
        <f t="shared" si="17"/>
        <v>Need to Balance</v>
      </c>
    </row>
    <row r="53" spans="1:73" ht="15.75" customHeight="1" x14ac:dyDescent="0.25">
      <c r="A53" s="8" t="s">
        <v>1459</v>
      </c>
      <c r="B53" s="8" t="s">
        <v>2540</v>
      </c>
      <c r="C53" s="8" t="s">
        <v>265</v>
      </c>
      <c r="D53" s="8" t="s">
        <v>2683</v>
      </c>
      <c r="E53" s="8" t="s">
        <v>2684</v>
      </c>
      <c r="F53" s="8" t="s">
        <v>43</v>
      </c>
      <c r="G53" s="8"/>
      <c r="H53" s="8">
        <v>200</v>
      </c>
      <c r="I53" s="8" t="s">
        <v>2685</v>
      </c>
      <c r="J53" s="8">
        <v>1</v>
      </c>
      <c r="K53" s="8">
        <v>234</v>
      </c>
      <c r="L53" s="8">
        <v>234</v>
      </c>
      <c r="M53" s="8">
        <v>234</v>
      </c>
      <c r="N53" s="8">
        <v>407</v>
      </c>
      <c r="O53" s="8">
        <v>406</v>
      </c>
      <c r="P53" s="8">
        <v>406</v>
      </c>
      <c r="Q53" s="9" t="s">
        <v>46</v>
      </c>
      <c r="R53" s="16"/>
      <c r="S53" s="10"/>
      <c r="T53" s="10"/>
      <c r="U53" s="10"/>
      <c r="V53" s="11"/>
      <c r="W53" s="12" t="s">
        <v>46</v>
      </c>
      <c r="X53" s="17"/>
      <c r="Y53" s="13">
        <v>79</v>
      </c>
      <c r="Z53" s="13">
        <v>66</v>
      </c>
      <c r="AA53" s="13">
        <v>99</v>
      </c>
      <c r="AB53" s="14">
        <v>34</v>
      </c>
      <c r="AC53" s="9"/>
      <c r="AD53" s="16"/>
      <c r="AE53" s="10"/>
      <c r="AF53" s="10"/>
      <c r="AG53" s="10"/>
      <c r="AH53" s="11"/>
      <c r="AI53" s="12"/>
      <c r="AJ53" s="17"/>
      <c r="AK53" s="13"/>
      <c r="AL53" s="13"/>
      <c r="AM53" s="13"/>
      <c r="AN53" s="14"/>
      <c r="AO53" s="9"/>
      <c r="AP53" s="16"/>
      <c r="AQ53" s="10"/>
      <c r="AR53" s="10"/>
      <c r="AS53" s="10"/>
      <c r="AT53" s="11"/>
      <c r="AU53" s="12"/>
      <c r="AV53" s="17"/>
      <c r="AW53" s="13"/>
      <c r="AX53" s="13"/>
      <c r="AY53" s="13"/>
      <c r="AZ53" s="14"/>
      <c r="BA53" s="9"/>
      <c r="BB53" s="16"/>
      <c r="BC53" s="10"/>
      <c r="BD53" s="10"/>
      <c r="BE53" s="10"/>
      <c r="BF53" s="11"/>
      <c r="BG53" s="12"/>
      <c r="BH53" s="17"/>
      <c r="BI53" s="13"/>
      <c r="BJ53" s="13"/>
      <c r="BK53" s="13"/>
      <c r="BL53" s="14"/>
      <c r="BM53" s="8">
        <f t="shared" si="9"/>
        <v>79</v>
      </c>
      <c r="BN53" s="8">
        <f t="shared" si="10"/>
        <v>66</v>
      </c>
      <c r="BO53" s="8">
        <f t="shared" si="11"/>
        <v>99</v>
      </c>
      <c r="BP53" s="8">
        <f t="shared" si="12"/>
        <v>34</v>
      </c>
      <c r="BQ53" s="8">
        <f t="shared" si="13"/>
        <v>99</v>
      </c>
      <c r="BR53" s="8">
        <f t="shared" si="14"/>
        <v>66</v>
      </c>
      <c r="BS53" s="15">
        <f t="shared" si="15"/>
        <v>34.894761594686379</v>
      </c>
      <c r="BT53" s="15" t="str">
        <f t="shared" si="16"/>
        <v>OK - No Upgrade</v>
      </c>
      <c r="BU53" s="15" t="str">
        <f t="shared" si="17"/>
        <v>Need to Balance</v>
      </c>
    </row>
    <row r="54" spans="1:73" ht="15.75" customHeight="1" x14ac:dyDescent="0.25">
      <c r="A54" s="8" t="s">
        <v>1459</v>
      </c>
      <c r="B54" s="8" t="s">
        <v>2540</v>
      </c>
      <c r="C54" s="8" t="s">
        <v>265</v>
      </c>
      <c r="D54" s="8" t="s">
        <v>2686</v>
      </c>
      <c r="E54" s="8" t="s">
        <v>2687</v>
      </c>
      <c r="F54" s="8" t="s">
        <v>43</v>
      </c>
      <c r="G54" s="8"/>
      <c r="H54" s="8">
        <v>100</v>
      </c>
      <c r="I54" s="8" t="s">
        <v>2688</v>
      </c>
      <c r="J54" s="8">
        <v>1</v>
      </c>
      <c r="K54" s="8">
        <v>237</v>
      </c>
      <c r="L54" s="8">
        <v>236</v>
      </c>
      <c r="M54" s="8">
        <v>236</v>
      </c>
      <c r="N54" s="8">
        <v>410</v>
      </c>
      <c r="O54" s="8">
        <v>409</v>
      </c>
      <c r="P54" s="8">
        <v>408</v>
      </c>
      <c r="Q54" s="9" t="s">
        <v>46</v>
      </c>
      <c r="R54" s="16"/>
      <c r="S54" s="10">
        <v>0</v>
      </c>
      <c r="T54" s="10">
        <v>0</v>
      </c>
      <c r="U54" s="10">
        <v>0</v>
      </c>
      <c r="V54" s="11">
        <v>0</v>
      </c>
      <c r="W54" s="12" t="s">
        <v>46</v>
      </c>
      <c r="X54" s="17"/>
      <c r="Y54" s="13">
        <v>0</v>
      </c>
      <c r="Z54" s="13">
        <v>0</v>
      </c>
      <c r="AA54" s="13">
        <v>0</v>
      </c>
      <c r="AB54" s="14">
        <v>0</v>
      </c>
      <c r="AC54" s="9"/>
      <c r="AD54" s="16"/>
      <c r="AE54" s="10"/>
      <c r="AF54" s="10"/>
      <c r="AG54" s="10"/>
      <c r="AH54" s="11"/>
      <c r="AI54" s="12"/>
      <c r="AJ54" s="17"/>
      <c r="AK54" s="13"/>
      <c r="AL54" s="13"/>
      <c r="AM54" s="13"/>
      <c r="AN54" s="14"/>
      <c r="AO54" s="9"/>
      <c r="AP54" s="16"/>
      <c r="AQ54" s="10"/>
      <c r="AR54" s="10"/>
      <c r="AS54" s="10"/>
      <c r="AT54" s="11"/>
      <c r="AU54" s="12"/>
      <c r="AV54" s="17"/>
      <c r="AW54" s="13"/>
      <c r="AX54" s="13"/>
      <c r="AY54" s="13"/>
      <c r="AZ54" s="14"/>
      <c r="BA54" s="9"/>
      <c r="BB54" s="16"/>
      <c r="BC54" s="10"/>
      <c r="BD54" s="10"/>
      <c r="BE54" s="10"/>
      <c r="BF54" s="11"/>
      <c r="BG54" s="12"/>
      <c r="BH54" s="17"/>
      <c r="BI54" s="13"/>
      <c r="BJ54" s="13"/>
      <c r="BK54" s="13"/>
      <c r="BL54" s="14"/>
      <c r="BM54" s="8">
        <f t="shared" si="9"/>
        <v>0</v>
      </c>
      <c r="BN54" s="8">
        <f t="shared" si="10"/>
        <v>0</v>
      </c>
      <c r="BO54" s="8">
        <f t="shared" si="11"/>
        <v>0</v>
      </c>
      <c r="BP54" s="8">
        <f t="shared" si="12"/>
        <v>0</v>
      </c>
      <c r="BQ54" s="8">
        <f t="shared" si="13"/>
        <v>0</v>
      </c>
      <c r="BR54" s="8">
        <f t="shared" si="14"/>
        <v>0</v>
      </c>
      <c r="BS54" s="15">
        <f t="shared" si="15"/>
        <v>0</v>
      </c>
      <c r="BT54" s="15" t="str">
        <f t="shared" si="16"/>
        <v>OK - No Upgrade</v>
      </c>
      <c r="BU54" s="15" t="str">
        <f t="shared" si="17"/>
        <v>OK - Balanced</v>
      </c>
    </row>
    <row r="55" spans="1:73" ht="15.75" customHeight="1" x14ac:dyDescent="0.25">
      <c r="A55" s="8" t="s">
        <v>1459</v>
      </c>
      <c r="B55" s="8" t="s">
        <v>2540</v>
      </c>
      <c r="C55" s="8" t="s">
        <v>265</v>
      </c>
      <c r="D55" s="8" t="s">
        <v>2689</v>
      </c>
      <c r="E55" s="8" t="s">
        <v>2690</v>
      </c>
      <c r="F55" s="8" t="s">
        <v>43</v>
      </c>
      <c r="G55" s="8"/>
      <c r="H55" s="8">
        <v>315</v>
      </c>
      <c r="I55" s="8" t="s">
        <v>2691</v>
      </c>
      <c r="J55" s="8">
        <v>1</v>
      </c>
      <c r="K55" s="8">
        <v>236</v>
      </c>
      <c r="L55" s="8">
        <v>235</v>
      </c>
      <c r="M55" s="8">
        <v>235</v>
      </c>
      <c r="N55" s="8">
        <v>408</v>
      </c>
      <c r="O55" s="8">
        <v>408</v>
      </c>
      <c r="P55" s="8">
        <v>408</v>
      </c>
      <c r="Q55" s="9" t="s">
        <v>46</v>
      </c>
      <c r="R55" s="16"/>
      <c r="S55" s="10">
        <v>10</v>
      </c>
      <c r="T55" s="10">
        <v>20</v>
      </c>
      <c r="U55" s="10">
        <v>11</v>
      </c>
      <c r="V55" s="11">
        <v>13</v>
      </c>
      <c r="W55" s="12" t="s">
        <v>46</v>
      </c>
      <c r="X55" s="17"/>
      <c r="Y55" s="13">
        <v>38</v>
      </c>
      <c r="Z55" s="13">
        <v>36</v>
      </c>
      <c r="AA55" s="13">
        <v>78</v>
      </c>
      <c r="AB55" s="14">
        <v>29</v>
      </c>
      <c r="AC55" s="9"/>
      <c r="AD55" s="16"/>
      <c r="AE55" s="10"/>
      <c r="AF55" s="10"/>
      <c r="AG55" s="10"/>
      <c r="AH55" s="11"/>
      <c r="AI55" s="12"/>
      <c r="AJ55" s="17"/>
      <c r="AK55" s="13"/>
      <c r="AL55" s="13"/>
      <c r="AM55" s="13"/>
      <c r="AN55" s="14"/>
      <c r="AO55" s="9"/>
      <c r="AP55" s="16"/>
      <c r="AQ55" s="10"/>
      <c r="AR55" s="10"/>
      <c r="AS55" s="10"/>
      <c r="AT55" s="11"/>
      <c r="AU55" s="12"/>
      <c r="AV55" s="17"/>
      <c r="AW55" s="13"/>
      <c r="AX55" s="13"/>
      <c r="AY55" s="13"/>
      <c r="AZ55" s="14"/>
      <c r="BA55" s="9"/>
      <c r="BB55" s="16"/>
      <c r="BC55" s="10"/>
      <c r="BD55" s="10"/>
      <c r="BE55" s="10"/>
      <c r="BF55" s="11"/>
      <c r="BG55" s="12"/>
      <c r="BH55" s="17"/>
      <c r="BI55" s="13"/>
      <c r="BJ55" s="13"/>
      <c r="BK55" s="13"/>
      <c r="BL55" s="14"/>
      <c r="BM55" s="8">
        <f t="shared" si="9"/>
        <v>48</v>
      </c>
      <c r="BN55" s="8">
        <f t="shared" si="10"/>
        <v>56</v>
      </c>
      <c r="BO55" s="8">
        <f t="shared" si="11"/>
        <v>89</v>
      </c>
      <c r="BP55" s="8">
        <f t="shared" si="12"/>
        <v>42</v>
      </c>
      <c r="BQ55" s="8">
        <f t="shared" si="13"/>
        <v>89</v>
      </c>
      <c r="BR55" s="8">
        <f t="shared" si="14"/>
        <v>48</v>
      </c>
      <c r="BS55" s="15">
        <f t="shared" si="15"/>
        <v>19.966421880774941</v>
      </c>
      <c r="BT55" s="15" t="str">
        <f t="shared" si="16"/>
        <v>OK - No Upgrade</v>
      </c>
      <c r="BU55" s="15" t="str">
        <f t="shared" si="17"/>
        <v>Need to Balance</v>
      </c>
    </row>
    <row r="56" spans="1:73" ht="15.75" customHeight="1" x14ac:dyDescent="0.25">
      <c r="A56" s="8" t="s">
        <v>1459</v>
      </c>
      <c r="B56" s="8" t="s">
        <v>2540</v>
      </c>
      <c r="C56" s="8" t="s">
        <v>265</v>
      </c>
      <c r="D56" s="8" t="s">
        <v>2692</v>
      </c>
      <c r="E56" s="8" t="s">
        <v>2693</v>
      </c>
      <c r="F56" s="8" t="s">
        <v>43</v>
      </c>
      <c r="G56" s="8"/>
      <c r="H56" s="8">
        <v>315</v>
      </c>
      <c r="I56" s="8" t="s">
        <v>2694</v>
      </c>
      <c r="J56" s="8">
        <v>1</v>
      </c>
      <c r="K56" s="8">
        <v>225</v>
      </c>
      <c r="L56" s="8">
        <v>227</v>
      </c>
      <c r="M56" s="8">
        <v>230</v>
      </c>
      <c r="N56" s="8">
        <v>390</v>
      </c>
      <c r="O56" s="8">
        <v>400</v>
      </c>
      <c r="P56" s="8">
        <v>399</v>
      </c>
      <c r="Q56" s="9" t="s">
        <v>46</v>
      </c>
      <c r="R56" s="16"/>
      <c r="S56" s="10">
        <v>34</v>
      </c>
      <c r="T56" s="10">
        <v>46</v>
      </c>
      <c r="U56" s="10">
        <v>25</v>
      </c>
      <c r="V56" s="11">
        <v>19</v>
      </c>
      <c r="W56" s="12"/>
      <c r="X56" s="17"/>
      <c r="Y56" s="13"/>
      <c r="Z56" s="13"/>
      <c r="AA56" s="13"/>
      <c r="AB56" s="14"/>
      <c r="AC56" s="9"/>
      <c r="AD56" s="16"/>
      <c r="AE56" s="10"/>
      <c r="AF56" s="10"/>
      <c r="AG56" s="10"/>
      <c r="AH56" s="11"/>
      <c r="AI56" s="12"/>
      <c r="AJ56" s="17"/>
      <c r="AK56" s="13"/>
      <c r="AL56" s="13"/>
      <c r="AM56" s="13"/>
      <c r="AN56" s="14"/>
      <c r="AO56" s="9"/>
      <c r="AP56" s="16"/>
      <c r="AQ56" s="10"/>
      <c r="AR56" s="10"/>
      <c r="AS56" s="10"/>
      <c r="AT56" s="11"/>
      <c r="AU56" s="12"/>
      <c r="AV56" s="17"/>
      <c r="AW56" s="13"/>
      <c r="AX56" s="13"/>
      <c r="AY56" s="13"/>
      <c r="AZ56" s="14"/>
      <c r="BA56" s="9"/>
      <c r="BB56" s="16"/>
      <c r="BC56" s="10"/>
      <c r="BD56" s="10"/>
      <c r="BE56" s="10"/>
      <c r="BF56" s="11"/>
      <c r="BG56" s="12"/>
      <c r="BH56" s="17"/>
      <c r="BI56" s="13"/>
      <c r="BJ56" s="13"/>
      <c r="BK56" s="13"/>
      <c r="BL56" s="14"/>
      <c r="BM56" s="8">
        <f t="shared" si="9"/>
        <v>34</v>
      </c>
      <c r="BN56" s="8">
        <f t="shared" si="10"/>
        <v>46</v>
      </c>
      <c r="BO56" s="8">
        <f t="shared" si="11"/>
        <v>25</v>
      </c>
      <c r="BP56" s="8">
        <f t="shared" si="12"/>
        <v>19</v>
      </c>
      <c r="BQ56" s="8">
        <f t="shared" si="13"/>
        <v>46</v>
      </c>
      <c r="BR56" s="8">
        <f t="shared" si="14"/>
        <v>25</v>
      </c>
      <c r="BS56" s="15">
        <f t="shared" si="15"/>
        <v>9.8644417421541775</v>
      </c>
      <c r="BT56" s="15" t="str">
        <f t="shared" si="16"/>
        <v>OK - No Upgrade</v>
      </c>
      <c r="BU56" s="15" t="str">
        <f t="shared" si="17"/>
        <v>Need to Balance</v>
      </c>
    </row>
    <row r="57" spans="1:73" ht="15.75" customHeight="1" x14ac:dyDescent="0.25">
      <c r="A57" s="8" t="s">
        <v>1459</v>
      </c>
      <c r="B57" s="8" t="s">
        <v>2540</v>
      </c>
      <c r="C57" s="8" t="s">
        <v>265</v>
      </c>
      <c r="D57" s="8" t="s">
        <v>2695</v>
      </c>
      <c r="E57" s="8" t="s">
        <v>2696</v>
      </c>
      <c r="F57" s="8" t="s">
        <v>56</v>
      </c>
      <c r="G57" s="8"/>
      <c r="H57" s="8">
        <v>1000</v>
      </c>
      <c r="I57" s="8" t="s">
        <v>2697</v>
      </c>
      <c r="J57" s="8">
        <v>1</v>
      </c>
      <c r="K57" s="8">
        <v>242</v>
      </c>
      <c r="L57" s="8">
        <v>241</v>
      </c>
      <c r="M57" s="8">
        <v>241</v>
      </c>
      <c r="N57" s="8">
        <v>418</v>
      </c>
      <c r="O57" s="8">
        <v>418</v>
      </c>
      <c r="P57" s="8">
        <v>417</v>
      </c>
      <c r="Q57" s="9"/>
      <c r="R57" s="16"/>
      <c r="S57" s="10"/>
      <c r="T57" s="10"/>
      <c r="U57" s="10"/>
      <c r="V57" s="11"/>
      <c r="W57" s="12"/>
      <c r="X57" s="17"/>
      <c r="Y57" s="13"/>
      <c r="Z57" s="13"/>
      <c r="AA57" s="13"/>
      <c r="AB57" s="14"/>
      <c r="AC57" s="9" t="s">
        <v>46</v>
      </c>
      <c r="AD57" s="16"/>
      <c r="AE57" s="10">
        <v>36</v>
      </c>
      <c r="AF57" s="10">
        <v>26</v>
      </c>
      <c r="AG57" s="10">
        <v>33</v>
      </c>
      <c r="AH57" s="11">
        <v>9</v>
      </c>
      <c r="AI57" s="12" t="s">
        <v>46</v>
      </c>
      <c r="AJ57" s="17"/>
      <c r="AK57" s="13">
        <v>46</v>
      </c>
      <c r="AL57" s="13">
        <v>52</v>
      </c>
      <c r="AM57" s="13">
        <v>64</v>
      </c>
      <c r="AN57" s="14">
        <v>10</v>
      </c>
      <c r="AO57" s="9" t="s">
        <v>46</v>
      </c>
      <c r="AP57" s="16"/>
      <c r="AQ57" s="10">
        <v>127</v>
      </c>
      <c r="AR57" s="10">
        <v>114</v>
      </c>
      <c r="AS57" s="10">
        <v>72</v>
      </c>
      <c r="AT57" s="11">
        <v>41</v>
      </c>
      <c r="AU57" s="12" t="s">
        <v>46</v>
      </c>
      <c r="AV57" s="17"/>
      <c r="AW57" s="13">
        <v>35</v>
      </c>
      <c r="AX57" s="13">
        <v>64</v>
      </c>
      <c r="AY57" s="13">
        <v>29</v>
      </c>
      <c r="AZ57" s="14">
        <v>31</v>
      </c>
      <c r="BA57" s="9" t="s">
        <v>46</v>
      </c>
      <c r="BB57" s="16"/>
      <c r="BC57" s="10">
        <v>53</v>
      </c>
      <c r="BD57" s="10">
        <v>61</v>
      </c>
      <c r="BE57" s="10">
        <v>42</v>
      </c>
      <c r="BF57" s="11">
        <v>31</v>
      </c>
      <c r="BG57" s="12" t="s">
        <v>46</v>
      </c>
      <c r="BH57" s="17"/>
      <c r="BI57" s="13">
        <v>56</v>
      </c>
      <c r="BJ57" s="13">
        <v>104</v>
      </c>
      <c r="BK57" s="13">
        <v>134</v>
      </c>
      <c r="BL57" s="14">
        <v>49</v>
      </c>
      <c r="BM57" s="8">
        <f t="shared" si="9"/>
        <v>353</v>
      </c>
      <c r="BN57" s="8">
        <f t="shared" si="10"/>
        <v>421</v>
      </c>
      <c r="BO57" s="8">
        <f t="shared" si="11"/>
        <v>374</v>
      </c>
      <c r="BP57" s="8">
        <f t="shared" si="12"/>
        <v>171</v>
      </c>
      <c r="BQ57" s="8">
        <f t="shared" si="13"/>
        <v>421</v>
      </c>
      <c r="BR57" s="8">
        <f t="shared" si="14"/>
        <v>353</v>
      </c>
      <c r="BS57" s="15">
        <f t="shared" si="15"/>
        <v>30.480283701435589</v>
      </c>
      <c r="BT57" s="15" t="str">
        <f t="shared" si="16"/>
        <v>OK - No Upgrade</v>
      </c>
      <c r="BU57" s="15" t="str">
        <f t="shared" si="17"/>
        <v>Need to Balance</v>
      </c>
    </row>
    <row r="58" spans="1:73" ht="15.75" customHeight="1" x14ac:dyDescent="0.25">
      <c r="A58" s="8" t="s">
        <v>1459</v>
      </c>
      <c r="B58" s="8" t="s">
        <v>2540</v>
      </c>
      <c r="C58" s="8" t="s">
        <v>265</v>
      </c>
      <c r="D58" s="8" t="s">
        <v>2698</v>
      </c>
      <c r="E58" s="8" t="s">
        <v>2699</v>
      </c>
      <c r="F58" s="8" t="s">
        <v>43</v>
      </c>
      <c r="G58" s="8"/>
      <c r="H58" s="8">
        <v>315</v>
      </c>
      <c r="I58" s="8" t="s">
        <v>2700</v>
      </c>
      <c r="J58" s="8">
        <v>1</v>
      </c>
      <c r="K58" s="8">
        <v>235</v>
      </c>
      <c r="L58" s="8">
        <v>234</v>
      </c>
      <c r="M58" s="8">
        <v>237</v>
      </c>
      <c r="N58" s="8">
        <v>408</v>
      </c>
      <c r="O58" s="8">
        <v>409</v>
      </c>
      <c r="P58" s="8">
        <v>402</v>
      </c>
      <c r="Q58" s="9" t="s">
        <v>46</v>
      </c>
      <c r="R58" s="16"/>
      <c r="S58" s="10">
        <v>26</v>
      </c>
      <c r="T58" s="10">
        <v>34</v>
      </c>
      <c r="U58" s="10">
        <v>35</v>
      </c>
      <c r="V58" s="11">
        <v>8</v>
      </c>
      <c r="W58" s="12" t="s">
        <v>46</v>
      </c>
      <c r="X58" s="17"/>
      <c r="Y58" s="13">
        <v>117</v>
      </c>
      <c r="Z58" s="13">
        <v>85</v>
      </c>
      <c r="AA58" s="13">
        <v>55</v>
      </c>
      <c r="AB58" s="14">
        <v>40</v>
      </c>
      <c r="AC58" s="9"/>
      <c r="AD58" s="16"/>
      <c r="AE58" s="10"/>
      <c r="AF58" s="10"/>
      <c r="AG58" s="10"/>
      <c r="AH58" s="11"/>
      <c r="AI58" s="12"/>
      <c r="AJ58" s="17"/>
      <c r="AK58" s="13"/>
      <c r="AL58" s="13"/>
      <c r="AM58" s="13"/>
      <c r="AN58" s="14"/>
      <c r="AO58" s="9"/>
      <c r="AP58" s="16"/>
      <c r="AQ58" s="10"/>
      <c r="AR58" s="10"/>
      <c r="AS58" s="10"/>
      <c r="AT58" s="11"/>
      <c r="AU58" s="12"/>
      <c r="AV58" s="17"/>
      <c r="AW58" s="13"/>
      <c r="AX58" s="13"/>
      <c r="AY58" s="13"/>
      <c r="AZ58" s="14"/>
      <c r="BA58" s="9"/>
      <c r="BB58" s="16"/>
      <c r="BC58" s="10"/>
      <c r="BD58" s="10"/>
      <c r="BE58" s="10"/>
      <c r="BF58" s="11"/>
      <c r="BG58" s="12"/>
      <c r="BH58" s="17"/>
      <c r="BI58" s="13"/>
      <c r="BJ58" s="13"/>
      <c r="BK58" s="13"/>
      <c r="BL58" s="14"/>
      <c r="BM58" s="8">
        <f t="shared" si="9"/>
        <v>143</v>
      </c>
      <c r="BN58" s="8">
        <f t="shared" si="10"/>
        <v>119</v>
      </c>
      <c r="BO58" s="8">
        <f t="shared" si="11"/>
        <v>90</v>
      </c>
      <c r="BP58" s="8">
        <f t="shared" si="12"/>
        <v>48</v>
      </c>
      <c r="BQ58" s="8">
        <f t="shared" si="13"/>
        <v>143</v>
      </c>
      <c r="BR58" s="8">
        <f t="shared" si="14"/>
        <v>90</v>
      </c>
      <c r="BS58" s="15">
        <f t="shared" si="15"/>
        <v>32.080880100570973</v>
      </c>
      <c r="BT58" s="15" t="str">
        <f t="shared" si="16"/>
        <v>OK - No Upgrade</v>
      </c>
      <c r="BU58" s="15" t="str">
        <f t="shared" si="17"/>
        <v>Need to Balance</v>
      </c>
    </row>
    <row r="59" spans="1:73" ht="15.75" customHeight="1" x14ac:dyDescent="0.25">
      <c r="A59" s="8" t="s">
        <v>1459</v>
      </c>
      <c r="B59" s="8" t="s">
        <v>2540</v>
      </c>
      <c r="C59" s="8" t="s">
        <v>265</v>
      </c>
      <c r="D59" s="8" t="s">
        <v>2701</v>
      </c>
      <c r="E59" s="8" t="s">
        <v>2702</v>
      </c>
      <c r="F59" s="8" t="s">
        <v>56</v>
      </c>
      <c r="G59" s="8"/>
      <c r="H59" s="8">
        <v>1000</v>
      </c>
      <c r="I59" s="8" t="s">
        <v>2703</v>
      </c>
      <c r="J59" s="8">
        <v>1</v>
      </c>
      <c r="K59" s="8">
        <v>236</v>
      </c>
      <c r="L59" s="8">
        <v>236</v>
      </c>
      <c r="M59" s="8">
        <v>236</v>
      </c>
      <c r="N59" s="8">
        <v>411</v>
      </c>
      <c r="O59" s="8">
        <v>410</v>
      </c>
      <c r="P59" s="8">
        <v>412</v>
      </c>
      <c r="Q59" s="9" t="s">
        <v>47</v>
      </c>
      <c r="R59" s="16"/>
      <c r="S59" s="10">
        <v>182</v>
      </c>
      <c r="T59" s="10">
        <v>203</v>
      </c>
      <c r="U59" s="10">
        <v>223</v>
      </c>
      <c r="V59" s="11">
        <v>41</v>
      </c>
      <c r="W59" s="12" t="s">
        <v>47</v>
      </c>
      <c r="X59" s="17"/>
      <c r="Y59" s="13">
        <v>42</v>
      </c>
      <c r="Z59" s="13">
        <v>15</v>
      </c>
      <c r="AA59" s="13">
        <v>49</v>
      </c>
      <c r="AB59" s="14">
        <v>31</v>
      </c>
      <c r="AC59" s="9" t="s">
        <v>47</v>
      </c>
      <c r="AD59" s="16"/>
      <c r="AE59" s="10">
        <v>54</v>
      </c>
      <c r="AF59" s="10">
        <v>35</v>
      </c>
      <c r="AG59" s="10">
        <v>67</v>
      </c>
      <c r="AH59" s="11">
        <v>35</v>
      </c>
      <c r="AI59" s="12"/>
      <c r="AJ59" s="17"/>
      <c r="AK59" s="13"/>
      <c r="AL59" s="13"/>
      <c r="AM59" s="13"/>
      <c r="AN59" s="14"/>
      <c r="AO59" s="9"/>
      <c r="AP59" s="16"/>
      <c r="AQ59" s="10"/>
      <c r="AR59" s="10"/>
      <c r="AS59" s="10"/>
      <c r="AT59" s="11"/>
      <c r="AU59" s="12"/>
      <c r="AV59" s="17"/>
      <c r="AW59" s="13"/>
      <c r="AX59" s="13"/>
      <c r="AY59" s="13"/>
      <c r="AZ59" s="14"/>
      <c r="BA59" s="9"/>
      <c r="BB59" s="16"/>
      <c r="BC59" s="10"/>
      <c r="BD59" s="10"/>
      <c r="BE59" s="10"/>
      <c r="BF59" s="11"/>
      <c r="BG59" s="12"/>
      <c r="BH59" s="17"/>
      <c r="BI59" s="13"/>
      <c r="BJ59" s="13"/>
      <c r="BK59" s="13"/>
      <c r="BL59" s="14"/>
      <c r="BM59" s="8">
        <f t="shared" si="9"/>
        <v>278</v>
      </c>
      <c r="BN59" s="8">
        <f t="shared" si="10"/>
        <v>253</v>
      </c>
      <c r="BO59" s="8">
        <f t="shared" si="11"/>
        <v>339</v>
      </c>
      <c r="BP59" s="8">
        <f t="shared" si="12"/>
        <v>107</v>
      </c>
      <c r="BQ59" s="8">
        <f t="shared" si="13"/>
        <v>339</v>
      </c>
      <c r="BR59" s="8">
        <f t="shared" si="14"/>
        <v>253</v>
      </c>
      <c r="BS59" s="15">
        <f t="shared" si="15"/>
        <v>24.132490696776408</v>
      </c>
      <c r="BT59" s="15" t="str">
        <f t="shared" si="16"/>
        <v>OK - No Upgrade</v>
      </c>
      <c r="BU59" s="15" t="str">
        <f t="shared" si="17"/>
        <v>Need to Balance</v>
      </c>
    </row>
    <row r="60" spans="1:73" ht="15.75" customHeight="1" x14ac:dyDescent="0.25">
      <c r="A60" s="8" t="s">
        <v>1459</v>
      </c>
      <c r="B60" s="8" t="s">
        <v>2540</v>
      </c>
      <c r="C60" s="8" t="s">
        <v>265</v>
      </c>
      <c r="D60" s="8" t="s">
        <v>2704</v>
      </c>
      <c r="E60" s="8" t="s">
        <v>2705</v>
      </c>
      <c r="F60" s="8" t="s">
        <v>43</v>
      </c>
      <c r="G60" s="8"/>
      <c r="H60" s="8">
        <v>315</v>
      </c>
      <c r="I60" s="8" t="s">
        <v>2706</v>
      </c>
      <c r="J60" s="8">
        <v>1</v>
      </c>
      <c r="K60" s="8">
        <v>232</v>
      </c>
      <c r="L60" s="8">
        <v>234</v>
      </c>
      <c r="M60" s="8">
        <v>235</v>
      </c>
      <c r="N60" s="8">
        <v>403</v>
      </c>
      <c r="O60" s="8">
        <v>405</v>
      </c>
      <c r="P60" s="8">
        <v>402</v>
      </c>
      <c r="Q60" s="9" t="s">
        <v>47</v>
      </c>
      <c r="R60" s="16"/>
      <c r="S60" s="10">
        <v>175</v>
      </c>
      <c r="T60" s="10">
        <v>122</v>
      </c>
      <c r="U60" s="10">
        <v>137</v>
      </c>
      <c r="V60" s="11">
        <v>46</v>
      </c>
      <c r="W60" s="12" t="s">
        <v>47</v>
      </c>
      <c r="X60" s="17"/>
      <c r="Y60" s="13">
        <v>161</v>
      </c>
      <c r="Z60" s="13">
        <v>114</v>
      </c>
      <c r="AA60" s="13">
        <v>80</v>
      </c>
      <c r="AB60" s="14">
        <v>75</v>
      </c>
      <c r="AC60" s="9"/>
      <c r="AD60" s="16"/>
      <c r="AE60" s="10"/>
      <c r="AF60" s="10"/>
      <c r="AG60" s="10"/>
      <c r="AH60" s="11"/>
      <c r="AI60" s="12"/>
      <c r="AJ60" s="17"/>
      <c r="AK60" s="13"/>
      <c r="AL60" s="13"/>
      <c r="AM60" s="13"/>
      <c r="AN60" s="14"/>
      <c r="AO60" s="9"/>
      <c r="AP60" s="16"/>
      <c r="AQ60" s="10"/>
      <c r="AR60" s="10"/>
      <c r="AS60" s="10"/>
      <c r="AT60" s="11"/>
      <c r="AU60" s="12"/>
      <c r="AV60" s="17"/>
      <c r="AW60" s="13"/>
      <c r="AX60" s="13"/>
      <c r="AY60" s="13"/>
      <c r="AZ60" s="14"/>
      <c r="BA60" s="9"/>
      <c r="BB60" s="16"/>
      <c r="BC60" s="10"/>
      <c r="BD60" s="10"/>
      <c r="BE60" s="10"/>
      <c r="BF60" s="11"/>
      <c r="BG60" s="12"/>
      <c r="BH60" s="17"/>
      <c r="BI60" s="13"/>
      <c r="BJ60" s="13"/>
      <c r="BK60" s="13"/>
      <c r="BL60" s="14"/>
      <c r="BM60" s="8">
        <f t="shared" si="9"/>
        <v>336</v>
      </c>
      <c r="BN60" s="8">
        <f t="shared" si="10"/>
        <v>236</v>
      </c>
      <c r="BO60" s="8">
        <f t="shared" si="11"/>
        <v>217</v>
      </c>
      <c r="BP60" s="8">
        <f t="shared" si="12"/>
        <v>121</v>
      </c>
      <c r="BQ60" s="8">
        <f t="shared" si="13"/>
        <v>336</v>
      </c>
      <c r="BR60" s="8">
        <f t="shared" si="14"/>
        <v>217</v>
      </c>
      <c r="BS60" s="15">
        <f t="shared" si="15"/>
        <v>74.455090714694137</v>
      </c>
      <c r="BT60" s="15" t="str">
        <f t="shared" si="16"/>
        <v>Upgrade</v>
      </c>
      <c r="BU60" s="15" t="str">
        <f t="shared" si="17"/>
        <v>Need to Balance</v>
      </c>
    </row>
    <row r="61" spans="1:73" ht="15.75" customHeight="1" x14ac:dyDescent="0.25">
      <c r="A61" s="8" t="s">
        <v>1459</v>
      </c>
      <c r="B61" s="8" t="s">
        <v>2540</v>
      </c>
      <c r="C61" s="8" t="s">
        <v>265</v>
      </c>
      <c r="D61" s="8" t="s">
        <v>2707</v>
      </c>
      <c r="E61" s="8" t="s">
        <v>2708</v>
      </c>
      <c r="F61" s="8" t="s">
        <v>43</v>
      </c>
      <c r="G61" s="8"/>
      <c r="H61" s="8">
        <v>200</v>
      </c>
      <c r="I61" s="8" t="s">
        <v>2709</v>
      </c>
      <c r="J61" s="8">
        <v>1</v>
      </c>
      <c r="K61" s="8">
        <v>233</v>
      </c>
      <c r="L61" s="8">
        <v>232</v>
      </c>
      <c r="M61" s="8">
        <v>235</v>
      </c>
      <c r="N61" s="8">
        <v>403</v>
      </c>
      <c r="O61" s="8">
        <v>407</v>
      </c>
      <c r="P61" s="8">
        <v>404</v>
      </c>
      <c r="Q61" s="9" t="s">
        <v>46</v>
      </c>
      <c r="R61" s="16"/>
      <c r="S61" s="10">
        <v>98</v>
      </c>
      <c r="T61" s="10">
        <v>96</v>
      </c>
      <c r="U61" s="10">
        <v>50</v>
      </c>
      <c r="V61" s="11">
        <v>47</v>
      </c>
      <c r="W61" s="12" t="s">
        <v>46</v>
      </c>
      <c r="X61" s="17"/>
      <c r="Y61" s="13">
        <v>80</v>
      </c>
      <c r="Z61" s="13">
        <v>82</v>
      </c>
      <c r="AA61" s="13">
        <v>60</v>
      </c>
      <c r="AB61" s="14">
        <v>35</v>
      </c>
      <c r="AC61" s="9"/>
      <c r="AD61" s="16"/>
      <c r="AE61" s="10"/>
      <c r="AF61" s="10"/>
      <c r="AG61" s="10"/>
      <c r="AH61" s="11"/>
      <c r="AI61" s="12"/>
      <c r="AJ61" s="17"/>
      <c r="AK61" s="13"/>
      <c r="AL61" s="13"/>
      <c r="AM61" s="13"/>
      <c r="AN61" s="14"/>
      <c r="AO61" s="9"/>
      <c r="AP61" s="16"/>
      <c r="AQ61" s="10"/>
      <c r="AR61" s="10"/>
      <c r="AS61" s="10"/>
      <c r="AT61" s="11"/>
      <c r="AU61" s="12"/>
      <c r="AV61" s="17"/>
      <c r="AW61" s="13"/>
      <c r="AX61" s="13"/>
      <c r="AY61" s="13"/>
      <c r="AZ61" s="14"/>
      <c r="BA61" s="9"/>
      <c r="BB61" s="16"/>
      <c r="BC61" s="10"/>
      <c r="BD61" s="10"/>
      <c r="BE61" s="10"/>
      <c r="BF61" s="11"/>
      <c r="BG61" s="12"/>
      <c r="BH61" s="17"/>
      <c r="BI61" s="13"/>
      <c r="BJ61" s="13"/>
      <c r="BK61" s="13"/>
      <c r="BL61" s="14"/>
      <c r="BM61" s="8">
        <f t="shared" si="9"/>
        <v>178</v>
      </c>
      <c r="BN61" s="8">
        <f t="shared" si="10"/>
        <v>178</v>
      </c>
      <c r="BO61" s="8">
        <f t="shared" si="11"/>
        <v>110</v>
      </c>
      <c r="BP61" s="8">
        <f t="shared" si="12"/>
        <v>82</v>
      </c>
      <c r="BQ61" s="8">
        <f t="shared" si="13"/>
        <v>178</v>
      </c>
      <c r="BR61" s="8">
        <f t="shared" si="14"/>
        <v>110</v>
      </c>
      <c r="BS61" s="15">
        <f t="shared" si="15"/>
        <v>62.123466315072918</v>
      </c>
      <c r="BT61" s="15" t="str">
        <f t="shared" si="16"/>
        <v>OK - No Upgrade</v>
      </c>
      <c r="BU61" s="15" t="str">
        <f t="shared" si="17"/>
        <v>Need to Balance</v>
      </c>
    </row>
    <row r="62" spans="1:73" ht="15.75" customHeight="1" x14ac:dyDescent="0.25">
      <c r="A62" s="8" t="s">
        <v>1459</v>
      </c>
      <c r="B62" s="8" t="s">
        <v>2540</v>
      </c>
      <c r="C62" s="8" t="s">
        <v>265</v>
      </c>
      <c r="D62" s="8" t="s">
        <v>2710</v>
      </c>
      <c r="E62" s="8" t="s">
        <v>2711</v>
      </c>
      <c r="F62" s="8" t="s">
        <v>43</v>
      </c>
      <c r="G62" s="8"/>
      <c r="H62" s="8">
        <v>315</v>
      </c>
      <c r="I62" s="8" t="s">
        <v>2712</v>
      </c>
      <c r="J62" s="8">
        <v>1</v>
      </c>
      <c r="K62" s="8">
        <v>238</v>
      </c>
      <c r="L62" s="8">
        <v>238</v>
      </c>
      <c r="M62" s="8">
        <v>231</v>
      </c>
      <c r="N62" s="8">
        <v>409</v>
      </c>
      <c r="O62" s="8">
        <v>412</v>
      </c>
      <c r="P62" s="8">
        <v>411</v>
      </c>
      <c r="Q62" s="9" t="s">
        <v>46</v>
      </c>
      <c r="R62" s="16"/>
      <c r="S62" s="10">
        <v>0</v>
      </c>
      <c r="T62" s="10">
        <v>0</v>
      </c>
      <c r="U62" s="10">
        <v>0</v>
      </c>
      <c r="V62" s="11">
        <v>0</v>
      </c>
      <c r="W62" s="12" t="s">
        <v>46</v>
      </c>
      <c r="X62" s="17"/>
      <c r="Y62" s="13">
        <v>97</v>
      </c>
      <c r="Z62" s="13">
        <v>40</v>
      </c>
      <c r="AA62" s="13">
        <v>80</v>
      </c>
      <c r="AB62" s="14">
        <v>58</v>
      </c>
      <c r="AC62" s="9"/>
      <c r="AD62" s="16"/>
      <c r="AE62" s="10"/>
      <c r="AF62" s="10"/>
      <c r="AG62" s="10"/>
      <c r="AH62" s="11"/>
      <c r="AI62" s="12"/>
      <c r="AJ62" s="17"/>
      <c r="AK62" s="13"/>
      <c r="AL62" s="13"/>
      <c r="AM62" s="13"/>
      <c r="AN62" s="14"/>
      <c r="AO62" s="9"/>
      <c r="AP62" s="16"/>
      <c r="AQ62" s="10"/>
      <c r="AR62" s="10"/>
      <c r="AS62" s="10"/>
      <c r="AT62" s="11"/>
      <c r="AU62" s="12"/>
      <c r="AV62" s="17"/>
      <c r="AW62" s="13"/>
      <c r="AX62" s="13"/>
      <c r="AY62" s="13"/>
      <c r="AZ62" s="14"/>
      <c r="BA62" s="9"/>
      <c r="BB62" s="16"/>
      <c r="BC62" s="10"/>
      <c r="BD62" s="10"/>
      <c r="BE62" s="10"/>
      <c r="BF62" s="11"/>
      <c r="BG62" s="12"/>
      <c r="BH62" s="17"/>
      <c r="BI62" s="13"/>
      <c r="BJ62" s="13"/>
      <c r="BK62" s="13"/>
      <c r="BL62" s="14"/>
      <c r="BM62" s="8">
        <f t="shared" si="9"/>
        <v>97</v>
      </c>
      <c r="BN62" s="8">
        <f t="shared" si="10"/>
        <v>40</v>
      </c>
      <c r="BO62" s="8">
        <f t="shared" si="11"/>
        <v>80</v>
      </c>
      <c r="BP62" s="8">
        <f t="shared" si="12"/>
        <v>58</v>
      </c>
      <c r="BQ62" s="8">
        <f t="shared" si="13"/>
        <v>97</v>
      </c>
      <c r="BR62" s="8">
        <f t="shared" si="14"/>
        <v>40</v>
      </c>
      <c r="BS62" s="15">
        <f t="shared" si="15"/>
        <v>21.814492599580973</v>
      </c>
      <c r="BT62" s="15" t="str">
        <f t="shared" si="16"/>
        <v>OK - No Upgrade</v>
      </c>
      <c r="BU62" s="15" t="str">
        <f t="shared" si="17"/>
        <v>Need to Balance</v>
      </c>
    </row>
    <row r="63" spans="1:73" ht="15.75" customHeight="1" x14ac:dyDescent="0.25">
      <c r="A63" s="8" t="s">
        <v>1459</v>
      </c>
      <c r="B63" s="8" t="s">
        <v>2540</v>
      </c>
      <c r="C63" s="8" t="s">
        <v>40</v>
      </c>
      <c r="D63" s="8" t="s">
        <v>2713</v>
      </c>
      <c r="E63" s="8" t="s">
        <v>2714</v>
      </c>
      <c r="F63" s="8" t="s">
        <v>43</v>
      </c>
      <c r="G63" s="8"/>
      <c r="H63" s="8">
        <v>100</v>
      </c>
      <c r="I63" s="8" t="s">
        <v>2715</v>
      </c>
      <c r="J63" s="8">
        <v>1</v>
      </c>
      <c r="K63" s="8">
        <v>241</v>
      </c>
      <c r="L63" s="8">
        <v>240</v>
      </c>
      <c r="M63" s="8">
        <v>242</v>
      </c>
      <c r="N63" s="8">
        <v>420</v>
      </c>
      <c r="O63" s="8">
        <v>421</v>
      </c>
      <c r="P63" s="8">
        <v>429</v>
      </c>
      <c r="Q63" s="9" t="s">
        <v>47</v>
      </c>
      <c r="R63" s="16"/>
      <c r="S63" s="10">
        <v>7</v>
      </c>
      <c r="T63" s="10">
        <v>6</v>
      </c>
      <c r="U63" s="10">
        <v>5</v>
      </c>
      <c r="V63" s="11">
        <v>1</v>
      </c>
      <c r="W63" s="12" t="s">
        <v>47</v>
      </c>
      <c r="X63" s="17"/>
      <c r="Y63" s="13">
        <v>0</v>
      </c>
      <c r="Z63" s="13">
        <v>0</v>
      </c>
      <c r="AA63" s="13">
        <v>0</v>
      </c>
      <c r="AB63" s="14">
        <v>0</v>
      </c>
      <c r="AC63" s="9"/>
      <c r="AD63" s="16"/>
      <c r="AE63" s="10"/>
      <c r="AF63" s="10"/>
      <c r="AG63" s="10"/>
      <c r="AH63" s="11"/>
      <c r="AI63" s="12"/>
      <c r="AJ63" s="17"/>
      <c r="AK63" s="13"/>
      <c r="AL63" s="13"/>
      <c r="AM63" s="13"/>
      <c r="AN63" s="14"/>
      <c r="AO63" s="9"/>
      <c r="AP63" s="16"/>
      <c r="AQ63" s="10"/>
      <c r="AR63" s="10"/>
      <c r="AS63" s="10"/>
      <c r="AT63" s="11"/>
      <c r="AU63" s="12"/>
      <c r="AV63" s="17"/>
      <c r="AW63" s="13"/>
      <c r="AX63" s="13"/>
      <c r="AY63" s="13"/>
      <c r="AZ63" s="14"/>
      <c r="BA63" s="9"/>
      <c r="BB63" s="16"/>
      <c r="BC63" s="10"/>
      <c r="BD63" s="10"/>
      <c r="BE63" s="10"/>
      <c r="BF63" s="11"/>
      <c r="BG63" s="12"/>
      <c r="BH63" s="17"/>
      <c r="BI63" s="13"/>
      <c r="BJ63" s="13"/>
      <c r="BK63" s="13"/>
      <c r="BL63" s="14"/>
      <c r="BM63" s="8">
        <f t="shared" si="9"/>
        <v>7</v>
      </c>
      <c r="BN63" s="8">
        <f t="shared" si="10"/>
        <v>6</v>
      </c>
      <c r="BO63" s="8">
        <f t="shared" si="11"/>
        <v>5</v>
      </c>
      <c r="BP63" s="8">
        <f t="shared" si="12"/>
        <v>1</v>
      </c>
      <c r="BQ63" s="8">
        <f t="shared" si="13"/>
        <v>7</v>
      </c>
      <c r="BR63" s="8">
        <f t="shared" si="14"/>
        <v>5</v>
      </c>
      <c r="BS63" s="15">
        <f t="shared" si="15"/>
        <v>5.0922293742524989</v>
      </c>
      <c r="BT63" s="15" t="str">
        <f t="shared" si="16"/>
        <v>OK - No Upgrade</v>
      </c>
      <c r="BU63" s="15" t="str">
        <f t="shared" si="17"/>
        <v>Need to Balance</v>
      </c>
    </row>
    <row r="64" spans="1:73" ht="15.75" customHeight="1" x14ac:dyDescent="0.25">
      <c r="A64" s="8" t="s">
        <v>1459</v>
      </c>
      <c r="B64" s="8" t="s">
        <v>2540</v>
      </c>
      <c r="C64" s="8" t="s">
        <v>40</v>
      </c>
      <c r="D64" s="8" t="s">
        <v>2716</v>
      </c>
      <c r="E64" s="8" t="s">
        <v>2717</v>
      </c>
      <c r="F64" s="8" t="s">
        <v>43</v>
      </c>
      <c r="G64" s="8"/>
      <c r="H64" s="8">
        <v>100</v>
      </c>
      <c r="I64" s="8" t="s">
        <v>2718</v>
      </c>
      <c r="J64" s="8">
        <v>1</v>
      </c>
      <c r="K64" s="8">
        <v>242</v>
      </c>
      <c r="L64" s="8">
        <v>241</v>
      </c>
      <c r="M64" s="8">
        <v>241</v>
      </c>
      <c r="N64" s="8">
        <v>420</v>
      </c>
      <c r="O64" s="8">
        <v>418</v>
      </c>
      <c r="P64" s="8">
        <v>420</v>
      </c>
      <c r="Q64" s="9" t="s">
        <v>46</v>
      </c>
      <c r="R64" s="16"/>
      <c r="S64" s="10"/>
      <c r="T64" s="10"/>
      <c r="U64" s="10"/>
      <c r="V64" s="11"/>
      <c r="W64" s="12" t="s">
        <v>46</v>
      </c>
      <c r="X64" s="17"/>
      <c r="Y64" s="13">
        <v>0</v>
      </c>
      <c r="Z64" s="13">
        <v>0</v>
      </c>
      <c r="AA64" s="13">
        <v>0</v>
      </c>
      <c r="AB64" s="14">
        <v>0</v>
      </c>
      <c r="AC64" s="9"/>
      <c r="AD64" s="16"/>
      <c r="AE64" s="10"/>
      <c r="AF64" s="10"/>
      <c r="AG64" s="10"/>
      <c r="AH64" s="11"/>
      <c r="AI64" s="12"/>
      <c r="AJ64" s="17"/>
      <c r="AK64" s="13"/>
      <c r="AL64" s="13"/>
      <c r="AM64" s="13"/>
      <c r="AN64" s="14"/>
      <c r="AO64" s="9"/>
      <c r="AP64" s="16"/>
      <c r="AQ64" s="10"/>
      <c r="AR64" s="10"/>
      <c r="AS64" s="10"/>
      <c r="AT64" s="11"/>
      <c r="AU64" s="12"/>
      <c r="AV64" s="17"/>
      <c r="AW64" s="13"/>
      <c r="AX64" s="13"/>
      <c r="AY64" s="13"/>
      <c r="AZ64" s="14"/>
      <c r="BA64" s="9"/>
      <c r="BB64" s="16"/>
      <c r="BC64" s="10"/>
      <c r="BD64" s="10"/>
      <c r="BE64" s="10"/>
      <c r="BF64" s="11"/>
      <c r="BG64" s="12"/>
      <c r="BH64" s="17"/>
      <c r="BI64" s="13"/>
      <c r="BJ64" s="13"/>
      <c r="BK64" s="13"/>
      <c r="BL64" s="14"/>
      <c r="BM64" s="8">
        <f t="shared" si="9"/>
        <v>0</v>
      </c>
      <c r="BN64" s="8">
        <f t="shared" si="10"/>
        <v>0</v>
      </c>
      <c r="BO64" s="8">
        <f t="shared" si="11"/>
        <v>0</v>
      </c>
      <c r="BP64" s="8">
        <f t="shared" si="12"/>
        <v>0</v>
      </c>
      <c r="BQ64" s="8">
        <f t="shared" si="13"/>
        <v>0</v>
      </c>
      <c r="BR64" s="8">
        <f t="shared" si="14"/>
        <v>0</v>
      </c>
      <c r="BS64" s="15">
        <f t="shared" si="15"/>
        <v>0</v>
      </c>
      <c r="BT64" s="15" t="str">
        <f t="shared" si="16"/>
        <v>OK - No Upgrade</v>
      </c>
      <c r="BU64" s="15" t="str">
        <f t="shared" si="17"/>
        <v>OK - Balanced</v>
      </c>
    </row>
    <row r="65" spans="1:73" ht="15.75" customHeight="1" x14ac:dyDescent="0.25">
      <c r="A65" s="8" t="s">
        <v>1459</v>
      </c>
      <c r="B65" s="8" t="s">
        <v>2540</v>
      </c>
      <c r="C65" s="8" t="s">
        <v>40</v>
      </c>
      <c r="D65" s="8" t="s">
        <v>2719</v>
      </c>
      <c r="E65" s="8" t="s">
        <v>2720</v>
      </c>
      <c r="F65" s="8" t="s">
        <v>43</v>
      </c>
      <c r="G65" s="8"/>
      <c r="H65" s="8">
        <v>315</v>
      </c>
      <c r="I65" s="8" t="s">
        <v>2721</v>
      </c>
      <c r="J65" s="8">
        <v>1</v>
      </c>
      <c r="K65" s="8">
        <v>241</v>
      </c>
      <c r="L65" s="8">
        <v>241</v>
      </c>
      <c r="M65" s="8">
        <v>240</v>
      </c>
      <c r="N65" s="8">
        <v>418</v>
      </c>
      <c r="O65" s="8">
        <v>419</v>
      </c>
      <c r="P65" s="8">
        <v>416</v>
      </c>
      <c r="Q65" s="9" t="s">
        <v>47</v>
      </c>
      <c r="R65" s="16"/>
      <c r="S65" s="10">
        <v>0</v>
      </c>
      <c r="T65" s="10">
        <v>0</v>
      </c>
      <c r="U65" s="10">
        <v>0</v>
      </c>
      <c r="V65" s="11">
        <v>0</v>
      </c>
      <c r="W65" s="12" t="s">
        <v>47</v>
      </c>
      <c r="X65" s="17"/>
      <c r="Y65" s="13">
        <v>0</v>
      </c>
      <c r="Z65" s="13">
        <v>0</v>
      </c>
      <c r="AA65" s="13">
        <v>7</v>
      </c>
      <c r="AB65" s="14">
        <v>0</v>
      </c>
      <c r="AC65" s="9"/>
      <c r="AD65" s="16"/>
      <c r="AE65" s="10"/>
      <c r="AF65" s="10"/>
      <c r="AG65" s="10"/>
      <c r="AH65" s="11"/>
      <c r="AI65" s="12"/>
      <c r="AJ65" s="17"/>
      <c r="AK65" s="13"/>
      <c r="AL65" s="13"/>
      <c r="AM65" s="13"/>
      <c r="AN65" s="14"/>
      <c r="AO65" s="9"/>
      <c r="AP65" s="16"/>
      <c r="AQ65" s="10"/>
      <c r="AR65" s="10"/>
      <c r="AS65" s="10"/>
      <c r="AT65" s="11"/>
      <c r="AU65" s="12"/>
      <c r="AV65" s="17"/>
      <c r="AW65" s="13"/>
      <c r="AX65" s="13"/>
      <c r="AY65" s="13"/>
      <c r="AZ65" s="14"/>
      <c r="BA65" s="9"/>
      <c r="BB65" s="16"/>
      <c r="BC65" s="10"/>
      <c r="BD65" s="10"/>
      <c r="BE65" s="10"/>
      <c r="BF65" s="11"/>
      <c r="BG65" s="12"/>
      <c r="BH65" s="17"/>
      <c r="BI65" s="13"/>
      <c r="BJ65" s="13"/>
      <c r="BK65" s="13"/>
      <c r="BL65" s="14"/>
      <c r="BM65" s="8">
        <f t="shared" si="9"/>
        <v>0</v>
      </c>
      <c r="BN65" s="8">
        <f t="shared" si="10"/>
        <v>0</v>
      </c>
      <c r="BO65" s="8">
        <f t="shared" si="11"/>
        <v>7</v>
      </c>
      <c r="BP65" s="8">
        <f t="shared" si="12"/>
        <v>0</v>
      </c>
      <c r="BQ65" s="8">
        <f t="shared" si="13"/>
        <v>7</v>
      </c>
      <c r="BR65" s="8">
        <f t="shared" si="14"/>
        <v>0</v>
      </c>
      <c r="BS65" s="15">
        <f t="shared" si="15"/>
        <v>1.6088827501417571</v>
      </c>
      <c r="BT65" s="15" t="str">
        <f t="shared" si="16"/>
        <v>OK - No Upgrade</v>
      </c>
      <c r="BU65" s="15" t="str">
        <f t="shared" si="17"/>
        <v>Need to Balance</v>
      </c>
    </row>
    <row r="66" spans="1:73" ht="15.75" customHeight="1" x14ac:dyDescent="0.25">
      <c r="A66" s="8" t="s">
        <v>1459</v>
      </c>
      <c r="B66" s="8" t="s">
        <v>2540</v>
      </c>
      <c r="C66" s="8" t="s">
        <v>40</v>
      </c>
      <c r="D66" s="8" t="s">
        <v>2722</v>
      </c>
      <c r="E66" s="8" t="s">
        <v>2723</v>
      </c>
      <c r="F66" s="8" t="s">
        <v>43</v>
      </c>
      <c r="G66" s="8"/>
      <c r="H66" s="8">
        <v>315</v>
      </c>
      <c r="I66" s="8" t="s">
        <v>2724</v>
      </c>
      <c r="J66" s="8">
        <v>1</v>
      </c>
      <c r="K66" s="8">
        <v>241</v>
      </c>
      <c r="L66" s="8">
        <v>240</v>
      </c>
      <c r="M66" s="8">
        <v>240</v>
      </c>
      <c r="N66" s="8">
        <v>414</v>
      </c>
      <c r="O66" s="8">
        <v>417</v>
      </c>
      <c r="P66" s="8">
        <v>417</v>
      </c>
      <c r="Q66" s="9" t="s">
        <v>47</v>
      </c>
      <c r="R66" s="16"/>
      <c r="S66" s="10">
        <v>16</v>
      </c>
      <c r="T66" s="10">
        <v>24</v>
      </c>
      <c r="U66" s="10">
        <v>56</v>
      </c>
      <c r="V66" s="11">
        <v>30</v>
      </c>
      <c r="W66" s="12" t="s">
        <v>47</v>
      </c>
      <c r="X66" s="17"/>
      <c r="Y66" s="13">
        <v>60</v>
      </c>
      <c r="Z66" s="13">
        <v>62</v>
      </c>
      <c r="AA66" s="13">
        <v>25</v>
      </c>
      <c r="AB66" s="14">
        <v>29</v>
      </c>
      <c r="AC66" s="9"/>
      <c r="AD66" s="16"/>
      <c r="AE66" s="10"/>
      <c r="AF66" s="10"/>
      <c r="AG66" s="10"/>
      <c r="AH66" s="11"/>
      <c r="AI66" s="12"/>
      <c r="AJ66" s="17"/>
      <c r="AK66" s="13"/>
      <c r="AL66" s="13"/>
      <c r="AM66" s="13"/>
      <c r="AN66" s="14"/>
      <c r="AO66" s="9"/>
      <c r="AP66" s="16"/>
      <c r="AQ66" s="10"/>
      <c r="AR66" s="10"/>
      <c r="AS66" s="10"/>
      <c r="AT66" s="11"/>
      <c r="AU66" s="12"/>
      <c r="AV66" s="17"/>
      <c r="AW66" s="13"/>
      <c r="AX66" s="13"/>
      <c r="AY66" s="13"/>
      <c r="AZ66" s="14"/>
      <c r="BA66" s="9"/>
      <c r="BB66" s="16"/>
      <c r="BC66" s="10"/>
      <c r="BD66" s="10"/>
      <c r="BE66" s="10"/>
      <c r="BF66" s="11"/>
      <c r="BG66" s="12"/>
      <c r="BH66" s="17"/>
      <c r="BI66" s="13"/>
      <c r="BJ66" s="13"/>
      <c r="BK66" s="13"/>
      <c r="BL66" s="14"/>
      <c r="BM66" s="8">
        <f t="shared" si="9"/>
        <v>76</v>
      </c>
      <c r="BN66" s="8">
        <f t="shared" si="10"/>
        <v>86</v>
      </c>
      <c r="BO66" s="8">
        <f t="shared" si="11"/>
        <v>81</v>
      </c>
      <c r="BP66" s="8">
        <f t="shared" si="12"/>
        <v>59</v>
      </c>
      <c r="BQ66" s="8">
        <f t="shared" si="13"/>
        <v>86</v>
      </c>
      <c r="BR66" s="8">
        <f t="shared" si="14"/>
        <v>76</v>
      </c>
      <c r="BS66" s="15">
        <f t="shared" si="15"/>
        <v>19.577122842121362</v>
      </c>
      <c r="BT66" s="15" t="str">
        <f t="shared" si="16"/>
        <v>OK - No Upgrade</v>
      </c>
      <c r="BU66" s="15" t="str">
        <f t="shared" si="17"/>
        <v>OK - Balanced</v>
      </c>
    </row>
    <row r="67" spans="1:73" ht="15.75" customHeight="1" x14ac:dyDescent="0.25">
      <c r="A67" s="8" t="s">
        <v>1459</v>
      </c>
      <c r="B67" s="8" t="s">
        <v>2540</v>
      </c>
      <c r="C67" s="8" t="s">
        <v>40</v>
      </c>
      <c r="D67" s="8" t="s">
        <v>2725</v>
      </c>
      <c r="E67" s="8" t="s">
        <v>2726</v>
      </c>
      <c r="F67" s="8" t="s">
        <v>56</v>
      </c>
      <c r="G67" s="8"/>
      <c r="H67" s="8">
        <v>500</v>
      </c>
      <c r="I67" s="8" t="s">
        <v>2727</v>
      </c>
      <c r="J67" s="8">
        <v>1</v>
      </c>
      <c r="K67" s="8">
        <v>240</v>
      </c>
      <c r="L67" s="8">
        <v>240</v>
      </c>
      <c r="M67" s="8">
        <v>241</v>
      </c>
      <c r="N67" s="8">
        <v>417</v>
      </c>
      <c r="O67" s="8">
        <v>415</v>
      </c>
      <c r="P67" s="8">
        <v>415</v>
      </c>
      <c r="Q67" s="9" t="s">
        <v>47</v>
      </c>
      <c r="R67" s="16"/>
      <c r="S67" s="10">
        <v>112</v>
      </c>
      <c r="T67" s="10">
        <v>77</v>
      </c>
      <c r="U67" s="10">
        <v>72</v>
      </c>
      <c r="V67" s="11">
        <v>27</v>
      </c>
      <c r="W67" s="12" t="s">
        <v>47</v>
      </c>
      <c r="X67" s="17"/>
      <c r="Y67" s="13">
        <v>32</v>
      </c>
      <c r="Z67" s="13">
        <v>48</v>
      </c>
      <c r="AA67" s="13">
        <v>12</v>
      </c>
      <c r="AB67" s="14">
        <v>18</v>
      </c>
      <c r="AC67" s="9"/>
      <c r="AD67" s="16"/>
      <c r="AE67" s="10"/>
      <c r="AF67" s="10"/>
      <c r="AG67" s="10"/>
      <c r="AH67" s="11"/>
      <c r="AI67" s="12"/>
      <c r="AJ67" s="17"/>
      <c r="AK67" s="13"/>
      <c r="AL67" s="13"/>
      <c r="AM67" s="13"/>
      <c r="AN67" s="14"/>
      <c r="AO67" s="9"/>
      <c r="AP67" s="16"/>
      <c r="AQ67" s="10"/>
      <c r="AR67" s="10"/>
      <c r="AS67" s="10"/>
      <c r="AT67" s="11"/>
      <c r="AU67" s="12"/>
      <c r="AV67" s="17"/>
      <c r="AW67" s="13"/>
      <c r="AX67" s="13"/>
      <c r="AY67" s="13"/>
      <c r="AZ67" s="14"/>
      <c r="BA67" s="9"/>
      <c r="BB67" s="16"/>
      <c r="BC67" s="10"/>
      <c r="BD67" s="10"/>
      <c r="BE67" s="10"/>
      <c r="BF67" s="11"/>
      <c r="BG67" s="12"/>
      <c r="BH67" s="17"/>
      <c r="BI67" s="13"/>
      <c r="BJ67" s="13"/>
      <c r="BK67" s="13"/>
      <c r="BL67" s="14"/>
      <c r="BM67" s="8">
        <f t="shared" si="9"/>
        <v>144</v>
      </c>
      <c r="BN67" s="8">
        <f t="shared" si="10"/>
        <v>125</v>
      </c>
      <c r="BO67" s="8">
        <f t="shared" si="11"/>
        <v>84</v>
      </c>
      <c r="BP67" s="8">
        <f t="shared" si="12"/>
        <v>45</v>
      </c>
      <c r="BQ67" s="8">
        <f t="shared" si="13"/>
        <v>144</v>
      </c>
      <c r="BR67" s="8">
        <f t="shared" si="14"/>
        <v>84</v>
      </c>
      <c r="BS67" s="15">
        <f t="shared" si="15"/>
        <v>20.801237378579184</v>
      </c>
      <c r="BT67" s="15" t="str">
        <f t="shared" si="16"/>
        <v>OK - No Upgrade</v>
      </c>
      <c r="BU67" s="15" t="str">
        <f t="shared" si="17"/>
        <v>Need to Balance</v>
      </c>
    </row>
    <row r="68" spans="1:73" ht="15.75" customHeight="1" x14ac:dyDescent="0.25">
      <c r="A68" s="8" t="s">
        <v>1459</v>
      </c>
      <c r="B68" s="8" t="s">
        <v>2540</v>
      </c>
      <c r="C68" s="8" t="s">
        <v>40</v>
      </c>
      <c r="D68" s="8" t="s">
        <v>2728</v>
      </c>
      <c r="E68" s="8" t="s">
        <v>2729</v>
      </c>
      <c r="F68" s="8" t="s">
        <v>43</v>
      </c>
      <c r="G68" s="8"/>
      <c r="H68" s="8">
        <v>315</v>
      </c>
      <c r="I68" s="8" t="s">
        <v>2730</v>
      </c>
      <c r="J68" s="8">
        <v>1</v>
      </c>
      <c r="K68" s="8">
        <v>237</v>
      </c>
      <c r="L68" s="8">
        <v>238</v>
      </c>
      <c r="M68" s="8">
        <v>239</v>
      </c>
      <c r="N68" s="8">
        <v>414</v>
      </c>
      <c r="O68" s="8">
        <v>412</v>
      </c>
      <c r="P68" s="8">
        <v>412</v>
      </c>
      <c r="Q68" s="9" t="s">
        <v>47</v>
      </c>
      <c r="R68" s="16"/>
      <c r="S68" s="10">
        <v>104</v>
      </c>
      <c r="T68" s="10">
        <v>78</v>
      </c>
      <c r="U68" s="10">
        <v>40</v>
      </c>
      <c r="V68" s="11">
        <v>55</v>
      </c>
      <c r="W68" s="12" t="s">
        <v>47</v>
      </c>
      <c r="X68" s="17"/>
      <c r="Y68" s="13">
        <v>225</v>
      </c>
      <c r="Z68" s="13">
        <v>151</v>
      </c>
      <c r="AA68" s="13">
        <v>50</v>
      </c>
      <c r="AB68" s="14">
        <v>45</v>
      </c>
      <c r="AC68" s="9"/>
      <c r="AD68" s="16"/>
      <c r="AE68" s="10"/>
      <c r="AF68" s="10"/>
      <c r="AG68" s="10"/>
      <c r="AH68" s="11"/>
      <c r="AI68" s="12"/>
      <c r="AJ68" s="17"/>
      <c r="AK68" s="13"/>
      <c r="AL68" s="13"/>
      <c r="AM68" s="13"/>
      <c r="AN68" s="14"/>
      <c r="AO68" s="9"/>
      <c r="AP68" s="16"/>
      <c r="AQ68" s="10"/>
      <c r="AR68" s="10"/>
      <c r="AS68" s="10"/>
      <c r="AT68" s="11"/>
      <c r="AU68" s="12"/>
      <c r="AV68" s="17"/>
      <c r="AW68" s="13"/>
      <c r="AX68" s="13"/>
      <c r="AY68" s="13"/>
      <c r="AZ68" s="14"/>
      <c r="BA68" s="9"/>
      <c r="BB68" s="16"/>
      <c r="BC68" s="10"/>
      <c r="BD68" s="10"/>
      <c r="BE68" s="10"/>
      <c r="BF68" s="11"/>
      <c r="BG68" s="12"/>
      <c r="BH68" s="17"/>
      <c r="BI68" s="13"/>
      <c r="BJ68" s="13"/>
      <c r="BK68" s="13"/>
      <c r="BL68" s="14"/>
      <c r="BM68" s="8">
        <f t="shared" ref="BM68:BM88" si="18">SUM(S68,Y68,AE68,AK68,AQ68,AW68,BC68,BI68)</f>
        <v>329</v>
      </c>
      <c r="BN68" s="8">
        <f t="shared" ref="BN68:BN88" si="19">SUM(T68,Z68,AF68,AL68,AR68,AX68,BD68,BJ68)</f>
        <v>229</v>
      </c>
      <c r="BO68" s="8">
        <f t="shared" ref="BO68:BO88" si="20">SUM(U68,AA68,AG68,AM68,AS68,AY68,BE68,BK68)</f>
        <v>90</v>
      </c>
      <c r="BP68" s="8">
        <f t="shared" ref="BP68:BP88" si="21">SUM(V68,AB68,AH68,AN68,AT68,AZ68,BF68,BL68)</f>
        <v>100</v>
      </c>
      <c r="BQ68" s="8">
        <f t="shared" ref="BQ68:BQ88" si="22">MAX(BM68:BO68)</f>
        <v>329</v>
      </c>
      <c r="BR68" s="8">
        <f t="shared" ref="BR68:BR88" si="23">MIN(BM68:BO68)</f>
        <v>90</v>
      </c>
      <c r="BS68" s="15">
        <f t="shared" ref="BS68:BS88" si="24">IF(H68&gt;0,(BQ68*SQRT(3)*IF(N68&gt;0,N68,IF(O68&gt;0,O68,IF(P68&gt;0,P68,415)))/(H68*1000))*100,0)</f>
        <v>74.893876919278242</v>
      </c>
      <c r="BT68" s="15" t="str">
        <f t="shared" ref="BT68:BT99" si="25">IF(BS68&gt;70,"Upgrade","OK - No Upgrade")</f>
        <v>Upgrade</v>
      </c>
      <c r="BU68" s="15" t="str">
        <f t="shared" ref="BU68:BU88" si="26">IF(IF(AVERAGE(BM68:BO68)&gt;0,((BQ68-AVERAGE(BM68:BO68))/AVERAGE(BM68:BO68))*100,0)&gt;10,"Need to Balance","OK - Balanced")</f>
        <v>Need to Balance</v>
      </c>
    </row>
    <row r="69" spans="1:73" ht="15.75" customHeight="1" x14ac:dyDescent="0.25">
      <c r="A69" s="8" t="s">
        <v>1459</v>
      </c>
      <c r="B69" s="8" t="s">
        <v>2540</v>
      </c>
      <c r="C69" s="8" t="s">
        <v>40</v>
      </c>
      <c r="D69" s="8" t="s">
        <v>2731</v>
      </c>
      <c r="E69" s="8" t="s">
        <v>2732</v>
      </c>
      <c r="F69" s="8" t="s">
        <v>56</v>
      </c>
      <c r="G69" s="8"/>
      <c r="H69" s="8">
        <v>1000</v>
      </c>
      <c r="I69" s="8" t="s">
        <v>2733</v>
      </c>
      <c r="J69" s="8">
        <v>1</v>
      </c>
      <c r="K69" s="8">
        <v>241</v>
      </c>
      <c r="L69" s="8">
        <v>241</v>
      </c>
      <c r="M69" s="8">
        <v>241</v>
      </c>
      <c r="N69" s="8">
        <v>420</v>
      </c>
      <c r="O69" s="8">
        <v>418</v>
      </c>
      <c r="P69" s="8">
        <v>417</v>
      </c>
      <c r="Q69" s="9" t="s">
        <v>47</v>
      </c>
      <c r="R69" s="16"/>
      <c r="S69" s="10">
        <v>17</v>
      </c>
      <c r="T69" s="10">
        <v>43</v>
      </c>
      <c r="U69" s="10">
        <v>25</v>
      </c>
      <c r="V69" s="11">
        <v>21</v>
      </c>
      <c r="W69" s="12" t="s">
        <v>47</v>
      </c>
      <c r="X69" s="17"/>
      <c r="Y69" s="13">
        <v>230</v>
      </c>
      <c r="Z69" s="13">
        <v>98</v>
      </c>
      <c r="AA69" s="13">
        <v>105</v>
      </c>
      <c r="AB69" s="14">
        <v>91</v>
      </c>
      <c r="AC69" s="9"/>
      <c r="AD69" s="16"/>
      <c r="AE69" s="10">
        <v>83</v>
      </c>
      <c r="AF69" s="10">
        <v>81</v>
      </c>
      <c r="AG69" s="10">
        <v>53</v>
      </c>
      <c r="AH69" s="11">
        <v>27</v>
      </c>
      <c r="AI69" s="12"/>
      <c r="AJ69" s="17"/>
      <c r="AK69" s="13">
        <v>65</v>
      </c>
      <c r="AL69" s="13">
        <v>53</v>
      </c>
      <c r="AM69" s="13">
        <v>49</v>
      </c>
      <c r="AN69" s="14">
        <v>26</v>
      </c>
      <c r="AO69" s="9"/>
      <c r="AP69" s="16"/>
      <c r="AQ69" s="10">
        <v>25</v>
      </c>
      <c r="AR69" s="10">
        <v>63</v>
      </c>
      <c r="AS69" s="10">
        <v>32</v>
      </c>
      <c r="AT69" s="11">
        <v>20</v>
      </c>
      <c r="AU69" s="12"/>
      <c r="AV69" s="17"/>
      <c r="AW69" s="13"/>
      <c r="AX69" s="13"/>
      <c r="AY69" s="13"/>
      <c r="AZ69" s="14"/>
      <c r="BA69" s="9"/>
      <c r="BB69" s="16"/>
      <c r="BC69" s="10"/>
      <c r="BD69" s="10"/>
      <c r="BE69" s="10"/>
      <c r="BF69" s="11"/>
      <c r="BG69" s="12"/>
      <c r="BH69" s="17"/>
      <c r="BI69" s="13"/>
      <c r="BJ69" s="13"/>
      <c r="BK69" s="13"/>
      <c r="BL69" s="14"/>
      <c r="BM69" s="8">
        <f t="shared" si="18"/>
        <v>420</v>
      </c>
      <c r="BN69" s="8">
        <f t="shared" si="19"/>
        <v>338</v>
      </c>
      <c r="BO69" s="8">
        <f t="shared" si="20"/>
        <v>264</v>
      </c>
      <c r="BP69" s="8">
        <f t="shared" si="21"/>
        <v>185</v>
      </c>
      <c r="BQ69" s="8">
        <f t="shared" si="22"/>
        <v>420</v>
      </c>
      <c r="BR69" s="8">
        <f t="shared" si="23"/>
        <v>264</v>
      </c>
      <c r="BS69" s="15">
        <f t="shared" si="24"/>
        <v>30.55337624551499</v>
      </c>
      <c r="BT69" s="15" t="str">
        <f t="shared" si="25"/>
        <v>OK - No Upgrade</v>
      </c>
      <c r="BU69" s="15" t="str">
        <f t="shared" si="26"/>
        <v>Need to Balance</v>
      </c>
    </row>
    <row r="70" spans="1:73" ht="15.75" customHeight="1" x14ac:dyDescent="0.25">
      <c r="A70" s="8" t="s">
        <v>1459</v>
      </c>
      <c r="B70" s="8" t="s">
        <v>2540</v>
      </c>
      <c r="C70" s="8" t="s">
        <v>40</v>
      </c>
      <c r="D70" s="8" t="s">
        <v>2734</v>
      </c>
      <c r="E70" s="8" t="s">
        <v>2735</v>
      </c>
      <c r="F70" s="8" t="s">
        <v>56</v>
      </c>
      <c r="G70" s="8"/>
      <c r="H70" s="8">
        <v>500</v>
      </c>
      <c r="I70" s="8" t="s">
        <v>2736</v>
      </c>
      <c r="J70" s="8">
        <v>1</v>
      </c>
      <c r="K70" s="8">
        <v>232</v>
      </c>
      <c r="L70" s="8">
        <v>231</v>
      </c>
      <c r="M70" s="8">
        <v>233</v>
      </c>
      <c r="N70" s="8">
        <v>403</v>
      </c>
      <c r="O70" s="8">
        <v>403</v>
      </c>
      <c r="P70" s="8">
        <v>402</v>
      </c>
      <c r="Q70" s="9" t="s">
        <v>47</v>
      </c>
      <c r="R70" s="16"/>
      <c r="S70" s="10">
        <v>25</v>
      </c>
      <c r="T70" s="10">
        <v>23</v>
      </c>
      <c r="U70" s="10">
        <v>25</v>
      </c>
      <c r="V70" s="11">
        <v>18</v>
      </c>
      <c r="W70" s="12"/>
      <c r="X70" s="17"/>
      <c r="Y70" s="13"/>
      <c r="Z70" s="13"/>
      <c r="AA70" s="13"/>
      <c r="AB70" s="14"/>
      <c r="AC70" s="9"/>
      <c r="AD70" s="16"/>
      <c r="AE70" s="10"/>
      <c r="AF70" s="10"/>
      <c r="AG70" s="10"/>
      <c r="AH70" s="11"/>
      <c r="AI70" s="12"/>
      <c r="AJ70" s="17"/>
      <c r="AK70" s="13"/>
      <c r="AL70" s="13"/>
      <c r="AM70" s="13"/>
      <c r="AN70" s="14"/>
      <c r="AO70" s="9"/>
      <c r="AP70" s="16"/>
      <c r="AQ70" s="10"/>
      <c r="AR70" s="10"/>
      <c r="AS70" s="10"/>
      <c r="AT70" s="11"/>
      <c r="AU70" s="12"/>
      <c r="AV70" s="17"/>
      <c r="AW70" s="13"/>
      <c r="AX70" s="13"/>
      <c r="AY70" s="13"/>
      <c r="AZ70" s="14"/>
      <c r="BA70" s="9"/>
      <c r="BB70" s="16"/>
      <c r="BC70" s="10"/>
      <c r="BD70" s="10"/>
      <c r="BE70" s="10"/>
      <c r="BF70" s="11"/>
      <c r="BG70" s="12"/>
      <c r="BH70" s="17"/>
      <c r="BI70" s="13"/>
      <c r="BJ70" s="13"/>
      <c r="BK70" s="13"/>
      <c r="BL70" s="14"/>
      <c r="BM70" s="8">
        <f t="shared" si="18"/>
        <v>25</v>
      </c>
      <c r="BN70" s="8">
        <f t="shared" si="19"/>
        <v>23</v>
      </c>
      <c r="BO70" s="8">
        <f t="shared" si="20"/>
        <v>25</v>
      </c>
      <c r="BP70" s="8">
        <f t="shared" si="21"/>
        <v>18</v>
      </c>
      <c r="BQ70" s="8">
        <f t="shared" si="22"/>
        <v>25</v>
      </c>
      <c r="BR70" s="8">
        <f t="shared" si="23"/>
        <v>23</v>
      </c>
      <c r="BS70" s="15">
        <f t="shared" si="24"/>
        <v>3.4900823772512877</v>
      </c>
      <c r="BT70" s="15" t="str">
        <f t="shared" si="25"/>
        <v>OK - No Upgrade</v>
      </c>
      <c r="BU70" s="15" t="str">
        <f t="shared" si="26"/>
        <v>OK - Balanced</v>
      </c>
    </row>
    <row r="71" spans="1:73" ht="15.75" customHeight="1" x14ac:dyDescent="0.25">
      <c r="A71" s="8" t="s">
        <v>1459</v>
      </c>
      <c r="B71" s="8" t="s">
        <v>2540</v>
      </c>
      <c r="C71" s="8" t="s">
        <v>40</v>
      </c>
      <c r="D71" s="8" t="s">
        <v>2737</v>
      </c>
      <c r="E71" s="8" t="s">
        <v>2738</v>
      </c>
      <c r="F71" s="8" t="s">
        <v>43</v>
      </c>
      <c r="G71" s="8"/>
      <c r="H71" s="8">
        <v>315</v>
      </c>
      <c r="I71" s="8" t="s">
        <v>2739</v>
      </c>
      <c r="J71" s="8">
        <v>1</v>
      </c>
      <c r="K71" s="8">
        <v>232</v>
      </c>
      <c r="L71" s="8">
        <v>229</v>
      </c>
      <c r="M71" s="8">
        <v>232</v>
      </c>
      <c r="N71" s="8">
        <v>402</v>
      </c>
      <c r="O71" s="8">
        <v>401</v>
      </c>
      <c r="P71" s="8">
        <v>403</v>
      </c>
      <c r="Q71" s="9" t="s">
        <v>46</v>
      </c>
      <c r="R71" s="16"/>
      <c r="S71" s="10">
        <v>11</v>
      </c>
      <c r="T71" s="10">
        <v>11</v>
      </c>
      <c r="U71" s="10">
        <v>15</v>
      </c>
      <c r="V71" s="11">
        <v>0</v>
      </c>
      <c r="W71" s="12" t="s">
        <v>46</v>
      </c>
      <c r="X71" s="17"/>
      <c r="Y71" s="13">
        <v>13</v>
      </c>
      <c r="Z71" s="13">
        <v>59</v>
      </c>
      <c r="AA71" s="13">
        <v>20</v>
      </c>
      <c r="AB71" s="14">
        <v>33</v>
      </c>
      <c r="AC71" s="9"/>
      <c r="AD71" s="16"/>
      <c r="AE71" s="10"/>
      <c r="AF71" s="10"/>
      <c r="AG71" s="10"/>
      <c r="AH71" s="11"/>
      <c r="AI71" s="12"/>
      <c r="AJ71" s="17"/>
      <c r="AK71" s="13"/>
      <c r="AL71" s="13"/>
      <c r="AM71" s="13"/>
      <c r="AN71" s="14"/>
      <c r="AO71" s="9"/>
      <c r="AP71" s="16"/>
      <c r="AQ71" s="10"/>
      <c r="AR71" s="10"/>
      <c r="AS71" s="10"/>
      <c r="AT71" s="11"/>
      <c r="AU71" s="12"/>
      <c r="AV71" s="17"/>
      <c r="AW71" s="13"/>
      <c r="AX71" s="13"/>
      <c r="AY71" s="13"/>
      <c r="AZ71" s="14"/>
      <c r="BA71" s="9"/>
      <c r="BB71" s="16"/>
      <c r="BC71" s="10"/>
      <c r="BD71" s="10"/>
      <c r="BE71" s="10"/>
      <c r="BF71" s="11"/>
      <c r="BG71" s="12"/>
      <c r="BH71" s="17"/>
      <c r="BI71" s="13"/>
      <c r="BJ71" s="13"/>
      <c r="BK71" s="13"/>
      <c r="BL71" s="14"/>
      <c r="BM71" s="8">
        <f t="shared" si="18"/>
        <v>24</v>
      </c>
      <c r="BN71" s="8">
        <f t="shared" si="19"/>
        <v>70</v>
      </c>
      <c r="BO71" s="8">
        <f t="shared" si="20"/>
        <v>35</v>
      </c>
      <c r="BP71" s="8">
        <f t="shared" si="21"/>
        <v>33</v>
      </c>
      <c r="BQ71" s="8">
        <f t="shared" si="22"/>
        <v>70</v>
      </c>
      <c r="BR71" s="8">
        <f t="shared" si="23"/>
        <v>24</v>
      </c>
      <c r="BS71" s="15">
        <f t="shared" si="24"/>
        <v>15.47298721428197</v>
      </c>
      <c r="BT71" s="15" t="str">
        <f t="shared" si="25"/>
        <v>OK - No Upgrade</v>
      </c>
      <c r="BU71" s="15" t="str">
        <f t="shared" si="26"/>
        <v>Need to Balance</v>
      </c>
    </row>
    <row r="72" spans="1:73" ht="15.75" customHeight="1" x14ac:dyDescent="0.25">
      <c r="A72" s="8" t="s">
        <v>1459</v>
      </c>
      <c r="B72" s="8" t="s">
        <v>2540</v>
      </c>
      <c r="C72" s="8" t="s">
        <v>40</v>
      </c>
      <c r="D72" s="8" t="s">
        <v>2740</v>
      </c>
      <c r="E72" s="8" t="s">
        <v>2741</v>
      </c>
      <c r="F72" s="8" t="s">
        <v>43</v>
      </c>
      <c r="G72" s="8"/>
      <c r="H72" s="8">
        <v>100</v>
      </c>
      <c r="I72" s="8" t="s">
        <v>2742</v>
      </c>
      <c r="J72" s="8">
        <v>1</v>
      </c>
      <c r="K72" s="8">
        <v>244</v>
      </c>
      <c r="L72" s="8">
        <v>244</v>
      </c>
      <c r="M72" s="8">
        <v>245</v>
      </c>
      <c r="N72" s="8">
        <v>426</v>
      </c>
      <c r="O72" s="8">
        <v>426</v>
      </c>
      <c r="P72" s="8">
        <v>424</v>
      </c>
      <c r="Q72" s="9" t="s">
        <v>46</v>
      </c>
      <c r="R72" s="16"/>
      <c r="S72" s="10"/>
      <c r="T72" s="10"/>
      <c r="U72" s="10"/>
      <c r="V72" s="11"/>
      <c r="W72" s="12"/>
      <c r="X72" s="17"/>
      <c r="Y72" s="13">
        <v>12</v>
      </c>
      <c r="Z72" s="13">
        <v>12</v>
      </c>
      <c r="AA72" s="13">
        <v>11</v>
      </c>
      <c r="AB72" s="14">
        <v>0</v>
      </c>
      <c r="AC72" s="9"/>
      <c r="AD72" s="16"/>
      <c r="AE72" s="10"/>
      <c r="AF72" s="10"/>
      <c r="AG72" s="10"/>
      <c r="AH72" s="11"/>
      <c r="AI72" s="12"/>
      <c r="AJ72" s="17"/>
      <c r="AK72" s="13"/>
      <c r="AL72" s="13"/>
      <c r="AM72" s="13"/>
      <c r="AN72" s="14"/>
      <c r="AO72" s="9"/>
      <c r="AP72" s="16"/>
      <c r="AQ72" s="10"/>
      <c r="AR72" s="10"/>
      <c r="AS72" s="10"/>
      <c r="AT72" s="11"/>
      <c r="AU72" s="12"/>
      <c r="AV72" s="17"/>
      <c r="AW72" s="13"/>
      <c r="AX72" s="13"/>
      <c r="AY72" s="13"/>
      <c r="AZ72" s="14"/>
      <c r="BA72" s="9"/>
      <c r="BB72" s="16"/>
      <c r="BC72" s="10"/>
      <c r="BD72" s="10"/>
      <c r="BE72" s="10"/>
      <c r="BF72" s="11"/>
      <c r="BG72" s="12"/>
      <c r="BH72" s="17"/>
      <c r="BI72" s="13"/>
      <c r="BJ72" s="13"/>
      <c r="BK72" s="13"/>
      <c r="BL72" s="14"/>
      <c r="BM72" s="8">
        <f t="shared" si="18"/>
        <v>12</v>
      </c>
      <c r="BN72" s="8">
        <f t="shared" si="19"/>
        <v>12</v>
      </c>
      <c r="BO72" s="8">
        <f t="shared" si="20"/>
        <v>11</v>
      </c>
      <c r="BP72" s="8">
        <f t="shared" si="21"/>
        <v>0</v>
      </c>
      <c r="BQ72" s="8">
        <f t="shared" si="22"/>
        <v>12</v>
      </c>
      <c r="BR72" s="8">
        <f t="shared" si="23"/>
        <v>11</v>
      </c>
      <c r="BS72" s="15">
        <f t="shared" si="24"/>
        <v>8.8542437282921025</v>
      </c>
      <c r="BT72" s="15" t="str">
        <f t="shared" si="25"/>
        <v>OK - No Upgrade</v>
      </c>
      <c r="BU72" s="15" t="str">
        <f t="shared" si="26"/>
        <v>OK - Balanced</v>
      </c>
    </row>
    <row r="73" spans="1:73" ht="15.75" customHeight="1" x14ac:dyDescent="0.25">
      <c r="A73" s="8" t="s">
        <v>1459</v>
      </c>
      <c r="B73" s="8" t="s">
        <v>2540</v>
      </c>
      <c r="C73" s="8" t="s">
        <v>40</v>
      </c>
      <c r="D73" s="8" t="s">
        <v>2743</v>
      </c>
      <c r="E73" s="8" t="s">
        <v>2744</v>
      </c>
      <c r="F73" s="8" t="s">
        <v>43</v>
      </c>
      <c r="G73" s="8"/>
      <c r="H73" s="8">
        <v>100</v>
      </c>
      <c r="I73" s="8" t="s">
        <v>2745</v>
      </c>
      <c r="J73" s="8">
        <v>1</v>
      </c>
      <c r="K73" s="8">
        <v>245</v>
      </c>
      <c r="L73" s="8">
        <v>246</v>
      </c>
      <c r="M73" s="8">
        <v>246</v>
      </c>
      <c r="N73" s="8">
        <v>426</v>
      </c>
      <c r="O73" s="8">
        <v>429</v>
      </c>
      <c r="P73" s="8">
        <v>426</v>
      </c>
      <c r="Q73" s="9" t="s">
        <v>46</v>
      </c>
      <c r="R73" s="16"/>
      <c r="S73" s="10">
        <v>24</v>
      </c>
      <c r="T73" s="10">
        <v>10</v>
      </c>
      <c r="U73" s="10">
        <v>8</v>
      </c>
      <c r="V73" s="11">
        <v>18</v>
      </c>
      <c r="W73" s="12" t="s">
        <v>46</v>
      </c>
      <c r="X73" s="17"/>
      <c r="Y73" s="13">
        <v>8</v>
      </c>
      <c r="Z73" s="13">
        <v>5</v>
      </c>
      <c r="AA73" s="13">
        <v>10</v>
      </c>
      <c r="AB73" s="14">
        <v>7</v>
      </c>
      <c r="AC73" s="9"/>
      <c r="AD73" s="16"/>
      <c r="AE73" s="10"/>
      <c r="AF73" s="10"/>
      <c r="AG73" s="10"/>
      <c r="AH73" s="11"/>
      <c r="AI73" s="12"/>
      <c r="AJ73" s="17"/>
      <c r="AK73" s="13"/>
      <c r="AL73" s="13"/>
      <c r="AM73" s="13"/>
      <c r="AN73" s="14"/>
      <c r="AO73" s="9"/>
      <c r="AP73" s="16"/>
      <c r="AQ73" s="10"/>
      <c r="AR73" s="10"/>
      <c r="AS73" s="10"/>
      <c r="AT73" s="11"/>
      <c r="AU73" s="12"/>
      <c r="AV73" s="17"/>
      <c r="AW73" s="13"/>
      <c r="AX73" s="13"/>
      <c r="AY73" s="13"/>
      <c r="AZ73" s="14"/>
      <c r="BA73" s="9"/>
      <c r="BB73" s="16"/>
      <c r="BC73" s="10"/>
      <c r="BD73" s="10"/>
      <c r="BE73" s="10"/>
      <c r="BF73" s="11"/>
      <c r="BG73" s="12"/>
      <c r="BH73" s="17"/>
      <c r="BI73" s="13"/>
      <c r="BJ73" s="13"/>
      <c r="BK73" s="13"/>
      <c r="BL73" s="14"/>
      <c r="BM73" s="8">
        <f t="shared" si="18"/>
        <v>32</v>
      </c>
      <c r="BN73" s="8">
        <f t="shared" si="19"/>
        <v>15</v>
      </c>
      <c r="BO73" s="8">
        <f t="shared" si="20"/>
        <v>18</v>
      </c>
      <c r="BP73" s="8">
        <f t="shared" si="21"/>
        <v>25</v>
      </c>
      <c r="BQ73" s="8">
        <f t="shared" si="22"/>
        <v>32</v>
      </c>
      <c r="BR73" s="8">
        <f t="shared" si="23"/>
        <v>15</v>
      </c>
      <c r="BS73" s="15">
        <f t="shared" si="24"/>
        <v>23.611316608778932</v>
      </c>
      <c r="BT73" s="15" t="str">
        <f t="shared" si="25"/>
        <v>OK - No Upgrade</v>
      </c>
      <c r="BU73" s="15" t="str">
        <f t="shared" si="26"/>
        <v>Need to Balance</v>
      </c>
    </row>
    <row r="74" spans="1:73" ht="15.75" customHeight="1" x14ac:dyDescent="0.25">
      <c r="A74" s="8" t="s">
        <v>1459</v>
      </c>
      <c r="B74" s="8" t="s">
        <v>2540</v>
      </c>
      <c r="C74" s="8" t="s">
        <v>40</v>
      </c>
      <c r="D74" s="8" t="s">
        <v>2746</v>
      </c>
      <c r="E74" s="8" t="s">
        <v>2747</v>
      </c>
      <c r="F74" s="8" t="s">
        <v>43</v>
      </c>
      <c r="G74" s="8"/>
      <c r="H74" s="8">
        <v>100</v>
      </c>
      <c r="I74" s="8" t="s">
        <v>2748</v>
      </c>
      <c r="J74" s="8">
        <v>1</v>
      </c>
      <c r="K74" s="8">
        <v>235</v>
      </c>
      <c r="L74" s="8">
        <v>236</v>
      </c>
      <c r="M74" s="8">
        <v>235</v>
      </c>
      <c r="N74" s="8">
        <v>408</v>
      </c>
      <c r="O74" s="8">
        <v>409</v>
      </c>
      <c r="P74" s="8">
        <v>408</v>
      </c>
      <c r="Q74" s="9" t="s">
        <v>46</v>
      </c>
      <c r="R74" s="16"/>
      <c r="S74" s="10">
        <v>52</v>
      </c>
      <c r="T74" s="10">
        <v>35</v>
      </c>
      <c r="U74" s="10">
        <v>34</v>
      </c>
      <c r="V74" s="11">
        <v>17</v>
      </c>
      <c r="W74" s="12"/>
      <c r="X74" s="17"/>
      <c r="Y74" s="13"/>
      <c r="Z74" s="13"/>
      <c r="AA74" s="13"/>
      <c r="AB74" s="14"/>
      <c r="AC74" s="9"/>
      <c r="AD74" s="16"/>
      <c r="AE74" s="10"/>
      <c r="AF74" s="10"/>
      <c r="AG74" s="10"/>
      <c r="AH74" s="11"/>
      <c r="AI74" s="12"/>
      <c r="AJ74" s="17"/>
      <c r="AK74" s="13"/>
      <c r="AL74" s="13"/>
      <c r="AM74" s="13"/>
      <c r="AN74" s="14"/>
      <c r="AO74" s="9"/>
      <c r="AP74" s="16"/>
      <c r="AQ74" s="10"/>
      <c r="AR74" s="10"/>
      <c r="AS74" s="10"/>
      <c r="AT74" s="11"/>
      <c r="AU74" s="12"/>
      <c r="AV74" s="17"/>
      <c r="AW74" s="13"/>
      <c r="AX74" s="13"/>
      <c r="AY74" s="13"/>
      <c r="AZ74" s="14"/>
      <c r="BA74" s="9"/>
      <c r="BB74" s="16"/>
      <c r="BC74" s="10"/>
      <c r="BD74" s="10"/>
      <c r="BE74" s="10"/>
      <c r="BF74" s="11"/>
      <c r="BG74" s="12"/>
      <c r="BH74" s="17"/>
      <c r="BI74" s="13"/>
      <c r="BJ74" s="13"/>
      <c r="BK74" s="13"/>
      <c r="BL74" s="14"/>
      <c r="BM74" s="8">
        <f t="shared" si="18"/>
        <v>52</v>
      </c>
      <c r="BN74" s="8">
        <f t="shared" si="19"/>
        <v>35</v>
      </c>
      <c r="BO74" s="8">
        <f t="shared" si="20"/>
        <v>34</v>
      </c>
      <c r="BP74" s="8">
        <f t="shared" si="21"/>
        <v>17</v>
      </c>
      <c r="BQ74" s="8">
        <f t="shared" si="22"/>
        <v>52</v>
      </c>
      <c r="BR74" s="8">
        <f t="shared" si="23"/>
        <v>34</v>
      </c>
      <c r="BS74" s="15">
        <f t="shared" si="24"/>
        <v>36.7471899333813</v>
      </c>
      <c r="BT74" s="15" t="str">
        <f t="shared" si="25"/>
        <v>OK - No Upgrade</v>
      </c>
      <c r="BU74" s="15" t="str">
        <f t="shared" si="26"/>
        <v>Need to Balance</v>
      </c>
    </row>
    <row r="75" spans="1:73" ht="15.75" customHeight="1" x14ac:dyDescent="0.25">
      <c r="A75" s="8" t="s">
        <v>1459</v>
      </c>
      <c r="B75" s="8" t="s">
        <v>2540</v>
      </c>
      <c r="C75" s="8" t="s">
        <v>40</v>
      </c>
      <c r="D75" s="8" t="s">
        <v>2749</v>
      </c>
      <c r="E75" s="8" t="s">
        <v>2750</v>
      </c>
      <c r="F75" s="8" t="s">
        <v>43</v>
      </c>
      <c r="G75" s="8"/>
      <c r="H75" s="8">
        <v>315</v>
      </c>
      <c r="I75" s="8" t="s">
        <v>2751</v>
      </c>
      <c r="J75" s="8">
        <v>1</v>
      </c>
      <c r="K75" s="8">
        <v>239</v>
      </c>
      <c r="L75" s="8">
        <v>237</v>
      </c>
      <c r="M75" s="8">
        <v>237</v>
      </c>
      <c r="N75" s="8">
        <v>412</v>
      </c>
      <c r="O75" s="8">
        <v>418</v>
      </c>
      <c r="P75" s="8">
        <v>410</v>
      </c>
      <c r="Q75" s="9" t="s">
        <v>46</v>
      </c>
      <c r="R75" s="16"/>
      <c r="S75" s="10">
        <v>0</v>
      </c>
      <c r="T75" s="10">
        <v>0</v>
      </c>
      <c r="U75" s="10">
        <v>0</v>
      </c>
      <c r="V75" s="11">
        <v>0</v>
      </c>
      <c r="W75" s="12" t="s">
        <v>47</v>
      </c>
      <c r="X75" s="17"/>
      <c r="Y75" s="13">
        <v>8</v>
      </c>
      <c r="Z75" s="13">
        <v>5</v>
      </c>
      <c r="AA75" s="13">
        <v>18</v>
      </c>
      <c r="AB75" s="14">
        <v>9</v>
      </c>
      <c r="AC75" s="9"/>
      <c r="AD75" s="16"/>
      <c r="AE75" s="10"/>
      <c r="AF75" s="10"/>
      <c r="AG75" s="10"/>
      <c r="AH75" s="11"/>
      <c r="AI75" s="12"/>
      <c r="AJ75" s="17"/>
      <c r="AK75" s="13"/>
      <c r="AL75" s="13"/>
      <c r="AM75" s="13"/>
      <c r="AN75" s="14"/>
      <c r="AO75" s="9"/>
      <c r="AP75" s="16"/>
      <c r="AQ75" s="10"/>
      <c r="AR75" s="10"/>
      <c r="AS75" s="10"/>
      <c r="AT75" s="11"/>
      <c r="AU75" s="12"/>
      <c r="AV75" s="17"/>
      <c r="AW75" s="13"/>
      <c r="AX75" s="13"/>
      <c r="AY75" s="13"/>
      <c r="AZ75" s="14"/>
      <c r="BA75" s="9"/>
      <c r="BB75" s="16"/>
      <c r="BC75" s="10"/>
      <c r="BD75" s="10"/>
      <c r="BE75" s="10"/>
      <c r="BF75" s="11"/>
      <c r="BG75" s="12"/>
      <c r="BH75" s="17"/>
      <c r="BI75" s="13"/>
      <c r="BJ75" s="13"/>
      <c r="BK75" s="13"/>
      <c r="BL75" s="14"/>
      <c r="BM75" s="8">
        <f t="shared" si="18"/>
        <v>8</v>
      </c>
      <c r="BN75" s="8">
        <f t="shared" si="19"/>
        <v>5</v>
      </c>
      <c r="BO75" s="8">
        <f t="shared" si="20"/>
        <v>18</v>
      </c>
      <c r="BP75" s="8">
        <f t="shared" si="21"/>
        <v>9</v>
      </c>
      <c r="BQ75" s="8">
        <f t="shared" si="22"/>
        <v>18</v>
      </c>
      <c r="BR75" s="8">
        <f t="shared" si="23"/>
        <v>5</v>
      </c>
      <c r="BS75" s="15">
        <f t="shared" si="24"/>
        <v>4.0777424726764426</v>
      </c>
      <c r="BT75" s="15" t="str">
        <f t="shared" si="25"/>
        <v>OK - No Upgrade</v>
      </c>
      <c r="BU75" s="15" t="str">
        <f t="shared" si="26"/>
        <v>Need to Balance</v>
      </c>
    </row>
    <row r="76" spans="1:73" ht="15.75" customHeight="1" x14ac:dyDescent="0.25">
      <c r="A76" s="8" t="s">
        <v>1459</v>
      </c>
      <c r="B76" s="8" t="s">
        <v>2540</v>
      </c>
      <c r="C76" s="8" t="s">
        <v>40</v>
      </c>
      <c r="D76" s="8" t="s">
        <v>2752</v>
      </c>
      <c r="E76" s="8" t="s">
        <v>2753</v>
      </c>
      <c r="F76" s="8" t="s">
        <v>43</v>
      </c>
      <c r="G76" s="8"/>
      <c r="H76" s="8">
        <v>100</v>
      </c>
      <c r="I76" s="8" t="s">
        <v>2754</v>
      </c>
      <c r="J76" s="8">
        <v>1</v>
      </c>
      <c r="K76" s="8">
        <v>237</v>
      </c>
      <c r="L76" s="8">
        <v>236</v>
      </c>
      <c r="M76" s="8">
        <v>236</v>
      </c>
      <c r="N76" s="8">
        <v>412</v>
      </c>
      <c r="O76" s="8">
        <v>409</v>
      </c>
      <c r="P76" s="8">
        <v>404</v>
      </c>
      <c r="Q76" s="9"/>
      <c r="R76" s="16"/>
      <c r="S76" s="10"/>
      <c r="T76" s="10"/>
      <c r="U76" s="10"/>
      <c r="V76" s="11"/>
      <c r="W76" s="12" t="s">
        <v>46</v>
      </c>
      <c r="X76" s="17"/>
      <c r="Y76" s="13">
        <v>23</v>
      </c>
      <c r="Z76" s="13">
        <v>47</v>
      </c>
      <c r="AA76" s="13">
        <v>32</v>
      </c>
      <c r="AB76" s="14">
        <v>23</v>
      </c>
      <c r="AC76" s="9"/>
      <c r="AD76" s="16"/>
      <c r="AE76" s="10"/>
      <c r="AF76" s="10"/>
      <c r="AG76" s="10"/>
      <c r="AH76" s="11"/>
      <c r="AI76" s="12"/>
      <c r="AJ76" s="17"/>
      <c r="AK76" s="13"/>
      <c r="AL76" s="13"/>
      <c r="AM76" s="13"/>
      <c r="AN76" s="14"/>
      <c r="AO76" s="9"/>
      <c r="AP76" s="16"/>
      <c r="AQ76" s="10"/>
      <c r="AR76" s="10"/>
      <c r="AS76" s="10"/>
      <c r="AT76" s="11"/>
      <c r="AU76" s="12"/>
      <c r="AV76" s="17"/>
      <c r="AW76" s="13"/>
      <c r="AX76" s="13"/>
      <c r="AY76" s="13"/>
      <c r="AZ76" s="14"/>
      <c r="BA76" s="9"/>
      <c r="BB76" s="16"/>
      <c r="BC76" s="10"/>
      <c r="BD76" s="10"/>
      <c r="BE76" s="10"/>
      <c r="BF76" s="11"/>
      <c r="BG76" s="12"/>
      <c r="BH76" s="17"/>
      <c r="BI76" s="13"/>
      <c r="BJ76" s="13"/>
      <c r="BK76" s="13"/>
      <c r="BL76" s="14"/>
      <c r="BM76" s="8">
        <f t="shared" si="18"/>
        <v>23</v>
      </c>
      <c r="BN76" s="8">
        <f t="shared" si="19"/>
        <v>47</v>
      </c>
      <c r="BO76" s="8">
        <f t="shared" si="20"/>
        <v>32</v>
      </c>
      <c r="BP76" s="8">
        <f t="shared" si="21"/>
        <v>23</v>
      </c>
      <c r="BQ76" s="8">
        <f t="shared" si="22"/>
        <v>47</v>
      </c>
      <c r="BR76" s="8">
        <f t="shared" si="23"/>
        <v>23</v>
      </c>
      <c r="BS76" s="15">
        <f t="shared" si="24"/>
        <v>33.539431837763736</v>
      </c>
      <c r="BT76" s="15" t="str">
        <f t="shared" si="25"/>
        <v>OK - No Upgrade</v>
      </c>
      <c r="BU76" s="15" t="str">
        <f t="shared" si="26"/>
        <v>Need to Balance</v>
      </c>
    </row>
    <row r="77" spans="1:73" ht="15.75" customHeight="1" x14ac:dyDescent="0.25">
      <c r="A77" s="8" t="s">
        <v>1459</v>
      </c>
      <c r="B77" s="8" t="s">
        <v>2540</v>
      </c>
      <c r="C77" s="8" t="s">
        <v>40</v>
      </c>
      <c r="D77" s="8" t="s">
        <v>2755</v>
      </c>
      <c r="E77" s="8" t="s">
        <v>2756</v>
      </c>
      <c r="F77" s="8" t="s">
        <v>43</v>
      </c>
      <c r="G77" s="8"/>
      <c r="H77" s="8">
        <v>100</v>
      </c>
      <c r="I77" s="8" t="s">
        <v>2757</v>
      </c>
      <c r="J77" s="8">
        <v>1</v>
      </c>
      <c r="K77" s="8">
        <v>238</v>
      </c>
      <c r="L77" s="8">
        <v>237</v>
      </c>
      <c r="M77" s="8">
        <v>239</v>
      </c>
      <c r="N77" s="8">
        <v>414</v>
      </c>
      <c r="O77" s="8">
        <v>413</v>
      </c>
      <c r="P77" s="8">
        <v>414</v>
      </c>
      <c r="Q77" s="9" t="s">
        <v>46</v>
      </c>
      <c r="R77" s="16"/>
      <c r="S77" s="10">
        <v>0</v>
      </c>
      <c r="T77" s="10">
        <v>0</v>
      </c>
      <c r="U77" s="10">
        <v>0</v>
      </c>
      <c r="V77" s="11">
        <v>0</v>
      </c>
      <c r="W77" s="12"/>
      <c r="X77" s="17"/>
      <c r="Y77" s="13"/>
      <c r="Z77" s="13"/>
      <c r="AA77" s="13"/>
      <c r="AB77" s="14"/>
      <c r="AC77" s="9"/>
      <c r="AD77" s="16"/>
      <c r="AE77" s="10"/>
      <c r="AF77" s="10"/>
      <c r="AG77" s="10"/>
      <c r="AH77" s="11"/>
      <c r="AI77" s="12"/>
      <c r="AJ77" s="17"/>
      <c r="AK77" s="13"/>
      <c r="AL77" s="13"/>
      <c r="AM77" s="13"/>
      <c r="AN77" s="14"/>
      <c r="AO77" s="9"/>
      <c r="AP77" s="16"/>
      <c r="AQ77" s="10"/>
      <c r="AR77" s="10"/>
      <c r="AS77" s="10"/>
      <c r="AT77" s="11"/>
      <c r="AU77" s="12"/>
      <c r="AV77" s="17"/>
      <c r="AW77" s="13"/>
      <c r="AX77" s="13"/>
      <c r="AY77" s="13"/>
      <c r="AZ77" s="14"/>
      <c r="BA77" s="9"/>
      <c r="BB77" s="16"/>
      <c r="BC77" s="10"/>
      <c r="BD77" s="10"/>
      <c r="BE77" s="10"/>
      <c r="BF77" s="11"/>
      <c r="BG77" s="12"/>
      <c r="BH77" s="17"/>
      <c r="BI77" s="13"/>
      <c r="BJ77" s="13"/>
      <c r="BK77" s="13"/>
      <c r="BL77" s="14"/>
      <c r="BM77" s="8">
        <f t="shared" si="18"/>
        <v>0</v>
      </c>
      <c r="BN77" s="8">
        <f t="shared" si="19"/>
        <v>0</v>
      </c>
      <c r="BO77" s="8">
        <f t="shared" si="20"/>
        <v>0</v>
      </c>
      <c r="BP77" s="8">
        <f t="shared" si="21"/>
        <v>0</v>
      </c>
      <c r="BQ77" s="8">
        <f t="shared" si="22"/>
        <v>0</v>
      </c>
      <c r="BR77" s="8">
        <f t="shared" si="23"/>
        <v>0</v>
      </c>
      <c r="BS77" s="15">
        <f t="shared" si="24"/>
        <v>0</v>
      </c>
      <c r="BT77" s="15" t="str">
        <f t="shared" si="25"/>
        <v>OK - No Upgrade</v>
      </c>
      <c r="BU77" s="15" t="str">
        <f t="shared" si="26"/>
        <v>OK - Balanced</v>
      </c>
    </row>
    <row r="78" spans="1:73" ht="15.75" customHeight="1" x14ac:dyDescent="0.25">
      <c r="A78" s="8" t="s">
        <v>1459</v>
      </c>
      <c r="B78" s="8" t="s">
        <v>2540</v>
      </c>
      <c r="C78" s="8" t="s">
        <v>40</v>
      </c>
      <c r="D78" s="8" t="s">
        <v>2758</v>
      </c>
      <c r="E78" s="8" t="s">
        <v>2759</v>
      </c>
      <c r="F78" s="8" t="s">
        <v>43</v>
      </c>
      <c r="G78" s="8"/>
      <c r="H78" s="8">
        <v>315</v>
      </c>
      <c r="I78" s="8" t="s">
        <v>2760</v>
      </c>
      <c r="J78" s="8">
        <v>1</v>
      </c>
      <c r="K78" s="8">
        <v>238</v>
      </c>
      <c r="L78" s="8">
        <v>239</v>
      </c>
      <c r="M78" s="8">
        <v>238</v>
      </c>
      <c r="N78" s="8">
        <v>413</v>
      </c>
      <c r="O78" s="8">
        <v>414</v>
      </c>
      <c r="P78" s="8">
        <v>413</v>
      </c>
      <c r="Q78" s="9" t="s">
        <v>47</v>
      </c>
      <c r="R78" s="16"/>
      <c r="S78" s="10">
        <v>12</v>
      </c>
      <c r="T78" s="10">
        <v>13</v>
      </c>
      <c r="U78" s="10">
        <v>9</v>
      </c>
      <c r="V78" s="11">
        <v>4</v>
      </c>
      <c r="W78" s="12"/>
      <c r="X78" s="17"/>
      <c r="Y78" s="13"/>
      <c r="Z78" s="13"/>
      <c r="AA78" s="13"/>
      <c r="AB78" s="14"/>
      <c r="AC78" s="9"/>
      <c r="AD78" s="16"/>
      <c r="AE78" s="10"/>
      <c r="AF78" s="10"/>
      <c r="AG78" s="10"/>
      <c r="AH78" s="11"/>
      <c r="AI78" s="12"/>
      <c r="AJ78" s="17"/>
      <c r="AK78" s="13"/>
      <c r="AL78" s="13"/>
      <c r="AM78" s="13"/>
      <c r="AN78" s="14"/>
      <c r="AO78" s="9"/>
      <c r="AP78" s="16"/>
      <c r="AQ78" s="10"/>
      <c r="AR78" s="10"/>
      <c r="AS78" s="10"/>
      <c r="AT78" s="11"/>
      <c r="AU78" s="12"/>
      <c r="AV78" s="17"/>
      <c r="AW78" s="13"/>
      <c r="AX78" s="13"/>
      <c r="AY78" s="13"/>
      <c r="AZ78" s="14"/>
      <c r="BA78" s="9"/>
      <c r="BB78" s="16"/>
      <c r="BC78" s="10"/>
      <c r="BD78" s="10"/>
      <c r="BE78" s="10"/>
      <c r="BF78" s="11"/>
      <c r="BG78" s="12"/>
      <c r="BH78" s="17"/>
      <c r="BI78" s="13"/>
      <c r="BJ78" s="13"/>
      <c r="BK78" s="13"/>
      <c r="BL78" s="14"/>
      <c r="BM78" s="8">
        <f t="shared" si="18"/>
        <v>12</v>
      </c>
      <c r="BN78" s="8">
        <f t="shared" si="19"/>
        <v>13</v>
      </c>
      <c r="BO78" s="8">
        <f t="shared" si="20"/>
        <v>9</v>
      </c>
      <c r="BP78" s="8">
        <f t="shared" si="21"/>
        <v>4</v>
      </c>
      <c r="BQ78" s="8">
        <f t="shared" si="22"/>
        <v>13</v>
      </c>
      <c r="BR78" s="8">
        <f t="shared" si="23"/>
        <v>9</v>
      </c>
      <c r="BS78" s="15">
        <f t="shared" si="24"/>
        <v>2.9521843764562865</v>
      </c>
      <c r="BT78" s="15" t="str">
        <f t="shared" si="25"/>
        <v>OK - No Upgrade</v>
      </c>
      <c r="BU78" s="15" t="str">
        <f t="shared" si="26"/>
        <v>Need to Balance</v>
      </c>
    </row>
    <row r="79" spans="1:73" ht="15.75" customHeight="1" x14ac:dyDescent="0.25">
      <c r="A79" s="8" t="s">
        <v>1459</v>
      </c>
      <c r="B79" s="8" t="s">
        <v>2540</v>
      </c>
      <c r="C79" s="8" t="s">
        <v>40</v>
      </c>
      <c r="D79" s="8" t="s">
        <v>2761</v>
      </c>
      <c r="E79" s="8" t="s">
        <v>2762</v>
      </c>
      <c r="F79" s="8" t="s">
        <v>43</v>
      </c>
      <c r="G79" s="8"/>
      <c r="H79" s="8">
        <v>100</v>
      </c>
      <c r="I79" s="8" t="s">
        <v>2763</v>
      </c>
      <c r="J79" s="8">
        <v>1</v>
      </c>
      <c r="K79" s="8">
        <v>237</v>
      </c>
      <c r="L79" s="8">
        <v>238</v>
      </c>
      <c r="M79" s="8">
        <v>238</v>
      </c>
      <c r="N79" s="8">
        <v>413</v>
      </c>
      <c r="O79" s="8">
        <v>411</v>
      </c>
      <c r="P79" s="8">
        <v>412</v>
      </c>
      <c r="Q79" s="9"/>
      <c r="R79" s="16"/>
      <c r="S79" s="10"/>
      <c r="T79" s="10"/>
      <c r="U79" s="10"/>
      <c r="V79" s="11"/>
      <c r="W79" s="12" t="s">
        <v>46</v>
      </c>
      <c r="X79" s="17"/>
      <c r="Y79" s="13">
        <v>32</v>
      </c>
      <c r="Z79" s="13">
        <v>12</v>
      </c>
      <c r="AA79" s="13">
        <v>10</v>
      </c>
      <c r="AB79" s="14">
        <v>20</v>
      </c>
      <c r="AC79" s="9"/>
      <c r="AD79" s="16"/>
      <c r="AE79" s="10"/>
      <c r="AF79" s="10"/>
      <c r="AG79" s="10"/>
      <c r="AH79" s="11"/>
      <c r="AI79" s="12"/>
      <c r="AJ79" s="17"/>
      <c r="AK79" s="13"/>
      <c r="AL79" s="13"/>
      <c r="AM79" s="13"/>
      <c r="AN79" s="14"/>
      <c r="AO79" s="9"/>
      <c r="AP79" s="16"/>
      <c r="AQ79" s="10"/>
      <c r="AR79" s="10"/>
      <c r="AS79" s="10"/>
      <c r="AT79" s="11"/>
      <c r="AU79" s="12"/>
      <c r="AV79" s="17"/>
      <c r="AW79" s="13"/>
      <c r="AX79" s="13"/>
      <c r="AY79" s="13"/>
      <c r="AZ79" s="14"/>
      <c r="BA79" s="9"/>
      <c r="BB79" s="16"/>
      <c r="BC79" s="10"/>
      <c r="BD79" s="10"/>
      <c r="BE79" s="10"/>
      <c r="BF79" s="11"/>
      <c r="BG79" s="12"/>
      <c r="BH79" s="17"/>
      <c r="BI79" s="13"/>
      <c r="BJ79" s="13"/>
      <c r="BK79" s="13"/>
      <c r="BL79" s="14"/>
      <c r="BM79" s="8">
        <f t="shared" si="18"/>
        <v>32</v>
      </c>
      <c r="BN79" s="8">
        <f t="shared" si="19"/>
        <v>12</v>
      </c>
      <c r="BO79" s="8">
        <f t="shared" si="20"/>
        <v>10</v>
      </c>
      <c r="BP79" s="8">
        <f t="shared" si="21"/>
        <v>20</v>
      </c>
      <c r="BQ79" s="8">
        <f t="shared" si="22"/>
        <v>32</v>
      </c>
      <c r="BR79" s="8">
        <f t="shared" si="23"/>
        <v>10</v>
      </c>
      <c r="BS79" s="15">
        <f t="shared" si="24"/>
        <v>22.890783472830282</v>
      </c>
      <c r="BT79" s="15" t="str">
        <f t="shared" si="25"/>
        <v>OK - No Upgrade</v>
      </c>
      <c r="BU79" s="15" t="str">
        <f t="shared" si="26"/>
        <v>Need to Balance</v>
      </c>
    </row>
    <row r="80" spans="1:73" ht="15.75" customHeight="1" x14ac:dyDescent="0.25">
      <c r="A80" s="8" t="s">
        <v>1459</v>
      </c>
      <c r="B80" s="8" t="s">
        <v>2540</v>
      </c>
      <c r="C80" s="8" t="s">
        <v>40</v>
      </c>
      <c r="D80" s="8" t="s">
        <v>2764</v>
      </c>
      <c r="E80" s="8" t="s">
        <v>2765</v>
      </c>
      <c r="F80" s="8" t="s">
        <v>43</v>
      </c>
      <c r="G80" s="8"/>
      <c r="H80" s="8">
        <v>100</v>
      </c>
      <c r="I80" s="8" t="s">
        <v>2766</v>
      </c>
      <c r="J80" s="8">
        <v>1</v>
      </c>
      <c r="K80" s="8">
        <v>241</v>
      </c>
      <c r="L80" s="8">
        <v>241</v>
      </c>
      <c r="M80" s="8">
        <v>240</v>
      </c>
      <c r="N80" s="8">
        <v>416</v>
      </c>
      <c r="O80" s="8">
        <v>414</v>
      </c>
      <c r="P80" s="8">
        <v>415</v>
      </c>
      <c r="Q80" s="9" t="s">
        <v>46</v>
      </c>
      <c r="R80" s="16"/>
      <c r="S80" s="10">
        <v>6</v>
      </c>
      <c r="T80" s="10">
        <v>5</v>
      </c>
      <c r="U80" s="10">
        <v>8</v>
      </c>
      <c r="V80" s="11">
        <v>4</v>
      </c>
      <c r="W80" s="12"/>
      <c r="X80" s="17"/>
      <c r="Y80" s="13"/>
      <c r="Z80" s="13"/>
      <c r="AA80" s="13"/>
      <c r="AB80" s="14"/>
      <c r="AC80" s="9"/>
      <c r="AD80" s="16"/>
      <c r="AE80" s="10"/>
      <c r="AF80" s="10"/>
      <c r="AG80" s="10"/>
      <c r="AH80" s="11"/>
      <c r="AI80" s="12"/>
      <c r="AJ80" s="17"/>
      <c r="AK80" s="13"/>
      <c r="AL80" s="13"/>
      <c r="AM80" s="13"/>
      <c r="AN80" s="14"/>
      <c r="AO80" s="9"/>
      <c r="AP80" s="16"/>
      <c r="AQ80" s="10"/>
      <c r="AR80" s="10"/>
      <c r="AS80" s="10"/>
      <c r="AT80" s="11"/>
      <c r="AU80" s="12"/>
      <c r="AV80" s="17"/>
      <c r="AW80" s="13"/>
      <c r="AX80" s="13"/>
      <c r="AY80" s="13"/>
      <c r="AZ80" s="14"/>
      <c r="BA80" s="9"/>
      <c r="BB80" s="16"/>
      <c r="BC80" s="10"/>
      <c r="BD80" s="10"/>
      <c r="BE80" s="10"/>
      <c r="BF80" s="11"/>
      <c r="BG80" s="12"/>
      <c r="BH80" s="17"/>
      <c r="BI80" s="13"/>
      <c r="BJ80" s="13"/>
      <c r="BK80" s="13"/>
      <c r="BL80" s="14"/>
      <c r="BM80" s="8">
        <f t="shared" si="18"/>
        <v>6</v>
      </c>
      <c r="BN80" s="8">
        <f t="shared" si="19"/>
        <v>5</v>
      </c>
      <c r="BO80" s="8">
        <f t="shared" si="20"/>
        <v>8</v>
      </c>
      <c r="BP80" s="8">
        <f t="shared" si="21"/>
        <v>4</v>
      </c>
      <c r="BQ80" s="8">
        <f t="shared" si="22"/>
        <v>8</v>
      </c>
      <c r="BR80" s="8">
        <f t="shared" si="23"/>
        <v>5</v>
      </c>
      <c r="BS80" s="15">
        <f t="shared" si="24"/>
        <v>5.764265087589223</v>
      </c>
      <c r="BT80" s="15" t="str">
        <f t="shared" si="25"/>
        <v>OK - No Upgrade</v>
      </c>
      <c r="BU80" s="15" t="str">
        <f t="shared" si="26"/>
        <v>Need to Balance</v>
      </c>
    </row>
    <row r="81" spans="1:73" ht="15.75" customHeight="1" x14ac:dyDescent="0.25">
      <c r="A81" s="8" t="s">
        <v>1459</v>
      </c>
      <c r="B81" s="8" t="s">
        <v>2540</v>
      </c>
      <c r="C81" s="8" t="s">
        <v>40</v>
      </c>
      <c r="D81" s="8" t="s">
        <v>2767</v>
      </c>
      <c r="E81" s="8" t="s">
        <v>2768</v>
      </c>
      <c r="F81" s="8" t="s">
        <v>43</v>
      </c>
      <c r="G81" s="8"/>
      <c r="H81" s="8">
        <v>315</v>
      </c>
      <c r="I81" s="8" t="s">
        <v>2524</v>
      </c>
      <c r="J81" s="8">
        <v>1</v>
      </c>
      <c r="K81" s="8">
        <v>240</v>
      </c>
      <c r="L81" s="8">
        <v>241</v>
      </c>
      <c r="M81" s="8">
        <v>241</v>
      </c>
      <c r="N81" s="8">
        <v>415</v>
      </c>
      <c r="O81" s="8">
        <v>416</v>
      </c>
      <c r="P81" s="8">
        <v>415</v>
      </c>
      <c r="Q81" s="9" t="s">
        <v>47</v>
      </c>
      <c r="R81" s="16"/>
      <c r="S81" s="10">
        <v>7</v>
      </c>
      <c r="T81" s="10">
        <v>9</v>
      </c>
      <c r="U81" s="10">
        <v>22</v>
      </c>
      <c r="V81" s="11">
        <v>15</v>
      </c>
      <c r="W81" s="12" t="s">
        <v>47</v>
      </c>
      <c r="X81" s="17"/>
      <c r="Y81" s="13">
        <v>8</v>
      </c>
      <c r="Z81" s="13">
        <v>4</v>
      </c>
      <c r="AA81" s="13">
        <v>4</v>
      </c>
      <c r="AB81" s="14">
        <v>0</v>
      </c>
      <c r="AC81" s="9"/>
      <c r="AD81" s="16"/>
      <c r="AE81" s="10"/>
      <c r="AF81" s="10"/>
      <c r="AG81" s="10"/>
      <c r="AH81" s="11"/>
      <c r="AI81" s="12"/>
      <c r="AJ81" s="17"/>
      <c r="AK81" s="13"/>
      <c r="AL81" s="13"/>
      <c r="AM81" s="13"/>
      <c r="AN81" s="14"/>
      <c r="AO81" s="9"/>
      <c r="AP81" s="16"/>
      <c r="AQ81" s="10"/>
      <c r="AR81" s="10"/>
      <c r="AS81" s="10"/>
      <c r="AT81" s="11"/>
      <c r="AU81" s="12"/>
      <c r="AV81" s="17"/>
      <c r="AW81" s="13"/>
      <c r="AX81" s="13"/>
      <c r="AY81" s="13"/>
      <c r="AZ81" s="14"/>
      <c r="BA81" s="9"/>
      <c r="BB81" s="16"/>
      <c r="BC81" s="10"/>
      <c r="BD81" s="10"/>
      <c r="BE81" s="10"/>
      <c r="BF81" s="11"/>
      <c r="BG81" s="12"/>
      <c r="BH81" s="17"/>
      <c r="BI81" s="13"/>
      <c r="BJ81" s="13"/>
      <c r="BK81" s="13"/>
      <c r="BL81" s="14"/>
      <c r="BM81" s="8">
        <f t="shared" si="18"/>
        <v>15</v>
      </c>
      <c r="BN81" s="8">
        <f t="shared" si="19"/>
        <v>13</v>
      </c>
      <c r="BO81" s="8">
        <f t="shared" si="20"/>
        <v>26</v>
      </c>
      <c r="BP81" s="8">
        <f t="shared" si="21"/>
        <v>15</v>
      </c>
      <c r="BQ81" s="8">
        <f t="shared" si="22"/>
        <v>26</v>
      </c>
      <c r="BR81" s="8">
        <f t="shared" si="23"/>
        <v>13</v>
      </c>
      <c r="BS81" s="15">
        <f t="shared" si="24"/>
        <v>5.9329613376724399</v>
      </c>
      <c r="BT81" s="15" t="str">
        <f t="shared" si="25"/>
        <v>OK - No Upgrade</v>
      </c>
      <c r="BU81" s="15" t="str">
        <f t="shared" si="26"/>
        <v>Need to Balance</v>
      </c>
    </row>
    <row r="82" spans="1:73" ht="15.75" customHeight="1" x14ac:dyDescent="0.25">
      <c r="A82" s="8" t="s">
        <v>1459</v>
      </c>
      <c r="B82" s="8" t="s">
        <v>2540</v>
      </c>
      <c r="C82" s="8" t="s">
        <v>40</v>
      </c>
      <c r="D82" s="8" t="s">
        <v>2769</v>
      </c>
      <c r="E82" s="8" t="s">
        <v>2770</v>
      </c>
      <c r="F82" s="8" t="s">
        <v>43</v>
      </c>
      <c r="G82" s="8"/>
      <c r="H82" s="8">
        <v>315</v>
      </c>
      <c r="I82" s="8" t="s">
        <v>2771</v>
      </c>
      <c r="J82" s="8">
        <v>1</v>
      </c>
      <c r="K82" s="8">
        <v>240</v>
      </c>
      <c r="L82" s="8">
        <v>240</v>
      </c>
      <c r="M82" s="8">
        <v>238</v>
      </c>
      <c r="N82" s="8">
        <v>414</v>
      </c>
      <c r="O82" s="8">
        <v>414</v>
      </c>
      <c r="P82" s="8">
        <v>417</v>
      </c>
      <c r="Q82" s="9" t="s">
        <v>46</v>
      </c>
      <c r="R82" s="16"/>
      <c r="S82" s="10">
        <v>0</v>
      </c>
      <c r="T82" s="10">
        <v>0</v>
      </c>
      <c r="U82" s="10">
        <v>0</v>
      </c>
      <c r="V82" s="11">
        <v>0</v>
      </c>
      <c r="W82" s="12" t="s">
        <v>47</v>
      </c>
      <c r="X82" s="17"/>
      <c r="Y82" s="13">
        <v>15</v>
      </c>
      <c r="Z82" s="13">
        <v>18</v>
      </c>
      <c r="AA82" s="13">
        <v>75</v>
      </c>
      <c r="AB82" s="14">
        <v>65</v>
      </c>
      <c r="AC82" s="9"/>
      <c r="AD82" s="16"/>
      <c r="AE82" s="10"/>
      <c r="AF82" s="10"/>
      <c r="AG82" s="10"/>
      <c r="AH82" s="11"/>
      <c r="AI82" s="12"/>
      <c r="AJ82" s="17"/>
      <c r="AK82" s="13"/>
      <c r="AL82" s="13"/>
      <c r="AM82" s="13"/>
      <c r="AN82" s="14"/>
      <c r="AO82" s="9"/>
      <c r="AP82" s="16"/>
      <c r="AQ82" s="10"/>
      <c r="AR82" s="10"/>
      <c r="AS82" s="10"/>
      <c r="AT82" s="11"/>
      <c r="AU82" s="12"/>
      <c r="AV82" s="17"/>
      <c r="AW82" s="13"/>
      <c r="AX82" s="13"/>
      <c r="AY82" s="13"/>
      <c r="AZ82" s="14"/>
      <c r="BA82" s="9"/>
      <c r="BB82" s="16"/>
      <c r="BC82" s="10"/>
      <c r="BD82" s="10"/>
      <c r="BE82" s="10"/>
      <c r="BF82" s="11"/>
      <c r="BG82" s="12"/>
      <c r="BH82" s="17"/>
      <c r="BI82" s="13"/>
      <c r="BJ82" s="13"/>
      <c r="BK82" s="13"/>
      <c r="BL82" s="14"/>
      <c r="BM82" s="8">
        <f t="shared" si="18"/>
        <v>15</v>
      </c>
      <c r="BN82" s="8">
        <f t="shared" si="19"/>
        <v>18</v>
      </c>
      <c r="BO82" s="8">
        <f t="shared" si="20"/>
        <v>75</v>
      </c>
      <c r="BP82" s="8">
        <f t="shared" si="21"/>
        <v>65</v>
      </c>
      <c r="BQ82" s="8">
        <f t="shared" si="22"/>
        <v>75</v>
      </c>
      <c r="BR82" s="8">
        <f t="shared" si="23"/>
        <v>15</v>
      </c>
      <c r="BS82" s="15">
        <f t="shared" si="24"/>
        <v>17.073072246036077</v>
      </c>
      <c r="BT82" s="15" t="str">
        <f t="shared" si="25"/>
        <v>OK - No Upgrade</v>
      </c>
      <c r="BU82" s="15" t="str">
        <f t="shared" si="26"/>
        <v>Need to Balance</v>
      </c>
    </row>
    <row r="83" spans="1:73" ht="15.75" customHeight="1" x14ac:dyDescent="0.25">
      <c r="A83" s="8" t="s">
        <v>1459</v>
      </c>
      <c r="B83" s="8" t="s">
        <v>2540</v>
      </c>
      <c r="C83" s="8" t="s">
        <v>40</v>
      </c>
      <c r="D83" s="8" t="s">
        <v>2772</v>
      </c>
      <c r="E83" s="8" t="s">
        <v>2773</v>
      </c>
      <c r="F83" s="8" t="s">
        <v>43</v>
      </c>
      <c r="G83" s="8"/>
      <c r="H83" s="8">
        <v>100</v>
      </c>
      <c r="I83" s="8" t="s">
        <v>2774</v>
      </c>
      <c r="J83" s="8">
        <v>1</v>
      </c>
      <c r="K83" s="8">
        <v>240</v>
      </c>
      <c r="L83" s="8">
        <v>239</v>
      </c>
      <c r="M83" s="8">
        <v>239</v>
      </c>
      <c r="N83" s="8">
        <v>415</v>
      </c>
      <c r="O83" s="8">
        <v>415</v>
      </c>
      <c r="P83" s="8">
        <v>417</v>
      </c>
      <c r="Q83" s="9" t="s">
        <v>47</v>
      </c>
      <c r="R83" s="16"/>
      <c r="S83" s="10">
        <v>8</v>
      </c>
      <c r="T83" s="10">
        <v>15</v>
      </c>
      <c r="U83" s="10">
        <v>11</v>
      </c>
      <c r="V83" s="11">
        <v>12</v>
      </c>
      <c r="W83" s="12"/>
      <c r="X83" s="17"/>
      <c r="Y83" s="13"/>
      <c r="Z83" s="13"/>
      <c r="AA83" s="13"/>
      <c r="AB83" s="14"/>
      <c r="AC83" s="9"/>
      <c r="AD83" s="16"/>
      <c r="AE83" s="10"/>
      <c r="AF83" s="10"/>
      <c r="AG83" s="10"/>
      <c r="AH83" s="11"/>
      <c r="AI83" s="12"/>
      <c r="AJ83" s="17"/>
      <c r="AK83" s="13"/>
      <c r="AL83" s="13"/>
      <c r="AM83" s="13"/>
      <c r="AN83" s="14"/>
      <c r="AO83" s="9"/>
      <c r="AP83" s="16"/>
      <c r="AQ83" s="10"/>
      <c r="AR83" s="10"/>
      <c r="AS83" s="10"/>
      <c r="AT83" s="11"/>
      <c r="AU83" s="12"/>
      <c r="AV83" s="17"/>
      <c r="AW83" s="13"/>
      <c r="AX83" s="13"/>
      <c r="AY83" s="13"/>
      <c r="AZ83" s="14"/>
      <c r="BA83" s="9"/>
      <c r="BB83" s="16"/>
      <c r="BC83" s="10"/>
      <c r="BD83" s="10"/>
      <c r="BE83" s="10"/>
      <c r="BF83" s="11"/>
      <c r="BG83" s="12"/>
      <c r="BH83" s="17"/>
      <c r="BI83" s="13"/>
      <c r="BJ83" s="13"/>
      <c r="BK83" s="13"/>
      <c r="BL83" s="14"/>
      <c r="BM83" s="8">
        <f t="shared" si="18"/>
        <v>8</v>
      </c>
      <c r="BN83" s="8">
        <f t="shared" si="19"/>
        <v>15</v>
      </c>
      <c r="BO83" s="8">
        <f t="shared" si="20"/>
        <v>11</v>
      </c>
      <c r="BP83" s="8">
        <f t="shared" si="21"/>
        <v>12</v>
      </c>
      <c r="BQ83" s="8">
        <f t="shared" si="22"/>
        <v>15</v>
      </c>
      <c r="BR83" s="8">
        <f t="shared" si="23"/>
        <v>8</v>
      </c>
      <c r="BS83" s="15">
        <f t="shared" si="24"/>
        <v>10.782016277116259</v>
      </c>
      <c r="BT83" s="15" t="str">
        <f t="shared" si="25"/>
        <v>OK - No Upgrade</v>
      </c>
      <c r="BU83" s="15" t="str">
        <f t="shared" si="26"/>
        <v>Need to Balance</v>
      </c>
    </row>
    <row r="84" spans="1:73" ht="15.75" customHeight="1" x14ac:dyDescent="0.25">
      <c r="A84" s="8" t="s">
        <v>1459</v>
      </c>
      <c r="B84" s="8" t="s">
        <v>2540</v>
      </c>
      <c r="C84" s="8" t="s">
        <v>40</v>
      </c>
      <c r="D84" s="8" t="s">
        <v>2775</v>
      </c>
      <c r="E84" s="8" t="s">
        <v>2776</v>
      </c>
      <c r="F84" s="8" t="s">
        <v>43</v>
      </c>
      <c r="G84" s="8"/>
      <c r="H84" s="8">
        <v>100</v>
      </c>
      <c r="I84" s="8"/>
      <c r="J84" s="8">
        <v>1</v>
      </c>
      <c r="K84" s="8"/>
      <c r="L84" s="8"/>
      <c r="M84" s="8"/>
      <c r="N84" s="8"/>
      <c r="O84" s="8"/>
      <c r="P84" s="8"/>
      <c r="Q84" s="9"/>
      <c r="R84" s="16"/>
      <c r="S84" s="10"/>
      <c r="T84" s="10"/>
      <c r="U84" s="10"/>
      <c r="V84" s="11"/>
      <c r="W84" s="12"/>
      <c r="X84" s="17"/>
      <c r="Y84" s="13"/>
      <c r="Z84" s="13"/>
      <c r="AA84" s="13"/>
      <c r="AB84" s="14"/>
      <c r="AC84" s="9"/>
      <c r="AD84" s="16"/>
      <c r="AE84" s="10"/>
      <c r="AF84" s="10"/>
      <c r="AG84" s="10"/>
      <c r="AH84" s="11"/>
      <c r="AI84" s="12"/>
      <c r="AJ84" s="17"/>
      <c r="AK84" s="13"/>
      <c r="AL84" s="13"/>
      <c r="AM84" s="13"/>
      <c r="AN84" s="14"/>
      <c r="AO84" s="9"/>
      <c r="AP84" s="16"/>
      <c r="AQ84" s="10"/>
      <c r="AR84" s="10"/>
      <c r="AS84" s="10"/>
      <c r="AT84" s="11"/>
      <c r="AU84" s="12"/>
      <c r="AV84" s="17"/>
      <c r="AW84" s="13"/>
      <c r="AX84" s="13"/>
      <c r="AY84" s="13"/>
      <c r="AZ84" s="14"/>
      <c r="BA84" s="9"/>
      <c r="BB84" s="16"/>
      <c r="BC84" s="10"/>
      <c r="BD84" s="10"/>
      <c r="BE84" s="10"/>
      <c r="BF84" s="11"/>
      <c r="BG84" s="12"/>
      <c r="BH84" s="17"/>
      <c r="BI84" s="13"/>
      <c r="BJ84" s="13"/>
      <c r="BK84" s="13"/>
      <c r="BL84" s="14"/>
      <c r="BM84" s="8">
        <f t="shared" si="18"/>
        <v>0</v>
      </c>
      <c r="BN84" s="8">
        <f t="shared" si="19"/>
        <v>0</v>
      </c>
      <c r="BO84" s="8">
        <f t="shared" si="20"/>
        <v>0</v>
      </c>
      <c r="BP84" s="8">
        <f t="shared" si="21"/>
        <v>0</v>
      </c>
      <c r="BQ84" s="8">
        <f t="shared" si="22"/>
        <v>0</v>
      </c>
      <c r="BR84" s="8">
        <f t="shared" si="23"/>
        <v>0</v>
      </c>
      <c r="BS84" s="15">
        <f t="shared" si="24"/>
        <v>0</v>
      </c>
      <c r="BT84" s="15" t="str">
        <f t="shared" si="25"/>
        <v>OK - No Upgrade</v>
      </c>
      <c r="BU84" s="15" t="str">
        <f t="shared" si="26"/>
        <v>OK - Balanced</v>
      </c>
    </row>
    <row r="85" spans="1:73" ht="15.75" customHeight="1" x14ac:dyDescent="0.25">
      <c r="A85" s="8" t="s">
        <v>1459</v>
      </c>
      <c r="B85" s="8" t="s">
        <v>2540</v>
      </c>
      <c r="C85" s="8" t="s">
        <v>40</v>
      </c>
      <c r="D85" s="8" t="s">
        <v>2777</v>
      </c>
      <c r="E85" s="8" t="s">
        <v>2778</v>
      </c>
      <c r="F85" s="8" t="s">
        <v>43</v>
      </c>
      <c r="G85" s="8"/>
      <c r="H85" s="8">
        <v>315</v>
      </c>
      <c r="I85" s="8"/>
      <c r="J85" s="8">
        <v>1</v>
      </c>
      <c r="K85" s="8"/>
      <c r="L85" s="8"/>
      <c r="M85" s="8"/>
      <c r="N85" s="8"/>
      <c r="O85" s="8"/>
      <c r="P85" s="8"/>
      <c r="Q85" s="9"/>
      <c r="R85" s="16"/>
      <c r="S85" s="10"/>
      <c r="T85" s="10"/>
      <c r="U85" s="10"/>
      <c r="V85" s="11"/>
      <c r="W85" s="12"/>
      <c r="X85" s="17"/>
      <c r="Y85" s="13"/>
      <c r="Z85" s="13"/>
      <c r="AA85" s="13"/>
      <c r="AB85" s="14"/>
      <c r="AC85" s="9"/>
      <c r="AD85" s="16"/>
      <c r="AE85" s="10"/>
      <c r="AF85" s="10"/>
      <c r="AG85" s="10"/>
      <c r="AH85" s="11"/>
      <c r="AI85" s="12"/>
      <c r="AJ85" s="17"/>
      <c r="AK85" s="13"/>
      <c r="AL85" s="13"/>
      <c r="AM85" s="13"/>
      <c r="AN85" s="14"/>
      <c r="AO85" s="9"/>
      <c r="AP85" s="16"/>
      <c r="AQ85" s="10"/>
      <c r="AR85" s="10"/>
      <c r="AS85" s="10"/>
      <c r="AT85" s="11"/>
      <c r="AU85" s="12"/>
      <c r="AV85" s="17"/>
      <c r="AW85" s="13"/>
      <c r="AX85" s="13"/>
      <c r="AY85" s="13"/>
      <c r="AZ85" s="14"/>
      <c r="BA85" s="9"/>
      <c r="BB85" s="16"/>
      <c r="BC85" s="10"/>
      <c r="BD85" s="10"/>
      <c r="BE85" s="10"/>
      <c r="BF85" s="11"/>
      <c r="BG85" s="12"/>
      <c r="BH85" s="17"/>
      <c r="BI85" s="13"/>
      <c r="BJ85" s="13"/>
      <c r="BK85" s="13"/>
      <c r="BL85" s="14"/>
      <c r="BM85" s="8">
        <f t="shared" si="18"/>
        <v>0</v>
      </c>
      <c r="BN85" s="8">
        <f t="shared" si="19"/>
        <v>0</v>
      </c>
      <c r="BO85" s="8">
        <f t="shared" si="20"/>
        <v>0</v>
      </c>
      <c r="BP85" s="8">
        <f t="shared" si="21"/>
        <v>0</v>
      </c>
      <c r="BQ85" s="8">
        <f t="shared" si="22"/>
        <v>0</v>
      </c>
      <c r="BR85" s="8">
        <f t="shared" si="23"/>
        <v>0</v>
      </c>
      <c r="BS85" s="15">
        <f t="shared" si="24"/>
        <v>0</v>
      </c>
      <c r="BT85" s="15" t="str">
        <f t="shared" si="25"/>
        <v>OK - No Upgrade</v>
      </c>
      <c r="BU85" s="15" t="str">
        <f t="shared" si="26"/>
        <v>OK - Balanced</v>
      </c>
    </row>
    <row r="86" spans="1:73" ht="15.75" customHeight="1" x14ac:dyDescent="0.25">
      <c r="A86" s="8" t="s">
        <v>1459</v>
      </c>
      <c r="B86" s="8" t="s">
        <v>2540</v>
      </c>
      <c r="C86" s="8" t="s">
        <v>40</v>
      </c>
      <c r="D86" s="8"/>
      <c r="E86" s="8" t="s">
        <v>2779</v>
      </c>
      <c r="F86" s="8" t="s">
        <v>43</v>
      </c>
      <c r="G86" s="8"/>
      <c r="H86" s="8">
        <v>100</v>
      </c>
      <c r="I86" s="8" t="s">
        <v>2780</v>
      </c>
      <c r="J86" s="8">
        <v>1</v>
      </c>
      <c r="K86" s="8">
        <v>241</v>
      </c>
      <c r="L86" s="8">
        <v>241</v>
      </c>
      <c r="M86" s="8">
        <v>241</v>
      </c>
      <c r="N86" s="8">
        <v>419</v>
      </c>
      <c r="O86" s="8">
        <v>419</v>
      </c>
      <c r="P86" s="8">
        <v>420</v>
      </c>
      <c r="Q86" s="9" t="s">
        <v>46</v>
      </c>
      <c r="R86" s="16"/>
      <c r="S86" s="10">
        <v>0</v>
      </c>
      <c r="T86" s="10">
        <v>0</v>
      </c>
      <c r="U86" s="10">
        <v>0</v>
      </c>
      <c r="V86" s="11">
        <v>0</v>
      </c>
      <c r="W86" s="12"/>
      <c r="X86" s="17"/>
      <c r="Y86" s="13"/>
      <c r="Z86" s="13"/>
      <c r="AA86" s="13"/>
      <c r="AB86" s="14"/>
      <c r="AC86" s="9"/>
      <c r="AD86" s="16"/>
      <c r="AE86" s="10"/>
      <c r="AF86" s="10"/>
      <c r="AG86" s="10"/>
      <c r="AH86" s="11"/>
      <c r="AI86" s="12"/>
      <c r="AJ86" s="17"/>
      <c r="AK86" s="13"/>
      <c r="AL86" s="13"/>
      <c r="AM86" s="13"/>
      <c r="AN86" s="14"/>
      <c r="AO86" s="9"/>
      <c r="AP86" s="16"/>
      <c r="AQ86" s="10"/>
      <c r="AR86" s="10"/>
      <c r="AS86" s="10"/>
      <c r="AT86" s="11"/>
      <c r="AU86" s="12"/>
      <c r="AV86" s="17"/>
      <c r="AW86" s="13"/>
      <c r="AX86" s="13"/>
      <c r="AY86" s="13"/>
      <c r="AZ86" s="14"/>
      <c r="BA86" s="9"/>
      <c r="BB86" s="16"/>
      <c r="BC86" s="10"/>
      <c r="BD86" s="10"/>
      <c r="BE86" s="10"/>
      <c r="BF86" s="11"/>
      <c r="BG86" s="12"/>
      <c r="BH86" s="17"/>
      <c r="BI86" s="13"/>
      <c r="BJ86" s="13"/>
      <c r="BK86" s="13"/>
      <c r="BL86" s="14"/>
      <c r="BM86" s="8">
        <f t="shared" si="18"/>
        <v>0</v>
      </c>
      <c r="BN86" s="8">
        <f t="shared" si="19"/>
        <v>0</v>
      </c>
      <c r="BO86" s="8">
        <f t="shared" si="20"/>
        <v>0</v>
      </c>
      <c r="BP86" s="8">
        <f t="shared" si="21"/>
        <v>0</v>
      </c>
      <c r="BQ86" s="8">
        <f t="shared" si="22"/>
        <v>0</v>
      </c>
      <c r="BR86" s="8">
        <f t="shared" si="23"/>
        <v>0</v>
      </c>
      <c r="BS86" s="15">
        <f t="shared" si="24"/>
        <v>0</v>
      </c>
      <c r="BT86" s="15" t="str">
        <f t="shared" si="25"/>
        <v>OK - No Upgrade</v>
      </c>
      <c r="BU86" s="15" t="str">
        <f t="shared" si="26"/>
        <v>OK - Balanced</v>
      </c>
    </row>
    <row r="87" spans="1:73" ht="15.75" customHeight="1" x14ac:dyDescent="0.25">
      <c r="A87" s="8" t="s">
        <v>1459</v>
      </c>
      <c r="B87" s="8" t="s">
        <v>2540</v>
      </c>
      <c r="C87" s="8" t="s">
        <v>40</v>
      </c>
      <c r="D87" s="8"/>
      <c r="E87" s="8" t="s">
        <v>2781</v>
      </c>
      <c r="F87" s="8" t="s">
        <v>43</v>
      </c>
      <c r="G87" s="8"/>
      <c r="H87" s="8">
        <v>100</v>
      </c>
      <c r="I87" s="8" t="s">
        <v>2782</v>
      </c>
      <c r="J87" s="8">
        <v>1</v>
      </c>
      <c r="K87" s="8">
        <v>237</v>
      </c>
      <c r="L87" s="8">
        <v>237</v>
      </c>
      <c r="M87" s="8">
        <v>234</v>
      </c>
      <c r="N87" s="8">
        <v>407</v>
      </c>
      <c r="O87" s="8">
        <v>408</v>
      </c>
      <c r="P87" s="8">
        <v>409</v>
      </c>
      <c r="Q87" s="9" t="s">
        <v>46</v>
      </c>
      <c r="R87" s="16"/>
      <c r="S87" s="10">
        <v>76</v>
      </c>
      <c r="T87" s="10">
        <v>82</v>
      </c>
      <c r="U87" s="10">
        <v>108</v>
      </c>
      <c r="V87" s="11">
        <v>25</v>
      </c>
      <c r="W87" s="12"/>
      <c r="X87" s="17"/>
      <c r="Y87" s="13"/>
      <c r="Z87" s="13"/>
      <c r="AA87" s="13"/>
      <c r="AB87" s="14"/>
      <c r="AC87" s="9"/>
      <c r="AD87" s="16"/>
      <c r="AE87" s="10"/>
      <c r="AF87" s="10"/>
      <c r="AG87" s="10"/>
      <c r="AH87" s="11"/>
      <c r="AI87" s="12"/>
      <c r="AJ87" s="17"/>
      <c r="AK87" s="13"/>
      <c r="AL87" s="13"/>
      <c r="AM87" s="13"/>
      <c r="AN87" s="14"/>
      <c r="AO87" s="9"/>
      <c r="AP87" s="16"/>
      <c r="AQ87" s="10"/>
      <c r="AR87" s="10"/>
      <c r="AS87" s="10"/>
      <c r="AT87" s="11"/>
      <c r="AU87" s="12"/>
      <c r="AV87" s="17"/>
      <c r="AW87" s="13"/>
      <c r="AX87" s="13"/>
      <c r="AY87" s="13"/>
      <c r="AZ87" s="14"/>
      <c r="BA87" s="9"/>
      <c r="BB87" s="16"/>
      <c r="BC87" s="10"/>
      <c r="BD87" s="10"/>
      <c r="BE87" s="10"/>
      <c r="BF87" s="11"/>
      <c r="BG87" s="12"/>
      <c r="BH87" s="17"/>
      <c r="BI87" s="13"/>
      <c r="BJ87" s="13"/>
      <c r="BK87" s="13"/>
      <c r="BL87" s="14"/>
      <c r="BM87" s="8">
        <f t="shared" si="18"/>
        <v>76</v>
      </c>
      <c r="BN87" s="8">
        <f t="shared" si="19"/>
        <v>82</v>
      </c>
      <c r="BO87" s="8">
        <f t="shared" si="20"/>
        <v>108</v>
      </c>
      <c r="BP87" s="8">
        <f t="shared" si="21"/>
        <v>25</v>
      </c>
      <c r="BQ87" s="8">
        <f t="shared" si="22"/>
        <v>108</v>
      </c>
      <c r="BR87" s="8">
        <f t="shared" si="23"/>
        <v>76</v>
      </c>
      <c r="BS87" s="15">
        <f t="shared" si="24"/>
        <v>76.134025297497558</v>
      </c>
      <c r="BT87" s="15" t="str">
        <f t="shared" si="25"/>
        <v>Upgrade</v>
      </c>
      <c r="BU87" s="15" t="str">
        <f t="shared" si="26"/>
        <v>Need to Balance</v>
      </c>
    </row>
    <row r="88" spans="1:73" ht="15.75" customHeight="1" x14ac:dyDescent="0.25">
      <c r="A88" s="8" t="s">
        <v>1459</v>
      </c>
      <c r="B88" s="8" t="s">
        <v>2540</v>
      </c>
      <c r="C88" s="8" t="s">
        <v>40</v>
      </c>
      <c r="D88" s="8" t="s">
        <v>2783</v>
      </c>
      <c r="E88" s="8" t="s">
        <v>2784</v>
      </c>
      <c r="F88" s="8" t="s">
        <v>43</v>
      </c>
      <c r="G88" s="8"/>
      <c r="H88" s="8">
        <v>100</v>
      </c>
      <c r="I88" s="8" t="s">
        <v>2785</v>
      </c>
      <c r="J88" s="8">
        <v>1</v>
      </c>
      <c r="K88" s="8">
        <v>242</v>
      </c>
      <c r="L88" s="8">
        <v>242</v>
      </c>
      <c r="M88" s="8">
        <v>240</v>
      </c>
      <c r="N88" s="8">
        <v>419</v>
      </c>
      <c r="O88" s="8">
        <v>420</v>
      </c>
      <c r="P88" s="8">
        <v>416</v>
      </c>
      <c r="Q88" s="9"/>
      <c r="R88" s="16"/>
      <c r="S88" s="10">
        <v>69</v>
      </c>
      <c r="T88" s="10">
        <v>129</v>
      </c>
      <c r="U88" s="10">
        <v>60</v>
      </c>
      <c r="V88" s="11">
        <v>63</v>
      </c>
      <c r="W88" s="12"/>
      <c r="X88" s="17"/>
      <c r="Y88" s="13"/>
      <c r="Z88" s="13"/>
      <c r="AA88" s="13"/>
      <c r="AB88" s="14"/>
      <c r="AC88" s="9"/>
      <c r="AD88" s="16"/>
      <c r="AE88" s="10"/>
      <c r="AF88" s="10"/>
      <c r="AG88" s="10"/>
      <c r="AH88" s="11"/>
      <c r="AI88" s="12"/>
      <c r="AJ88" s="17"/>
      <c r="AK88" s="13"/>
      <c r="AL88" s="13"/>
      <c r="AM88" s="13"/>
      <c r="AN88" s="14"/>
      <c r="AO88" s="9"/>
      <c r="AP88" s="16"/>
      <c r="AQ88" s="10"/>
      <c r="AR88" s="10"/>
      <c r="AS88" s="10"/>
      <c r="AT88" s="11"/>
      <c r="AU88" s="12"/>
      <c r="AV88" s="17"/>
      <c r="AW88" s="13"/>
      <c r="AX88" s="13"/>
      <c r="AY88" s="13"/>
      <c r="AZ88" s="14"/>
      <c r="BA88" s="9"/>
      <c r="BB88" s="16"/>
      <c r="BC88" s="10"/>
      <c r="BD88" s="10"/>
      <c r="BE88" s="10"/>
      <c r="BF88" s="11"/>
      <c r="BG88" s="12"/>
      <c r="BH88" s="17"/>
      <c r="BI88" s="13"/>
      <c r="BJ88" s="13"/>
      <c r="BK88" s="13"/>
      <c r="BL88" s="14"/>
      <c r="BM88" s="8">
        <f t="shared" si="18"/>
        <v>69</v>
      </c>
      <c r="BN88" s="8">
        <f t="shared" si="19"/>
        <v>129</v>
      </c>
      <c r="BO88" s="8">
        <f t="shared" si="20"/>
        <v>60</v>
      </c>
      <c r="BP88" s="8">
        <f t="shared" si="21"/>
        <v>63</v>
      </c>
      <c r="BQ88" s="8">
        <f t="shared" si="22"/>
        <v>129</v>
      </c>
      <c r="BR88" s="8">
        <f t="shared" si="23"/>
        <v>60</v>
      </c>
      <c r="BS88" s="15">
        <f t="shared" si="24"/>
        <v>93.619078199905374</v>
      </c>
      <c r="BT88" s="15" t="str">
        <f t="shared" si="25"/>
        <v>Upgrade</v>
      </c>
      <c r="BU88" s="15" t="str">
        <f t="shared" si="26"/>
        <v>Need to Balance</v>
      </c>
    </row>
  </sheetData>
  <mergeCells count="79">
    <mergeCell ref="BU1:BU3"/>
    <mergeCell ref="BI2:BI3"/>
    <mergeCell ref="AE2:AE3"/>
    <mergeCell ref="AG2:AG3"/>
    <mergeCell ref="Y2:Y3"/>
    <mergeCell ref="AQ2:AQ3"/>
    <mergeCell ref="AS2:AS3"/>
    <mergeCell ref="AY2:AY3"/>
    <mergeCell ref="BK2:BK3"/>
    <mergeCell ref="AZ2:AZ3"/>
    <mergeCell ref="BB2:BB3"/>
    <mergeCell ref="BL2:BL3"/>
    <mergeCell ref="BN2:BN3"/>
    <mergeCell ref="AU1:AZ1"/>
    <mergeCell ref="AJ2:AJ3"/>
    <mergeCell ref="AL2:AL3"/>
    <mergeCell ref="BR1:BR3"/>
    <mergeCell ref="H1:H3"/>
    <mergeCell ref="AR2:AR3"/>
    <mergeCell ref="AT2:AT3"/>
    <mergeCell ref="E1:E3"/>
    <mergeCell ref="BF2:BF3"/>
    <mergeCell ref="K2:M2"/>
    <mergeCell ref="F1:F3"/>
    <mergeCell ref="J1:J3"/>
    <mergeCell ref="R2:R3"/>
    <mergeCell ref="AD2:AD3"/>
    <mergeCell ref="AN2:AN3"/>
    <mergeCell ref="AP2:AP3"/>
    <mergeCell ref="A1:A3"/>
    <mergeCell ref="BA1:BF1"/>
    <mergeCell ref="C1:C3"/>
    <mergeCell ref="D1:D2"/>
    <mergeCell ref="BQ1:BQ3"/>
    <mergeCell ref="BS1:BS3"/>
    <mergeCell ref="BA2:BA3"/>
    <mergeCell ref="S2:S3"/>
    <mergeCell ref="BC2:BC3"/>
    <mergeCell ref="K1:P1"/>
    <mergeCell ref="BM2:BM3"/>
    <mergeCell ref="BO2:BO3"/>
    <mergeCell ref="W1:AB1"/>
    <mergeCell ref="Q1:V1"/>
    <mergeCell ref="BP2:BP3"/>
    <mergeCell ref="AC1:AH1"/>
    <mergeCell ref="AO1:AT1"/>
    <mergeCell ref="Z2:Z3"/>
    <mergeCell ref="B1:B3"/>
    <mergeCell ref="AI1:AN1"/>
    <mergeCell ref="V2:V3"/>
    <mergeCell ref="X2:X3"/>
    <mergeCell ref="BG1:BL1"/>
    <mergeCell ref="BD2:BD3"/>
    <mergeCell ref="AV2:AV3"/>
    <mergeCell ref="AX2:AX3"/>
    <mergeCell ref="I1:I3"/>
    <mergeCell ref="BH2:BH3"/>
    <mergeCell ref="BJ2:BJ3"/>
    <mergeCell ref="AF2:AF3"/>
    <mergeCell ref="AH2:AH3"/>
    <mergeCell ref="Q2:Q3"/>
    <mergeCell ref="AI2:AI3"/>
    <mergeCell ref="AK2:AK3"/>
    <mergeCell ref="N2:P2"/>
    <mergeCell ref="G1:G3"/>
    <mergeCell ref="U2:U3"/>
    <mergeCell ref="BT1:BT3"/>
    <mergeCell ref="BE2:BE3"/>
    <mergeCell ref="W2:W3"/>
    <mergeCell ref="BG2:BG3"/>
    <mergeCell ref="AA2:AA3"/>
    <mergeCell ref="AC2:AC3"/>
    <mergeCell ref="AM2:AM3"/>
    <mergeCell ref="AO2:AO3"/>
    <mergeCell ref="BM1:BP1"/>
    <mergeCell ref="AU2:AU3"/>
    <mergeCell ref="AW2:AW3"/>
    <mergeCell ref="AB2:AB3"/>
    <mergeCell ref="T2:T3"/>
  </mergeCells>
  <dataValidations count="1">
    <dataValidation type="list" allowBlank="1" errorTitle="Invalid value" error="Please choose Cu or Al" promptTitle="Cable Type" prompt="Choose cable material" sqref="R4:R88 BH4:BH88 BB4:BB88 AV4:AV88 AP4:AP88 AJ4:AJ88 AD4:AD88 X4:X88" xr:uid="{00000000-0002-0000-0E00-000000000000}">
      <formula1>"Cu,Al"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Q79"/>
  <sheetViews>
    <sheetView workbookViewId="0"/>
  </sheetViews>
  <sheetFormatPr defaultRowHeight="15" x14ac:dyDescent="0.25"/>
  <cols>
    <col min="1" max="1" width="12.85546875" customWidth="1"/>
    <col min="2" max="2" width="14.85546875" customWidth="1"/>
    <col min="3" max="3" width="9.85546875" customWidth="1"/>
    <col min="4" max="4" width="20.85546875" customWidth="1"/>
    <col min="5" max="5" width="8.85546875" customWidth="1"/>
    <col min="6" max="6" width="10.85546875" customWidth="1"/>
    <col min="7" max="7" width="5.85546875" customWidth="1"/>
    <col min="8" max="8" width="9.85546875" customWidth="1"/>
    <col min="9" max="9" width="10.85546875" customWidth="1"/>
    <col min="10" max="10" width="5.85546875" customWidth="1"/>
    <col min="11" max="11" width="7.85546875" customWidth="1"/>
    <col min="12" max="16" width="6.85546875" customWidth="1"/>
    <col min="17" max="17" width="8.85546875" customWidth="1"/>
    <col min="18" max="21" width="6.85546875" customWidth="1"/>
    <col min="22" max="22" width="8.85546875" customWidth="1"/>
    <col min="23" max="26" width="6.85546875" customWidth="1"/>
    <col min="27" max="27" width="8.85546875" customWidth="1"/>
    <col min="28" max="31" width="6.85546875" customWidth="1"/>
    <col min="32" max="32" width="8.85546875" customWidth="1"/>
    <col min="33" max="36" width="6.85546875" customWidth="1"/>
    <col min="37" max="37" width="8.85546875" customWidth="1"/>
    <col min="38" max="41" width="6.85546875" customWidth="1"/>
    <col min="42" max="42" width="8.85546875" customWidth="1"/>
    <col min="43" max="46" width="6.85546875" customWidth="1"/>
    <col min="47" max="47" width="8.85546875" customWidth="1"/>
    <col min="48" max="51" width="6.85546875" customWidth="1"/>
    <col min="52" max="52" width="8.85546875" customWidth="1"/>
    <col min="53" max="56" width="6.85546875" customWidth="1"/>
    <col min="57" max="57" width="8.85546875" customWidth="1"/>
    <col min="58" max="61" width="6.85546875" customWidth="1"/>
    <col min="62" max="62" width="8.85546875" customWidth="1"/>
    <col min="63" max="66" width="6.85546875" customWidth="1"/>
    <col min="67" max="67" width="8.85546875" customWidth="1"/>
    <col min="68" max="71" width="6.85546875" customWidth="1"/>
    <col min="72" max="72" width="8.85546875" customWidth="1"/>
    <col min="73" max="76" width="6.85546875" customWidth="1"/>
    <col min="77" max="77" width="8.85546875" customWidth="1"/>
    <col min="78" max="81" width="6.85546875" customWidth="1"/>
    <col min="82" max="82" width="8.85546875" customWidth="1"/>
    <col min="83" max="86" width="6.85546875" customWidth="1"/>
    <col min="87" max="87" width="8.85546875" customWidth="1"/>
    <col min="88" max="91" width="6.85546875" customWidth="1"/>
    <col min="92" max="92" width="8.85546875" customWidth="1"/>
    <col min="93" max="100" width="6.85546875" customWidth="1"/>
    <col min="101" max="102" width="7.85546875" customWidth="1"/>
    <col min="103" max="103" width="9.85546875" customWidth="1"/>
    <col min="104" max="105" width="24.85546875" customWidth="1"/>
  </cols>
  <sheetData>
    <row r="1" spans="1:121" ht="19.5" customHeight="1" x14ac:dyDescent="0.25">
      <c r="A1" s="21" t="s">
        <v>0</v>
      </c>
      <c r="B1" s="21" t="s">
        <v>1</v>
      </c>
      <c r="C1" s="21" t="s">
        <v>2</v>
      </c>
      <c r="D1" s="38" t="s">
        <v>3</v>
      </c>
      <c r="E1" s="21" t="s">
        <v>4</v>
      </c>
      <c r="F1" s="40" t="s">
        <v>5</v>
      </c>
      <c r="G1" s="21" t="s">
        <v>6</v>
      </c>
      <c r="H1" s="21" t="s">
        <v>7</v>
      </c>
      <c r="I1" s="21" t="s">
        <v>8</v>
      </c>
      <c r="J1" s="41" t="s">
        <v>9</v>
      </c>
      <c r="K1" s="18" t="s">
        <v>10</v>
      </c>
      <c r="L1" s="19"/>
      <c r="M1" s="19"/>
      <c r="N1" s="19"/>
      <c r="O1" s="19"/>
      <c r="P1" s="20"/>
      <c r="Q1" s="29" t="s">
        <v>11</v>
      </c>
      <c r="R1" s="30"/>
      <c r="S1" s="30"/>
      <c r="T1" s="30"/>
      <c r="U1" s="30"/>
      <c r="V1" s="31"/>
      <c r="W1" s="29" t="s">
        <v>12</v>
      </c>
      <c r="X1" s="30"/>
      <c r="Y1" s="30"/>
      <c r="Z1" s="30"/>
      <c r="AA1" s="30"/>
      <c r="AB1" s="31"/>
      <c r="AC1" s="29" t="s">
        <v>13</v>
      </c>
      <c r="AD1" s="30"/>
      <c r="AE1" s="30"/>
      <c r="AF1" s="30"/>
      <c r="AG1" s="30"/>
      <c r="AH1" s="31"/>
      <c r="AI1" s="29" t="s">
        <v>14</v>
      </c>
      <c r="AJ1" s="30"/>
      <c r="AK1" s="30"/>
      <c r="AL1" s="30"/>
      <c r="AM1" s="30"/>
      <c r="AN1" s="31"/>
      <c r="AO1" s="29" t="s">
        <v>15</v>
      </c>
      <c r="AP1" s="30"/>
      <c r="AQ1" s="30"/>
      <c r="AR1" s="30"/>
      <c r="AS1" s="30"/>
      <c r="AT1" s="31"/>
      <c r="AU1" s="29" t="s">
        <v>16</v>
      </c>
      <c r="AV1" s="30"/>
      <c r="AW1" s="30"/>
      <c r="AX1" s="30"/>
      <c r="AY1" s="30"/>
      <c r="AZ1" s="31"/>
      <c r="BA1" s="29" t="s">
        <v>17</v>
      </c>
      <c r="BB1" s="30"/>
      <c r="BC1" s="30"/>
      <c r="BD1" s="30"/>
      <c r="BE1" s="30"/>
      <c r="BF1" s="31"/>
      <c r="BG1" s="29" t="s">
        <v>18</v>
      </c>
      <c r="BH1" s="30"/>
      <c r="BI1" s="30"/>
      <c r="BJ1" s="30"/>
      <c r="BK1" s="30"/>
      <c r="BL1" s="31"/>
      <c r="BM1" s="29" t="s">
        <v>377</v>
      </c>
      <c r="BN1" s="30"/>
      <c r="BO1" s="30"/>
      <c r="BP1" s="30"/>
      <c r="BQ1" s="30"/>
      <c r="BR1" s="31"/>
      <c r="BS1" s="29" t="s">
        <v>378</v>
      </c>
      <c r="BT1" s="30"/>
      <c r="BU1" s="30"/>
      <c r="BV1" s="30"/>
      <c r="BW1" s="30"/>
      <c r="BX1" s="31"/>
      <c r="BY1" s="29" t="s">
        <v>379</v>
      </c>
      <c r="BZ1" s="30"/>
      <c r="CA1" s="30"/>
      <c r="CB1" s="30"/>
      <c r="CC1" s="30"/>
      <c r="CD1" s="31"/>
      <c r="CE1" s="29" t="s">
        <v>380</v>
      </c>
      <c r="CF1" s="30"/>
      <c r="CG1" s="30"/>
      <c r="CH1" s="30"/>
      <c r="CI1" s="30"/>
      <c r="CJ1" s="31"/>
      <c r="CK1" s="29" t="s">
        <v>381</v>
      </c>
      <c r="CL1" s="30"/>
      <c r="CM1" s="30"/>
      <c r="CN1" s="30"/>
      <c r="CO1" s="30"/>
      <c r="CP1" s="31"/>
      <c r="CQ1" s="29" t="s">
        <v>382</v>
      </c>
      <c r="CR1" s="30"/>
      <c r="CS1" s="30"/>
      <c r="CT1" s="30"/>
      <c r="CU1" s="30"/>
      <c r="CV1" s="31"/>
      <c r="CW1" s="29" t="s">
        <v>383</v>
      </c>
      <c r="CX1" s="30"/>
      <c r="CY1" s="30"/>
      <c r="CZ1" s="30"/>
      <c r="DA1" s="30"/>
      <c r="DB1" s="31"/>
      <c r="DC1" s="29" t="s">
        <v>384</v>
      </c>
      <c r="DD1" s="30"/>
      <c r="DE1" s="30"/>
      <c r="DF1" s="30"/>
      <c r="DG1" s="30"/>
      <c r="DH1" s="31"/>
      <c r="DI1" s="37" t="s">
        <v>19</v>
      </c>
      <c r="DJ1" s="19"/>
      <c r="DK1" s="19"/>
      <c r="DL1" s="20"/>
      <c r="DM1" s="18" t="s">
        <v>20</v>
      </c>
      <c r="DN1" s="18" t="s">
        <v>21</v>
      </c>
      <c r="DO1" s="39" t="s">
        <v>22</v>
      </c>
      <c r="DP1" s="26" t="s">
        <v>23</v>
      </c>
      <c r="DQ1" s="26" t="s">
        <v>24</v>
      </c>
    </row>
    <row r="2" spans="1:121" ht="19.5" customHeight="1" x14ac:dyDescent="0.25">
      <c r="A2" s="22"/>
      <c r="B2" s="22"/>
      <c r="C2" s="22"/>
      <c r="D2" s="23"/>
      <c r="E2" s="22"/>
      <c r="F2" s="22"/>
      <c r="G2" s="22"/>
      <c r="H2" s="22"/>
      <c r="I2" s="22"/>
      <c r="J2" s="22"/>
      <c r="K2" s="18" t="s">
        <v>25</v>
      </c>
      <c r="L2" s="19"/>
      <c r="M2" s="20"/>
      <c r="N2" s="18" t="s">
        <v>26</v>
      </c>
      <c r="O2" s="19"/>
      <c r="P2" s="20"/>
      <c r="Q2" s="27" t="s">
        <v>27</v>
      </c>
      <c r="R2" s="34" t="s">
        <v>5</v>
      </c>
      <c r="S2" s="36" t="s">
        <v>28</v>
      </c>
      <c r="T2" s="35" t="s">
        <v>29</v>
      </c>
      <c r="U2" s="24" t="s">
        <v>30</v>
      </c>
      <c r="V2" s="32" t="s">
        <v>31</v>
      </c>
      <c r="W2" s="27" t="s">
        <v>27</v>
      </c>
      <c r="X2" s="34" t="s">
        <v>5</v>
      </c>
      <c r="Y2" s="36" t="s">
        <v>28</v>
      </c>
      <c r="Z2" s="35" t="s">
        <v>29</v>
      </c>
      <c r="AA2" s="24" t="s">
        <v>30</v>
      </c>
      <c r="AB2" s="32" t="s">
        <v>31</v>
      </c>
      <c r="AC2" s="27" t="s">
        <v>27</v>
      </c>
      <c r="AD2" s="34" t="s">
        <v>5</v>
      </c>
      <c r="AE2" s="36" t="s">
        <v>28</v>
      </c>
      <c r="AF2" s="35" t="s">
        <v>29</v>
      </c>
      <c r="AG2" s="24" t="s">
        <v>30</v>
      </c>
      <c r="AH2" s="32" t="s">
        <v>31</v>
      </c>
      <c r="AI2" s="27" t="s">
        <v>27</v>
      </c>
      <c r="AJ2" s="34" t="s">
        <v>5</v>
      </c>
      <c r="AK2" s="36" t="s">
        <v>28</v>
      </c>
      <c r="AL2" s="35" t="s">
        <v>29</v>
      </c>
      <c r="AM2" s="24" t="s">
        <v>30</v>
      </c>
      <c r="AN2" s="32" t="s">
        <v>31</v>
      </c>
      <c r="AO2" s="27" t="s">
        <v>27</v>
      </c>
      <c r="AP2" s="34" t="s">
        <v>5</v>
      </c>
      <c r="AQ2" s="36" t="s">
        <v>28</v>
      </c>
      <c r="AR2" s="35" t="s">
        <v>29</v>
      </c>
      <c r="AS2" s="24" t="s">
        <v>30</v>
      </c>
      <c r="AT2" s="32" t="s">
        <v>31</v>
      </c>
      <c r="AU2" s="27" t="s">
        <v>27</v>
      </c>
      <c r="AV2" s="34" t="s">
        <v>5</v>
      </c>
      <c r="AW2" s="36" t="s">
        <v>28</v>
      </c>
      <c r="AX2" s="35" t="s">
        <v>29</v>
      </c>
      <c r="AY2" s="24" t="s">
        <v>30</v>
      </c>
      <c r="AZ2" s="32" t="s">
        <v>31</v>
      </c>
      <c r="BA2" s="27" t="s">
        <v>27</v>
      </c>
      <c r="BB2" s="34" t="s">
        <v>5</v>
      </c>
      <c r="BC2" s="36" t="s">
        <v>28</v>
      </c>
      <c r="BD2" s="35" t="s">
        <v>29</v>
      </c>
      <c r="BE2" s="24" t="s">
        <v>30</v>
      </c>
      <c r="BF2" s="32" t="s">
        <v>31</v>
      </c>
      <c r="BG2" s="27" t="s">
        <v>27</v>
      </c>
      <c r="BH2" s="34" t="s">
        <v>5</v>
      </c>
      <c r="BI2" s="36" t="s">
        <v>28</v>
      </c>
      <c r="BJ2" s="35" t="s">
        <v>29</v>
      </c>
      <c r="BK2" s="24" t="s">
        <v>30</v>
      </c>
      <c r="BL2" s="32" t="s">
        <v>31</v>
      </c>
      <c r="BM2" s="27" t="s">
        <v>27</v>
      </c>
      <c r="BN2" s="34" t="s">
        <v>5</v>
      </c>
      <c r="BO2" s="36" t="s">
        <v>28</v>
      </c>
      <c r="BP2" s="35" t="s">
        <v>29</v>
      </c>
      <c r="BQ2" s="24" t="s">
        <v>30</v>
      </c>
      <c r="BR2" s="32" t="s">
        <v>31</v>
      </c>
      <c r="BS2" s="27" t="s">
        <v>27</v>
      </c>
      <c r="BT2" s="34" t="s">
        <v>5</v>
      </c>
      <c r="BU2" s="36" t="s">
        <v>28</v>
      </c>
      <c r="BV2" s="35" t="s">
        <v>29</v>
      </c>
      <c r="BW2" s="24" t="s">
        <v>30</v>
      </c>
      <c r="BX2" s="32" t="s">
        <v>31</v>
      </c>
      <c r="BY2" s="27" t="s">
        <v>27</v>
      </c>
      <c r="BZ2" s="34" t="s">
        <v>5</v>
      </c>
      <c r="CA2" s="36" t="s">
        <v>28</v>
      </c>
      <c r="CB2" s="35" t="s">
        <v>29</v>
      </c>
      <c r="CC2" s="24" t="s">
        <v>30</v>
      </c>
      <c r="CD2" s="32" t="s">
        <v>31</v>
      </c>
      <c r="CE2" s="27" t="s">
        <v>27</v>
      </c>
      <c r="CF2" s="34" t="s">
        <v>5</v>
      </c>
      <c r="CG2" s="36" t="s">
        <v>28</v>
      </c>
      <c r="CH2" s="35" t="s">
        <v>29</v>
      </c>
      <c r="CI2" s="24" t="s">
        <v>30</v>
      </c>
      <c r="CJ2" s="32" t="s">
        <v>31</v>
      </c>
      <c r="CK2" s="27" t="s">
        <v>27</v>
      </c>
      <c r="CL2" s="34" t="s">
        <v>5</v>
      </c>
      <c r="CM2" s="36" t="s">
        <v>28</v>
      </c>
      <c r="CN2" s="35" t="s">
        <v>29</v>
      </c>
      <c r="CO2" s="24" t="s">
        <v>30</v>
      </c>
      <c r="CP2" s="32" t="s">
        <v>31</v>
      </c>
      <c r="CQ2" s="27" t="s">
        <v>27</v>
      </c>
      <c r="CR2" s="34" t="s">
        <v>5</v>
      </c>
      <c r="CS2" s="36" t="s">
        <v>28</v>
      </c>
      <c r="CT2" s="35" t="s">
        <v>29</v>
      </c>
      <c r="CU2" s="24" t="s">
        <v>30</v>
      </c>
      <c r="CV2" s="32" t="s">
        <v>31</v>
      </c>
      <c r="CW2" s="27" t="s">
        <v>27</v>
      </c>
      <c r="CX2" s="34" t="s">
        <v>5</v>
      </c>
      <c r="CY2" s="36" t="s">
        <v>28</v>
      </c>
      <c r="CZ2" s="35" t="s">
        <v>29</v>
      </c>
      <c r="DA2" s="24" t="s">
        <v>30</v>
      </c>
      <c r="DB2" s="32" t="s">
        <v>31</v>
      </c>
      <c r="DC2" s="27" t="s">
        <v>27</v>
      </c>
      <c r="DD2" s="34" t="s">
        <v>5</v>
      </c>
      <c r="DE2" s="36" t="s">
        <v>28</v>
      </c>
      <c r="DF2" s="35" t="s">
        <v>29</v>
      </c>
      <c r="DG2" s="24" t="s">
        <v>30</v>
      </c>
      <c r="DH2" s="32" t="s">
        <v>31</v>
      </c>
      <c r="DI2" s="37" t="s">
        <v>28</v>
      </c>
      <c r="DJ2" s="37" t="s">
        <v>29</v>
      </c>
      <c r="DK2" s="37" t="s">
        <v>30</v>
      </c>
      <c r="DL2" s="37" t="s">
        <v>31</v>
      </c>
      <c r="DM2" s="22"/>
      <c r="DN2" s="22"/>
      <c r="DO2" s="22"/>
      <c r="DP2" s="22"/>
      <c r="DQ2" s="22"/>
    </row>
    <row r="3" spans="1:121" ht="19.5" customHeight="1" x14ac:dyDescent="0.25">
      <c r="A3" s="23"/>
      <c r="B3" s="23"/>
      <c r="C3" s="23"/>
      <c r="D3" s="1"/>
      <c r="E3" s="23"/>
      <c r="F3" s="23"/>
      <c r="G3" s="23"/>
      <c r="H3" s="23"/>
      <c r="I3" s="23"/>
      <c r="J3" s="23"/>
      <c r="K3" s="2" t="s">
        <v>32</v>
      </c>
      <c r="L3" s="3" t="s">
        <v>33</v>
      </c>
      <c r="M3" s="4" t="s">
        <v>34</v>
      </c>
      <c r="N3" s="5" t="s">
        <v>35</v>
      </c>
      <c r="O3" s="6" t="s">
        <v>36</v>
      </c>
      <c r="P3" s="7" t="s">
        <v>37</v>
      </c>
      <c r="Q3" s="28"/>
      <c r="R3" s="25"/>
      <c r="S3" s="25"/>
      <c r="T3" s="25"/>
      <c r="U3" s="25"/>
      <c r="V3" s="33"/>
      <c r="W3" s="28"/>
      <c r="X3" s="25"/>
      <c r="Y3" s="25"/>
      <c r="Z3" s="25"/>
      <c r="AA3" s="25"/>
      <c r="AB3" s="33"/>
      <c r="AC3" s="28"/>
      <c r="AD3" s="25"/>
      <c r="AE3" s="25"/>
      <c r="AF3" s="25"/>
      <c r="AG3" s="25"/>
      <c r="AH3" s="33"/>
      <c r="AI3" s="28"/>
      <c r="AJ3" s="25"/>
      <c r="AK3" s="25"/>
      <c r="AL3" s="25"/>
      <c r="AM3" s="25"/>
      <c r="AN3" s="33"/>
      <c r="AO3" s="28"/>
      <c r="AP3" s="25"/>
      <c r="AQ3" s="25"/>
      <c r="AR3" s="25"/>
      <c r="AS3" s="25"/>
      <c r="AT3" s="33"/>
      <c r="AU3" s="28"/>
      <c r="AV3" s="25"/>
      <c r="AW3" s="25"/>
      <c r="AX3" s="25"/>
      <c r="AY3" s="25"/>
      <c r="AZ3" s="33"/>
      <c r="BA3" s="28"/>
      <c r="BB3" s="25"/>
      <c r="BC3" s="25"/>
      <c r="BD3" s="25"/>
      <c r="BE3" s="25"/>
      <c r="BF3" s="33"/>
      <c r="BG3" s="28"/>
      <c r="BH3" s="25"/>
      <c r="BI3" s="25"/>
      <c r="BJ3" s="25"/>
      <c r="BK3" s="25"/>
      <c r="BL3" s="33"/>
      <c r="BM3" s="28"/>
      <c r="BN3" s="25"/>
      <c r="BO3" s="25"/>
      <c r="BP3" s="25"/>
      <c r="BQ3" s="25"/>
      <c r="BR3" s="33"/>
      <c r="BS3" s="28"/>
      <c r="BT3" s="25"/>
      <c r="BU3" s="25"/>
      <c r="BV3" s="25"/>
      <c r="BW3" s="25"/>
      <c r="BX3" s="33"/>
      <c r="BY3" s="28"/>
      <c r="BZ3" s="25"/>
      <c r="CA3" s="25"/>
      <c r="CB3" s="25"/>
      <c r="CC3" s="25"/>
      <c r="CD3" s="33"/>
      <c r="CE3" s="28"/>
      <c r="CF3" s="25"/>
      <c r="CG3" s="25"/>
      <c r="CH3" s="25"/>
      <c r="CI3" s="25"/>
      <c r="CJ3" s="33"/>
      <c r="CK3" s="28"/>
      <c r="CL3" s="25"/>
      <c r="CM3" s="25"/>
      <c r="CN3" s="25"/>
      <c r="CO3" s="25"/>
      <c r="CP3" s="33"/>
      <c r="CQ3" s="28"/>
      <c r="CR3" s="25"/>
      <c r="CS3" s="25"/>
      <c r="CT3" s="25"/>
      <c r="CU3" s="25"/>
      <c r="CV3" s="33"/>
      <c r="CW3" s="28"/>
      <c r="CX3" s="25"/>
      <c r="CY3" s="25"/>
      <c r="CZ3" s="25"/>
      <c r="DA3" s="25"/>
      <c r="DB3" s="33"/>
      <c r="DC3" s="28"/>
      <c r="DD3" s="25"/>
      <c r="DE3" s="25"/>
      <c r="DF3" s="25"/>
      <c r="DG3" s="25"/>
      <c r="DH3" s="33"/>
      <c r="DI3" s="23"/>
      <c r="DJ3" s="23"/>
      <c r="DK3" s="23"/>
      <c r="DL3" s="23"/>
      <c r="DM3" s="23"/>
      <c r="DN3" s="23"/>
      <c r="DO3" s="23"/>
      <c r="DP3" s="23"/>
      <c r="DQ3" s="23"/>
    </row>
    <row r="4" spans="1:121" ht="15.75" customHeight="1" x14ac:dyDescent="0.25">
      <c r="A4" s="8" t="s">
        <v>1459</v>
      </c>
      <c r="B4" s="8" t="s">
        <v>2786</v>
      </c>
      <c r="C4" s="8" t="s">
        <v>2296</v>
      </c>
      <c r="D4" s="8" t="s">
        <v>2787</v>
      </c>
      <c r="E4" s="8" t="s">
        <v>2788</v>
      </c>
      <c r="F4" s="8" t="s">
        <v>43</v>
      </c>
      <c r="G4" s="8" t="s">
        <v>44</v>
      </c>
      <c r="H4" s="8">
        <v>315</v>
      </c>
      <c r="I4" s="8" t="s">
        <v>2789</v>
      </c>
      <c r="J4" s="8">
        <v>1</v>
      </c>
      <c r="K4" s="8">
        <v>232</v>
      </c>
      <c r="L4" s="8">
        <v>236</v>
      </c>
      <c r="M4" s="8">
        <v>232</v>
      </c>
      <c r="N4" s="8">
        <v>403</v>
      </c>
      <c r="O4" s="8">
        <v>403</v>
      </c>
      <c r="P4" s="8">
        <v>403</v>
      </c>
      <c r="Q4" s="9" t="s">
        <v>47</v>
      </c>
      <c r="R4" s="16"/>
      <c r="S4" s="10">
        <v>119</v>
      </c>
      <c r="T4" s="10">
        <v>66</v>
      </c>
      <c r="U4" s="10">
        <v>110</v>
      </c>
      <c r="V4" s="11">
        <v>36</v>
      </c>
      <c r="W4" s="12" t="s">
        <v>47</v>
      </c>
      <c r="X4" s="17"/>
      <c r="Y4" s="13">
        <v>85</v>
      </c>
      <c r="Z4" s="13">
        <v>54</v>
      </c>
      <c r="AA4" s="13">
        <v>16</v>
      </c>
      <c r="AB4" s="14">
        <v>57</v>
      </c>
      <c r="AC4" s="9"/>
      <c r="AD4" s="16"/>
      <c r="AE4" s="10"/>
      <c r="AF4" s="10"/>
      <c r="AG4" s="10"/>
      <c r="AH4" s="11"/>
      <c r="AI4" s="12"/>
      <c r="AJ4" s="17"/>
      <c r="AK4" s="13"/>
      <c r="AL4" s="13"/>
      <c r="AM4" s="13"/>
      <c r="AN4" s="14"/>
      <c r="AO4" s="9"/>
      <c r="AP4" s="16"/>
      <c r="AQ4" s="10"/>
      <c r="AR4" s="10"/>
      <c r="AS4" s="10"/>
      <c r="AT4" s="11"/>
      <c r="AU4" s="12"/>
      <c r="AV4" s="17"/>
      <c r="AW4" s="13"/>
      <c r="AX4" s="13"/>
      <c r="AY4" s="13"/>
      <c r="AZ4" s="14"/>
      <c r="BA4" s="9"/>
      <c r="BB4" s="16"/>
      <c r="BC4" s="10"/>
      <c r="BD4" s="10"/>
      <c r="BE4" s="10"/>
      <c r="BF4" s="11"/>
      <c r="BG4" s="12"/>
      <c r="BH4" s="17"/>
      <c r="BI4" s="13"/>
      <c r="BJ4" s="13"/>
      <c r="BK4" s="13"/>
      <c r="BL4" s="14"/>
      <c r="BM4" s="9"/>
      <c r="BN4" s="16"/>
      <c r="BO4" s="10"/>
      <c r="BP4" s="10"/>
      <c r="BQ4" s="10"/>
      <c r="BR4" s="11"/>
      <c r="BS4" s="12"/>
      <c r="BT4" s="17"/>
      <c r="BU4" s="13"/>
      <c r="BV4" s="13"/>
      <c r="BW4" s="13"/>
      <c r="BX4" s="14"/>
      <c r="BY4" s="9"/>
      <c r="BZ4" s="16"/>
      <c r="CA4" s="10"/>
      <c r="CB4" s="10"/>
      <c r="CC4" s="10"/>
      <c r="CD4" s="11"/>
      <c r="CE4" s="12"/>
      <c r="CF4" s="17"/>
      <c r="CG4" s="13"/>
      <c r="CH4" s="13"/>
      <c r="CI4" s="13"/>
      <c r="CJ4" s="14"/>
      <c r="CK4" s="9"/>
      <c r="CL4" s="16"/>
      <c r="CM4" s="10"/>
      <c r="CN4" s="10"/>
      <c r="CO4" s="10"/>
      <c r="CP4" s="11"/>
      <c r="CQ4" s="12"/>
      <c r="CR4" s="17"/>
      <c r="CS4" s="13"/>
      <c r="CT4" s="13"/>
      <c r="CU4" s="13"/>
      <c r="CV4" s="14"/>
      <c r="CW4" s="9"/>
      <c r="CX4" s="16"/>
      <c r="CY4" s="10"/>
      <c r="CZ4" s="10"/>
      <c r="DA4" s="10"/>
      <c r="DB4" s="11"/>
      <c r="DC4" s="12"/>
      <c r="DD4" s="17"/>
      <c r="DE4" s="13"/>
      <c r="DF4" s="13"/>
      <c r="DG4" s="13"/>
      <c r="DH4" s="14"/>
      <c r="DI4" s="8">
        <f t="shared" ref="DI4:DI35" si="0">SUM(S4,Y4,AE4,AK4,AQ4,AW4,BC4,BI4,BO4,BU4,CA4,CG4,CM4,CS4,CY4,DE4)</f>
        <v>204</v>
      </c>
      <c r="DJ4" s="8">
        <f t="shared" ref="DJ4:DJ35" si="1">SUM(T4,Z4,AF4,AL4,AR4,AX4,BD4,BJ4,BP4,BV4,CB4,CH4,CN4,CT4,CZ4,DF4)</f>
        <v>120</v>
      </c>
      <c r="DK4" s="8">
        <f t="shared" ref="DK4:DK35" si="2">SUM(U4,AA4,AG4,AM4,AS4,AY4,BE4,BK4,BQ4,BW4,CC4,CI4,CO4,CU4,DA4,DG4)</f>
        <v>126</v>
      </c>
      <c r="DL4" s="8">
        <f t="shared" ref="DL4:DL35" si="3">SUM(V4,AB4,AH4,AN4,AT4,AZ4,BF4,BL4,BR4,BX4,CD4,CJ4,CP4,CV4,DB4,DH4)</f>
        <v>93</v>
      </c>
      <c r="DM4" s="8">
        <f t="shared" ref="DM4:DM35" si="4">MAX(DI4:DK4)</f>
        <v>204</v>
      </c>
      <c r="DN4" s="8">
        <f t="shared" ref="DN4:DN35" si="5">MIN(DI4:DK4)</f>
        <v>120</v>
      </c>
      <c r="DO4" s="15">
        <f t="shared" ref="DO4:DO35" si="6">IF(H4&gt;0,(DM4*SQRT(3)*IF(N4&gt;0,N4,IF(O4&gt;0,O4,IF(P4&gt;0,P4,415)))/(H4*1000))*100,0)</f>
        <v>45.204876505350015</v>
      </c>
      <c r="DP4" s="15" t="str">
        <f t="shared" ref="DP4:DP35" si="7">IF(DO4&gt;70,"Upgrade","OK - No Upgrade")</f>
        <v>OK - No Upgrade</v>
      </c>
      <c r="DQ4" s="15" t="str">
        <f t="shared" ref="DQ4:DQ35" si="8">IF(IF(AVERAGE(DI4:DK4)&gt;0,((DM4-AVERAGE(DI4:DK4))/AVERAGE(DI4:DK4))*100,0)&gt;10,"Need to Balance","OK - Balanced")</f>
        <v>Need to Balance</v>
      </c>
    </row>
    <row r="5" spans="1:121" ht="15.75" customHeight="1" x14ac:dyDescent="0.25">
      <c r="A5" s="8" t="s">
        <v>1459</v>
      </c>
      <c r="B5" s="8" t="s">
        <v>2786</v>
      </c>
      <c r="C5" s="8" t="s">
        <v>2296</v>
      </c>
      <c r="D5" s="8" t="s">
        <v>2790</v>
      </c>
      <c r="E5" s="8" t="s">
        <v>2791</v>
      </c>
      <c r="F5" s="8" t="s">
        <v>43</v>
      </c>
      <c r="G5" s="8" t="s">
        <v>44</v>
      </c>
      <c r="H5" s="8">
        <v>315</v>
      </c>
      <c r="I5" s="8" t="s">
        <v>2792</v>
      </c>
      <c r="J5" s="8">
        <v>1</v>
      </c>
      <c r="K5" s="8">
        <v>236</v>
      </c>
      <c r="L5" s="8">
        <v>237</v>
      </c>
      <c r="M5" s="8">
        <v>237</v>
      </c>
      <c r="N5" s="8">
        <v>411</v>
      </c>
      <c r="O5" s="8">
        <v>411</v>
      </c>
      <c r="P5" s="8">
        <v>409</v>
      </c>
      <c r="Q5" s="9" t="s">
        <v>46</v>
      </c>
      <c r="R5" s="16"/>
      <c r="S5" s="10">
        <v>0</v>
      </c>
      <c r="T5" s="10">
        <v>0</v>
      </c>
      <c r="U5" s="10">
        <v>0</v>
      </c>
      <c r="V5" s="11">
        <v>0</v>
      </c>
      <c r="W5" s="12" t="s">
        <v>46</v>
      </c>
      <c r="X5" s="17"/>
      <c r="Y5" s="13">
        <v>267</v>
      </c>
      <c r="Z5" s="13">
        <v>217</v>
      </c>
      <c r="AA5" s="13">
        <v>141</v>
      </c>
      <c r="AB5" s="14">
        <v>123</v>
      </c>
      <c r="AC5" s="9"/>
      <c r="AD5" s="16"/>
      <c r="AE5" s="10"/>
      <c r="AF5" s="10"/>
      <c r="AG5" s="10"/>
      <c r="AH5" s="11"/>
      <c r="AI5" s="12"/>
      <c r="AJ5" s="17"/>
      <c r="AK5" s="13"/>
      <c r="AL5" s="13"/>
      <c r="AM5" s="13"/>
      <c r="AN5" s="14"/>
      <c r="AO5" s="9"/>
      <c r="AP5" s="16"/>
      <c r="AQ5" s="10"/>
      <c r="AR5" s="10"/>
      <c r="AS5" s="10"/>
      <c r="AT5" s="11"/>
      <c r="AU5" s="12"/>
      <c r="AV5" s="17"/>
      <c r="AW5" s="13"/>
      <c r="AX5" s="13"/>
      <c r="AY5" s="13"/>
      <c r="AZ5" s="14"/>
      <c r="BA5" s="9"/>
      <c r="BB5" s="16"/>
      <c r="BC5" s="10"/>
      <c r="BD5" s="10"/>
      <c r="BE5" s="10"/>
      <c r="BF5" s="11"/>
      <c r="BG5" s="12"/>
      <c r="BH5" s="17"/>
      <c r="BI5" s="13"/>
      <c r="BJ5" s="13"/>
      <c r="BK5" s="13"/>
      <c r="BL5" s="14"/>
      <c r="BM5" s="9"/>
      <c r="BN5" s="16"/>
      <c r="BO5" s="10"/>
      <c r="BP5" s="10"/>
      <c r="BQ5" s="10"/>
      <c r="BR5" s="11"/>
      <c r="BS5" s="12"/>
      <c r="BT5" s="17"/>
      <c r="BU5" s="13"/>
      <c r="BV5" s="13"/>
      <c r="BW5" s="13"/>
      <c r="BX5" s="14"/>
      <c r="BY5" s="9"/>
      <c r="BZ5" s="16"/>
      <c r="CA5" s="10"/>
      <c r="CB5" s="10"/>
      <c r="CC5" s="10"/>
      <c r="CD5" s="11"/>
      <c r="CE5" s="12"/>
      <c r="CF5" s="17"/>
      <c r="CG5" s="13"/>
      <c r="CH5" s="13"/>
      <c r="CI5" s="13"/>
      <c r="CJ5" s="14"/>
      <c r="CK5" s="9"/>
      <c r="CL5" s="16"/>
      <c r="CM5" s="10"/>
      <c r="CN5" s="10"/>
      <c r="CO5" s="10"/>
      <c r="CP5" s="11"/>
      <c r="CQ5" s="12"/>
      <c r="CR5" s="17"/>
      <c r="CS5" s="13"/>
      <c r="CT5" s="13"/>
      <c r="CU5" s="13"/>
      <c r="CV5" s="14"/>
      <c r="CW5" s="9"/>
      <c r="CX5" s="16"/>
      <c r="CY5" s="10"/>
      <c r="CZ5" s="10"/>
      <c r="DA5" s="10"/>
      <c r="DB5" s="11"/>
      <c r="DC5" s="12"/>
      <c r="DD5" s="17"/>
      <c r="DE5" s="13"/>
      <c r="DF5" s="13"/>
      <c r="DG5" s="13"/>
      <c r="DH5" s="14"/>
      <c r="DI5" s="8">
        <f t="shared" si="0"/>
        <v>267</v>
      </c>
      <c r="DJ5" s="8">
        <f t="shared" si="1"/>
        <v>217</v>
      </c>
      <c r="DK5" s="8">
        <f t="shared" si="2"/>
        <v>141</v>
      </c>
      <c r="DL5" s="8">
        <f t="shared" si="3"/>
        <v>123</v>
      </c>
      <c r="DM5" s="8">
        <f t="shared" si="4"/>
        <v>267</v>
      </c>
      <c r="DN5" s="8">
        <f t="shared" si="5"/>
        <v>141</v>
      </c>
      <c r="DO5" s="15">
        <f t="shared" si="6"/>
        <v>60.339701419106632</v>
      </c>
      <c r="DP5" s="15" t="str">
        <f t="shared" si="7"/>
        <v>OK - No Upgrade</v>
      </c>
      <c r="DQ5" s="15" t="str">
        <f t="shared" si="8"/>
        <v>Need to Balance</v>
      </c>
    </row>
    <row r="6" spans="1:121" ht="15.75" customHeight="1" x14ac:dyDescent="0.25">
      <c r="A6" s="8" t="s">
        <v>1459</v>
      </c>
      <c r="B6" s="8" t="s">
        <v>2786</v>
      </c>
      <c r="C6" s="8" t="s">
        <v>2296</v>
      </c>
      <c r="D6" s="8" t="s">
        <v>2793</v>
      </c>
      <c r="E6" s="8" t="s">
        <v>2794</v>
      </c>
      <c r="F6" s="8" t="s">
        <v>56</v>
      </c>
      <c r="G6" s="8" t="s">
        <v>44</v>
      </c>
      <c r="H6" s="8">
        <v>1000</v>
      </c>
      <c r="I6" s="8" t="s">
        <v>2795</v>
      </c>
      <c r="J6" s="8">
        <v>1</v>
      </c>
      <c r="K6" s="8">
        <v>239</v>
      </c>
      <c r="L6" s="8">
        <v>239</v>
      </c>
      <c r="M6" s="8">
        <v>238</v>
      </c>
      <c r="N6" s="8">
        <v>414</v>
      </c>
      <c r="O6" s="8">
        <v>413</v>
      </c>
      <c r="P6" s="8">
        <v>412</v>
      </c>
      <c r="Q6" s="9"/>
      <c r="R6" s="16"/>
      <c r="S6" s="10"/>
      <c r="T6" s="10"/>
      <c r="U6" s="10"/>
      <c r="V6" s="11"/>
      <c r="W6" s="12" t="s">
        <v>46</v>
      </c>
      <c r="X6" s="17"/>
      <c r="Y6" s="13">
        <v>0</v>
      </c>
      <c r="Z6" s="13">
        <v>0</v>
      </c>
      <c r="AA6" s="13">
        <v>11</v>
      </c>
      <c r="AB6" s="14">
        <v>10</v>
      </c>
      <c r="AC6" s="9"/>
      <c r="AD6" s="16"/>
      <c r="AE6" s="10"/>
      <c r="AF6" s="10"/>
      <c r="AG6" s="10"/>
      <c r="AH6" s="11"/>
      <c r="AI6" s="12" t="s">
        <v>47</v>
      </c>
      <c r="AJ6" s="17"/>
      <c r="AK6" s="13">
        <v>0</v>
      </c>
      <c r="AL6" s="13">
        <v>0</v>
      </c>
      <c r="AM6" s="13">
        <v>0</v>
      </c>
      <c r="AN6" s="14">
        <v>0</v>
      </c>
      <c r="AO6" s="9" t="s">
        <v>47</v>
      </c>
      <c r="AP6" s="16"/>
      <c r="AQ6" s="10">
        <v>84</v>
      </c>
      <c r="AR6" s="10">
        <v>61</v>
      </c>
      <c r="AS6" s="10">
        <v>113</v>
      </c>
      <c r="AT6" s="11">
        <v>52</v>
      </c>
      <c r="AU6" s="12" t="s">
        <v>47</v>
      </c>
      <c r="AV6" s="17"/>
      <c r="AW6" s="13">
        <v>60</v>
      </c>
      <c r="AX6" s="13">
        <v>83</v>
      </c>
      <c r="AY6" s="13">
        <v>120</v>
      </c>
      <c r="AZ6" s="14">
        <v>59</v>
      </c>
      <c r="BA6" s="9" t="s">
        <v>47</v>
      </c>
      <c r="BB6" s="16"/>
      <c r="BC6" s="10">
        <v>62</v>
      </c>
      <c r="BD6" s="10">
        <v>61</v>
      </c>
      <c r="BE6" s="10">
        <v>58</v>
      </c>
      <c r="BF6" s="11">
        <v>10</v>
      </c>
      <c r="BG6" s="12"/>
      <c r="BH6" s="17"/>
      <c r="BI6" s="13"/>
      <c r="BJ6" s="13"/>
      <c r="BK6" s="13"/>
      <c r="BL6" s="14"/>
      <c r="BM6" s="9"/>
      <c r="BN6" s="16"/>
      <c r="BO6" s="10"/>
      <c r="BP6" s="10"/>
      <c r="BQ6" s="10"/>
      <c r="BR6" s="11"/>
      <c r="BS6" s="12"/>
      <c r="BT6" s="17"/>
      <c r="BU6" s="13"/>
      <c r="BV6" s="13"/>
      <c r="BW6" s="13"/>
      <c r="BX6" s="14"/>
      <c r="BY6" s="9"/>
      <c r="BZ6" s="16"/>
      <c r="CA6" s="10"/>
      <c r="CB6" s="10"/>
      <c r="CC6" s="10"/>
      <c r="CD6" s="11"/>
      <c r="CE6" s="12"/>
      <c r="CF6" s="17"/>
      <c r="CG6" s="13"/>
      <c r="CH6" s="13"/>
      <c r="CI6" s="13"/>
      <c r="CJ6" s="14"/>
      <c r="CK6" s="9"/>
      <c r="CL6" s="16"/>
      <c r="CM6" s="10"/>
      <c r="CN6" s="10"/>
      <c r="CO6" s="10"/>
      <c r="CP6" s="11"/>
      <c r="CQ6" s="12"/>
      <c r="CR6" s="17"/>
      <c r="CS6" s="13"/>
      <c r="CT6" s="13"/>
      <c r="CU6" s="13"/>
      <c r="CV6" s="14"/>
      <c r="CW6" s="9"/>
      <c r="CX6" s="16"/>
      <c r="CY6" s="10"/>
      <c r="CZ6" s="10"/>
      <c r="DA6" s="10"/>
      <c r="DB6" s="11"/>
      <c r="DC6" s="12"/>
      <c r="DD6" s="17"/>
      <c r="DE6" s="13"/>
      <c r="DF6" s="13"/>
      <c r="DG6" s="13"/>
      <c r="DH6" s="14"/>
      <c r="DI6" s="8">
        <f t="shared" si="0"/>
        <v>206</v>
      </c>
      <c r="DJ6" s="8">
        <f t="shared" si="1"/>
        <v>205</v>
      </c>
      <c r="DK6" s="8">
        <f t="shared" si="2"/>
        <v>302</v>
      </c>
      <c r="DL6" s="8">
        <f t="shared" si="3"/>
        <v>131</v>
      </c>
      <c r="DM6" s="8">
        <f t="shared" si="4"/>
        <v>302</v>
      </c>
      <c r="DN6" s="8">
        <f t="shared" si="5"/>
        <v>205</v>
      </c>
      <c r="DO6" s="15">
        <f t="shared" si="6"/>
        <v>21.655484836872159</v>
      </c>
      <c r="DP6" s="15" t="str">
        <f t="shared" si="7"/>
        <v>OK - No Upgrade</v>
      </c>
      <c r="DQ6" s="15" t="str">
        <f t="shared" si="8"/>
        <v>Need to Balance</v>
      </c>
    </row>
    <row r="7" spans="1:121" ht="15.75" customHeight="1" x14ac:dyDescent="0.25">
      <c r="A7" s="8" t="s">
        <v>1459</v>
      </c>
      <c r="B7" s="8" t="s">
        <v>2786</v>
      </c>
      <c r="C7" s="8" t="s">
        <v>2296</v>
      </c>
      <c r="D7" s="8" t="s">
        <v>2796</v>
      </c>
      <c r="E7" s="8" t="s">
        <v>2797</v>
      </c>
      <c r="F7" s="8" t="s">
        <v>56</v>
      </c>
      <c r="G7" s="8" t="s">
        <v>44</v>
      </c>
      <c r="H7" s="8">
        <v>1000</v>
      </c>
      <c r="I7" s="8" t="s">
        <v>2798</v>
      </c>
      <c r="J7" s="8">
        <v>1</v>
      </c>
      <c r="K7" s="8">
        <v>238</v>
      </c>
      <c r="L7" s="8">
        <v>239</v>
      </c>
      <c r="M7" s="8">
        <v>238</v>
      </c>
      <c r="N7" s="8">
        <v>415</v>
      </c>
      <c r="O7" s="8">
        <v>413</v>
      </c>
      <c r="P7" s="8">
        <v>412</v>
      </c>
      <c r="Q7" s="9"/>
      <c r="R7" s="16"/>
      <c r="S7" s="10"/>
      <c r="T7" s="10"/>
      <c r="U7" s="10"/>
      <c r="V7" s="11"/>
      <c r="W7" s="12"/>
      <c r="X7" s="17"/>
      <c r="Y7" s="13"/>
      <c r="Z7" s="13"/>
      <c r="AA7" s="13"/>
      <c r="AB7" s="14"/>
      <c r="AC7" s="9"/>
      <c r="AD7" s="16"/>
      <c r="AE7" s="10"/>
      <c r="AF7" s="10"/>
      <c r="AG7" s="10"/>
      <c r="AH7" s="11"/>
      <c r="AI7" s="12"/>
      <c r="AJ7" s="17"/>
      <c r="AK7" s="13"/>
      <c r="AL7" s="13"/>
      <c r="AM7" s="13"/>
      <c r="AN7" s="14"/>
      <c r="AO7" s="9" t="s">
        <v>46</v>
      </c>
      <c r="AP7" s="16"/>
      <c r="AQ7" s="10">
        <v>17</v>
      </c>
      <c r="AR7" s="10">
        <v>41</v>
      </c>
      <c r="AS7" s="10">
        <v>40</v>
      </c>
      <c r="AT7" s="11">
        <v>23</v>
      </c>
      <c r="AU7" s="12" t="s">
        <v>46</v>
      </c>
      <c r="AV7" s="17"/>
      <c r="AW7" s="13">
        <v>57</v>
      </c>
      <c r="AX7" s="13">
        <v>80</v>
      </c>
      <c r="AY7" s="13">
        <v>29</v>
      </c>
      <c r="AZ7" s="14">
        <v>56</v>
      </c>
      <c r="BA7" s="9" t="s">
        <v>47</v>
      </c>
      <c r="BB7" s="16"/>
      <c r="BC7" s="10">
        <v>48</v>
      </c>
      <c r="BD7" s="10">
        <v>15</v>
      </c>
      <c r="BE7" s="10">
        <v>25</v>
      </c>
      <c r="BF7" s="11">
        <v>19</v>
      </c>
      <c r="BG7" s="12" t="s">
        <v>47</v>
      </c>
      <c r="BH7" s="17"/>
      <c r="BI7" s="13">
        <v>163</v>
      </c>
      <c r="BJ7" s="13">
        <v>116</v>
      </c>
      <c r="BK7" s="13">
        <v>146</v>
      </c>
      <c r="BL7" s="14">
        <v>49</v>
      </c>
      <c r="BM7" s="9"/>
      <c r="BN7" s="16"/>
      <c r="BO7" s="10"/>
      <c r="BP7" s="10"/>
      <c r="BQ7" s="10"/>
      <c r="BR7" s="11"/>
      <c r="BS7" s="12"/>
      <c r="BT7" s="17"/>
      <c r="BU7" s="13"/>
      <c r="BV7" s="13"/>
      <c r="BW7" s="13"/>
      <c r="BX7" s="14"/>
      <c r="BY7" s="9"/>
      <c r="BZ7" s="16"/>
      <c r="CA7" s="10"/>
      <c r="CB7" s="10"/>
      <c r="CC7" s="10"/>
      <c r="CD7" s="11"/>
      <c r="CE7" s="12"/>
      <c r="CF7" s="17"/>
      <c r="CG7" s="13"/>
      <c r="CH7" s="13"/>
      <c r="CI7" s="13"/>
      <c r="CJ7" s="14"/>
      <c r="CK7" s="9"/>
      <c r="CL7" s="16"/>
      <c r="CM7" s="10"/>
      <c r="CN7" s="10"/>
      <c r="CO7" s="10"/>
      <c r="CP7" s="11"/>
      <c r="CQ7" s="12"/>
      <c r="CR7" s="17"/>
      <c r="CS7" s="13"/>
      <c r="CT7" s="13"/>
      <c r="CU7" s="13"/>
      <c r="CV7" s="14"/>
      <c r="CW7" s="9"/>
      <c r="CX7" s="16"/>
      <c r="CY7" s="10"/>
      <c r="CZ7" s="10"/>
      <c r="DA7" s="10"/>
      <c r="DB7" s="11"/>
      <c r="DC7" s="12"/>
      <c r="DD7" s="17"/>
      <c r="DE7" s="13"/>
      <c r="DF7" s="13"/>
      <c r="DG7" s="13"/>
      <c r="DH7" s="14"/>
      <c r="DI7" s="8">
        <f t="shared" si="0"/>
        <v>285</v>
      </c>
      <c r="DJ7" s="8">
        <f t="shared" si="1"/>
        <v>252</v>
      </c>
      <c r="DK7" s="8">
        <f t="shared" si="2"/>
        <v>240</v>
      </c>
      <c r="DL7" s="8">
        <f t="shared" si="3"/>
        <v>147</v>
      </c>
      <c r="DM7" s="8">
        <f t="shared" si="4"/>
        <v>285</v>
      </c>
      <c r="DN7" s="8">
        <f t="shared" si="5"/>
        <v>240</v>
      </c>
      <c r="DO7" s="15">
        <f t="shared" si="6"/>
        <v>20.485830926520894</v>
      </c>
      <c r="DP7" s="15" t="str">
        <f t="shared" si="7"/>
        <v>OK - No Upgrade</v>
      </c>
      <c r="DQ7" s="15" t="str">
        <f t="shared" si="8"/>
        <v>Need to Balance</v>
      </c>
    </row>
    <row r="8" spans="1:121" ht="15.75" customHeight="1" x14ac:dyDescent="0.25">
      <c r="A8" s="8" t="s">
        <v>1459</v>
      </c>
      <c r="B8" s="8" t="s">
        <v>2786</v>
      </c>
      <c r="C8" s="8" t="s">
        <v>2296</v>
      </c>
      <c r="D8" s="8" t="s">
        <v>2799</v>
      </c>
      <c r="E8" s="8" t="s">
        <v>2800</v>
      </c>
      <c r="F8" s="8" t="s">
        <v>43</v>
      </c>
      <c r="G8" s="8" t="s">
        <v>44</v>
      </c>
      <c r="H8" s="8">
        <v>315</v>
      </c>
      <c r="I8" s="8" t="s">
        <v>2801</v>
      </c>
      <c r="J8" s="8">
        <v>1</v>
      </c>
      <c r="K8" s="8">
        <v>233</v>
      </c>
      <c r="L8" s="8">
        <v>235</v>
      </c>
      <c r="M8" s="8">
        <v>234</v>
      </c>
      <c r="N8" s="8">
        <v>407</v>
      </c>
      <c r="O8" s="8">
        <v>406</v>
      </c>
      <c r="P8" s="8">
        <v>405</v>
      </c>
      <c r="Q8" s="9" t="s">
        <v>46</v>
      </c>
      <c r="R8" s="16"/>
      <c r="S8" s="10">
        <v>40</v>
      </c>
      <c r="T8" s="10">
        <v>13</v>
      </c>
      <c r="U8" s="10">
        <v>16</v>
      </c>
      <c r="V8" s="11">
        <v>27</v>
      </c>
      <c r="W8" s="12" t="s">
        <v>46</v>
      </c>
      <c r="X8" s="17"/>
      <c r="Y8" s="13">
        <v>104</v>
      </c>
      <c r="Z8" s="13">
        <v>94</v>
      </c>
      <c r="AA8" s="13">
        <v>94</v>
      </c>
      <c r="AB8" s="14">
        <v>14</v>
      </c>
      <c r="AC8" s="9" t="s">
        <v>47</v>
      </c>
      <c r="AD8" s="16"/>
      <c r="AE8" s="10">
        <v>165</v>
      </c>
      <c r="AF8" s="10">
        <v>107</v>
      </c>
      <c r="AG8" s="10">
        <v>138</v>
      </c>
      <c r="AH8" s="11">
        <v>0</v>
      </c>
      <c r="AI8" s="12"/>
      <c r="AJ8" s="17"/>
      <c r="AK8" s="13"/>
      <c r="AL8" s="13"/>
      <c r="AM8" s="13"/>
      <c r="AN8" s="14"/>
      <c r="AO8" s="9"/>
      <c r="AP8" s="16"/>
      <c r="AQ8" s="10"/>
      <c r="AR8" s="10"/>
      <c r="AS8" s="10"/>
      <c r="AT8" s="11"/>
      <c r="AU8" s="12"/>
      <c r="AV8" s="17"/>
      <c r="AW8" s="13"/>
      <c r="AX8" s="13"/>
      <c r="AY8" s="13"/>
      <c r="AZ8" s="14"/>
      <c r="BA8" s="9"/>
      <c r="BB8" s="16"/>
      <c r="BC8" s="10"/>
      <c r="BD8" s="10"/>
      <c r="BE8" s="10"/>
      <c r="BF8" s="11"/>
      <c r="BG8" s="12"/>
      <c r="BH8" s="17"/>
      <c r="BI8" s="13"/>
      <c r="BJ8" s="13"/>
      <c r="BK8" s="13"/>
      <c r="BL8" s="14"/>
      <c r="BM8" s="9"/>
      <c r="BN8" s="16"/>
      <c r="BO8" s="10"/>
      <c r="BP8" s="10"/>
      <c r="BQ8" s="10"/>
      <c r="BR8" s="11"/>
      <c r="BS8" s="12"/>
      <c r="BT8" s="17"/>
      <c r="BU8" s="13"/>
      <c r="BV8" s="13"/>
      <c r="BW8" s="13"/>
      <c r="BX8" s="14"/>
      <c r="BY8" s="9"/>
      <c r="BZ8" s="16"/>
      <c r="CA8" s="10"/>
      <c r="CB8" s="10"/>
      <c r="CC8" s="10"/>
      <c r="CD8" s="11"/>
      <c r="CE8" s="12"/>
      <c r="CF8" s="17"/>
      <c r="CG8" s="13"/>
      <c r="CH8" s="13"/>
      <c r="CI8" s="13"/>
      <c r="CJ8" s="14"/>
      <c r="CK8" s="9"/>
      <c r="CL8" s="16"/>
      <c r="CM8" s="10"/>
      <c r="CN8" s="10"/>
      <c r="CO8" s="10"/>
      <c r="CP8" s="11"/>
      <c r="CQ8" s="12"/>
      <c r="CR8" s="17"/>
      <c r="CS8" s="13"/>
      <c r="CT8" s="13"/>
      <c r="CU8" s="13"/>
      <c r="CV8" s="14"/>
      <c r="CW8" s="9"/>
      <c r="CX8" s="16"/>
      <c r="CY8" s="10"/>
      <c r="CZ8" s="10"/>
      <c r="DA8" s="10"/>
      <c r="DB8" s="11"/>
      <c r="DC8" s="12"/>
      <c r="DD8" s="17"/>
      <c r="DE8" s="13"/>
      <c r="DF8" s="13"/>
      <c r="DG8" s="13"/>
      <c r="DH8" s="14"/>
      <c r="DI8" s="8">
        <f t="shared" si="0"/>
        <v>309</v>
      </c>
      <c r="DJ8" s="8">
        <f t="shared" si="1"/>
        <v>214</v>
      </c>
      <c r="DK8" s="8">
        <f t="shared" si="2"/>
        <v>248</v>
      </c>
      <c r="DL8" s="8">
        <f t="shared" si="3"/>
        <v>41</v>
      </c>
      <c r="DM8" s="8">
        <f t="shared" si="4"/>
        <v>309</v>
      </c>
      <c r="DN8" s="8">
        <f t="shared" si="5"/>
        <v>214</v>
      </c>
      <c r="DO8" s="15">
        <f t="shared" si="6"/>
        <v>69.151716099138</v>
      </c>
      <c r="DP8" s="15" t="str">
        <f t="shared" si="7"/>
        <v>OK - No Upgrade</v>
      </c>
      <c r="DQ8" s="15" t="str">
        <f t="shared" si="8"/>
        <v>Need to Balance</v>
      </c>
    </row>
    <row r="9" spans="1:121" ht="15.75" customHeight="1" x14ac:dyDescent="0.25">
      <c r="A9" s="8" t="s">
        <v>1459</v>
      </c>
      <c r="B9" s="8" t="s">
        <v>2786</v>
      </c>
      <c r="C9" s="8" t="s">
        <v>2296</v>
      </c>
      <c r="D9" s="8" t="s">
        <v>2802</v>
      </c>
      <c r="E9" s="8" t="s">
        <v>2803</v>
      </c>
      <c r="F9" s="8" t="s">
        <v>56</v>
      </c>
      <c r="G9" s="8" t="s">
        <v>44</v>
      </c>
      <c r="H9" s="8">
        <v>2000</v>
      </c>
      <c r="I9" s="8" t="s">
        <v>2804</v>
      </c>
      <c r="J9" s="8">
        <v>1</v>
      </c>
      <c r="K9" s="8">
        <v>243</v>
      </c>
      <c r="L9" s="8">
        <v>244</v>
      </c>
      <c r="M9" s="8">
        <v>244</v>
      </c>
      <c r="N9" s="8">
        <v>421</v>
      </c>
      <c r="O9" s="8">
        <v>421</v>
      </c>
      <c r="P9" s="8">
        <v>423</v>
      </c>
      <c r="Q9" s="9" t="s">
        <v>47</v>
      </c>
      <c r="R9" s="16"/>
      <c r="S9" s="10">
        <v>111</v>
      </c>
      <c r="T9" s="10">
        <v>93</v>
      </c>
      <c r="U9" s="10">
        <v>90</v>
      </c>
      <c r="V9" s="11">
        <v>47</v>
      </c>
      <c r="W9" s="12" t="s">
        <v>47</v>
      </c>
      <c r="X9" s="17"/>
      <c r="Y9" s="13">
        <v>82</v>
      </c>
      <c r="Z9" s="13">
        <v>68</v>
      </c>
      <c r="AA9" s="13">
        <v>49</v>
      </c>
      <c r="AB9" s="14">
        <v>12</v>
      </c>
      <c r="AC9" s="9" t="s">
        <v>47</v>
      </c>
      <c r="AD9" s="16"/>
      <c r="AE9" s="10">
        <v>63</v>
      </c>
      <c r="AF9" s="10">
        <v>163</v>
      </c>
      <c r="AG9" s="10">
        <v>147</v>
      </c>
      <c r="AH9" s="11">
        <v>67</v>
      </c>
      <c r="AI9" s="12" t="s">
        <v>47</v>
      </c>
      <c r="AJ9" s="17"/>
      <c r="AK9" s="13">
        <v>0</v>
      </c>
      <c r="AL9" s="13">
        <v>0</v>
      </c>
      <c r="AM9" s="13">
        <v>14</v>
      </c>
      <c r="AN9" s="14">
        <v>13</v>
      </c>
      <c r="AO9" s="9" t="s">
        <v>47</v>
      </c>
      <c r="AP9" s="16"/>
      <c r="AQ9" s="10">
        <v>152</v>
      </c>
      <c r="AR9" s="10">
        <v>126</v>
      </c>
      <c r="AS9" s="10">
        <v>168</v>
      </c>
      <c r="AT9" s="11">
        <v>37</v>
      </c>
      <c r="AU9" s="12" t="s">
        <v>47</v>
      </c>
      <c r="AV9" s="17"/>
      <c r="AW9" s="13">
        <v>165</v>
      </c>
      <c r="AX9" s="13">
        <v>158</v>
      </c>
      <c r="AY9" s="13">
        <v>175</v>
      </c>
      <c r="AZ9" s="14">
        <v>27</v>
      </c>
      <c r="BA9" s="9"/>
      <c r="BB9" s="16"/>
      <c r="BC9" s="10"/>
      <c r="BD9" s="10"/>
      <c r="BE9" s="10"/>
      <c r="BF9" s="11"/>
      <c r="BG9" s="12" t="s">
        <v>47</v>
      </c>
      <c r="BH9" s="17"/>
      <c r="BI9" s="13">
        <v>45</v>
      </c>
      <c r="BJ9" s="13">
        <v>52</v>
      </c>
      <c r="BK9" s="13">
        <v>0</v>
      </c>
      <c r="BL9" s="14">
        <v>37</v>
      </c>
      <c r="BM9" s="9" t="s">
        <v>47</v>
      </c>
      <c r="BN9" s="16"/>
      <c r="BO9" s="10">
        <v>0</v>
      </c>
      <c r="BP9" s="10">
        <v>0</v>
      </c>
      <c r="BQ9" s="10">
        <v>0</v>
      </c>
      <c r="BR9" s="11">
        <v>0</v>
      </c>
      <c r="BS9" s="12" t="s">
        <v>47</v>
      </c>
      <c r="BT9" s="17"/>
      <c r="BU9" s="13">
        <v>0</v>
      </c>
      <c r="BV9" s="13">
        <v>0</v>
      </c>
      <c r="BW9" s="13">
        <v>0</v>
      </c>
      <c r="BX9" s="14">
        <v>0</v>
      </c>
      <c r="BY9" s="9" t="s">
        <v>47</v>
      </c>
      <c r="BZ9" s="16"/>
      <c r="CA9" s="10">
        <v>96</v>
      </c>
      <c r="CB9" s="10">
        <v>116</v>
      </c>
      <c r="CC9" s="10">
        <v>67</v>
      </c>
      <c r="CD9" s="11">
        <v>32</v>
      </c>
      <c r="CE9" s="12"/>
      <c r="CF9" s="17"/>
      <c r="CG9" s="13"/>
      <c r="CH9" s="13"/>
      <c r="CI9" s="13"/>
      <c r="CJ9" s="14"/>
      <c r="CK9" s="9"/>
      <c r="CL9" s="16"/>
      <c r="CM9" s="10"/>
      <c r="CN9" s="10"/>
      <c r="CO9" s="10"/>
      <c r="CP9" s="11"/>
      <c r="CQ9" s="12"/>
      <c r="CR9" s="17"/>
      <c r="CS9" s="13"/>
      <c r="CT9" s="13"/>
      <c r="CU9" s="13"/>
      <c r="CV9" s="14"/>
      <c r="CW9" s="9"/>
      <c r="CX9" s="16"/>
      <c r="CY9" s="10"/>
      <c r="CZ9" s="10"/>
      <c r="DA9" s="10"/>
      <c r="DB9" s="11"/>
      <c r="DC9" s="12"/>
      <c r="DD9" s="17"/>
      <c r="DE9" s="13"/>
      <c r="DF9" s="13"/>
      <c r="DG9" s="13"/>
      <c r="DH9" s="14"/>
      <c r="DI9" s="8">
        <f t="shared" si="0"/>
        <v>714</v>
      </c>
      <c r="DJ9" s="8">
        <f t="shared" si="1"/>
        <v>776</v>
      </c>
      <c r="DK9" s="8">
        <f t="shared" si="2"/>
        <v>710</v>
      </c>
      <c r="DL9" s="8">
        <f t="shared" si="3"/>
        <v>272</v>
      </c>
      <c r="DM9" s="8">
        <f t="shared" si="4"/>
        <v>776</v>
      </c>
      <c r="DN9" s="8">
        <f t="shared" si="5"/>
        <v>710</v>
      </c>
      <c r="DO9" s="15">
        <f t="shared" si="6"/>
        <v>28.2927035314761</v>
      </c>
      <c r="DP9" s="15" t="str">
        <f t="shared" si="7"/>
        <v>OK - No Upgrade</v>
      </c>
      <c r="DQ9" s="15" t="str">
        <f t="shared" si="8"/>
        <v>OK - Balanced</v>
      </c>
    </row>
    <row r="10" spans="1:121" ht="15.75" customHeight="1" x14ac:dyDescent="0.25">
      <c r="A10" s="8" t="s">
        <v>1459</v>
      </c>
      <c r="B10" s="8" t="s">
        <v>2786</v>
      </c>
      <c r="C10" s="8" t="s">
        <v>2296</v>
      </c>
      <c r="D10" s="8" t="s">
        <v>2805</v>
      </c>
      <c r="E10" s="8" t="s">
        <v>2806</v>
      </c>
      <c r="F10" s="8" t="s">
        <v>56</v>
      </c>
      <c r="G10" s="8" t="s">
        <v>44</v>
      </c>
      <c r="H10" s="8">
        <v>500</v>
      </c>
      <c r="I10" s="8" t="s">
        <v>2807</v>
      </c>
      <c r="J10" s="8">
        <v>1</v>
      </c>
      <c r="K10" s="8">
        <v>241</v>
      </c>
      <c r="L10" s="8">
        <v>240</v>
      </c>
      <c r="M10" s="8">
        <v>240</v>
      </c>
      <c r="N10" s="8">
        <v>418</v>
      </c>
      <c r="O10" s="8">
        <v>416</v>
      </c>
      <c r="P10" s="8">
        <v>417</v>
      </c>
      <c r="Q10" s="9" t="s">
        <v>47</v>
      </c>
      <c r="R10" s="16"/>
      <c r="S10" s="10">
        <v>35</v>
      </c>
      <c r="T10" s="10">
        <v>40</v>
      </c>
      <c r="U10" s="10">
        <v>55</v>
      </c>
      <c r="V10" s="11">
        <v>30</v>
      </c>
      <c r="W10" s="12"/>
      <c r="X10" s="17"/>
      <c r="Y10" s="13"/>
      <c r="Z10" s="13"/>
      <c r="AA10" s="13"/>
      <c r="AB10" s="14"/>
      <c r="AC10" s="9"/>
      <c r="AD10" s="16"/>
      <c r="AE10" s="10"/>
      <c r="AF10" s="10"/>
      <c r="AG10" s="10"/>
      <c r="AH10" s="11"/>
      <c r="AI10" s="12"/>
      <c r="AJ10" s="17"/>
      <c r="AK10" s="13"/>
      <c r="AL10" s="13"/>
      <c r="AM10" s="13"/>
      <c r="AN10" s="14"/>
      <c r="AO10" s="9"/>
      <c r="AP10" s="16"/>
      <c r="AQ10" s="10"/>
      <c r="AR10" s="10"/>
      <c r="AS10" s="10"/>
      <c r="AT10" s="11"/>
      <c r="AU10" s="12"/>
      <c r="AV10" s="17"/>
      <c r="AW10" s="13"/>
      <c r="AX10" s="13"/>
      <c r="AY10" s="13"/>
      <c r="AZ10" s="14"/>
      <c r="BA10" s="9"/>
      <c r="BB10" s="16"/>
      <c r="BC10" s="10"/>
      <c r="BD10" s="10"/>
      <c r="BE10" s="10"/>
      <c r="BF10" s="11"/>
      <c r="BG10" s="12"/>
      <c r="BH10" s="17"/>
      <c r="BI10" s="13"/>
      <c r="BJ10" s="13"/>
      <c r="BK10" s="13"/>
      <c r="BL10" s="14"/>
      <c r="BM10" s="9"/>
      <c r="BN10" s="16"/>
      <c r="BO10" s="10"/>
      <c r="BP10" s="10"/>
      <c r="BQ10" s="10"/>
      <c r="BR10" s="11"/>
      <c r="BS10" s="12"/>
      <c r="BT10" s="17"/>
      <c r="BU10" s="13"/>
      <c r="BV10" s="13"/>
      <c r="BW10" s="13"/>
      <c r="BX10" s="14"/>
      <c r="BY10" s="9"/>
      <c r="BZ10" s="16"/>
      <c r="CA10" s="10"/>
      <c r="CB10" s="10"/>
      <c r="CC10" s="10"/>
      <c r="CD10" s="11"/>
      <c r="CE10" s="12"/>
      <c r="CF10" s="17"/>
      <c r="CG10" s="13"/>
      <c r="CH10" s="13"/>
      <c r="CI10" s="13"/>
      <c r="CJ10" s="14"/>
      <c r="CK10" s="9"/>
      <c r="CL10" s="16"/>
      <c r="CM10" s="10"/>
      <c r="CN10" s="10"/>
      <c r="CO10" s="10"/>
      <c r="CP10" s="11"/>
      <c r="CQ10" s="12"/>
      <c r="CR10" s="17"/>
      <c r="CS10" s="13"/>
      <c r="CT10" s="13"/>
      <c r="CU10" s="13"/>
      <c r="CV10" s="14"/>
      <c r="CW10" s="9"/>
      <c r="CX10" s="16"/>
      <c r="CY10" s="10"/>
      <c r="CZ10" s="10"/>
      <c r="DA10" s="10"/>
      <c r="DB10" s="11"/>
      <c r="DC10" s="12"/>
      <c r="DD10" s="17"/>
      <c r="DE10" s="13"/>
      <c r="DF10" s="13"/>
      <c r="DG10" s="13"/>
      <c r="DH10" s="14"/>
      <c r="DI10" s="8">
        <f t="shared" si="0"/>
        <v>35</v>
      </c>
      <c r="DJ10" s="8">
        <f t="shared" si="1"/>
        <v>40</v>
      </c>
      <c r="DK10" s="8">
        <f t="shared" si="2"/>
        <v>55</v>
      </c>
      <c r="DL10" s="8">
        <f t="shared" si="3"/>
        <v>30</v>
      </c>
      <c r="DM10" s="8">
        <f t="shared" si="4"/>
        <v>55</v>
      </c>
      <c r="DN10" s="8">
        <f t="shared" si="5"/>
        <v>35</v>
      </c>
      <c r="DO10" s="15">
        <f t="shared" si="6"/>
        <v>7.9639696132016979</v>
      </c>
      <c r="DP10" s="15" t="str">
        <f t="shared" si="7"/>
        <v>OK - No Upgrade</v>
      </c>
      <c r="DQ10" s="15" t="str">
        <f t="shared" si="8"/>
        <v>Need to Balance</v>
      </c>
    </row>
    <row r="11" spans="1:121" ht="15.75" customHeight="1" x14ac:dyDescent="0.25">
      <c r="A11" s="8" t="s">
        <v>1459</v>
      </c>
      <c r="B11" s="8" t="s">
        <v>2786</v>
      </c>
      <c r="C11" s="8" t="s">
        <v>2296</v>
      </c>
      <c r="D11" s="8" t="s">
        <v>2808</v>
      </c>
      <c r="E11" s="8" t="s">
        <v>2809</v>
      </c>
      <c r="F11" s="8" t="s">
        <v>43</v>
      </c>
      <c r="G11" s="8" t="s">
        <v>44</v>
      </c>
      <c r="H11" s="8">
        <v>315</v>
      </c>
      <c r="I11" s="8" t="s">
        <v>2810</v>
      </c>
      <c r="J11" s="8">
        <v>1</v>
      </c>
      <c r="K11" s="8">
        <v>239</v>
      </c>
      <c r="L11" s="8">
        <v>239</v>
      </c>
      <c r="M11" s="8">
        <v>237</v>
      </c>
      <c r="N11" s="8">
        <v>415</v>
      </c>
      <c r="O11" s="8">
        <v>411</v>
      </c>
      <c r="P11" s="8">
        <v>412</v>
      </c>
      <c r="Q11" s="9" t="s">
        <v>46</v>
      </c>
      <c r="R11" s="16"/>
      <c r="S11" s="10">
        <v>127</v>
      </c>
      <c r="T11" s="10">
        <v>100</v>
      </c>
      <c r="U11" s="10">
        <v>137</v>
      </c>
      <c r="V11" s="11">
        <v>35</v>
      </c>
      <c r="W11" s="12" t="s">
        <v>46</v>
      </c>
      <c r="X11" s="17"/>
      <c r="Y11" s="13">
        <v>62</v>
      </c>
      <c r="Z11" s="13">
        <v>156</v>
      </c>
      <c r="AA11" s="13">
        <v>155</v>
      </c>
      <c r="AB11" s="14">
        <v>81</v>
      </c>
      <c r="AC11" s="9"/>
      <c r="AD11" s="16"/>
      <c r="AE11" s="10"/>
      <c r="AF11" s="10"/>
      <c r="AG11" s="10"/>
      <c r="AH11" s="11"/>
      <c r="AI11" s="12"/>
      <c r="AJ11" s="17"/>
      <c r="AK11" s="13"/>
      <c r="AL11" s="13"/>
      <c r="AM11" s="13"/>
      <c r="AN11" s="14"/>
      <c r="AO11" s="9"/>
      <c r="AP11" s="16"/>
      <c r="AQ11" s="10"/>
      <c r="AR11" s="10"/>
      <c r="AS11" s="10"/>
      <c r="AT11" s="11"/>
      <c r="AU11" s="12"/>
      <c r="AV11" s="17"/>
      <c r="AW11" s="13"/>
      <c r="AX11" s="13"/>
      <c r="AY11" s="13"/>
      <c r="AZ11" s="14"/>
      <c r="BA11" s="9"/>
      <c r="BB11" s="16"/>
      <c r="BC11" s="10"/>
      <c r="BD11" s="10"/>
      <c r="BE11" s="10"/>
      <c r="BF11" s="11"/>
      <c r="BG11" s="12"/>
      <c r="BH11" s="17"/>
      <c r="BI11" s="13"/>
      <c r="BJ11" s="13"/>
      <c r="BK11" s="13"/>
      <c r="BL11" s="14"/>
      <c r="BM11" s="9"/>
      <c r="BN11" s="16"/>
      <c r="BO11" s="10"/>
      <c r="BP11" s="10"/>
      <c r="BQ11" s="10"/>
      <c r="BR11" s="11"/>
      <c r="BS11" s="12"/>
      <c r="BT11" s="17"/>
      <c r="BU11" s="13"/>
      <c r="BV11" s="13"/>
      <c r="BW11" s="13"/>
      <c r="BX11" s="14"/>
      <c r="BY11" s="9"/>
      <c r="BZ11" s="16"/>
      <c r="CA11" s="10"/>
      <c r="CB11" s="10"/>
      <c r="CC11" s="10"/>
      <c r="CD11" s="11"/>
      <c r="CE11" s="12"/>
      <c r="CF11" s="17"/>
      <c r="CG11" s="13"/>
      <c r="CH11" s="13"/>
      <c r="CI11" s="13"/>
      <c r="CJ11" s="14"/>
      <c r="CK11" s="9"/>
      <c r="CL11" s="16"/>
      <c r="CM11" s="10"/>
      <c r="CN11" s="10"/>
      <c r="CO11" s="10"/>
      <c r="CP11" s="11"/>
      <c r="CQ11" s="12"/>
      <c r="CR11" s="17"/>
      <c r="CS11" s="13"/>
      <c r="CT11" s="13"/>
      <c r="CU11" s="13"/>
      <c r="CV11" s="14"/>
      <c r="CW11" s="9"/>
      <c r="CX11" s="16"/>
      <c r="CY11" s="10"/>
      <c r="CZ11" s="10"/>
      <c r="DA11" s="10"/>
      <c r="DB11" s="11"/>
      <c r="DC11" s="12"/>
      <c r="DD11" s="17"/>
      <c r="DE11" s="13"/>
      <c r="DF11" s="13"/>
      <c r="DG11" s="13"/>
      <c r="DH11" s="14"/>
      <c r="DI11" s="8">
        <f t="shared" si="0"/>
        <v>189</v>
      </c>
      <c r="DJ11" s="8">
        <f t="shared" si="1"/>
        <v>256</v>
      </c>
      <c r="DK11" s="8">
        <f t="shared" si="2"/>
        <v>292</v>
      </c>
      <c r="DL11" s="8">
        <f t="shared" si="3"/>
        <v>116</v>
      </c>
      <c r="DM11" s="8">
        <f t="shared" si="4"/>
        <v>292</v>
      </c>
      <c r="DN11" s="8">
        <f t="shared" si="5"/>
        <v>189</v>
      </c>
      <c r="DO11" s="15">
        <f t="shared" si="6"/>
        <v>66.63171963847509</v>
      </c>
      <c r="DP11" s="15" t="str">
        <f t="shared" si="7"/>
        <v>OK - No Upgrade</v>
      </c>
      <c r="DQ11" s="15" t="str">
        <f t="shared" si="8"/>
        <v>Need to Balance</v>
      </c>
    </row>
    <row r="12" spans="1:121" ht="15.75" customHeight="1" x14ac:dyDescent="0.25">
      <c r="A12" s="8" t="s">
        <v>1459</v>
      </c>
      <c r="B12" s="8" t="s">
        <v>2786</v>
      </c>
      <c r="C12" s="8" t="s">
        <v>2296</v>
      </c>
      <c r="D12" s="8" t="s">
        <v>2811</v>
      </c>
      <c r="E12" s="8" t="s">
        <v>2812</v>
      </c>
      <c r="F12" s="8" t="s">
        <v>43</v>
      </c>
      <c r="G12" s="8" t="s">
        <v>44</v>
      </c>
      <c r="H12" s="8">
        <v>315</v>
      </c>
      <c r="I12" s="8" t="s">
        <v>2813</v>
      </c>
      <c r="J12" s="8">
        <v>1</v>
      </c>
      <c r="K12" s="8">
        <v>243</v>
      </c>
      <c r="L12" s="8">
        <v>245</v>
      </c>
      <c r="M12" s="8">
        <v>245</v>
      </c>
      <c r="N12" s="8">
        <v>421</v>
      </c>
      <c r="O12" s="8">
        <v>424</v>
      </c>
      <c r="P12" s="8">
        <v>423</v>
      </c>
      <c r="Q12" s="9" t="s">
        <v>47</v>
      </c>
      <c r="R12" s="16"/>
      <c r="S12" s="10">
        <v>49</v>
      </c>
      <c r="T12" s="10">
        <v>58</v>
      </c>
      <c r="U12" s="10">
        <v>34</v>
      </c>
      <c r="V12" s="11">
        <v>27</v>
      </c>
      <c r="W12" s="12" t="s">
        <v>47</v>
      </c>
      <c r="X12" s="17"/>
      <c r="Y12" s="13">
        <v>144</v>
      </c>
      <c r="Z12" s="13">
        <v>52</v>
      </c>
      <c r="AA12" s="13">
        <v>75</v>
      </c>
      <c r="AB12" s="14">
        <v>75</v>
      </c>
      <c r="AC12" s="9"/>
      <c r="AD12" s="16"/>
      <c r="AE12" s="10"/>
      <c r="AF12" s="10"/>
      <c r="AG12" s="10"/>
      <c r="AH12" s="11"/>
      <c r="AI12" s="12"/>
      <c r="AJ12" s="17"/>
      <c r="AK12" s="13"/>
      <c r="AL12" s="13"/>
      <c r="AM12" s="13"/>
      <c r="AN12" s="14"/>
      <c r="AO12" s="9"/>
      <c r="AP12" s="16"/>
      <c r="AQ12" s="10"/>
      <c r="AR12" s="10"/>
      <c r="AS12" s="10"/>
      <c r="AT12" s="11"/>
      <c r="AU12" s="12"/>
      <c r="AV12" s="17"/>
      <c r="AW12" s="13"/>
      <c r="AX12" s="13"/>
      <c r="AY12" s="13"/>
      <c r="AZ12" s="14"/>
      <c r="BA12" s="9"/>
      <c r="BB12" s="16"/>
      <c r="BC12" s="10"/>
      <c r="BD12" s="10"/>
      <c r="BE12" s="10"/>
      <c r="BF12" s="11"/>
      <c r="BG12" s="12"/>
      <c r="BH12" s="17"/>
      <c r="BI12" s="13"/>
      <c r="BJ12" s="13"/>
      <c r="BK12" s="13"/>
      <c r="BL12" s="14"/>
      <c r="BM12" s="9"/>
      <c r="BN12" s="16"/>
      <c r="BO12" s="10"/>
      <c r="BP12" s="10"/>
      <c r="BQ12" s="10"/>
      <c r="BR12" s="11"/>
      <c r="BS12" s="12"/>
      <c r="BT12" s="17"/>
      <c r="BU12" s="13"/>
      <c r="BV12" s="13"/>
      <c r="BW12" s="13"/>
      <c r="BX12" s="14"/>
      <c r="BY12" s="9"/>
      <c r="BZ12" s="16"/>
      <c r="CA12" s="10"/>
      <c r="CB12" s="10"/>
      <c r="CC12" s="10"/>
      <c r="CD12" s="11"/>
      <c r="CE12" s="12"/>
      <c r="CF12" s="17"/>
      <c r="CG12" s="13"/>
      <c r="CH12" s="13"/>
      <c r="CI12" s="13"/>
      <c r="CJ12" s="14"/>
      <c r="CK12" s="9"/>
      <c r="CL12" s="16"/>
      <c r="CM12" s="10"/>
      <c r="CN12" s="10"/>
      <c r="CO12" s="10"/>
      <c r="CP12" s="11"/>
      <c r="CQ12" s="12"/>
      <c r="CR12" s="17"/>
      <c r="CS12" s="13"/>
      <c r="CT12" s="13"/>
      <c r="CU12" s="13"/>
      <c r="CV12" s="14"/>
      <c r="CW12" s="9"/>
      <c r="CX12" s="16"/>
      <c r="CY12" s="10"/>
      <c r="CZ12" s="10"/>
      <c r="DA12" s="10"/>
      <c r="DB12" s="11"/>
      <c r="DC12" s="12"/>
      <c r="DD12" s="17"/>
      <c r="DE12" s="13"/>
      <c r="DF12" s="13"/>
      <c r="DG12" s="13"/>
      <c r="DH12" s="14"/>
      <c r="DI12" s="8">
        <f t="shared" si="0"/>
        <v>193</v>
      </c>
      <c r="DJ12" s="8">
        <f t="shared" si="1"/>
        <v>110</v>
      </c>
      <c r="DK12" s="8">
        <f t="shared" si="2"/>
        <v>109</v>
      </c>
      <c r="DL12" s="8">
        <f t="shared" si="3"/>
        <v>102</v>
      </c>
      <c r="DM12" s="8">
        <f t="shared" si="4"/>
        <v>193</v>
      </c>
      <c r="DN12" s="8">
        <f t="shared" si="5"/>
        <v>109</v>
      </c>
      <c r="DO12" s="15">
        <f t="shared" si="6"/>
        <v>44.67756325949015</v>
      </c>
      <c r="DP12" s="15" t="str">
        <f t="shared" si="7"/>
        <v>OK - No Upgrade</v>
      </c>
      <c r="DQ12" s="15" t="str">
        <f t="shared" si="8"/>
        <v>Need to Balance</v>
      </c>
    </row>
    <row r="13" spans="1:121" ht="15.75" customHeight="1" x14ac:dyDescent="0.25">
      <c r="A13" s="8" t="s">
        <v>1459</v>
      </c>
      <c r="B13" s="8" t="s">
        <v>2786</v>
      </c>
      <c r="C13" s="8" t="s">
        <v>2296</v>
      </c>
      <c r="D13" s="8" t="s">
        <v>2814</v>
      </c>
      <c r="E13" s="8" t="s">
        <v>2815</v>
      </c>
      <c r="F13" s="8" t="s">
        <v>43</v>
      </c>
      <c r="G13" s="8" t="s">
        <v>44</v>
      </c>
      <c r="H13" s="8">
        <v>315</v>
      </c>
      <c r="I13" s="8" t="s">
        <v>2816</v>
      </c>
      <c r="J13" s="8">
        <v>1</v>
      </c>
      <c r="K13" s="8">
        <v>245</v>
      </c>
      <c r="L13" s="8">
        <v>247</v>
      </c>
      <c r="M13" s="8">
        <v>247</v>
      </c>
      <c r="N13" s="8">
        <v>426</v>
      </c>
      <c r="O13" s="8">
        <v>427</v>
      </c>
      <c r="P13" s="8">
        <v>425</v>
      </c>
      <c r="Q13" s="9" t="s">
        <v>46</v>
      </c>
      <c r="R13" s="16"/>
      <c r="S13" s="10">
        <v>147</v>
      </c>
      <c r="T13" s="10">
        <v>96</v>
      </c>
      <c r="U13" s="10">
        <v>148</v>
      </c>
      <c r="V13" s="11">
        <v>54</v>
      </c>
      <c r="W13" s="12" t="s">
        <v>46</v>
      </c>
      <c r="X13" s="17"/>
      <c r="Y13" s="13">
        <v>52</v>
      </c>
      <c r="Z13" s="13">
        <v>35</v>
      </c>
      <c r="AA13" s="13">
        <v>20</v>
      </c>
      <c r="AB13" s="14">
        <v>37</v>
      </c>
      <c r="AC13" s="9"/>
      <c r="AD13" s="16"/>
      <c r="AE13" s="10"/>
      <c r="AF13" s="10"/>
      <c r="AG13" s="10"/>
      <c r="AH13" s="11"/>
      <c r="AI13" s="12"/>
      <c r="AJ13" s="17"/>
      <c r="AK13" s="13"/>
      <c r="AL13" s="13"/>
      <c r="AM13" s="13"/>
      <c r="AN13" s="14"/>
      <c r="AO13" s="9"/>
      <c r="AP13" s="16"/>
      <c r="AQ13" s="10"/>
      <c r="AR13" s="10"/>
      <c r="AS13" s="10"/>
      <c r="AT13" s="11"/>
      <c r="AU13" s="12"/>
      <c r="AV13" s="17"/>
      <c r="AW13" s="13"/>
      <c r="AX13" s="13"/>
      <c r="AY13" s="13"/>
      <c r="AZ13" s="14"/>
      <c r="BA13" s="9"/>
      <c r="BB13" s="16"/>
      <c r="BC13" s="10"/>
      <c r="BD13" s="10"/>
      <c r="BE13" s="10"/>
      <c r="BF13" s="11"/>
      <c r="BG13" s="12"/>
      <c r="BH13" s="17"/>
      <c r="BI13" s="13"/>
      <c r="BJ13" s="13"/>
      <c r="BK13" s="13"/>
      <c r="BL13" s="14"/>
      <c r="BM13" s="9"/>
      <c r="BN13" s="16"/>
      <c r="BO13" s="10"/>
      <c r="BP13" s="10"/>
      <c r="BQ13" s="10"/>
      <c r="BR13" s="11"/>
      <c r="BS13" s="12"/>
      <c r="BT13" s="17"/>
      <c r="BU13" s="13"/>
      <c r="BV13" s="13"/>
      <c r="BW13" s="13"/>
      <c r="BX13" s="14"/>
      <c r="BY13" s="9"/>
      <c r="BZ13" s="16"/>
      <c r="CA13" s="10"/>
      <c r="CB13" s="10"/>
      <c r="CC13" s="10"/>
      <c r="CD13" s="11"/>
      <c r="CE13" s="12"/>
      <c r="CF13" s="17"/>
      <c r="CG13" s="13"/>
      <c r="CH13" s="13"/>
      <c r="CI13" s="13"/>
      <c r="CJ13" s="14"/>
      <c r="CK13" s="9"/>
      <c r="CL13" s="16"/>
      <c r="CM13" s="10"/>
      <c r="CN13" s="10"/>
      <c r="CO13" s="10"/>
      <c r="CP13" s="11"/>
      <c r="CQ13" s="12"/>
      <c r="CR13" s="17"/>
      <c r="CS13" s="13"/>
      <c r="CT13" s="13"/>
      <c r="CU13" s="13"/>
      <c r="CV13" s="14"/>
      <c r="CW13" s="9"/>
      <c r="CX13" s="16"/>
      <c r="CY13" s="10"/>
      <c r="CZ13" s="10"/>
      <c r="DA13" s="10"/>
      <c r="DB13" s="11"/>
      <c r="DC13" s="12"/>
      <c r="DD13" s="17"/>
      <c r="DE13" s="13"/>
      <c r="DF13" s="13"/>
      <c r="DG13" s="13"/>
      <c r="DH13" s="14"/>
      <c r="DI13" s="8">
        <f t="shared" si="0"/>
        <v>199</v>
      </c>
      <c r="DJ13" s="8">
        <f t="shared" si="1"/>
        <v>131</v>
      </c>
      <c r="DK13" s="8">
        <f t="shared" si="2"/>
        <v>168</v>
      </c>
      <c r="DL13" s="8">
        <f t="shared" si="3"/>
        <v>91</v>
      </c>
      <c r="DM13" s="8">
        <f t="shared" si="4"/>
        <v>199</v>
      </c>
      <c r="DN13" s="8">
        <f t="shared" si="5"/>
        <v>131</v>
      </c>
      <c r="DO13" s="15">
        <f t="shared" si="6"/>
        <v>46.613611162172688</v>
      </c>
      <c r="DP13" s="15" t="str">
        <f t="shared" si="7"/>
        <v>OK - No Upgrade</v>
      </c>
      <c r="DQ13" s="15" t="str">
        <f t="shared" si="8"/>
        <v>Need to Balance</v>
      </c>
    </row>
    <row r="14" spans="1:121" ht="15.75" customHeight="1" x14ac:dyDescent="0.25">
      <c r="A14" s="8" t="s">
        <v>1459</v>
      </c>
      <c r="B14" s="8" t="s">
        <v>2786</v>
      </c>
      <c r="C14" s="8" t="s">
        <v>2296</v>
      </c>
      <c r="D14" s="8" t="s">
        <v>2817</v>
      </c>
      <c r="E14" s="8" t="s">
        <v>2818</v>
      </c>
      <c r="F14" s="8" t="s">
        <v>43</v>
      </c>
      <c r="G14" s="8" t="s">
        <v>44</v>
      </c>
      <c r="H14" s="8">
        <v>315</v>
      </c>
      <c r="I14" s="8" t="s">
        <v>2819</v>
      </c>
      <c r="J14" s="8">
        <v>1</v>
      </c>
      <c r="K14" s="8">
        <v>239</v>
      </c>
      <c r="L14" s="8">
        <v>239</v>
      </c>
      <c r="M14" s="8">
        <v>238</v>
      </c>
      <c r="N14" s="8">
        <v>414</v>
      </c>
      <c r="O14" s="8">
        <v>413</v>
      </c>
      <c r="P14" s="8">
        <v>414</v>
      </c>
      <c r="Q14" s="9" t="s">
        <v>46</v>
      </c>
      <c r="R14" s="16"/>
      <c r="S14" s="10">
        <v>159</v>
      </c>
      <c r="T14" s="10">
        <v>193</v>
      </c>
      <c r="U14" s="10">
        <v>108</v>
      </c>
      <c r="V14" s="11">
        <v>65</v>
      </c>
      <c r="W14" s="12" t="s">
        <v>46</v>
      </c>
      <c r="X14" s="17"/>
      <c r="Y14" s="13">
        <v>114</v>
      </c>
      <c r="Z14" s="13">
        <v>112</v>
      </c>
      <c r="AA14" s="13">
        <v>175</v>
      </c>
      <c r="AB14" s="14">
        <v>52</v>
      </c>
      <c r="AC14" s="9"/>
      <c r="AD14" s="16"/>
      <c r="AE14" s="10"/>
      <c r="AF14" s="10"/>
      <c r="AG14" s="10"/>
      <c r="AH14" s="11"/>
      <c r="AI14" s="12"/>
      <c r="AJ14" s="17"/>
      <c r="AK14" s="13"/>
      <c r="AL14" s="13"/>
      <c r="AM14" s="13"/>
      <c r="AN14" s="14"/>
      <c r="AO14" s="9"/>
      <c r="AP14" s="16"/>
      <c r="AQ14" s="10"/>
      <c r="AR14" s="10"/>
      <c r="AS14" s="10"/>
      <c r="AT14" s="11"/>
      <c r="AU14" s="12"/>
      <c r="AV14" s="17"/>
      <c r="AW14" s="13"/>
      <c r="AX14" s="13"/>
      <c r="AY14" s="13"/>
      <c r="AZ14" s="14"/>
      <c r="BA14" s="9"/>
      <c r="BB14" s="16"/>
      <c r="BC14" s="10"/>
      <c r="BD14" s="10"/>
      <c r="BE14" s="10"/>
      <c r="BF14" s="11"/>
      <c r="BG14" s="12"/>
      <c r="BH14" s="17"/>
      <c r="BI14" s="13"/>
      <c r="BJ14" s="13"/>
      <c r="BK14" s="13"/>
      <c r="BL14" s="14"/>
      <c r="BM14" s="9"/>
      <c r="BN14" s="16"/>
      <c r="BO14" s="10"/>
      <c r="BP14" s="10"/>
      <c r="BQ14" s="10"/>
      <c r="BR14" s="11"/>
      <c r="BS14" s="12"/>
      <c r="BT14" s="17"/>
      <c r="BU14" s="13"/>
      <c r="BV14" s="13"/>
      <c r="BW14" s="13"/>
      <c r="BX14" s="14"/>
      <c r="BY14" s="9"/>
      <c r="BZ14" s="16"/>
      <c r="CA14" s="10"/>
      <c r="CB14" s="10"/>
      <c r="CC14" s="10"/>
      <c r="CD14" s="11"/>
      <c r="CE14" s="12"/>
      <c r="CF14" s="17"/>
      <c r="CG14" s="13"/>
      <c r="CH14" s="13"/>
      <c r="CI14" s="13"/>
      <c r="CJ14" s="14"/>
      <c r="CK14" s="9"/>
      <c r="CL14" s="16"/>
      <c r="CM14" s="10"/>
      <c r="CN14" s="10"/>
      <c r="CO14" s="10"/>
      <c r="CP14" s="11"/>
      <c r="CQ14" s="12"/>
      <c r="CR14" s="17"/>
      <c r="CS14" s="13"/>
      <c r="CT14" s="13"/>
      <c r="CU14" s="13"/>
      <c r="CV14" s="14"/>
      <c r="CW14" s="9"/>
      <c r="CX14" s="16"/>
      <c r="CY14" s="10"/>
      <c r="CZ14" s="10"/>
      <c r="DA14" s="10"/>
      <c r="DB14" s="11"/>
      <c r="DC14" s="12"/>
      <c r="DD14" s="17"/>
      <c r="DE14" s="13"/>
      <c r="DF14" s="13"/>
      <c r="DG14" s="13"/>
      <c r="DH14" s="14"/>
      <c r="DI14" s="8">
        <f t="shared" si="0"/>
        <v>273</v>
      </c>
      <c r="DJ14" s="8">
        <f t="shared" si="1"/>
        <v>305</v>
      </c>
      <c r="DK14" s="8">
        <f t="shared" si="2"/>
        <v>283</v>
      </c>
      <c r="DL14" s="8">
        <f t="shared" si="3"/>
        <v>117</v>
      </c>
      <c r="DM14" s="8">
        <f t="shared" si="4"/>
        <v>305</v>
      </c>
      <c r="DN14" s="8">
        <f t="shared" si="5"/>
        <v>273</v>
      </c>
      <c r="DO14" s="15">
        <f t="shared" si="6"/>
        <v>69.430493800546714</v>
      </c>
      <c r="DP14" s="15" t="str">
        <f t="shared" si="7"/>
        <v>OK - No Upgrade</v>
      </c>
      <c r="DQ14" s="15" t="str">
        <f t="shared" si="8"/>
        <v>OK - Balanced</v>
      </c>
    </row>
    <row r="15" spans="1:121" ht="15.75" customHeight="1" x14ac:dyDescent="0.25">
      <c r="A15" s="8" t="s">
        <v>1459</v>
      </c>
      <c r="B15" s="8" t="s">
        <v>2786</v>
      </c>
      <c r="C15" s="8" t="s">
        <v>2296</v>
      </c>
      <c r="D15" s="8" t="s">
        <v>2820</v>
      </c>
      <c r="E15" s="8" t="s">
        <v>2821</v>
      </c>
      <c r="F15" s="8" t="s">
        <v>43</v>
      </c>
      <c r="G15" s="8" t="s">
        <v>44</v>
      </c>
      <c r="H15" s="8">
        <v>200</v>
      </c>
      <c r="I15" s="8" t="s">
        <v>2822</v>
      </c>
      <c r="J15" s="8">
        <v>1</v>
      </c>
      <c r="K15" s="8">
        <v>244</v>
      </c>
      <c r="L15" s="8">
        <v>245</v>
      </c>
      <c r="M15" s="8">
        <v>244</v>
      </c>
      <c r="N15" s="8">
        <v>425</v>
      </c>
      <c r="O15" s="8">
        <v>424</v>
      </c>
      <c r="P15" s="8">
        <v>423</v>
      </c>
      <c r="Q15" s="9" t="s">
        <v>46</v>
      </c>
      <c r="R15" s="16"/>
      <c r="S15" s="10">
        <v>15</v>
      </c>
      <c r="T15" s="10">
        <v>0</v>
      </c>
      <c r="U15" s="10">
        <v>26</v>
      </c>
      <c r="V15" s="11">
        <v>17</v>
      </c>
      <c r="W15" s="12" t="s">
        <v>46</v>
      </c>
      <c r="X15" s="17"/>
      <c r="Y15" s="13">
        <v>105</v>
      </c>
      <c r="Z15" s="13">
        <v>57</v>
      </c>
      <c r="AA15" s="13">
        <v>63</v>
      </c>
      <c r="AB15" s="14">
        <v>47</v>
      </c>
      <c r="AC15" s="9"/>
      <c r="AD15" s="16"/>
      <c r="AE15" s="10"/>
      <c r="AF15" s="10"/>
      <c r="AG15" s="10"/>
      <c r="AH15" s="11"/>
      <c r="AI15" s="12"/>
      <c r="AJ15" s="17"/>
      <c r="AK15" s="13"/>
      <c r="AL15" s="13"/>
      <c r="AM15" s="13"/>
      <c r="AN15" s="14"/>
      <c r="AO15" s="9"/>
      <c r="AP15" s="16"/>
      <c r="AQ15" s="10"/>
      <c r="AR15" s="10"/>
      <c r="AS15" s="10"/>
      <c r="AT15" s="11"/>
      <c r="AU15" s="12"/>
      <c r="AV15" s="17"/>
      <c r="AW15" s="13"/>
      <c r="AX15" s="13"/>
      <c r="AY15" s="13"/>
      <c r="AZ15" s="14"/>
      <c r="BA15" s="9"/>
      <c r="BB15" s="16"/>
      <c r="BC15" s="10"/>
      <c r="BD15" s="10"/>
      <c r="BE15" s="10"/>
      <c r="BF15" s="11"/>
      <c r="BG15" s="12"/>
      <c r="BH15" s="17"/>
      <c r="BI15" s="13"/>
      <c r="BJ15" s="13"/>
      <c r="BK15" s="13"/>
      <c r="BL15" s="14"/>
      <c r="BM15" s="9"/>
      <c r="BN15" s="16"/>
      <c r="BO15" s="10"/>
      <c r="BP15" s="10"/>
      <c r="BQ15" s="10"/>
      <c r="BR15" s="11"/>
      <c r="BS15" s="12"/>
      <c r="BT15" s="17"/>
      <c r="BU15" s="13"/>
      <c r="BV15" s="13"/>
      <c r="BW15" s="13"/>
      <c r="BX15" s="14"/>
      <c r="BY15" s="9"/>
      <c r="BZ15" s="16"/>
      <c r="CA15" s="10"/>
      <c r="CB15" s="10"/>
      <c r="CC15" s="10"/>
      <c r="CD15" s="11"/>
      <c r="CE15" s="12"/>
      <c r="CF15" s="17"/>
      <c r="CG15" s="13"/>
      <c r="CH15" s="13"/>
      <c r="CI15" s="13"/>
      <c r="CJ15" s="14"/>
      <c r="CK15" s="9"/>
      <c r="CL15" s="16"/>
      <c r="CM15" s="10"/>
      <c r="CN15" s="10"/>
      <c r="CO15" s="10"/>
      <c r="CP15" s="11"/>
      <c r="CQ15" s="12"/>
      <c r="CR15" s="17"/>
      <c r="CS15" s="13"/>
      <c r="CT15" s="13"/>
      <c r="CU15" s="13"/>
      <c r="CV15" s="14"/>
      <c r="CW15" s="9"/>
      <c r="CX15" s="16"/>
      <c r="CY15" s="10"/>
      <c r="CZ15" s="10"/>
      <c r="DA15" s="10"/>
      <c r="DB15" s="11"/>
      <c r="DC15" s="12"/>
      <c r="DD15" s="17"/>
      <c r="DE15" s="13"/>
      <c r="DF15" s="13"/>
      <c r="DG15" s="13"/>
      <c r="DH15" s="14"/>
      <c r="DI15" s="8">
        <f t="shared" si="0"/>
        <v>120</v>
      </c>
      <c r="DJ15" s="8">
        <f t="shared" si="1"/>
        <v>57</v>
      </c>
      <c r="DK15" s="8">
        <f t="shared" si="2"/>
        <v>89</v>
      </c>
      <c r="DL15" s="8">
        <f t="shared" si="3"/>
        <v>64</v>
      </c>
      <c r="DM15" s="8">
        <f t="shared" si="4"/>
        <v>120</v>
      </c>
      <c r="DN15" s="8">
        <f t="shared" si="5"/>
        <v>57</v>
      </c>
      <c r="DO15" s="15">
        <f t="shared" si="6"/>
        <v>44.167295593006365</v>
      </c>
      <c r="DP15" s="15" t="str">
        <f t="shared" si="7"/>
        <v>OK - No Upgrade</v>
      </c>
      <c r="DQ15" s="15" t="str">
        <f t="shared" si="8"/>
        <v>Need to Balance</v>
      </c>
    </row>
    <row r="16" spans="1:121" ht="15.75" customHeight="1" x14ac:dyDescent="0.25">
      <c r="A16" s="8" t="s">
        <v>1459</v>
      </c>
      <c r="B16" s="8" t="s">
        <v>2786</v>
      </c>
      <c r="C16" s="8" t="s">
        <v>2296</v>
      </c>
      <c r="D16" s="8" t="s">
        <v>2823</v>
      </c>
      <c r="E16" s="8" t="s">
        <v>2824</v>
      </c>
      <c r="F16" s="8" t="s">
        <v>43</v>
      </c>
      <c r="G16" s="8" t="s">
        <v>44</v>
      </c>
      <c r="H16" s="8">
        <v>315</v>
      </c>
      <c r="I16" s="8" t="s">
        <v>2825</v>
      </c>
      <c r="J16" s="8">
        <v>1</v>
      </c>
      <c r="K16" s="8">
        <v>241</v>
      </c>
      <c r="L16" s="8">
        <v>241</v>
      </c>
      <c r="M16" s="8">
        <v>240</v>
      </c>
      <c r="N16" s="8">
        <v>419</v>
      </c>
      <c r="O16" s="8">
        <v>417</v>
      </c>
      <c r="P16" s="8">
        <v>415</v>
      </c>
      <c r="Q16" s="9" t="s">
        <v>46</v>
      </c>
      <c r="R16" s="16"/>
      <c r="S16" s="10">
        <v>0</v>
      </c>
      <c r="T16" s="10">
        <v>14</v>
      </c>
      <c r="U16" s="10">
        <v>20</v>
      </c>
      <c r="V16" s="11">
        <v>14</v>
      </c>
      <c r="W16" s="12" t="s">
        <v>70</v>
      </c>
      <c r="X16" s="17"/>
      <c r="Y16" s="13">
        <v>12</v>
      </c>
      <c r="Z16" s="13">
        <v>34</v>
      </c>
      <c r="AA16" s="13">
        <v>11</v>
      </c>
      <c r="AB16" s="14">
        <v>24</v>
      </c>
      <c r="AC16" s="9"/>
      <c r="AD16" s="16"/>
      <c r="AE16" s="10"/>
      <c r="AF16" s="10"/>
      <c r="AG16" s="10"/>
      <c r="AH16" s="11"/>
      <c r="AI16" s="12"/>
      <c r="AJ16" s="17"/>
      <c r="AK16" s="13"/>
      <c r="AL16" s="13"/>
      <c r="AM16" s="13"/>
      <c r="AN16" s="14"/>
      <c r="AO16" s="9"/>
      <c r="AP16" s="16"/>
      <c r="AQ16" s="10"/>
      <c r="AR16" s="10"/>
      <c r="AS16" s="10"/>
      <c r="AT16" s="11"/>
      <c r="AU16" s="12"/>
      <c r="AV16" s="17"/>
      <c r="AW16" s="13"/>
      <c r="AX16" s="13"/>
      <c r="AY16" s="13"/>
      <c r="AZ16" s="14"/>
      <c r="BA16" s="9"/>
      <c r="BB16" s="16"/>
      <c r="BC16" s="10"/>
      <c r="BD16" s="10"/>
      <c r="BE16" s="10"/>
      <c r="BF16" s="11"/>
      <c r="BG16" s="12"/>
      <c r="BH16" s="17"/>
      <c r="BI16" s="13"/>
      <c r="BJ16" s="13"/>
      <c r="BK16" s="13"/>
      <c r="BL16" s="14"/>
      <c r="BM16" s="9"/>
      <c r="BN16" s="16"/>
      <c r="BO16" s="10"/>
      <c r="BP16" s="10"/>
      <c r="BQ16" s="10"/>
      <c r="BR16" s="11"/>
      <c r="BS16" s="12"/>
      <c r="BT16" s="17"/>
      <c r="BU16" s="13"/>
      <c r="BV16" s="13"/>
      <c r="BW16" s="13"/>
      <c r="BX16" s="14"/>
      <c r="BY16" s="9"/>
      <c r="BZ16" s="16"/>
      <c r="CA16" s="10"/>
      <c r="CB16" s="10"/>
      <c r="CC16" s="10"/>
      <c r="CD16" s="11"/>
      <c r="CE16" s="12"/>
      <c r="CF16" s="17"/>
      <c r="CG16" s="13"/>
      <c r="CH16" s="13"/>
      <c r="CI16" s="13"/>
      <c r="CJ16" s="14"/>
      <c r="CK16" s="9"/>
      <c r="CL16" s="16"/>
      <c r="CM16" s="10"/>
      <c r="CN16" s="10"/>
      <c r="CO16" s="10"/>
      <c r="CP16" s="11"/>
      <c r="CQ16" s="12"/>
      <c r="CR16" s="17"/>
      <c r="CS16" s="13"/>
      <c r="CT16" s="13"/>
      <c r="CU16" s="13"/>
      <c r="CV16" s="14"/>
      <c r="CW16" s="9"/>
      <c r="CX16" s="16"/>
      <c r="CY16" s="10"/>
      <c r="CZ16" s="10"/>
      <c r="DA16" s="10"/>
      <c r="DB16" s="11"/>
      <c r="DC16" s="12"/>
      <c r="DD16" s="17"/>
      <c r="DE16" s="13"/>
      <c r="DF16" s="13"/>
      <c r="DG16" s="13"/>
      <c r="DH16" s="14"/>
      <c r="DI16" s="8">
        <f t="shared" si="0"/>
        <v>12</v>
      </c>
      <c r="DJ16" s="8">
        <f t="shared" si="1"/>
        <v>48</v>
      </c>
      <c r="DK16" s="8">
        <f t="shared" si="2"/>
        <v>31</v>
      </c>
      <c r="DL16" s="8">
        <f t="shared" si="3"/>
        <v>38</v>
      </c>
      <c r="DM16" s="8">
        <f t="shared" si="4"/>
        <v>48</v>
      </c>
      <c r="DN16" s="8">
        <f t="shared" si="5"/>
        <v>12</v>
      </c>
      <c r="DO16" s="15">
        <f t="shared" si="6"/>
        <v>11.05873201327786</v>
      </c>
      <c r="DP16" s="15" t="str">
        <f t="shared" si="7"/>
        <v>OK - No Upgrade</v>
      </c>
      <c r="DQ16" s="15" t="str">
        <f t="shared" si="8"/>
        <v>Need to Balance</v>
      </c>
    </row>
    <row r="17" spans="1:121" ht="15.75" customHeight="1" x14ac:dyDescent="0.25">
      <c r="A17" s="8" t="s">
        <v>1459</v>
      </c>
      <c r="B17" s="8" t="s">
        <v>2786</v>
      </c>
      <c r="C17" s="8" t="s">
        <v>2296</v>
      </c>
      <c r="D17" s="8" t="s">
        <v>2826</v>
      </c>
      <c r="E17" s="8" t="s">
        <v>2827</v>
      </c>
      <c r="F17" s="8" t="s">
        <v>43</v>
      </c>
      <c r="G17" s="8" t="s">
        <v>44</v>
      </c>
      <c r="H17" s="8">
        <v>200</v>
      </c>
      <c r="I17" s="8" t="s">
        <v>2828</v>
      </c>
      <c r="J17" s="8">
        <v>1</v>
      </c>
      <c r="K17" s="8">
        <v>246</v>
      </c>
      <c r="L17" s="8">
        <v>245</v>
      </c>
      <c r="M17" s="8">
        <v>245</v>
      </c>
      <c r="N17" s="8">
        <v>427</v>
      </c>
      <c r="O17" s="8">
        <v>424</v>
      </c>
      <c r="P17" s="8">
        <v>425</v>
      </c>
      <c r="Q17" s="9" t="s">
        <v>46</v>
      </c>
      <c r="R17" s="16"/>
      <c r="S17" s="10">
        <v>92</v>
      </c>
      <c r="T17" s="10">
        <v>84</v>
      </c>
      <c r="U17" s="10">
        <v>121</v>
      </c>
      <c r="V17" s="11">
        <v>33</v>
      </c>
      <c r="W17" s="12" t="s">
        <v>46</v>
      </c>
      <c r="X17" s="17"/>
      <c r="Y17" s="13">
        <v>0</v>
      </c>
      <c r="Z17" s="13">
        <v>35</v>
      </c>
      <c r="AA17" s="13">
        <v>24</v>
      </c>
      <c r="AB17" s="14">
        <v>22</v>
      </c>
      <c r="AC17" s="9"/>
      <c r="AD17" s="16"/>
      <c r="AE17" s="10"/>
      <c r="AF17" s="10"/>
      <c r="AG17" s="10"/>
      <c r="AH17" s="11"/>
      <c r="AI17" s="12"/>
      <c r="AJ17" s="17"/>
      <c r="AK17" s="13"/>
      <c r="AL17" s="13"/>
      <c r="AM17" s="13"/>
      <c r="AN17" s="14"/>
      <c r="AO17" s="9"/>
      <c r="AP17" s="16"/>
      <c r="AQ17" s="10"/>
      <c r="AR17" s="10"/>
      <c r="AS17" s="10"/>
      <c r="AT17" s="11"/>
      <c r="AU17" s="12"/>
      <c r="AV17" s="17"/>
      <c r="AW17" s="13"/>
      <c r="AX17" s="13"/>
      <c r="AY17" s="13"/>
      <c r="AZ17" s="14"/>
      <c r="BA17" s="9"/>
      <c r="BB17" s="16"/>
      <c r="BC17" s="10"/>
      <c r="BD17" s="10"/>
      <c r="BE17" s="10"/>
      <c r="BF17" s="11"/>
      <c r="BG17" s="12"/>
      <c r="BH17" s="17"/>
      <c r="BI17" s="13"/>
      <c r="BJ17" s="13"/>
      <c r="BK17" s="13"/>
      <c r="BL17" s="14"/>
      <c r="BM17" s="9"/>
      <c r="BN17" s="16"/>
      <c r="BO17" s="10"/>
      <c r="BP17" s="10"/>
      <c r="BQ17" s="10"/>
      <c r="BR17" s="11"/>
      <c r="BS17" s="12"/>
      <c r="BT17" s="17"/>
      <c r="BU17" s="13"/>
      <c r="BV17" s="13"/>
      <c r="BW17" s="13"/>
      <c r="BX17" s="14"/>
      <c r="BY17" s="9"/>
      <c r="BZ17" s="16"/>
      <c r="CA17" s="10"/>
      <c r="CB17" s="10"/>
      <c r="CC17" s="10"/>
      <c r="CD17" s="11"/>
      <c r="CE17" s="12"/>
      <c r="CF17" s="17"/>
      <c r="CG17" s="13"/>
      <c r="CH17" s="13"/>
      <c r="CI17" s="13"/>
      <c r="CJ17" s="14"/>
      <c r="CK17" s="9"/>
      <c r="CL17" s="16"/>
      <c r="CM17" s="10"/>
      <c r="CN17" s="10"/>
      <c r="CO17" s="10"/>
      <c r="CP17" s="11"/>
      <c r="CQ17" s="12"/>
      <c r="CR17" s="17"/>
      <c r="CS17" s="13"/>
      <c r="CT17" s="13"/>
      <c r="CU17" s="13"/>
      <c r="CV17" s="14"/>
      <c r="CW17" s="9"/>
      <c r="CX17" s="16"/>
      <c r="CY17" s="10"/>
      <c r="CZ17" s="10"/>
      <c r="DA17" s="10"/>
      <c r="DB17" s="11"/>
      <c r="DC17" s="12"/>
      <c r="DD17" s="17"/>
      <c r="DE17" s="13"/>
      <c r="DF17" s="13"/>
      <c r="DG17" s="13"/>
      <c r="DH17" s="14"/>
      <c r="DI17" s="8">
        <f t="shared" si="0"/>
        <v>92</v>
      </c>
      <c r="DJ17" s="8">
        <f t="shared" si="1"/>
        <v>119</v>
      </c>
      <c r="DK17" s="8">
        <f t="shared" si="2"/>
        <v>145</v>
      </c>
      <c r="DL17" s="8">
        <f t="shared" si="3"/>
        <v>55</v>
      </c>
      <c r="DM17" s="8">
        <f t="shared" si="4"/>
        <v>145</v>
      </c>
      <c r="DN17" s="8">
        <f t="shared" si="5"/>
        <v>92</v>
      </c>
      <c r="DO17" s="15">
        <f t="shared" si="6"/>
        <v>53.619962875313519</v>
      </c>
      <c r="DP17" s="15" t="str">
        <f t="shared" si="7"/>
        <v>OK - No Upgrade</v>
      </c>
      <c r="DQ17" s="15" t="str">
        <f t="shared" si="8"/>
        <v>Need to Balance</v>
      </c>
    </row>
    <row r="18" spans="1:121" ht="15.75" customHeight="1" x14ac:dyDescent="0.25">
      <c r="A18" s="8" t="s">
        <v>1459</v>
      </c>
      <c r="B18" s="8" t="s">
        <v>2786</v>
      </c>
      <c r="C18" s="8" t="s">
        <v>2296</v>
      </c>
      <c r="D18" s="8" t="s">
        <v>2829</v>
      </c>
      <c r="E18" s="8" t="s">
        <v>2830</v>
      </c>
      <c r="F18" s="8" t="s">
        <v>43</v>
      </c>
      <c r="G18" s="8" t="s">
        <v>44</v>
      </c>
      <c r="H18" s="8">
        <v>200</v>
      </c>
      <c r="I18" s="8" t="s">
        <v>2831</v>
      </c>
      <c r="J18" s="8">
        <v>1</v>
      </c>
      <c r="K18" s="8">
        <v>247</v>
      </c>
      <c r="L18" s="8">
        <v>246</v>
      </c>
      <c r="M18" s="8">
        <v>247</v>
      </c>
      <c r="N18" s="8">
        <v>428</v>
      </c>
      <c r="O18" s="8">
        <v>427</v>
      </c>
      <c r="P18" s="8">
        <v>427</v>
      </c>
      <c r="Q18" s="9" t="s">
        <v>46</v>
      </c>
      <c r="R18" s="16"/>
      <c r="S18" s="10">
        <v>41</v>
      </c>
      <c r="T18" s="10">
        <v>82</v>
      </c>
      <c r="U18" s="10">
        <v>58</v>
      </c>
      <c r="V18" s="11">
        <v>37</v>
      </c>
      <c r="W18" s="12" t="s">
        <v>46</v>
      </c>
      <c r="X18" s="17"/>
      <c r="Y18" s="13">
        <v>61</v>
      </c>
      <c r="Z18" s="13">
        <v>31</v>
      </c>
      <c r="AA18" s="13">
        <v>51</v>
      </c>
      <c r="AB18" s="14">
        <v>17</v>
      </c>
      <c r="AC18" s="9"/>
      <c r="AD18" s="16"/>
      <c r="AE18" s="10"/>
      <c r="AF18" s="10"/>
      <c r="AG18" s="10"/>
      <c r="AH18" s="11"/>
      <c r="AI18" s="12"/>
      <c r="AJ18" s="17"/>
      <c r="AK18" s="13"/>
      <c r="AL18" s="13"/>
      <c r="AM18" s="13"/>
      <c r="AN18" s="14"/>
      <c r="AO18" s="9"/>
      <c r="AP18" s="16"/>
      <c r="AQ18" s="10"/>
      <c r="AR18" s="10"/>
      <c r="AS18" s="10"/>
      <c r="AT18" s="11"/>
      <c r="AU18" s="12"/>
      <c r="AV18" s="17"/>
      <c r="AW18" s="13"/>
      <c r="AX18" s="13"/>
      <c r="AY18" s="13"/>
      <c r="AZ18" s="14"/>
      <c r="BA18" s="9"/>
      <c r="BB18" s="16"/>
      <c r="BC18" s="10"/>
      <c r="BD18" s="10"/>
      <c r="BE18" s="10"/>
      <c r="BF18" s="11"/>
      <c r="BG18" s="12"/>
      <c r="BH18" s="17"/>
      <c r="BI18" s="13"/>
      <c r="BJ18" s="13"/>
      <c r="BK18" s="13"/>
      <c r="BL18" s="14"/>
      <c r="BM18" s="9"/>
      <c r="BN18" s="16"/>
      <c r="BO18" s="10"/>
      <c r="BP18" s="10"/>
      <c r="BQ18" s="10"/>
      <c r="BR18" s="11"/>
      <c r="BS18" s="12"/>
      <c r="BT18" s="17"/>
      <c r="BU18" s="13"/>
      <c r="BV18" s="13"/>
      <c r="BW18" s="13"/>
      <c r="BX18" s="14"/>
      <c r="BY18" s="9"/>
      <c r="BZ18" s="16"/>
      <c r="CA18" s="10"/>
      <c r="CB18" s="10"/>
      <c r="CC18" s="10"/>
      <c r="CD18" s="11"/>
      <c r="CE18" s="12"/>
      <c r="CF18" s="17"/>
      <c r="CG18" s="13"/>
      <c r="CH18" s="13"/>
      <c r="CI18" s="13"/>
      <c r="CJ18" s="14"/>
      <c r="CK18" s="9"/>
      <c r="CL18" s="16"/>
      <c r="CM18" s="10"/>
      <c r="CN18" s="10"/>
      <c r="CO18" s="10"/>
      <c r="CP18" s="11"/>
      <c r="CQ18" s="12"/>
      <c r="CR18" s="17"/>
      <c r="CS18" s="13"/>
      <c r="CT18" s="13"/>
      <c r="CU18" s="13"/>
      <c r="CV18" s="14"/>
      <c r="CW18" s="9"/>
      <c r="CX18" s="16"/>
      <c r="CY18" s="10"/>
      <c r="CZ18" s="10"/>
      <c r="DA18" s="10"/>
      <c r="DB18" s="11"/>
      <c r="DC18" s="12"/>
      <c r="DD18" s="17"/>
      <c r="DE18" s="13"/>
      <c r="DF18" s="13"/>
      <c r="DG18" s="13"/>
      <c r="DH18" s="14"/>
      <c r="DI18" s="8">
        <f t="shared" si="0"/>
        <v>102</v>
      </c>
      <c r="DJ18" s="8">
        <f t="shared" si="1"/>
        <v>113</v>
      </c>
      <c r="DK18" s="8">
        <f t="shared" si="2"/>
        <v>109</v>
      </c>
      <c r="DL18" s="8">
        <f t="shared" si="3"/>
        <v>54</v>
      </c>
      <c r="DM18" s="8">
        <f t="shared" si="4"/>
        <v>113</v>
      </c>
      <c r="DN18" s="8">
        <f t="shared" si="5"/>
        <v>102</v>
      </c>
      <c r="DO18" s="15">
        <f t="shared" si="6"/>
        <v>41.884452628630584</v>
      </c>
      <c r="DP18" s="15" t="str">
        <f t="shared" si="7"/>
        <v>OK - No Upgrade</v>
      </c>
      <c r="DQ18" s="15" t="str">
        <f t="shared" si="8"/>
        <v>OK - Balanced</v>
      </c>
    </row>
    <row r="19" spans="1:121" ht="15.75" customHeight="1" x14ac:dyDescent="0.25">
      <c r="A19" s="8" t="s">
        <v>1459</v>
      </c>
      <c r="B19" s="8" t="s">
        <v>2786</v>
      </c>
      <c r="C19" s="8" t="s">
        <v>2296</v>
      </c>
      <c r="D19" s="8" t="s">
        <v>2832</v>
      </c>
      <c r="E19" s="8" t="s">
        <v>2833</v>
      </c>
      <c r="F19" s="8" t="s">
        <v>43</v>
      </c>
      <c r="G19" s="8" t="s">
        <v>44</v>
      </c>
      <c r="H19" s="8">
        <v>100</v>
      </c>
      <c r="I19" s="8" t="s">
        <v>2834</v>
      </c>
      <c r="J19" s="8">
        <v>1</v>
      </c>
      <c r="K19" s="8">
        <v>254</v>
      </c>
      <c r="L19" s="8">
        <v>253</v>
      </c>
      <c r="M19" s="8">
        <v>253</v>
      </c>
      <c r="N19" s="8">
        <v>440</v>
      </c>
      <c r="O19" s="8">
        <v>439</v>
      </c>
      <c r="P19" s="8">
        <v>440</v>
      </c>
      <c r="Q19" s="9" t="s">
        <v>47</v>
      </c>
      <c r="R19" s="16"/>
      <c r="S19" s="10">
        <v>14</v>
      </c>
      <c r="T19" s="10">
        <v>34</v>
      </c>
      <c r="U19" s="10">
        <v>27</v>
      </c>
      <c r="V19" s="11">
        <v>17</v>
      </c>
      <c r="W19" s="12"/>
      <c r="X19" s="17"/>
      <c r="Y19" s="13"/>
      <c r="Z19" s="13"/>
      <c r="AA19" s="13"/>
      <c r="AB19" s="14"/>
      <c r="AC19" s="9"/>
      <c r="AD19" s="16"/>
      <c r="AE19" s="10"/>
      <c r="AF19" s="10"/>
      <c r="AG19" s="10"/>
      <c r="AH19" s="11"/>
      <c r="AI19" s="12"/>
      <c r="AJ19" s="17"/>
      <c r="AK19" s="13"/>
      <c r="AL19" s="13"/>
      <c r="AM19" s="13"/>
      <c r="AN19" s="14"/>
      <c r="AO19" s="9"/>
      <c r="AP19" s="16"/>
      <c r="AQ19" s="10"/>
      <c r="AR19" s="10"/>
      <c r="AS19" s="10"/>
      <c r="AT19" s="11"/>
      <c r="AU19" s="12"/>
      <c r="AV19" s="17"/>
      <c r="AW19" s="13"/>
      <c r="AX19" s="13"/>
      <c r="AY19" s="13"/>
      <c r="AZ19" s="14"/>
      <c r="BA19" s="9"/>
      <c r="BB19" s="16"/>
      <c r="BC19" s="10"/>
      <c r="BD19" s="10"/>
      <c r="BE19" s="10"/>
      <c r="BF19" s="11"/>
      <c r="BG19" s="12"/>
      <c r="BH19" s="17"/>
      <c r="BI19" s="13"/>
      <c r="BJ19" s="13"/>
      <c r="BK19" s="13"/>
      <c r="BL19" s="14"/>
      <c r="BM19" s="9"/>
      <c r="BN19" s="16"/>
      <c r="BO19" s="10"/>
      <c r="BP19" s="10"/>
      <c r="BQ19" s="10"/>
      <c r="BR19" s="11"/>
      <c r="BS19" s="12"/>
      <c r="BT19" s="17"/>
      <c r="BU19" s="13"/>
      <c r="BV19" s="13"/>
      <c r="BW19" s="13"/>
      <c r="BX19" s="14"/>
      <c r="BY19" s="9"/>
      <c r="BZ19" s="16"/>
      <c r="CA19" s="10"/>
      <c r="CB19" s="10"/>
      <c r="CC19" s="10"/>
      <c r="CD19" s="11"/>
      <c r="CE19" s="12"/>
      <c r="CF19" s="17"/>
      <c r="CG19" s="13"/>
      <c r="CH19" s="13"/>
      <c r="CI19" s="13"/>
      <c r="CJ19" s="14"/>
      <c r="CK19" s="9"/>
      <c r="CL19" s="16"/>
      <c r="CM19" s="10"/>
      <c r="CN19" s="10"/>
      <c r="CO19" s="10"/>
      <c r="CP19" s="11"/>
      <c r="CQ19" s="12"/>
      <c r="CR19" s="17"/>
      <c r="CS19" s="13"/>
      <c r="CT19" s="13"/>
      <c r="CU19" s="13"/>
      <c r="CV19" s="14"/>
      <c r="CW19" s="9"/>
      <c r="CX19" s="16"/>
      <c r="CY19" s="10"/>
      <c r="CZ19" s="10"/>
      <c r="DA19" s="10"/>
      <c r="DB19" s="11"/>
      <c r="DC19" s="12"/>
      <c r="DD19" s="17"/>
      <c r="DE19" s="13"/>
      <c r="DF19" s="13"/>
      <c r="DG19" s="13"/>
      <c r="DH19" s="14"/>
      <c r="DI19" s="8">
        <f t="shared" si="0"/>
        <v>14</v>
      </c>
      <c r="DJ19" s="8">
        <f t="shared" si="1"/>
        <v>34</v>
      </c>
      <c r="DK19" s="8">
        <f t="shared" si="2"/>
        <v>27</v>
      </c>
      <c r="DL19" s="8">
        <f t="shared" si="3"/>
        <v>17</v>
      </c>
      <c r="DM19" s="8">
        <f t="shared" si="4"/>
        <v>34</v>
      </c>
      <c r="DN19" s="8">
        <f t="shared" si="5"/>
        <v>14</v>
      </c>
      <c r="DO19" s="15">
        <f t="shared" si="6"/>
        <v>25.911480081230405</v>
      </c>
      <c r="DP19" s="15" t="str">
        <f t="shared" si="7"/>
        <v>OK - No Upgrade</v>
      </c>
      <c r="DQ19" s="15" t="str">
        <f t="shared" si="8"/>
        <v>Need to Balance</v>
      </c>
    </row>
    <row r="20" spans="1:121" ht="15.75" customHeight="1" x14ac:dyDescent="0.25">
      <c r="A20" s="8" t="s">
        <v>1459</v>
      </c>
      <c r="B20" s="8" t="s">
        <v>2786</v>
      </c>
      <c r="C20" s="8" t="s">
        <v>2296</v>
      </c>
      <c r="D20" s="8" t="s">
        <v>2835</v>
      </c>
      <c r="E20" s="8" t="s">
        <v>2836</v>
      </c>
      <c r="F20" s="8" t="s">
        <v>56</v>
      </c>
      <c r="G20" s="8" t="s">
        <v>44</v>
      </c>
      <c r="H20" s="8">
        <v>1000</v>
      </c>
      <c r="I20" s="8" t="s">
        <v>2837</v>
      </c>
      <c r="J20" s="8">
        <v>1</v>
      </c>
      <c r="K20" s="8">
        <v>249</v>
      </c>
      <c r="L20" s="8">
        <v>249</v>
      </c>
      <c r="M20" s="8">
        <v>248</v>
      </c>
      <c r="N20" s="8">
        <v>432</v>
      </c>
      <c r="O20" s="8">
        <v>431</v>
      </c>
      <c r="P20" s="8">
        <v>432</v>
      </c>
      <c r="Q20" s="9"/>
      <c r="R20" s="16"/>
      <c r="S20" s="10"/>
      <c r="T20" s="10"/>
      <c r="U20" s="10"/>
      <c r="V20" s="11"/>
      <c r="W20" s="12" t="s">
        <v>47</v>
      </c>
      <c r="X20" s="17"/>
      <c r="Y20" s="13">
        <v>77</v>
      </c>
      <c r="Z20" s="13">
        <v>84</v>
      </c>
      <c r="AA20" s="13">
        <v>128</v>
      </c>
      <c r="AB20" s="14">
        <v>47</v>
      </c>
      <c r="AC20" s="9" t="s">
        <v>47</v>
      </c>
      <c r="AD20" s="16"/>
      <c r="AE20" s="10">
        <v>112</v>
      </c>
      <c r="AF20" s="10">
        <v>38</v>
      </c>
      <c r="AG20" s="10">
        <v>110</v>
      </c>
      <c r="AH20" s="11">
        <v>38</v>
      </c>
      <c r="AI20" s="12" t="s">
        <v>46</v>
      </c>
      <c r="AJ20" s="17"/>
      <c r="AK20" s="13">
        <v>0</v>
      </c>
      <c r="AL20" s="13">
        <v>0</v>
      </c>
      <c r="AM20" s="13">
        <v>0</v>
      </c>
      <c r="AN20" s="14">
        <v>0</v>
      </c>
      <c r="AO20" s="9" t="s">
        <v>46</v>
      </c>
      <c r="AP20" s="16"/>
      <c r="AQ20" s="10">
        <v>13</v>
      </c>
      <c r="AR20" s="10">
        <v>20</v>
      </c>
      <c r="AS20" s="10">
        <v>81</v>
      </c>
      <c r="AT20" s="11">
        <v>38</v>
      </c>
      <c r="AU20" s="12" t="s">
        <v>46</v>
      </c>
      <c r="AV20" s="17"/>
      <c r="AW20" s="13">
        <v>0</v>
      </c>
      <c r="AX20" s="13">
        <v>32</v>
      </c>
      <c r="AY20" s="13">
        <v>48</v>
      </c>
      <c r="AZ20" s="14">
        <v>46</v>
      </c>
      <c r="BA20" s="9" t="s">
        <v>47</v>
      </c>
      <c r="BB20" s="16"/>
      <c r="BC20" s="10">
        <v>70</v>
      </c>
      <c r="BD20" s="10">
        <v>57</v>
      </c>
      <c r="BE20" s="10">
        <v>95</v>
      </c>
      <c r="BF20" s="11">
        <v>33</v>
      </c>
      <c r="BG20" s="12" t="s">
        <v>46</v>
      </c>
      <c r="BH20" s="17"/>
      <c r="BI20" s="13">
        <v>113</v>
      </c>
      <c r="BJ20" s="13">
        <v>72</v>
      </c>
      <c r="BK20" s="13">
        <v>85</v>
      </c>
      <c r="BL20" s="14">
        <v>35</v>
      </c>
      <c r="BM20" s="9"/>
      <c r="BN20" s="16"/>
      <c r="BO20" s="10"/>
      <c r="BP20" s="10"/>
      <c r="BQ20" s="10"/>
      <c r="BR20" s="11"/>
      <c r="BS20" s="12"/>
      <c r="BT20" s="17"/>
      <c r="BU20" s="13"/>
      <c r="BV20" s="13"/>
      <c r="BW20" s="13"/>
      <c r="BX20" s="14"/>
      <c r="BY20" s="9"/>
      <c r="BZ20" s="16"/>
      <c r="CA20" s="10"/>
      <c r="CB20" s="10"/>
      <c r="CC20" s="10"/>
      <c r="CD20" s="11"/>
      <c r="CE20" s="12"/>
      <c r="CF20" s="17"/>
      <c r="CG20" s="13"/>
      <c r="CH20" s="13"/>
      <c r="CI20" s="13"/>
      <c r="CJ20" s="14"/>
      <c r="CK20" s="9"/>
      <c r="CL20" s="16"/>
      <c r="CM20" s="10"/>
      <c r="CN20" s="10"/>
      <c r="CO20" s="10"/>
      <c r="CP20" s="11"/>
      <c r="CQ20" s="12"/>
      <c r="CR20" s="17"/>
      <c r="CS20" s="13"/>
      <c r="CT20" s="13"/>
      <c r="CU20" s="13"/>
      <c r="CV20" s="14"/>
      <c r="CW20" s="9"/>
      <c r="CX20" s="16"/>
      <c r="CY20" s="10"/>
      <c r="CZ20" s="10"/>
      <c r="DA20" s="10"/>
      <c r="DB20" s="11"/>
      <c r="DC20" s="12"/>
      <c r="DD20" s="17"/>
      <c r="DE20" s="13"/>
      <c r="DF20" s="13"/>
      <c r="DG20" s="13"/>
      <c r="DH20" s="14"/>
      <c r="DI20" s="8">
        <f t="shared" si="0"/>
        <v>385</v>
      </c>
      <c r="DJ20" s="8">
        <f t="shared" si="1"/>
        <v>303</v>
      </c>
      <c r="DK20" s="8">
        <f t="shared" si="2"/>
        <v>547</v>
      </c>
      <c r="DL20" s="8">
        <f t="shared" si="3"/>
        <v>237</v>
      </c>
      <c r="DM20" s="8">
        <f t="shared" si="4"/>
        <v>547</v>
      </c>
      <c r="DN20" s="8">
        <f t="shared" si="5"/>
        <v>303</v>
      </c>
      <c r="DO20" s="15">
        <f t="shared" si="6"/>
        <v>40.929053403175594</v>
      </c>
      <c r="DP20" s="15" t="str">
        <f t="shared" si="7"/>
        <v>OK - No Upgrade</v>
      </c>
      <c r="DQ20" s="15" t="str">
        <f t="shared" si="8"/>
        <v>Need to Balance</v>
      </c>
    </row>
    <row r="21" spans="1:121" ht="15.75" customHeight="1" x14ac:dyDescent="0.25">
      <c r="A21" s="8" t="s">
        <v>1459</v>
      </c>
      <c r="B21" s="8" t="s">
        <v>2786</v>
      </c>
      <c r="C21" s="8" t="s">
        <v>2296</v>
      </c>
      <c r="D21" s="8" t="s">
        <v>2838</v>
      </c>
      <c r="E21" s="8" t="s">
        <v>2839</v>
      </c>
      <c r="F21" s="8" t="s">
        <v>56</v>
      </c>
      <c r="G21" s="8" t="s">
        <v>44</v>
      </c>
      <c r="H21" s="8">
        <v>1000</v>
      </c>
      <c r="I21" s="8" t="s">
        <v>2840</v>
      </c>
      <c r="J21" s="8">
        <v>1</v>
      </c>
      <c r="K21" s="8">
        <v>252</v>
      </c>
      <c r="L21" s="8">
        <v>251</v>
      </c>
      <c r="M21" s="8">
        <v>252</v>
      </c>
      <c r="N21" s="8">
        <v>439</v>
      </c>
      <c r="O21" s="8">
        <v>436</v>
      </c>
      <c r="P21" s="8">
        <v>437</v>
      </c>
      <c r="Q21" s="9" t="s">
        <v>47</v>
      </c>
      <c r="R21" s="16"/>
      <c r="S21" s="10">
        <v>45</v>
      </c>
      <c r="T21" s="10">
        <v>56</v>
      </c>
      <c r="U21" s="10">
        <v>29</v>
      </c>
      <c r="V21" s="11">
        <v>18</v>
      </c>
      <c r="W21" s="12" t="s">
        <v>47</v>
      </c>
      <c r="X21" s="17"/>
      <c r="Y21" s="13">
        <v>21</v>
      </c>
      <c r="Z21" s="13">
        <v>18</v>
      </c>
      <c r="AA21" s="13">
        <v>37</v>
      </c>
      <c r="AB21" s="14">
        <v>19</v>
      </c>
      <c r="AC21" s="9" t="s">
        <v>47</v>
      </c>
      <c r="AD21" s="16"/>
      <c r="AE21" s="10">
        <v>0</v>
      </c>
      <c r="AF21" s="10">
        <v>46</v>
      </c>
      <c r="AG21" s="10">
        <v>0</v>
      </c>
      <c r="AH21" s="11">
        <v>44</v>
      </c>
      <c r="AI21" s="12" t="s">
        <v>47</v>
      </c>
      <c r="AJ21" s="17"/>
      <c r="AK21" s="13">
        <v>59</v>
      </c>
      <c r="AL21" s="13">
        <v>54</v>
      </c>
      <c r="AM21" s="13">
        <v>61</v>
      </c>
      <c r="AN21" s="14">
        <v>19</v>
      </c>
      <c r="AO21" s="9" t="s">
        <v>47</v>
      </c>
      <c r="AP21" s="16"/>
      <c r="AQ21" s="10">
        <v>27</v>
      </c>
      <c r="AR21" s="10">
        <v>47</v>
      </c>
      <c r="AS21" s="10">
        <v>40</v>
      </c>
      <c r="AT21" s="11">
        <v>26</v>
      </c>
      <c r="AU21" s="12"/>
      <c r="AV21" s="17"/>
      <c r="AW21" s="13"/>
      <c r="AX21" s="13"/>
      <c r="AY21" s="13"/>
      <c r="AZ21" s="14"/>
      <c r="BA21" s="9"/>
      <c r="BB21" s="16"/>
      <c r="BC21" s="10"/>
      <c r="BD21" s="10"/>
      <c r="BE21" s="10"/>
      <c r="BF21" s="11"/>
      <c r="BG21" s="12"/>
      <c r="BH21" s="17"/>
      <c r="BI21" s="13"/>
      <c r="BJ21" s="13"/>
      <c r="BK21" s="13"/>
      <c r="BL21" s="14"/>
      <c r="BM21" s="9"/>
      <c r="BN21" s="16"/>
      <c r="BO21" s="10"/>
      <c r="BP21" s="10"/>
      <c r="BQ21" s="10"/>
      <c r="BR21" s="11"/>
      <c r="BS21" s="12"/>
      <c r="BT21" s="17"/>
      <c r="BU21" s="13"/>
      <c r="BV21" s="13"/>
      <c r="BW21" s="13"/>
      <c r="BX21" s="14"/>
      <c r="BY21" s="9"/>
      <c r="BZ21" s="16"/>
      <c r="CA21" s="10"/>
      <c r="CB21" s="10"/>
      <c r="CC21" s="10"/>
      <c r="CD21" s="11"/>
      <c r="CE21" s="12"/>
      <c r="CF21" s="17"/>
      <c r="CG21" s="13"/>
      <c r="CH21" s="13"/>
      <c r="CI21" s="13"/>
      <c r="CJ21" s="14"/>
      <c r="CK21" s="9"/>
      <c r="CL21" s="16"/>
      <c r="CM21" s="10"/>
      <c r="CN21" s="10"/>
      <c r="CO21" s="10"/>
      <c r="CP21" s="11"/>
      <c r="CQ21" s="12"/>
      <c r="CR21" s="17"/>
      <c r="CS21" s="13"/>
      <c r="CT21" s="13"/>
      <c r="CU21" s="13"/>
      <c r="CV21" s="14"/>
      <c r="CW21" s="9"/>
      <c r="CX21" s="16"/>
      <c r="CY21" s="10"/>
      <c r="CZ21" s="10"/>
      <c r="DA21" s="10"/>
      <c r="DB21" s="11"/>
      <c r="DC21" s="12"/>
      <c r="DD21" s="17"/>
      <c r="DE21" s="13"/>
      <c r="DF21" s="13"/>
      <c r="DG21" s="13"/>
      <c r="DH21" s="14"/>
      <c r="DI21" s="8">
        <f t="shared" si="0"/>
        <v>152</v>
      </c>
      <c r="DJ21" s="8">
        <f t="shared" si="1"/>
        <v>221</v>
      </c>
      <c r="DK21" s="8">
        <f t="shared" si="2"/>
        <v>167</v>
      </c>
      <c r="DL21" s="8">
        <f t="shared" si="3"/>
        <v>126</v>
      </c>
      <c r="DM21" s="8">
        <f t="shared" si="4"/>
        <v>221</v>
      </c>
      <c r="DN21" s="8">
        <f t="shared" si="5"/>
        <v>152</v>
      </c>
      <c r="DO21" s="15">
        <f t="shared" si="6"/>
        <v>16.804183729952491</v>
      </c>
      <c r="DP21" s="15" t="str">
        <f t="shared" si="7"/>
        <v>OK - No Upgrade</v>
      </c>
      <c r="DQ21" s="15" t="str">
        <f t="shared" si="8"/>
        <v>Need to Balance</v>
      </c>
    </row>
    <row r="22" spans="1:121" ht="15.75" customHeight="1" x14ac:dyDescent="0.25">
      <c r="A22" s="8" t="s">
        <v>1459</v>
      </c>
      <c r="B22" s="8" t="s">
        <v>2786</v>
      </c>
      <c r="C22" s="8" t="s">
        <v>2206</v>
      </c>
      <c r="D22" s="8" t="s">
        <v>2841</v>
      </c>
      <c r="E22" s="8" t="s">
        <v>2842</v>
      </c>
      <c r="F22" s="8" t="s">
        <v>43</v>
      </c>
      <c r="G22" s="8" t="s">
        <v>44</v>
      </c>
      <c r="H22" s="8">
        <v>100</v>
      </c>
      <c r="I22" s="8" t="s">
        <v>2843</v>
      </c>
      <c r="J22" s="8">
        <v>1</v>
      </c>
      <c r="K22" s="8">
        <v>240</v>
      </c>
      <c r="L22" s="8">
        <v>240</v>
      </c>
      <c r="M22" s="8">
        <v>239</v>
      </c>
      <c r="N22" s="8">
        <v>416</v>
      </c>
      <c r="O22" s="8">
        <v>418</v>
      </c>
      <c r="P22" s="8">
        <v>419</v>
      </c>
      <c r="Q22" s="9" t="s">
        <v>46</v>
      </c>
      <c r="R22" s="16"/>
      <c r="S22" s="10">
        <v>0</v>
      </c>
      <c r="T22" s="10">
        <v>0</v>
      </c>
      <c r="U22" s="10">
        <v>0</v>
      </c>
      <c r="V22" s="11">
        <v>0</v>
      </c>
      <c r="W22" s="12"/>
      <c r="X22" s="17"/>
      <c r="Y22" s="13"/>
      <c r="Z22" s="13"/>
      <c r="AA22" s="13"/>
      <c r="AB22" s="14"/>
      <c r="AC22" s="9"/>
      <c r="AD22" s="16"/>
      <c r="AE22" s="10"/>
      <c r="AF22" s="10"/>
      <c r="AG22" s="10"/>
      <c r="AH22" s="11"/>
      <c r="AI22" s="12"/>
      <c r="AJ22" s="17"/>
      <c r="AK22" s="13"/>
      <c r="AL22" s="13"/>
      <c r="AM22" s="13"/>
      <c r="AN22" s="14"/>
      <c r="AO22" s="9"/>
      <c r="AP22" s="16"/>
      <c r="AQ22" s="10"/>
      <c r="AR22" s="10"/>
      <c r="AS22" s="10"/>
      <c r="AT22" s="11"/>
      <c r="AU22" s="12"/>
      <c r="AV22" s="17"/>
      <c r="AW22" s="13"/>
      <c r="AX22" s="13"/>
      <c r="AY22" s="13"/>
      <c r="AZ22" s="14"/>
      <c r="BA22" s="9"/>
      <c r="BB22" s="16"/>
      <c r="BC22" s="10"/>
      <c r="BD22" s="10"/>
      <c r="BE22" s="10"/>
      <c r="BF22" s="11"/>
      <c r="BG22" s="12"/>
      <c r="BH22" s="17"/>
      <c r="BI22" s="13"/>
      <c r="BJ22" s="13"/>
      <c r="BK22" s="13"/>
      <c r="BL22" s="14"/>
      <c r="BM22" s="9"/>
      <c r="BN22" s="16"/>
      <c r="BO22" s="10"/>
      <c r="BP22" s="10"/>
      <c r="BQ22" s="10"/>
      <c r="BR22" s="11"/>
      <c r="BS22" s="12"/>
      <c r="BT22" s="17"/>
      <c r="BU22" s="13"/>
      <c r="BV22" s="13"/>
      <c r="BW22" s="13"/>
      <c r="BX22" s="14"/>
      <c r="BY22" s="9"/>
      <c r="BZ22" s="16"/>
      <c r="CA22" s="10"/>
      <c r="CB22" s="10"/>
      <c r="CC22" s="10"/>
      <c r="CD22" s="11"/>
      <c r="CE22" s="12"/>
      <c r="CF22" s="17"/>
      <c r="CG22" s="13"/>
      <c r="CH22" s="13"/>
      <c r="CI22" s="13"/>
      <c r="CJ22" s="14"/>
      <c r="CK22" s="9"/>
      <c r="CL22" s="16"/>
      <c r="CM22" s="10"/>
      <c r="CN22" s="10"/>
      <c r="CO22" s="10"/>
      <c r="CP22" s="11"/>
      <c r="CQ22" s="12"/>
      <c r="CR22" s="17"/>
      <c r="CS22" s="13"/>
      <c r="CT22" s="13"/>
      <c r="CU22" s="13"/>
      <c r="CV22" s="14"/>
      <c r="CW22" s="9"/>
      <c r="CX22" s="16"/>
      <c r="CY22" s="10"/>
      <c r="CZ22" s="10"/>
      <c r="DA22" s="10"/>
      <c r="DB22" s="11"/>
      <c r="DC22" s="12"/>
      <c r="DD22" s="17"/>
      <c r="DE22" s="13"/>
      <c r="DF22" s="13"/>
      <c r="DG22" s="13"/>
      <c r="DH22" s="14"/>
      <c r="DI22" s="8">
        <f t="shared" si="0"/>
        <v>0</v>
      </c>
      <c r="DJ22" s="8">
        <f t="shared" si="1"/>
        <v>0</v>
      </c>
      <c r="DK22" s="8">
        <f t="shared" si="2"/>
        <v>0</v>
      </c>
      <c r="DL22" s="8">
        <f t="shared" si="3"/>
        <v>0</v>
      </c>
      <c r="DM22" s="8">
        <f t="shared" si="4"/>
        <v>0</v>
      </c>
      <c r="DN22" s="8">
        <f t="shared" si="5"/>
        <v>0</v>
      </c>
      <c r="DO22" s="15">
        <f t="shared" si="6"/>
        <v>0</v>
      </c>
      <c r="DP22" s="15" t="str">
        <f t="shared" si="7"/>
        <v>OK - No Upgrade</v>
      </c>
      <c r="DQ22" s="15" t="str">
        <f t="shared" si="8"/>
        <v>OK - Balanced</v>
      </c>
    </row>
    <row r="23" spans="1:121" ht="15.75" customHeight="1" x14ac:dyDescent="0.25">
      <c r="A23" s="8" t="s">
        <v>1459</v>
      </c>
      <c r="B23" s="8" t="s">
        <v>2786</v>
      </c>
      <c r="C23" s="8" t="s">
        <v>2206</v>
      </c>
      <c r="D23" s="8" t="s">
        <v>2844</v>
      </c>
      <c r="E23" s="8" t="s">
        <v>2845</v>
      </c>
      <c r="F23" s="8" t="s">
        <v>43</v>
      </c>
      <c r="G23" s="8" t="s">
        <v>44</v>
      </c>
      <c r="H23" s="8">
        <v>315</v>
      </c>
      <c r="I23" s="8" t="s">
        <v>2846</v>
      </c>
      <c r="J23" s="8">
        <v>1</v>
      </c>
      <c r="K23" s="8">
        <v>239</v>
      </c>
      <c r="L23" s="8">
        <v>240</v>
      </c>
      <c r="M23" s="8">
        <v>238</v>
      </c>
      <c r="N23" s="8">
        <v>416</v>
      </c>
      <c r="O23" s="8">
        <v>412</v>
      </c>
      <c r="P23" s="8">
        <v>414</v>
      </c>
      <c r="Q23" s="9" t="s">
        <v>47</v>
      </c>
      <c r="R23" s="16"/>
      <c r="S23" s="10">
        <v>18</v>
      </c>
      <c r="T23" s="10">
        <v>18</v>
      </c>
      <c r="U23" s="10">
        <v>18</v>
      </c>
      <c r="V23" s="11">
        <v>0</v>
      </c>
      <c r="W23" s="12" t="s">
        <v>46</v>
      </c>
      <c r="X23" s="17"/>
      <c r="Y23" s="13">
        <v>180</v>
      </c>
      <c r="Z23" s="13">
        <v>130</v>
      </c>
      <c r="AA23" s="13">
        <v>130</v>
      </c>
      <c r="AB23" s="14">
        <v>48</v>
      </c>
      <c r="AC23" s="9"/>
      <c r="AD23" s="16"/>
      <c r="AE23" s="10"/>
      <c r="AF23" s="10"/>
      <c r="AG23" s="10"/>
      <c r="AH23" s="11"/>
      <c r="AI23" s="12"/>
      <c r="AJ23" s="17"/>
      <c r="AK23" s="13"/>
      <c r="AL23" s="13"/>
      <c r="AM23" s="13"/>
      <c r="AN23" s="14"/>
      <c r="AO23" s="9"/>
      <c r="AP23" s="16"/>
      <c r="AQ23" s="10"/>
      <c r="AR23" s="10"/>
      <c r="AS23" s="10"/>
      <c r="AT23" s="11"/>
      <c r="AU23" s="12"/>
      <c r="AV23" s="17"/>
      <c r="AW23" s="13"/>
      <c r="AX23" s="13"/>
      <c r="AY23" s="13"/>
      <c r="AZ23" s="14"/>
      <c r="BA23" s="9"/>
      <c r="BB23" s="16"/>
      <c r="BC23" s="10"/>
      <c r="BD23" s="10"/>
      <c r="BE23" s="10"/>
      <c r="BF23" s="11"/>
      <c r="BG23" s="12"/>
      <c r="BH23" s="17"/>
      <c r="BI23" s="13"/>
      <c r="BJ23" s="13"/>
      <c r="BK23" s="13"/>
      <c r="BL23" s="14"/>
      <c r="BM23" s="9"/>
      <c r="BN23" s="16"/>
      <c r="BO23" s="10"/>
      <c r="BP23" s="10"/>
      <c r="BQ23" s="10"/>
      <c r="BR23" s="11"/>
      <c r="BS23" s="12"/>
      <c r="BT23" s="17"/>
      <c r="BU23" s="13"/>
      <c r="BV23" s="13"/>
      <c r="BW23" s="13"/>
      <c r="BX23" s="14"/>
      <c r="BY23" s="9"/>
      <c r="BZ23" s="16"/>
      <c r="CA23" s="10"/>
      <c r="CB23" s="10"/>
      <c r="CC23" s="10"/>
      <c r="CD23" s="11"/>
      <c r="CE23" s="12"/>
      <c r="CF23" s="17"/>
      <c r="CG23" s="13"/>
      <c r="CH23" s="13"/>
      <c r="CI23" s="13"/>
      <c r="CJ23" s="14"/>
      <c r="CK23" s="9"/>
      <c r="CL23" s="16"/>
      <c r="CM23" s="10"/>
      <c r="CN23" s="10"/>
      <c r="CO23" s="10"/>
      <c r="CP23" s="11"/>
      <c r="CQ23" s="12"/>
      <c r="CR23" s="17"/>
      <c r="CS23" s="13"/>
      <c r="CT23" s="13"/>
      <c r="CU23" s="13"/>
      <c r="CV23" s="14"/>
      <c r="CW23" s="9"/>
      <c r="CX23" s="16"/>
      <c r="CY23" s="10"/>
      <c r="CZ23" s="10"/>
      <c r="DA23" s="10"/>
      <c r="DB23" s="11"/>
      <c r="DC23" s="12"/>
      <c r="DD23" s="17"/>
      <c r="DE23" s="13"/>
      <c r="DF23" s="13"/>
      <c r="DG23" s="13"/>
      <c r="DH23" s="14"/>
      <c r="DI23" s="8">
        <f t="shared" si="0"/>
        <v>198</v>
      </c>
      <c r="DJ23" s="8">
        <f t="shared" si="1"/>
        <v>148</v>
      </c>
      <c r="DK23" s="8">
        <f t="shared" si="2"/>
        <v>148</v>
      </c>
      <c r="DL23" s="8">
        <f t="shared" si="3"/>
        <v>48</v>
      </c>
      <c r="DM23" s="8">
        <f t="shared" si="4"/>
        <v>198</v>
      </c>
      <c r="DN23" s="8">
        <f t="shared" si="5"/>
        <v>148</v>
      </c>
      <c r="DO23" s="15">
        <f t="shared" si="6"/>
        <v>45.290654259629612</v>
      </c>
      <c r="DP23" s="15" t="str">
        <f t="shared" si="7"/>
        <v>OK - No Upgrade</v>
      </c>
      <c r="DQ23" s="15" t="str">
        <f t="shared" si="8"/>
        <v>Need to Balance</v>
      </c>
    </row>
    <row r="24" spans="1:121" ht="15.75" customHeight="1" x14ac:dyDescent="0.25">
      <c r="A24" s="8" t="s">
        <v>1459</v>
      </c>
      <c r="B24" s="8" t="s">
        <v>2786</v>
      </c>
      <c r="C24" s="8" t="s">
        <v>2206</v>
      </c>
      <c r="D24" s="8" t="s">
        <v>2847</v>
      </c>
      <c r="E24" s="8" t="s">
        <v>2848</v>
      </c>
      <c r="F24" s="8" t="s">
        <v>43</v>
      </c>
      <c r="G24" s="8" t="s">
        <v>44</v>
      </c>
      <c r="H24" s="8">
        <v>315</v>
      </c>
      <c r="I24" s="8" t="s">
        <v>2849</v>
      </c>
      <c r="J24" s="8">
        <v>1</v>
      </c>
      <c r="K24" s="8">
        <v>240</v>
      </c>
      <c r="L24" s="8">
        <v>240</v>
      </c>
      <c r="M24" s="8">
        <v>239</v>
      </c>
      <c r="N24" s="8">
        <v>419</v>
      </c>
      <c r="O24" s="8">
        <v>416</v>
      </c>
      <c r="P24" s="8">
        <v>415</v>
      </c>
      <c r="Q24" s="9" t="s">
        <v>47</v>
      </c>
      <c r="R24" s="16"/>
      <c r="S24" s="10">
        <v>43</v>
      </c>
      <c r="T24" s="10">
        <v>37</v>
      </c>
      <c r="U24" s="10">
        <v>52</v>
      </c>
      <c r="V24" s="11">
        <v>14</v>
      </c>
      <c r="W24" s="12" t="s">
        <v>46</v>
      </c>
      <c r="X24" s="17"/>
      <c r="Y24" s="13">
        <v>37</v>
      </c>
      <c r="Z24" s="13">
        <v>36</v>
      </c>
      <c r="AA24" s="13">
        <v>24</v>
      </c>
      <c r="AB24" s="14">
        <v>16</v>
      </c>
      <c r="AC24" s="9"/>
      <c r="AD24" s="16"/>
      <c r="AE24" s="10"/>
      <c r="AF24" s="10"/>
      <c r="AG24" s="10"/>
      <c r="AH24" s="11"/>
      <c r="AI24" s="12"/>
      <c r="AJ24" s="17"/>
      <c r="AK24" s="13"/>
      <c r="AL24" s="13"/>
      <c r="AM24" s="13"/>
      <c r="AN24" s="14"/>
      <c r="AO24" s="9"/>
      <c r="AP24" s="16"/>
      <c r="AQ24" s="10"/>
      <c r="AR24" s="10"/>
      <c r="AS24" s="10"/>
      <c r="AT24" s="11"/>
      <c r="AU24" s="12"/>
      <c r="AV24" s="17"/>
      <c r="AW24" s="13"/>
      <c r="AX24" s="13"/>
      <c r="AY24" s="13"/>
      <c r="AZ24" s="14"/>
      <c r="BA24" s="9"/>
      <c r="BB24" s="16"/>
      <c r="BC24" s="10"/>
      <c r="BD24" s="10"/>
      <c r="BE24" s="10"/>
      <c r="BF24" s="11"/>
      <c r="BG24" s="12"/>
      <c r="BH24" s="17"/>
      <c r="BI24" s="13"/>
      <c r="BJ24" s="13"/>
      <c r="BK24" s="13"/>
      <c r="BL24" s="14"/>
      <c r="BM24" s="9"/>
      <c r="BN24" s="16"/>
      <c r="BO24" s="10"/>
      <c r="BP24" s="10"/>
      <c r="BQ24" s="10"/>
      <c r="BR24" s="11"/>
      <c r="BS24" s="12"/>
      <c r="BT24" s="17"/>
      <c r="BU24" s="13"/>
      <c r="BV24" s="13"/>
      <c r="BW24" s="13"/>
      <c r="BX24" s="14"/>
      <c r="BY24" s="9"/>
      <c r="BZ24" s="16"/>
      <c r="CA24" s="10"/>
      <c r="CB24" s="10"/>
      <c r="CC24" s="10"/>
      <c r="CD24" s="11"/>
      <c r="CE24" s="12"/>
      <c r="CF24" s="17"/>
      <c r="CG24" s="13"/>
      <c r="CH24" s="13"/>
      <c r="CI24" s="13"/>
      <c r="CJ24" s="14"/>
      <c r="CK24" s="9"/>
      <c r="CL24" s="16"/>
      <c r="CM24" s="10"/>
      <c r="CN24" s="10"/>
      <c r="CO24" s="10"/>
      <c r="CP24" s="11"/>
      <c r="CQ24" s="12"/>
      <c r="CR24" s="17"/>
      <c r="CS24" s="13"/>
      <c r="CT24" s="13"/>
      <c r="CU24" s="13"/>
      <c r="CV24" s="14"/>
      <c r="CW24" s="9"/>
      <c r="CX24" s="16"/>
      <c r="CY24" s="10"/>
      <c r="CZ24" s="10"/>
      <c r="DA24" s="10"/>
      <c r="DB24" s="11"/>
      <c r="DC24" s="12"/>
      <c r="DD24" s="17"/>
      <c r="DE24" s="13"/>
      <c r="DF24" s="13"/>
      <c r="DG24" s="13"/>
      <c r="DH24" s="14"/>
      <c r="DI24" s="8">
        <f t="shared" si="0"/>
        <v>80</v>
      </c>
      <c r="DJ24" s="8">
        <f t="shared" si="1"/>
        <v>73</v>
      </c>
      <c r="DK24" s="8">
        <f t="shared" si="2"/>
        <v>76</v>
      </c>
      <c r="DL24" s="8">
        <f t="shared" si="3"/>
        <v>30</v>
      </c>
      <c r="DM24" s="8">
        <f t="shared" si="4"/>
        <v>80</v>
      </c>
      <c r="DN24" s="8">
        <f t="shared" si="5"/>
        <v>73</v>
      </c>
      <c r="DO24" s="15">
        <f t="shared" si="6"/>
        <v>18.431220022129764</v>
      </c>
      <c r="DP24" s="15" t="str">
        <f t="shared" si="7"/>
        <v>OK - No Upgrade</v>
      </c>
      <c r="DQ24" s="15" t="str">
        <f t="shared" si="8"/>
        <v>OK - Balanced</v>
      </c>
    </row>
    <row r="25" spans="1:121" ht="15.75" customHeight="1" x14ac:dyDescent="0.25">
      <c r="A25" s="8" t="s">
        <v>1459</v>
      </c>
      <c r="B25" s="8" t="s">
        <v>2786</v>
      </c>
      <c r="C25" s="8" t="s">
        <v>2206</v>
      </c>
      <c r="D25" s="8" t="s">
        <v>2850</v>
      </c>
      <c r="E25" s="8" t="s">
        <v>2851</v>
      </c>
      <c r="F25" s="8" t="s">
        <v>43</v>
      </c>
      <c r="G25" s="8" t="s">
        <v>44</v>
      </c>
      <c r="H25" s="8">
        <v>100</v>
      </c>
      <c r="I25" s="8" t="s">
        <v>2852</v>
      </c>
      <c r="J25" s="8">
        <v>1</v>
      </c>
      <c r="K25" s="8">
        <v>234</v>
      </c>
      <c r="L25" s="8">
        <v>235</v>
      </c>
      <c r="M25" s="8">
        <v>234</v>
      </c>
      <c r="N25" s="8">
        <v>412</v>
      </c>
      <c r="O25" s="8">
        <v>407</v>
      </c>
      <c r="P25" s="8">
        <v>405</v>
      </c>
      <c r="Q25" s="9" t="s">
        <v>46</v>
      </c>
      <c r="R25" s="16"/>
      <c r="S25" s="10">
        <v>0</v>
      </c>
      <c r="T25" s="10">
        <v>12</v>
      </c>
      <c r="U25" s="10">
        <v>0</v>
      </c>
      <c r="V25" s="11">
        <v>11</v>
      </c>
      <c r="W25" s="12" t="s">
        <v>46</v>
      </c>
      <c r="X25" s="17"/>
      <c r="Y25" s="13">
        <v>0</v>
      </c>
      <c r="Z25" s="13">
        <v>0</v>
      </c>
      <c r="AA25" s="13">
        <v>0</v>
      </c>
      <c r="AB25" s="14">
        <v>0</v>
      </c>
      <c r="AC25" s="9"/>
      <c r="AD25" s="16"/>
      <c r="AE25" s="10"/>
      <c r="AF25" s="10"/>
      <c r="AG25" s="10"/>
      <c r="AH25" s="11"/>
      <c r="AI25" s="12"/>
      <c r="AJ25" s="17"/>
      <c r="AK25" s="13"/>
      <c r="AL25" s="13"/>
      <c r="AM25" s="13"/>
      <c r="AN25" s="14"/>
      <c r="AO25" s="9"/>
      <c r="AP25" s="16"/>
      <c r="AQ25" s="10"/>
      <c r="AR25" s="10"/>
      <c r="AS25" s="10"/>
      <c r="AT25" s="11"/>
      <c r="AU25" s="12"/>
      <c r="AV25" s="17"/>
      <c r="AW25" s="13"/>
      <c r="AX25" s="13"/>
      <c r="AY25" s="13"/>
      <c r="AZ25" s="14"/>
      <c r="BA25" s="9"/>
      <c r="BB25" s="16"/>
      <c r="BC25" s="10"/>
      <c r="BD25" s="10"/>
      <c r="BE25" s="10"/>
      <c r="BF25" s="11"/>
      <c r="BG25" s="12"/>
      <c r="BH25" s="17"/>
      <c r="BI25" s="13"/>
      <c r="BJ25" s="13"/>
      <c r="BK25" s="13"/>
      <c r="BL25" s="14"/>
      <c r="BM25" s="9"/>
      <c r="BN25" s="16"/>
      <c r="BO25" s="10"/>
      <c r="BP25" s="10"/>
      <c r="BQ25" s="10"/>
      <c r="BR25" s="11"/>
      <c r="BS25" s="12"/>
      <c r="BT25" s="17"/>
      <c r="BU25" s="13"/>
      <c r="BV25" s="13"/>
      <c r="BW25" s="13"/>
      <c r="BX25" s="14"/>
      <c r="BY25" s="9"/>
      <c r="BZ25" s="16"/>
      <c r="CA25" s="10"/>
      <c r="CB25" s="10"/>
      <c r="CC25" s="10"/>
      <c r="CD25" s="11"/>
      <c r="CE25" s="12"/>
      <c r="CF25" s="17"/>
      <c r="CG25" s="13"/>
      <c r="CH25" s="13"/>
      <c r="CI25" s="13"/>
      <c r="CJ25" s="14"/>
      <c r="CK25" s="9"/>
      <c r="CL25" s="16"/>
      <c r="CM25" s="10"/>
      <c r="CN25" s="10"/>
      <c r="CO25" s="10"/>
      <c r="CP25" s="11"/>
      <c r="CQ25" s="12"/>
      <c r="CR25" s="17"/>
      <c r="CS25" s="13"/>
      <c r="CT25" s="13"/>
      <c r="CU25" s="13"/>
      <c r="CV25" s="14"/>
      <c r="CW25" s="9"/>
      <c r="CX25" s="16"/>
      <c r="CY25" s="10"/>
      <c r="CZ25" s="10"/>
      <c r="DA25" s="10"/>
      <c r="DB25" s="11"/>
      <c r="DC25" s="12"/>
      <c r="DD25" s="17"/>
      <c r="DE25" s="13"/>
      <c r="DF25" s="13"/>
      <c r="DG25" s="13"/>
      <c r="DH25" s="14"/>
      <c r="DI25" s="8">
        <f t="shared" si="0"/>
        <v>0</v>
      </c>
      <c r="DJ25" s="8">
        <f t="shared" si="1"/>
        <v>12</v>
      </c>
      <c r="DK25" s="8">
        <f t="shared" si="2"/>
        <v>0</v>
      </c>
      <c r="DL25" s="8">
        <f t="shared" si="3"/>
        <v>11</v>
      </c>
      <c r="DM25" s="8">
        <f t="shared" si="4"/>
        <v>12</v>
      </c>
      <c r="DN25" s="8">
        <f t="shared" si="5"/>
        <v>0</v>
      </c>
      <c r="DO25" s="15">
        <f t="shared" si="6"/>
        <v>8.5632591926205297</v>
      </c>
      <c r="DP25" s="15" t="str">
        <f t="shared" si="7"/>
        <v>OK - No Upgrade</v>
      </c>
      <c r="DQ25" s="15" t="str">
        <f t="shared" si="8"/>
        <v>Need to Balance</v>
      </c>
    </row>
    <row r="26" spans="1:121" ht="15.75" customHeight="1" x14ac:dyDescent="0.25">
      <c r="A26" s="8" t="s">
        <v>1459</v>
      </c>
      <c r="B26" s="8" t="s">
        <v>2786</v>
      </c>
      <c r="C26" s="8" t="s">
        <v>2206</v>
      </c>
      <c r="D26" s="8" t="s">
        <v>2853</v>
      </c>
      <c r="E26" s="8" t="s">
        <v>2854</v>
      </c>
      <c r="F26" s="8" t="s">
        <v>43</v>
      </c>
      <c r="G26" s="8" t="s">
        <v>44</v>
      </c>
      <c r="H26" s="8">
        <v>100</v>
      </c>
      <c r="I26" s="8" t="s">
        <v>2855</v>
      </c>
      <c r="J26" s="8">
        <v>1</v>
      </c>
      <c r="K26" s="8">
        <v>241</v>
      </c>
      <c r="L26" s="8">
        <v>240</v>
      </c>
      <c r="M26" s="8">
        <v>239</v>
      </c>
      <c r="N26" s="8">
        <v>419</v>
      </c>
      <c r="O26" s="8">
        <v>416</v>
      </c>
      <c r="P26" s="8">
        <v>413</v>
      </c>
      <c r="Q26" s="9" t="s">
        <v>47</v>
      </c>
      <c r="R26" s="16"/>
      <c r="S26" s="10">
        <v>0</v>
      </c>
      <c r="T26" s="10">
        <v>0</v>
      </c>
      <c r="U26" s="10">
        <v>0</v>
      </c>
      <c r="V26" s="11">
        <v>0</v>
      </c>
      <c r="W26" s="12" t="s">
        <v>46</v>
      </c>
      <c r="X26" s="17"/>
      <c r="Y26" s="13">
        <v>0</v>
      </c>
      <c r="Z26" s="13">
        <v>13</v>
      </c>
      <c r="AA26" s="13">
        <v>28</v>
      </c>
      <c r="AB26" s="14">
        <v>18</v>
      </c>
      <c r="AC26" s="9"/>
      <c r="AD26" s="16"/>
      <c r="AE26" s="10"/>
      <c r="AF26" s="10"/>
      <c r="AG26" s="10"/>
      <c r="AH26" s="11"/>
      <c r="AI26" s="12"/>
      <c r="AJ26" s="17"/>
      <c r="AK26" s="13"/>
      <c r="AL26" s="13"/>
      <c r="AM26" s="13"/>
      <c r="AN26" s="14"/>
      <c r="AO26" s="9"/>
      <c r="AP26" s="16"/>
      <c r="AQ26" s="10"/>
      <c r="AR26" s="10"/>
      <c r="AS26" s="10"/>
      <c r="AT26" s="11"/>
      <c r="AU26" s="12"/>
      <c r="AV26" s="17"/>
      <c r="AW26" s="13"/>
      <c r="AX26" s="13"/>
      <c r="AY26" s="13"/>
      <c r="AZ26" s="14"/>
      <c r="BA26" s="9"/>
      <c r="BB26" s="16"/>
      <c r="BC26" s="10"/>
      <c r="BD26" s="10"/>
      <c r="BE26" s="10"/>
      <c r="BF26" s="11"/>
      <c r="BG26" s="12"/>
      <c r="BH26" s="17"/>
      <c r="BI26" s="13"/>
      <c r="BJ26" s="13"/>
      <c r="BK26" s="13"/>
      <c r="BL26" s="14"/>
      <c r="BM26" s="9"/>
      <c r="BN26" s="16"/>
      <c r="BO26" s="10"/>
      <c r="BP26" s="10"/>
      <c r="BQ26" s="10"/>
      <c r="BR26" s="11"/>
      <c r="BS26" s="12"/>
      <c r="BT26" s="17"/>
      <c r="BU26" s="13"/>
      <c r="BV26" s="13"/>
      <c r="BW26" s="13"/>
      <c r="BX26" s="14"/>
      <c r="BY26" s="9"/>
      <c r="BZ26" s="16"/>
      <c r="CA26" s="10"/>
      <c r="CB26" s="10"/>
      <c r="CC26" s="10"/>
      <c r="CD26" s="11"/>
      <c r="CE26" s="12"/>
      <c r="CF26" s="17"/>
      <c r="CG26" s="13"/>
      <c r="CH26" s="13"/>
      <c r="CI26" s="13"/>
      <c r="CJ26" s="14"/>
      <c r="CK26" s="9"/>
      <c r="CL26" s="16"/>
      <c r="CM26" s="10"/>
      <c r="CN26" s="10"/>
      <c r="CO26" s="10"/>
      <c r="CP26" s="11"/>
      <c r="CQ26" s="12"/>
      <c r="CR26" s="17"/>
      <c r="CS26" s="13"/>
      <c r="CT26" s="13"/>
      <c r="CU26" s="13"/>
      <c r="CV26" s="14"/>
      <c r="CW26" s="9"/>
      <c r="CX26" s="16"/>
      <c r="CY26" s="10"/>
      <c r="CZ26" s="10"/>
      <c r="DA26" s="10"/>
      <c r="DB26" s="11"/>
      <c r="DC26" s="12"/>
      <c r="DD26" s="17"/>
      <c r="DE26" s="13"/>
      <c r="DF26" s="13"/>
      <c r="DG26" s="13"/>
      <c r="DH26" s="14"/>
      <c r="DI26" s="8">
        <f t="shared" si="0"/>
        <v>0</v>
      </c>
      <c r="DJ26" s="8">
        <f t="shared" si="1"/>
        <v>13</v>
      </c>
      <c r="DK26" s="8">
        <f t="shared" si="2"/>
        <v>28</v>
      </c>
      <c r="DL26" s="8">
        <f t="shared" si="3"/>
        <v>18</v>
      </c>
      <c r="DM26" s="8">
        <f t="shared" si="4"/>
        <v>28</v>
      </c>
      <c r="DN26" s="8">
        <f t="shared" si="5"/>
        <v>0</v>
      </c>
      <c r="DO26" s="15">
        <f t="shared" si="6"/>
        <v>20.320420074398069</v>
      </c>
      <c r="DP26" s="15" t="str">
        <f t="shared" si="7"/>
        <v>OK - No Upgrade</v>
      </c>
      <c r="DQ26" s="15" t="str">
        <f t="shared" si="8"/>
        <v>Need to Balance</v>
      </c>
    </row>
    <row r="27" spans="1:121" ht="15.75" customHeight="1" x14ac:dyDescent="0.25">
      <c r="A27" s="8" t="s">
        <v>1459</v>
      </c>
      <c r="B27" s="8" t="s">
        <v>2786</v>
      </c>
      <c r="C27" s="8" t="s">
        <v>2206</v>
      </c>
      <c r="D27" s="8" t="s">
        <v>2856</v>
      </c>
      <c r="E27" s="8" t="s">
        <v>2857</v>
      </c>
      <c r="F27" s="8" t="s">
        <v>43</v>
      </c>
      <c r="G27" s="8" t="s">
        <v>44</v>
      </c>
      <c r="H27" s="8">
        <v>200</v>
      </c>
      <c r="I27" s="8" t="s">
        <v>2858</v>
      </c>
      <c r="J27" s="8">
        <v>1</v>
      </c>
      <c r="K27" s="8">
        <v>238</v>
      </c>
      <c r="L27" s="8">
        <v>239</v>
      </c>
      <c r="M27" s="8">
        <v>237</v>
      </c>
      <c r="N27" s="8">
        <v>413</v>
      </c>
      <c r="O27" s="8">
        <v>411</v>
      </c>
      <c r="P27" s="8">
        <v>414</v>
      </c>
      <c r="Q27" s="9" t="s">
        <v>46</v>
      </c>
      <c r="R27" s="16"/>
      <c r="S27" s="10">
        <v>20</v>
      </c>
      <c r="T27" s="10">
        <v>11</v>
      </c>
      <c r="U27" s="10">
        <v>40</v>
      </c>
      <c r="V27" s="11">
        <v>37</v>
      </c>
      <c r="W27" s="12" t="s">
        <v>46</v>
      </c>
      <c r="X27" s="17"/>
      <c r="Y27" s="13">
        <v>32</v>
      </c>
      <c r="Z27" s="13">
        <v>60</v>
      </c>
      <c r="AA27" s="13">
        <v>19</v>
      </c>
      <c r="AB27" s="14">
        <v>37</v>
      </c>
      <c r="AC27" s="9" t="s">
        <v>47</v>
      </c>
      <c r="AD27" s="16"/>
      <c r="AE27" s="10">
        <v>59</v>
      </c>
      <c r="AF27" s="10">
        <v>52</v>
      </c>
      <c r="AG27" s="10">
        <v>117</v>
      </c>
      <c r="AH27" s="11">
        <v>53</v>
      </c>
      <c r="AI27" s="12"/>
      <c r="AJ27" s="17"/>
      <c r="AK27" s="13"/>
      <c r="AL27" s="13"/>
      <c r="AM27" s="13"/>
      <c r="AN27" s="14"/>
      <c r="AO27" s="9"/>
      <c r="AP27" s="16"/>
      <c r="AQ27" s="10"/>
      <c r="AR27" s="10"/>
      <c r="AS27" s="10"/>
      <c r="AT27" s="11"/>
      <c r="AU27" s="12"/>
      <c r="AV27" s="17"/>
      <c r="AW27" s="13"/>
      <c r="AX27" s="13"/>
      <c r="AY27" s="13"/>
      <c r="AZ27" s="14"/>
      <c r="BA27" s="9"/>
      <c r="BB27" s="16"/>
      <c r="BC27" s="10"/>
      <c r="BD27" s="10"/>
      <c r="BE27" s="10"/>
      <c r="BF27" s="11"/>
      <c r="BG27" s="12"/>
      <c r="BH27" s="17"/>
      <c r="BI27" s="13"/>
      <c r="BJ27" s="13"/>
      <c r="BK27" s="13"/>
      <c r="BL27" s="14"/>
      <c r="BM27" s="9"/>
      <c r="BN27" s="16"/>
      <c r="BO27" s="10"/>
      <c r="BP27" s="10"/>
      <c r="BQ27" s="10"/>
      <c r="BR27" s="11"/>
      <c r="BS27" s="12"/>
      <c r="BT27" s="17"/>
      <c r="BU27" s="13"/>
      <c r="BV27" s="13"/>
      <c r="BW27" s="13"/>
      <c r="BX27" s="14"/>
      <c r="BY27" s="9"/>
      <c r="BZ27" s="16"/>
      <c r="CA27" s="10"/>
      <c r="CB27" s="10"/>
      <c r="CC27" s="10"/>
      <c r="CD27" s="11"/>
      <c r="CE27" s="12"/>
      <c r="CF27" s="17"/>
      <c r="CG27" s="13"/>
      <c r="CH27" s="13"/>
      <c r="CI27" s="13"/>
      <c r="CJ27" s="14"/>
      <c r="CK27" s="9"/>
      <c r="CL27" s="16"/>
      <c r="CM27" s="10"/>
      <c r="CN27" s="10"/>
      <c r="CO27" s="10"/>
      <c r="CP27" s="11"/>
      <c r="CQ27" s="12"/>
      <c r="CR27" s="17"/>
      <c r="CS27" s="13"/>
      <c r="CT27" s="13"/>
      <c r="CU27" s="13"/>
      <c r="CV27" s="14"/>
      <c r="CW27" s="9"/>
      <c r="CX27" s="16"/>
      <c r="CY27" s="10"/>
      <c r="CZ27" s="10"/>
      <c r="DA27" s="10"/>
      <c r="DB27" s="11"/>
      <c r="DC27" s="12"/>
      <c r="DD27" s="17"/>
      <c r="DE27" s="13"/>
      <c r="DF27" s="13"/>
      <c r="DG27" s="13"/>
      <c r="DH27" s="14"/>
      <c r="DI27" s="8">
        <f t="shared" si="0"/>
        <v>111</v>
      </c>
      <c r="DJ27" s="8">
        <f t="shared" si="1"/>
        <v>123</v>
      </c>
      <c r="DK27" s="8">
        <f t="shared" si="2"/>
        <v>176</v>
      </c>
      <c r="DL27" s="8">
        <f t="shared" si="3"/>
        <v>127</v>
      </c>
      <c r="DM27" s="8">
        <f t="shared" si="4"/>
        <v>176</v>
      </c>
      <c r="DN27" s="8">
        <f t="shared" si="5"/>
        <v>111</v>
      </c>
      <c r="DO27" s="15">
        <f t="shared" si="6"/>
        <v>62.94965455028327</v>
      </c>
      <c r="DP27" s="15" t="str">
        <f t="shared" si="7"/>
        <v>OK - No Upgrade</v>
      </c>
      <c r="DQ27" s="15" t="str">
        <f t="shared" si="8"/>
        <v>Need to Balance</v>
      </c>
    </row>
    <row r="28" spans="1:121" ht="15.75" customHeight="1" x14ac:dyDescent="0.25">
      <c r="A28" s="8" t="s">
        <v>1459</v>
      </c>
      <c r="B28" s="8" t="s">
        <v>2786</v>
      </c>
      <c r="C28" s="8" t="s">
        <v>2206</v>
      </c>
      <c r="D28" s="8" t="s">
        <v>2859</v>
      </c>
      <c r="E28" s="8" t="s">
        <v>2860</v>
      </c>
      <c r="F28" s="8" t="s">
        <v>43</v>
      </c>
      <c r="G28" s="8" t="s">
        <v>44</v>
      </c>
      <c r="H28" s="8">
        <v>100</v>
      </c>
      <c r="I28" s="8" t="s">
        <v>2861</v>
      </c>
      <c r="J28" s="8">
        <v>1</v>
      </c>
      <c r="K28" s="8">
        <v>240</v>
      </c>
      <c r="L28" s="8">
        <v>241</v>
      </c>
      <c r="M28" s="8">
        <v>242</v>
      </c>
      <c r="N28" s="8">
        <v>420</v>
      </c>
      <c r="O28" s="8">
        <v>419</v>
      </c>
      <c r="P28" s="8">
        <v>418</v>
      </c>
      <c r="Q28" s="9" t="s">
        <v>47</v>
      </c>
      <c r="R28" s="16"/>
      <c r="S28" s="10">
        <v>0</v>
      </c>
      <c r="T28" s="10">
        <v>0</v>
      </c>
      <c r="U28" s="10">
        <v>0</v>
      </c>
      <c r="V28" s="11">
        <v>0</v>
      </c>
      <c r="W28" s="12"/>
      <c r="X28" s="17"/>
      <c r="Y28" s="13"/>
      <c r="Z28" s="13"/>
      <c r="AA28" s="13"/>
      <c r="AB28" s="14"/>
      <c r="AC28" s="9"/>
      <c r="AD28" s="16"/>
      <c r="AE28" s="10"/>
      <c r="AF28" s="10"/>
      <c r="AG28" s="10"/>
      <c r="AH28" s="11"/>
      <c r="AI28" s="12"/>
      <c r="AJ28" s="17"/>
      <c r="AK28" s="13"/>
      <c r="AL28" s="13"/>
      <c r="AM28" s="13"/>
      <c r="AN28" s="14"/>
      <c r="AO28" s="9"/>
      <c r="AP28" s="16"/>
      <c r="AQ28" s="10"/>
      <c r="AR28" s="10"/>
      <c r="AS28" s="10"/>
      <c r="AT28" s="11"/>
      <c r="AU28" s="12"/>
      <c r="AV28" s="17"/>
      <c r="AW28" s="13"/>
      <c r="AX28" s="13"/>
      <c r="AY28" s="13"/>
      <c r="AZ28" s="14"/>
      <c r="BA28" s="9"/>
      <c r="BB28" s="16"/>
      <c r="BC28" s="10"/>
      <c r="BD28" s="10"/>
      <c r="BE28" s="10"/>
      <c r="BF28" s="11"/>
      <c r="BG28" s="12"/>
      <c r="BH28" s="17"/>
      <c r="BI28" s="13"/>
      <c r="BJ28" s="13"/>
      <c r="BK28" s="13"/>
      <c r="BL28" s="14"/>
      <c r="BM28" s="9"/>
      <c r="BN28" s="16"/>
      <c r="BO28" s="10"/>
      <c r="BP28" s="10"/>
      <c r="BQ28" s="10"/>
      <c r="BR28" s="11"/>
      <c r="BS28" s="12"/>
      <c r="BT28" s="17"/>
      <c r="BU28" s="13"/>
      <c r="BV28" s="13"/>
      <c r="BW28" s="13"/>
      <c r="BX28" s="14"/>
      <c r="BY28" s="9"/>
      <c r="BZ28" s="16"/>
      <c r="CA28" s="10"/>
      <c r="CB28" s="10"/>
      <c r="CC28" s="10"/>
      <c r="CD28" s="11"/>
      <c r="CE28" s="12"/>
      <c r="CF28" s="17"/>
      <c r="CG28" s="13"/>
      <c r="CH28" s="13"/>
      <c r="CI28" s="13"/>
      <c r="CJ28" s="14"/>
      <c r="CK28" s="9"/>
      <c r="CL28" s="16"/>
      <c r="CM28" s="10"/>
      <c r="CN28" s="10"/>
      <c r="CO28" s="10"/>
      <c r="CP28" s="11"/>
      <c r="CQ28" s="12"/>
      <c r="CR28" s="17"/>
      <c r="CS28" s="13"/>
      <c r="CT28" s="13"/>
      <c r="CU28" s="13"/>
      <c r="CV28" s="14"/>
      <c r="CW28" s="9"/>
      <c r="CX28" s="16"/>
      <c r="CY28" s="10"/>
      <c r="CZ28" s="10"/>
      <c r="DA28" s="10"/>
      <c r="DB28" s="11"/>
      <c r="DC28" s="12"/>
      <c r="DD28" s="17"/>
      <c r="DE28" s="13"/>
      <c r="DF28" s="13"/>
      <c r="DG28" s="13"/>
      <c r="DH28" s="14"/>
      <c r="DI28" s="8">
        <f t="shared" si="0"/>
        <v>0</v>
      </c>
      <c r="DJ28" s="8">
        <f t="shared" si="1"/>
        <v>0</v>
      </c>
      <c r="DK28" s="8">
        <f t="shared" si="2"/>
        <v>0</v>
      </c>
      <c r="DL28" s="8">
        <f t="shared" si="3"/>
        <v>0</v>
      </c>
      <c r="DM28" s="8">
        <f t="shared" si="4"/>
        <v>0</v>
      </c>
      <c r="DN28" s="8">
        <f t="shared" si="5"/>
        <v>0</v>
      </c>
      <c r="DO28" s="15">
        <f t="shared" si="6"/>
        <v>0</v>
      </c>
      <c r="DP28" s="15" t="str">
        <f t="shared" si="7"/>
        <v>OK - No Upgrade</v>
      </c>
      <c r="DQ28" s="15" t="str">
        <f t="shared" si="8"/>
        <v>OK - Balanced</v>
      </c>
    </row>
    <row r="29" spans="1:121" ht="15.75" customHeight="1" x14ac:dyDescent="0.25">
      <c r="A29" s="8" t="s">
        <v>1459</v>
      </c>
      <c r="B29" s="8" t="s">
        <v>2786</v>
      </c>
      <c r="C29" s="8" t="s">
        <v>2206</v>
      </c>
      <c r="D29" s="8" t="s">
        <v>2862</v>
      </c>
      <c r="E29" s="8" t="s">
        <v>2863</v>
      </c>
      <c r="F29" s="8" t="s">
        <v>43</v>
      </c>
      <c r="G29" s="8" t="s">
        <v>44</v>
      </c>
      <c r="H29" s="8">
        <v>100</v>
      </c>
      <c r="I29" s="8" t="s">
        <v>2864</v>
      </c>
      <c r="J29" s="8">
        <v>1</v>
      </c>
      <c r="K29" s="8">
        <v>235</v>
      </c>
      <c r="L29" s="8">
        <v>234</v>
      </c>
      <c r="M29" s="8">
        <v>231</v>
      </c>
      <c r="N29" s="8">
        <v>409</v>
      </c>
      <c r="O29" s="8">
        <v>399</v>
      </c>
      <c r="P29" s="8">
        <v>403</v>
      </c>
      <c r="Q29" s="9" t="s">
        <v>46</v>
      </c>
      <c r="R29" s="16"/>
      <c r="S29" s="10">
        <v>69</v>
      </c>
      <c r="T29" s="10">
        <v>89</v>
      </c>
      <c r="U29" s="10">
        <v>115</v>
      </c>
      <c r="V29" s="11">
        <v>38</v>
      </c>
      <c r="W29" s="12"/>
      <c r="X29" s="17"/>
      <c r="Y29" s="13"/>
      <c r="Z29" s="13"/>
      <c r="AA29" s="13"/>
      <c r="AB29" s="14"/>
      <c r="AC29" s="9"/>
      <c r="AD29" s="16"/>
      <c r="AE29" s="10"/>
      <c r="AF29" s="10"/>
      <c r="AG29" s="10"/>
      <c r="AH29" s="11"/>
      <c r="AI29" s="12"/>
      <c r="AJ29" s="17"/>
      <c r="AK29" s="13"/>
      <c r="AL29" s="13"/>
      <c r="AM29" s="13"/>
      <c r="AN29" s="14"/>
      <c r="AO29" s="9"/>
      <c r="AP29" s="16"/>
      <c r="AQ29" s="10"/>
      <c r="AR29" s="10"/>
      <c r="AS29" s="10"/>
      <c r="AT29" s="11"/>
      <c r="AU29" s="12"/>
      <c r="AV29" s="17"/>
      <c r="AW29" s="13"/>
      <c r="AX29" s="13"/>
      <c r="AY29" s="13"/>
      <c r="AZ29" s="14"/>
      <c r="BA29" s="9"/>
      <c r="BB29" s="16"/>
      <c r="BC29" s="10"/>
      <c r="BD29" s="10"/>
      <c r="BE29" s="10"/>
      <c r="BF29" s="11"/>
      <c r="BG29" s="12"/>
      <c r="BH29" s="17"/>
      <c r="BI29" s="13"/>
      <c r="BJ29" s="13"/>
      <c r="BK29" s="13"/>
      <c r="BL29" s="14"/>
      <c r="BM29" s="9"/>
      <c r="BN29" s="16"/>
      <c r="BO29" s="10"/>
      <c r="BP29" s="10"/>
      <c r="BQ29" s="10"/>
      <c r="BR29" s="11"/>
      <c r="BS29" s="12"/>
      <c r="BT29" s="17"/>
      <c r="BU29" s="13"/>
      <c r="BV29" s="13"/>
      <c r="BW29" s="13"/>
      <c r="BX29" s="14"/>
      <c r="BY29" s="9"/>
      <c r="BZ29" s="16"/>
      <c r="CA29" s="10"/>
      <c r="CB29" s="10"/>
      <c r="CC29" s="10"/>
      <c r="CD29" s="11"/>
      <c r="CE29" s="12"/>
      <c r="CF29" s="17"/>
      <c r="CG29" s="13"/>
      <c r="CH29" s="13"/>
      <c r="CI29" s="13"/>
      <c r="CJ29" s="14"/>
      <c r="CK29" s="9"/>
      <c r="CL29" s="16"/>
      <c r="CM29" s="10"/>
      <c r="CN29" s="10"/>
      <c r="CO29" s="10"/>
      <c r="CP29" s="11"/>
      <c r="CQ29" s="12"/>
      <c r="CR29" s="17"/>
      <c r="CS29" s="13"/>
      <c r="CT29" s="13"/>
      <c r="CU29" s="13"/>
      <c r="CV29" s="14"/>
      <c r="CW29" s="9"/>
      <c r="CX29" s="16"/>
      <c r="CY29" s="10"/>
      <c r="CZ29" s="10"/>
      <c r="DA29" s="10"/>
      <c r="DB29" s="11"/>
      <c r="DC29" s="12"/>
      <c r="DD29" s="17"/>
      <c r="DE29" s="13"/>
      <c r="DF29" s="13"/>
      <c r="DG29" s="13"/>
      <c r="DH29" s="14"/>
      <c r="DI29" s="8">
        <f t="shared" si="0"/>
        <v>69</v>
      </c>
      <c r="DJ29" s="8">
        <f t="shared" si="1"/>
        <v>89</v>
      </c>
      <c r="DK29" s="8">
        <f t="shared" si="2"/>
        <v>115</v>
      </c>
      <c r="DL29" s="8">
        <f t="shared" si="3"/>
        <v>38</v>
      </c>
      <c r="DM29" s="8">
        <f t="shared" si="4"/>
        <v>115</v>
      </c>
      <c r="DN29" s="8">
        <f t="shared" si="5"/>
        <v>69</v>
      </c>
      <c r="DO29" s="15">
        <f t="shared" si="6"/>
        <v>81.467009734002147</v>
      </c>
      <c r="DP29" s="15" t="str">
        <f t="shared" si="7"/>
        <v>Upgrade</v>
      </c>
      <c r="DQ29" s="15" t="str">
        <f t="shared" si="8"/>
        <v>Need to Balance</v>
      </c>
    </row>
    <row r="30" spans="1:121" ht="15.75" customHeight="1" x14ac:dyDescent="0.25">
      <c r="A30" s="8" t="s">
        <v>1459</v>
      </c>
      <c r="B30" s="8" t="s">
        <v>2786</v>
      </c>
      <c r="C30" s="8" t="s">
        <v>2206</v>
      </c>
      <c r="D30" s="8" t="s">
        <v>2865</v>
      </c>
      <c r="E30" s="8" t="s">
        <v>2866</v>
      </c>
      <c r="F30" s="8" t="s">
        <v>56</v>
      </c>
      <c r="G30" s="8" t="s">
        <v>44</v>
      </c>
      <c r="H30" s="8">
        <v>500</v>
      </c>
      <c r="I30" s="8" t="s">
        <v>2867</v>
      </c>
      <c r="J30" s="8">
        <v>1</v>
      </c>
      <c r="K30" s="8">
        <v>236</v>
      </c>
      <c r="L30" s="8">
        <v>235</v>
      </c>
      <c r="M30" s="8">
        <v>236</v>
      </c>
      <c r="N30" s="8">
        <v>412</v>
      </c>
      <c r="O30" s="8">
        <v>408</v>
      </c>
      <c r="P30" s="8">
        <v>409</v>
      </c>
      <c r="Q30" s="9"/>
      <c r="R30" s="16"/>
      <c r="S30" s="10"/>
      <c r="T30" s="10"/>
      <c r="U30" s="10"/>
      <c r="V30" s="11"/>
      <c r="W30" s="12"/>
      <c r="X30" s="17"/>
      <c r="Y30" s="13"/>
      <c r="Z30" s="13"/>
      <c r="AA30" s="13"/>
      <c r="AB30" s="14"/>
      <c r="AC30" s="9" t="s">
        <v>70</v>
      </c>
      <c r="AD30" s="16"/>
      <c r="AE30" s="10">
        <v>29</v>
      </c>
      <c r="AF30" s="10">
        <v>32</v>
      </c>
      <c r="AG30" s="10">
        <v>20</v>
      </c>
      <c r="AH30" s="11">
        <v>18</v>
      </c>
      <c r="AI30" s="12" t="s">
        <v>70</v>
      </c>
      <c r="AJ30" s="17"/>
      <c r="AK30" s="13">
        <v>39</v>
      </c>
      <c r="AL30" s="13">
        <v>33</v>
      </c>
      <c r="AM30" s="13">
        <v>22</v>
      </c>
      <c r="AN30" s="14">
        <v>19</v>
      </c>
      <c r="AO30" s="9" t="s">
        <v>70</v>
      </c>
      <c r="AP30" s="16"/>
      <c r="AQ30" s="10">
        <v>42</v>
      </c>
      <c r="AR30" s="10">
        <v>44</v>
      </c>
      <c r="AS30" s="10">
        <v>14</v>
      </c>
      <c r="AT30" s="11">
        <v>20</v>
      </c>
      <c r="AU30" s="12" t="s">
        <v>47</v>
      </c>
      <c r="AV30" s="17"/>
      <c r="AW30" s="13">
        <v>10</v>
      </c>
      <c r="AX30" s="13">
        <v>14</v>
      </c>
      <c r="AY30" s="13">
        <v>11</v>
      </c>
      <c r="AZ30" s="14">
        <v>12</v>
      </c>
      <c r="BA30" s="9"/>
      <c r="BB30" s="16"/>
      <c r="BC30" s="10"/>
      <c r="BD30" s="10"/>
      <c r="BE30" s="10"/>
      <c r="BF30" s="11"/>
      <c r="BG30" s="12"/>
      <c r="BH30" s="17"/>
      <c r="BI30" s="13"/>
      <c r="BJ30" s="13"/>
      <c r="BK30" s="13"/>
      <c r="BL30" s="14"/>
      <c r="BM30" s="9"/>
      <c r="BN30" s="16"/>
      <c r="BO30" s="10"/>
      <c r="BP30" s="10"/>
      <c r="BQ30" s="10"/>
      <c r="BR30" s="11"/>
      <c r="BS30" s="12"/>
      <c r="BT30" s="17"/>
      <c r="BU30" s="13"/>
      <c r="BV30" s="13"/>
      <c r="BW30" s="13"/>
      <c r="BX30" s="14"/>
      <c r="BY30" s="9"/>
      <c r="BZ30" s="16"/>
      <c r="CA30" s="10"/>
      <c r="CB30" s="10"/>
      <c r="CC30" s="10"/>
      <c r="CD30" s="11"/>
      <c r="CE30" s="12"/>
      <c r="CF30" s="17"/>
      <c r="CG30" s="13"/>
      <c r="CH30" s="13"/>
      <c r="CI30" s="13"/>
      <c r="CJ30" s="14"/>
      <c r="CK30" s="9"/>
      <c r="CL30" s="16"/>
      <c r="CM30" s="10"/>
      <c r="CN30" s="10"/>
      <c r="CO30" s="10"/>
      <c r="CP30" s="11"/>
      <c r="CQ30" s="12"/>
      <c r="CR30" s="17"/>
      <c r="CS30" s="13"/>
      <c r="CT30" s="13"/>
      <c r="CU30" s="13"/>
      <c r="CV30" s="14"/>
      <c r="CW30" s="9"/>
      <c r="CX30" s="16"/>
      <c r="CY30" s="10"/>
      <c r="CZ30" s="10"/>
      <c r="DA30" s="10"/>
      <c r="DB30" s="11"/>
      <c r="DC30" s="12"/>
      <c r="DD30" s="17"/>
      <c r="DE30" s="13"/>
      <c r="DF30" s="13"/>
      <c r="DG30" s="13"/>
      <c r="DH30" s="14"/>
      <c r="DI30" s="8">
        <f t="shared" si="0"/>
        <v>120</v>
      </c>
      <c r="DJ30" s="8">
        <f t="shared" si="1"/>
        <v>123</v>
      </c>
      <c r="DK30" s="8">
        <f t="shared" si="2"/>
        <v>67</v>
      </c>
      <c r="DL30" s="8">
        <f t="shared" si="3"/>
        <v>69</v>
      </c>
      <c r="DM30" s="8">
        <f t="shared" si="4"/>
        <v>123</v>
      </c>
      <c r="DN30" s="8">
        <f t="shared" si="5"/>
        <v>67</v>
      </c>
      <c r="DO30" s="15">
        <f t="shared" si="6"/>
        <v>17.554681344872083</v>
      </c>
      <c r="DP30" s="15" t="str">
        <f t="shared" si="7"/>
        <v>OK - No Upgrade</v>
      </c>
      <c r="DQ30" s="15" t="str">
        <f t="shared" si="8"/>
        <v>Need to Balance</v>
      </c>
    </row>
    <row r="31" spans="1:121" ht="15.75" customHeight="1" x14ac:dyDescent="0.25">
      <c r="A31" s="8" t="s">
        <v>1459</v>
      </c>
      <c r="B31" s="8" t="s">
        <v>2786</v>
      </c>
      <c r="C31" s="8" t="s">
        <v>2206</v>
      </c>
      <c r="D31" s="8" t="s">
        <v>2868</v>
      </c>
      <c r="E31" s="8" t="s">
        <v>2869</v>
      </c>
      <c r="F31" s="8" t="s">
        <v>43</v>
      </c>
      <c r="G31" s="8" t="s">
        <v>44</v>
      </c>
      <c r="H31" s="8">
        <v>100</v>
      </c>
      <c r="I31" s="8" t="s">
        <v>2870</v>
      </c>
      <c r="J31" s="8">
        <v>1</v>
      </c>
      <c r="K31" s="8">
        <v>234</v>
      </c>
      <c r="L31" s="8">
        <v>234</v>
      </c>
      <c r="M31" s="8">
        <v>233</v>
      </c>
      <c r="N31" s="8">
        <v>407</v>
      </c>
      <c r="O31" s="8">
        <v>403</v>
      </c>
      <c r="P31" s="8">
        <v>404</v>
      </c>
      <c r="Q31" s="9" t="s">
        <v>47</v>
      </c>
      <c r="R31" s="16"/>
      <c r="S31" s="10">
        <v>11</v>
      </c>
      <c r="T31" s="10">
        <v>24</v>
      </c>
      <c r="U31" s="10">
        <v>39</v>
      </c>
      <c r="V31" s="11">
        <v>17</v>
      </c>
      <c r="W31" s="12" t="s">
        <v>70</v>
      </c>
      <c r="X31" s="17"/>
      <c r="Y31" s="13">
        <v>51</v>
      </c>
      <c r="Z31" s="13">
        <v>42</v>
      </c>
      <c r="AA31" s="13">
        <v>13</v>
      </c>
      <c r="AB31" s="14">
        <v>27</v>
      </c>
      <c r="AC31" s="9"/>
      <c r="AD31" s="16"/>
      <c r="AE31" s="10"/>
      <c r="AF31" s="10"/>
      <c r="AG31" s="10"/>
      <c r="AH31" s="11"/>
      <c r="AI31" s="12"/>
      <c r="AJ31" s="17"/>
      <c r="AK31" s="13"/>
      <c r="AL31" s="13"/>
      <c r="AM31" s="13"/>
      <c r="AN31" s="14"/>
      <c r="AO31" s="9"/>
      <c r="AP31" s="16"/>
      <c r="AQ31" s="10"/>
      <c r="AR31" s="10"/>
      <c r="AS31" s="10"/>
      <c r="AT31" s="11"/>
      <c r="AU31" s="12"/>
      <c r="AV31" s="17"/>
      <c r="AW31" s="13"/>
      <c r="AX31" s="13"/>
      <c r="AY31" s="13"/>
      <c r="AZ31" s="14"/>
      <c r="BA31" s="9"/>
      <c r="BB31" s="16"/>
      <c r="BC31" s="10"/>
      <c r="BD31" s="10"/>
      <c r="BE31" s="10"/>
      <c r="BF31" s="11"/>
      <c r="BG31" s="12"/>
      <c r="BH31" s="17"/>
      <c r="BI31" s="13"/>
      <c r="BJ31" s="13"/>
      <c r="BK31" s="13"/>
      <c r="BL31" s="14"/>
      <c r="BM31" s="9"/>
      <c r="BN31" s="16"/>
      <c r="BO31" s="10"/>
      <c r="BP31" s="10"/>
      <c r="BQ31" s="10"/>
      <c r="BR31" s="11"/>
      <c r="BS31" s="12"/>
      <c r="BT31" s="17"/>
      <c r="BU31" s="13"/>
      <c r="BV31" s="13"/>
      <c r="BW31" s="13"/>
      <c r="BX31" s="14"/>
      <c r="BY31" s="9"/>
      <c r="BZ31" s="16"/>
      <c r="CA31" s="10"/>
      <c r="CB31" s="10"/>
      <c r="CC31" s="10"/>
      <c r="CD31" s="11"/>
      <c r="CE31" s="12"/>
      <c r="CF31" s="17"/>
      <c r="CG31" s="13"/>
      <c r="CH31" s="13"/>
      <c r="CI31" s="13"/>
      <c r="CJ31" s="14"/>
      <c r="CK31" s="9"/>
      <c r="CL31" s="16"/>
      <c r="CM31" s="10"/>
      <c r="CN31" s="10"/>
      <c r="CO31" s="10"/>
      <c r="CP31" s="11"/>
      <c r="CQ31" s="12"/>
      <c r="CR31" s="17"/>
      <c r="CS31" s="13"/>
      <c r="CT31" s="13"/>
      <c r="CU31" s="13"/>
      <c r="CV31" s="14"/>
      <c r="CW31" s="9"/>
      <c r="CX31" s="16"/>
      <c r="CY31" s="10"/>
      <c r="CZ31" s="10"/>
      <c r="DA31" s="10"/>
      <c r="DB31" s="11"/>
      <c r="DC31" s="12"/>
      <c r="DD31" s="17"/>
      <c r="DE31" s="13"/>
      <c r="DF31" s="13"/>
      <c r="DG31" s="13"/>
      <c r="DH31" s="14"/>
      <c r="DI31" s="8">
        <f t="shared" si="0"/>
        <v>62</v>
      </c>
      <c r="DJ31" s="8">
        <f t="shared" si="1"/>
        <v>66</v>
      </c>
      <c r="DK31" s="8">
        <f t="shared" si="2"/>
        <v>52</v>
      </c>
      <c r="DL31" s="8">
        <f t="shared" si="3"/>
        <v>44</v>
      </c>
      <c r="DM31" s="8">
        <f t="shared" si="4"/>
        <v>66</v>
      </c>
      <c r="DN31" s="8">
        <f t="shared" si="5"/>
        <v>52</v>
      </c>
      <c r="DO31" s="15">
        <f t="shared" si="6"/>
        <v>46.526348792915172</v>
      </c>
      <c r="DP31" s="15" t="str">
        <f t="shared" si="7"/>
        <v>OK - No Upgrade</v>
      </c>
      <c r="DQ31" s="15" t="str">
        <f t="shared" si="8"/>
        <v>OK - Balanced</v>
      </c>
    </row>
    <row r="32" spans="1:121" ht="15.75" customHeight="1" x14ac:dyDescent="0.25">
      <c r="A32" s="8" t="s">
        <v>1459</v>
      </c>
      <c r="B32" s="8" t="s">
        <v>2786</v>
      </c>
      <c r="C32" s="8" t="s">
        <v>2206</v>
      </c>
      <c r="D32" s="8" t="s">
        <v>2871</v>
      </c>
      <c r="E32" s="8" t="s">
        <v>2872</v>
      </c>
      <c r="F32" s="8" t="s">
        <v>43</v>
      </c>
      <c r="G32" s="8" t="s">
        <v>44</v>
      </c>
      <c r="H32" s="8">
        <v>100</v>
      </c>
      <c r="I32" s="8" t="s">
        <v>2873</v>
      </c>
      <c r="J32" s="8">
        <v>1</v>
      </c>
      <c r="K32" s="8">
        <v>237</v>
      </c>
      <c r="L32" s="8">
        <v>237</v>
      </c>
      <c r="M32" s="8">
        <v>235</v>
      </c>
      <c r="N32" s="8">
        <v>412</v>
      </c>
      <c r="O32" s="8">
        <v>408</v>
      </c>
      <c r="P32" s="8">
        <v>410</v>
      </c>
      <c r="Q32" s="9" t="s">
        <v>47</v>
      </c>
      <c r="R32" s="16"/>
      <c r="S32" s="10">
        <v>0</v>
      </c>
      <c r="T32" s="10">
        <v>0</v>
      </c>
      <c r="U32" s="10">
        <v>0</v>
      </c>
      <c r="V32" s="11">
        <v>0</v>
      </c>
      <c r="W32" s="12"/>
      <c r="X32" s="17"/>
      <c r="Y32" s="13"/>
      <c r="Z32" s="13"/>
      <c r="AA32" s="13"/>
      <c r="AB32" s="14"/>
      <c r="AC32" s="9"/>
      <c r="AD32" s="16"/>
      <c r="AE32" s="10"/>
      <c r="AF32" s="10"/>
      <c r="AG32" s="10"/>
      <c r="AH32" s="11"/>
      <c r="AI32" s="12"/>
      <c r="AJ32" s="17"/>
      <c r="AK32" s="13"/>
      <c r="AL32" s="13"/>
      <c r="AM32" s="13"/>
      <c r="AN32" s="14"/>
      <c r="AO32" s="9"/>
      <c r="AP32" s="16"/>
      <c r="AQ32" s="10"/>
      <c r="AR32" s="10"/>
      <c r="AS32" s="10"/>
      <c r="AT32" s="11"/>
      <c r="AU32" s="12"/>
      <c r="AV32" s="17"/>
      <c r="AW32" s="13"/>
      <c r="AX32" s="13"/>
      <c r="AY32" s="13"/>
      <c r="AZ32" s="14"/>
      <c r="BA32" s="9"/>
      <c r="BB32" s="16"/>
      <c r="BC32" s="10"/>
      <c r="BD32" s="10"/>
      <c r="BE32" s="10"/>
      <c r="BF32" s="11"/>
      <c r="BG32" s="12"/>
      <c r="BH32" s="17"/>
      <c r="BI32" s="13"/>
      <c r="BJ32" s="13"/>
      <c r="BK32" s="13"/>
      <c r="BL32" s="14"/>
      <c r="BM32" s="9"/>
      <c r="BN32" s="16"/>
      <c r="BO32" s="10"/>
      <c r="BP32" s="10"/>
      <c r="BQ32" s="10"/>
      <c r="BR32" s="11"/>
      <c r="BS32" s="12"/>
      <c r="BT32" s="17"/>
      <c r="BU32" s="13"/>
      <c r="BV32" s="13"/>
      <c r="BW32" s="13"/>
      <c r="BX32" s="14"/>
      <c r="BY32" s="9"/>
      <c r="BZ32" s="16"/>
      <c r="CA32" s="10"/>
      <c r="CB32" s="10"/>
      <c r="CC32" s="10"/>
      <c r="CD32" s="11"/>
      <c r="CE32" s="12"/>
      <c r="CF32" s="17"/>
      <c r="CG32" s="13"/>
      <c r="CH32" s="13"/>
      <c r="CI32" s="13"/>
      <c r="CJ32" s="14"/>
      <c r="CK32" s="9"/>
      <c r="CL32" s="16"/>
      <c r="CM32" s="10"/>
      <c r="CN32" s="10"/>
      <c r="CO32" s="10"/>
      <c r="CP32" s="11"/>
      <c r="CQ32" s="12"/>
      <c r="CR32" s="17"/>
      <c r="CS32" s="13"/>
      <c r="CT32" s="13"/>
      <c r="CU32" s="13"/>
      <c r="CV32" s="14"/>
      <c r="CW32" s="9"/>
      <c r="CX32" s="16"/>
      <c r="CY32" s="10"/>
      <c r="CZ32" s="10"/>
      <c r="DA32" s="10"/>
      <c r="DB32" s="11"/>
      <c r="DC32" s="12"/>
      <c r="DD32" s="17"/>
      <c r="DE32" s="13"/>
      <c r="DF32" s="13"/>
      <c r="DG32" s="13"/>
      <c r="DH32" s="14"/>
      <c r="DI32" s="8">
        <f t="shared" si="0"/>
        <v>0</v>
      </c>
      <c r="DJ32" s="8">
        <f t="shared" si="1"/>
        <v>0</v>
      </c>
      <c r="DK32" s="8">
        <f t="shared" si="2"/>
        <v>0</v>
      </c>
      <c r="DL32" s="8">
        <f t="shared" si="3"/>
        <v>0</v>
      </c>
      <c r="DM32" s="8">
        <f t="shared" si="4"/>
        <v>0</v>
      </c>
      <c r="DN32" s="8">
        <f t="shared" si="5"/>
        <v>0</v>
      </c>
      <c r="DO32" s="15">
        <f t="shared" si="6"/>
        <v>0</v>
      </c>
      <c r="DP32" s="15" t="str">
        <f t="shared" si="7"/>
        <v>OK - No Upgrade</v>
      </c>
      <c r="DQ32" s="15" t="str">
        <f t="shared" si="8"/>
        <v>OK - Balanced</v>
      </c>
    </row>
    <row r="33" spans="1:121" ht="15.75" customHeight="1" x14ac:dyDescent="0.25">
      <c r="A33" s="8" t="s">
        <v>1459</v>
      </c>
      <c r="B33" s="8" t="s">
        <v>2786</v>
      </c>
      <c r="C33" s="8" t="s">
        <v>2206</v>
      </c>
      <c r="D33" s="8" t="s">
        <v>2874</v>
      </c>
      <c r="E33" s="8" t="s">
        <v>2875</v>
      </c>
      <c r="F33" s="8" t="s">
        <v>56</v>
      </c>
      <c r="G33" s="8" t="s">
        <v>44</v>
      </c>
      <c r="H33" s="8">
        <v>1000</v>
      </c>
      <c r="I33" s="8" t="s">
        <v>2876</v>
      </c>
      <c r="J33" s="8">
        <v>1</v>
      </c>
      <c r="K33" s="8">
        <v>234</v>
      </c>
      <c r="L33" s="8">
        <v>237</v>
      </c>
      <c r="M33" s="8">
        <v>234</v>
      </c>
      <c r="N33" s="8">
        <v>407</v>
      </c>
      <c r="O33" s="8">
        <v>405</v>
      </c>
      <c r="P33" s="8">
        <v>409</v>
      </c>
      <c r="Q33" s="9"/>
      <c r="R33" s="16"/>
      <c r="S33" s="10"/>
      <c r="T33" s="10"/>
      <c r="U33" s="10"/>
      <c r="V33" s="11"/>
      <c r="W33" s="12"/>
      <c r="X33" s="17"/>
      <c r="Y33" s="13"/>
      <c r="Z33" s="13"/>
      <c r="AA33" s="13"/>
      <c r="AB33" s="14"/>
      <c r="AC33" s="9" t="s">
        <v>70</v>
      </c>
      <c r="AD33" s="16"/>
      <c r="AE33" s="10">
        <v>26</v>
      </c>
      <c r="AF33" s="10">
        <v>29</v>
      </c>
      <c r="AG33" s="10">
        <v>32</v>
      </c>
      <c r="AH33" s="11">
        <v>0</v>
      </c>
      <c r="AI33" s="12" t="s">
        <v>47</v>
      </c>
      <c r="AJ33" s="17"/>
      <c r="AK33" s="13">
        <v>51</v>
      </c>
      <c r="AL33" s="13">
        <v>0</v>
      </c>
      <c r="AM33" s="13">
        <v>26</v>
      </c>
      <c r="AN33" s="14">
        <v>37</v>
      </c>
      <c r="AO33" s="9" t="s">
        <v>47</v>
      </c>
      <c r="AP33" s="16"/>
      <c r="AQ33" s="10">
        <v>48</v>
      </c>
      <c r="AR33" s="10">
        <v>46</v>
      </c>
      <c r="AS33" s="10">
        <v>0</v>
      </c>
      <c r="AT33" s="11">
        <v>44</v>
      </c>
      <c r="AU33" s="12" t="s">
        <v>47</v>
      </c>
      <c r="AV33" s="17"/>
      <c r="AW33" s="13">
        <v>140</v>
      </c>
      <c r="AX33" s="13">
        <v>80</v>
      </c>
      <c r="AY33" s="13">
        <v>131</v>
      </c>
      <c r="AZ33" s="14">
        <v>53</v>
      </c>
      <c r="BA33" s="9" t="s">
        <v>47</v>
      </c>
      <c r="BB33" s="16"/>
      <c r="BC33" s="10">
        <v>0</v>
      </c>
      <c r="BD33" s="10">
        <v>0</v>
      </c>
      <c r="BE33" s="10">
        <v>0</v>
      </c>
      <c r="BF33" s="11">
        <v>0</v>
      </c>
      <c r="BG33" s="12" t="s">
        <v>47</v>
      </c>
      <c r="BH33" s="17"/>
      <c r="BI33" s="13">
        <v>62</v>
      </c>
      <c r="BJ33" s="13">
        <v>33</v>
      </c>
      <c r="BK33" s="13">
        <v>61</v>
      </c>
      <c r="BL33" s="14">
        <v>34</v>
      </c>
      <c r="BM33" s="9"/>
      <c r="BN33" s="16"/>
      <c r="BO33" s="10"/>
      <c r="BP33" s="10"/>
      <c r="BQ33" s="10"/>
      <c r="BR33" s="11"/>
      <c r="BS33" s="12"/>
      <c r="BT33" s="17"/>
      <c r="BU33" s="13"/>
      <c r="BV33" s="13"/>
      <c r="BW33" s="13"/>
      <c r="BX33" s="14"/>
      <c r="BY33" s="9"/>
      <c r="BZ33" s="16"/>
      <c r="CA33" s="10"/>
      <c r="CB33" s="10"/>
      <c r="CC33" s="10"/>
      <c r="CD33" s="11"/>
      <c r="CE33" s="12"/>
      <c r="CF33" s="17"/>
      <c r="CG33" s="13"/>
      <c r="CH33" s="13"/>
      <c r="CI33" s="13"/>
      <c r="CJ33" s="14"/>
      <c r="CK33" s="9"/>
      <c r="CL33" s="16"/>
      <c r="CM33" s="10"/>
      <c r="CN33" s="10"/>
      <c r="CO33" s="10"/>
      <c r="CP33" s="11"/>
      <c r="CQ33" s="12"/>
      <c r="CR33" s="17"/>
      <c r="CS33" s="13"/>
      <c r="CT33" s="13"/>
      <c r="CU33" s="13"/>
      <c r="CV33" s="14"/>
      <c r="CW33" s="9"/>
      <c r="CX33" s="16"/>
      <c r="CY33" s="10"/>
      <c r="CZ33" s="10"/>
      <c r="DA33" s="10"/>
      <c r="DB33" s="11"/>
      <c r="DC33" s="12"/>
      <c r="DD33" s="17"/>
      <c r="DE33" s="13"/>
      <c r="DF33" s="13"/>
      <c r="DG33" s="13"/>
      <c r="DH33" s="14"/>
      <c r="DI33" s="8">
        <f t="shared" si="0"/>
        <v>327</v>
      </c>
      <c r="DJ33" s="8">
        <f t="shared" si="1"/>
        <v>188</v>
      </c>
      <c r="DK33" s="8">
        <f t="shared" si="2"/>
        <v>250</v>
      </c>
      <c r="DL33" s="8">
        <f t="shared" si="3"/>
        <v>168</v>
      </c>
      <c r="DM33" s="8">
        <f t="shared" si="4"/>
        <v>327</v>
      </c>
      <c r="DN33" s="8">
        <f t="shared" si="5"/>
        <v>188</v>
      </c>
      <c r="DO33" s="15">
        <f t="shared" si="6"/>
        <v>23.051690992853434</v>
      </c>
      <c r="DP33" s="15" t="str">
        <f t="shared" si="7"/>
        <v>OK - No Upgrade</v>
      </c>
      <c r="DQ33" s="15" t="str">
        <f t="shared" si="8"/>
        <v>Need to Balance</v>
      </c>
    </row>
    <row r="34" spans="1:121" ht="15.75" customHeight="1" x14ac:dyDescent="0.25">
      <c r="A34" s="8" t="s">
        <v>1459</v>
      </c>
      <c r="B34" s="8" t="s">
        <v>2786</v>
      </c>
      <c r="C34" s="8" t="s">
        <v>2206</v>
      </c>
      <c r="D34" s="8" t="s">
        <v>2877</v>
      </c>
      <c r="E34" s="8" t="s">
        <v>2878</v>
      </c>
      <c r="F34" s="8" t="s">
        <v>43</v>
      </c>
      <c r="G34" s="8" t="s">
        <v>44</v>
      </c>
      <c r="H34" s="8">
        <v>100</v>
      </c>
      <c r="I34" s="8" t="s">
        <v>2879</v>
      </c>
      <c r="J34" s="8">
        <v>1</v>
      </c>
      <c r="K34" s="8">
        <v>246</v>
      </c>
      <c r="L34" s="8">
        <v>248</v>
      </c>
      <c r="M34" s="8">
        <v>246</v>
      </c>
      <c r="N34" s="8">
        <v>430</v>
      </c>
      <c r="O34" s="8">
        <v>425</v>
      </c>
      <c r="P34" s="8">
        <v>431</v>
      </c>
      <c r="Q34" s="9" t="s">
        <v>46</v>
      </c>
      <c r="R34" s="16"/>
      <c r="S34" s="10">
        <v>39</v>
      </c>
      <c r="T34" s="10">
        <v>23</v>
      </c>
      <c r="U34" s="10">
        <v>45</v>
      </c>
      <c r="V34" s="11">
        <v>19</v>
      </c>
      <c r="W34" s="12"/>
      <c r="X34" s="17"/>
      <c r="Y34" s="13"/>
      <c r="Z34" s="13"/>
      <c r="AA34" s="13"/>
      <c r="AB34" s="14"/>
      <c r="AC34" s="9"/>
      <c r="AD34" s="16"/>
      <c r="AE34" s="10"/>
      <c r="AF34" s="10"/>
      <c r="AG34" s="10"/>
      <c r="AH34" s="11"/>
      <c r="AI34" s="12"/>
      <c r="AJ34" s="17"/>
      <c r="AK34" s="13"/>
      <c r="AL34" s="13"/>
      <c r="AM34" s="13"/>
      <c r="AN34" s="14"/>
      <c r="AO34" s="9"/>
      <c r="AP34" s="16"/>
      <c r="AQ34" s="10"/>
      <c r="AR34" s="10"/>
      <c r="AS34" s="10"/>
      <c r="AT34" s="11"/>
      <c r="AU34" s="12"/>
      <c r="AV34" s="17"/>
      <c r="AW34" s="13"/>
      <c r="AX34" s="13"/>
      <c r="AY34" s="13"/>
      <c r="AZ34" s="14"/>
      <c r="BA34" s="9"/>
      <c r="BB34" s="16"/>
      <c r="BC34" s="10"/>
      <c r="BD34" s="10"/>
      <c r="BE34" s="10"/>
      <c r="BF34" s="11"/>
      <c r="BG34" s="12"/>
      <c r="BH34" s="17"/>
      <c r="BI34" s="13"/>
      <c r="BJ34" s="13"/>
      <c r="BK34" s="13"/>
      <c r="BL34" s="14"/>
      <c r="BM34" s="9"/>
      <c r="BN34" s="16"/>
      <c r="BO34" s="10"/>
      <c r="BP34" s="10"/>
      <c r="BQ34" s="10"/>
      <c r="BR34" s="11"/>
      <c r="BS34" s="12"/>
      <c r="BT34" s="17"/>
      <c r="BU34" s="13"/>
      <c r="BV34" s="13"/>
      <c r="BW34" s="13"/>
      <c r="BX34" s="14"/>
      <c r="BY34" s="9"/>
      <c r="BZ34" s="16"/>
      <c r="CA34" s="10"/>
      <c r="CB34" s="10"/>
      <c r="CC34" s="10"/>
      <c r="CD34" s="11"/>
      <c r="CE34" s="12"/>
      <c r="CF34" s="17"/>
      <c r="CG34" s="13"/>
      <c r="CH34" s="13"/>
      <c r="CI34" s="13"/>
      <c r="CJ34" s="14"/>
      <c r="CK34" s="9"/>
      <c r="CL34" s="16"/>
      <c r="CM34" s="10"/>
      <c r="CN34" s="10"/>
      <c r="CO34" s="10"/>
      <c r="CP34" s="11"/>
      <c r="CQ34" s="12"/>
      <c r="CR34" s="17"/>
      <c r="CS34" s="13"/>
      <c r="CT34" s="13"/>
      <c r="CU34" s="13"/>
      <c r="CV34" s="14"/>
      <c r="CW34" s="9"/>
      <c r="CX34" s="16"/>
      <c r="CY34" s="10"/>
      <c r="CZ34" s="10"/>
      <c r="DA34" s="10"/>
      <c r="DB34" s="11"/>
      <c r="DC34" s="12"/>
      <c r="DD34" s="17"/>
      <c r="DE34" s="13"/>
      <c r="DF34" s="13"/>
      <c r="DG34" s="13"/>
      <c r="DH34" s="14"/>
      <c r="DI34" s="8">
        <f t="shared" si="0"/>
        <v>39</v>
      </c>
      <c r="DJ34" s="8">
        <f t="shared" si="1"/>
        <v>23</v>
      </c>
      <c r="DK34" s="8">
        <f t="shared" si="2"/>
        <v>45</v>
      </c>
      <c r="DL34" s="8">
        <f t="shared" si="3"/>
        <v>19</v>
      </c>
      <c r="DM34" s="8">
        <f t="shared" si="4"/>
        <v>45</v>
      </c>
      <c r="DN34" s="8">
        <f t="shared" si="5"/>
        <v>23</v>
      </c>
      <c r="DO34" s="15">
        <f t="shared" si="6"/>
        <v>33.515183126457778</v>
      </c>
      <c r="DP34" s="15" t="str">
        <f t="shared" si="7"/>
        <v>OK - No Upgrade</v>
      </c>
      <c r="DQ34" s="15" t="str">
        <f t="shared" si="8"/>
        <v>Need to Balance</v>
      </c>
    </row>
    <row r="35" spans="1:121" ht="15.75" customHeight="1" x14ac:dyDescent="0.25">
      <c r="A35" s="8" t="s">
        <v>1459</v>
      </c>
      <c r="B35" s="8" t="s">
        <v>2786</v>
      </c>
      <c r="C35" s="8" t="s">
        <v>2206</v>
      </c>
      <c r="D35" s="8" t="s">
        <v>2880</v>
      </c>
      <c r="E35" s="8" t="s">
        <v>2881</v>
      </c>
      <c r="F35" s="8" t="s">
        <v>43</v>
      </c>
      <c r="G35" s="8" t="s">
        <v>44</v>
      </c>
      <c r="H35" s="8">
        <v>100</v>
      </c>
      <c r="I35" s="8" t="s">
        <v>2882</v>
      </c>
      <c r="J35" s="8">
        <v>1</v>
      </c>
      <c r="K35" s="8">
        <v>240</v>
      </c>
      <c r="L35" s="8">
        <v>241</v>
      </c>
      <c r="M35" s="8">
        <v>239</v>
      </c>
      <c r="N35" s="8">
        <v>417</v>
      </c>
      <c r="O35" s="8">
        <v>419</v>
      </c>
      <c r="P35" s="8">
        <v>415</v>
      </c>
      <c r="Q35" s="9" t="s">
        <v>46</v>
      </c>
      <c r="R35" s="16"/>
      <c r="S35" s="10">
        <v>0</v>
      </c>
      <c r="T35" s="10">
        <v>0</v>
      </c>
      <c r="U35" s="10">
        <v>0</v>
      </c>
      <c r="V35" s="11">
        <v>0</v>
      </c>
      <c r="W35" s="12"/>
      <c r="X35" s="17"/>
      <c r="Y35" s="13"/>
      <c r="Z35" s="13"/>
      <c r="AA35" s="13"/>
      <c r="AB35" s="14"/>
      <c r="AC35" s="9"/>
      <c r="AD35" s="16"/>
      <c r="AE35" s="10"/>
      <c r="AF35" s="10"/>
      <c r="AG35" s="10"/>
      <c r="AH35" s="11"/>
      <c r="AI35" s="12"/>
      <c r="AJ35" s="17"/>
      <c r="AK35" s="13"/>
      <c r="AL35" s="13"/>
      <c r="AM35" s="13"/>
      <c r="AN35" s="14"/>
      <c r="AO35" s="9"/>
      <c r="AP35" s="16"/>
      <c r="AQ35" s="10"/>
      <c r="AR35" s="10"/>
      <c r="AS35" s="10"/>
      <c r="AT35" s="11"/>
      <c r="AU35" s="12"/>
      <c r="AV35" s="17"/>
      <c r="AW35" s="13"/>
      <c r="AX35" s="13"/>
      <c r="AY35" s="13"/>
      <c r="AZ35" s="14"/>
      <c r="BA35" s="9"/>
      <c r="BB35" s="16"/>
      <c r="BC35" s="10"/>
      <c r="BD35" s="10"/>
      <c r="BE35" s="10"/>
      <c r="BF35" s="11"/>
      <c r="BG35" s="12"/>
      <c r="BH35" s="17"/>
      <c r="BI35" s="13"/>
      <c r="BJ35" s="13"/>
      <c r="BK35" s="13"/>
      <c r="BL35" s="14"/>
      <c r="BM35" s="9"/>
      <c r="BN35" s="16"/>
      <c r="BO35" s="10"/>
      <c r="BP35" s="10"/>
      <c r="BQ35" s="10"/>
      <c r="BR35" s="11"/>
      <c r="BS35" s="12"/>
      <c r="BT35" s="17"/>
      <c r="BU35" s="13"/>
      <c r="BV35" s="13"/>
      <c r="BW35" s="13"/>
      <c r="BX35" s="14"/>
      <c r="BY35" s="9"/>
      <c r="BZ35" s="16"/>
      <c r="CA35" s="10"/>
      <c r="CB35" s="10"/>
      <c r="CC35" s="10"/>
      <c r="CD35" s="11"/>
      <c r="CE35" s="12"/>
      <c r="CF35" s="17"/>
      <c r="CG35" s="13"/>
      <c r="CH35" s="13"/>
      <c r="CI35" s="13"/>
      <c r="CJ35" s="14"/>
      <c r="CK35" s="9"/>
      <c r="CL35" s="16"/>
      <c r="CM35" s="10"/>
      <c r="CN35" s="10"/>
      <c r="CO35" s="10"/>
      <c r="CP35" s="11"/>
      <c r="CQ35" s="12"/>
      <c r="CR35" s="17"/>
      <c r="CS35" s="13"/>
      <c r="CT35" s="13"/>
      <c r="CU35" s="13"/>
      <c r="CV35" s="14"/>
      <c r="CW35" s="9"/>
      <c r="CX35" s="16"/>
      <c r="CY35" s="10"/>
      <c r="CZ35" s="10"/>
      <c r="DA35" s="10"/>
      <c r="DB35" s="11"/>
      <c r="DC35" s="12"/>
      <c r="DD35" s="17"/>
      <c r="DE35" s="13"/>
      <c r="DF35" s="13"/>
      <c r="DG35" s="13"/>
      <c r="DH35" s="14"/>
      <c r="DI35" s="8">
        <f t="shared" si="0"/>
        <v>0</v>
      </c>
      <c r="DJ35" s="8">
        <f t="shared" si="1"/>
        <v>0</v>
      </c>
      <c r="DK35" s="8">
        <f t="shared" si="2"/>
        <v>0</v>
      </c>
      <c r="DL35" s="8">
        <f t="shared" si="3"/>
        <v>0</v>
      </c>
      <c r="DM35" s="8">
        <f t="shared" si="4"/>
        <v>0</v>
      </c>
      <c r="DN35" s="8">
        <f t="shared" si="5"/>
        <v>0</v>
      </c>
      <c r="DO35" s="15">
        <f t="shared" si="6"/>
        <v>0</v>
      </c>
      <c r="DP35" s="15" t="str">
        <f t="shared" si="7"/>
        <v>OK - No Upgrade</v>
      </c>
      <c r="DQ35" s="15" t="str">
        <f t="shared" si="8"/>
        <v>OK - Balanced</v>
      </c>
    </row>
    <row r="36" spans="1:121" ht="15.75" customHeight="1" x14ac:dyDescent="0.25">
      <c r="A36" s="8" t="s">
        <v>1459</v>
      </c>
      <c r="B36" s="8" t="s">
        <v>2786</v>
      </c>
      <c r="C36" s="8" t="s">
        <v>2206</v>
      </c>
      <c r="D36" s="8" t="s">
        <v>2883</v>
      </c>
      <c r="E36" s="8" t="s">
        <v>2884</v>
      </c>
      <c r="F36" s="8" t="s">
        <v>43</v>
      </c>
      <c r="G36" s="8" t="s">
        <v>44</v>
      </c>
      <c r="H36" s="8">
        <v>100</v>
      </c>
      <c r="I36" s="8" t="s">
        <v>2885</v>
      </c>
      <c r="J36" s="8">
        <v>1</v>
      </c>
      <c r="K36" s="8">
        <v>237</v>
      </c>
      <c r="L36" s="8">
        <v>239</v>
      </c>
      <c r="M36" s="8">
        <v>237</v>
      </c>
      <c r="N36" s="8">
        <v>414</v>
      </c>
      <c r="O36" s="8">
        <v>410</v>
      </c>
      <c r="P36" s="8">
        <v>412</v>
      </c>
      <c r="Q36" s="9" t="s">
        <v>46</v>
      </c>
      <c r="R36" s="16"/>
      <c r="S36" s="10">
        <v>0</v>
      </c>
      <c r="T36" s="10">
        <v>0</v>
      </c>
      <c r="U36" s="10">
        <v>0</v>
      </c>
      <c r="V36" s="11">
        <v>0</v>
      </c>
      <c r="W36" s="12"/>
      <c r="X36" s="17"/>
      <c r="Y36" s="13"/>
      <c r="Z36" s="13"/>
      <c r="AA36" s="13"/>
      <c r="AB36" s="14"/>
      <c r="AC36" s="9"/>
      <c r="AD36" s="16"/>
      <c r="AE36" s="10"/>
      <c r="AF36" s="10"/>
      <c r="AG36" s="10"/>
      <c r="AH36" s="11"/>
      <c r="AI36" s="12"/>
      <c r="AJ36" s="17"/>
      <c r="AK36" s="13"/>
      <c r="AL36" s="13"/>
      <c r="AM36" s="13"/>
      <c r="AN36" s="14"/>
      <c r="AO36" s="9"/>
      <c r="AP36" s="16"/>
      <c r="AQ36" s="10"/>
      <c r="AR36" s="10"/>
      <c r="AS36" s="10"/>
      <c r="AT36" s="11"/>
      <c r="AU36" s="12"/>
      <c r="AV36" s="17"/>
      <c r="AW36" s="13"/>
      <c r="AX36" s="13"/>
      <c r="AY36" s="13"/>
      <c r="AZ36" s="14"/>
      <c r="BA36" s="9"/>
      <c r="BB36" s="16"/>
      <c r="BC36" s="10"/>
      <c r="BD36" s="10"/>
      <c r="BE36" s="10"/>
      <c r="BF36" s="11"/>
      <c r="BG36" s="12"/>
      <c r="BH36" s="17"/>
      <c r="BI36" s="13"/>
      <c r="BJ36" s="13"/>
      <c r="BK36" s="13"/>
      <c r="BL36" s="14"/>
      <c r="BM36" s="9"/>
      <c r="BN36" s="16"/>
      <c r="BO36" s="10"/>
      <c r="BP36" s="10"/>
      <c r="BQ36" s="10"/>
      <c r="BR36" s="11"/>
      <c r="BS36" s="12"/>
      <c r="BT36" s="17"/>
      <c r="BU36" s="13"/>
      <c r="BV36" s="13"/>
      <c r="BW36" s="13"/>
      <c r="BX36" s="14"/>
      <c r="BY36" s="9"/>
      <c r="BZ36" s="16"/>
      <c r="CA36" s="10"/>
      <c r="CB36" s="10"/>
      <c r="CC36" s="10"/>
      <c r="CD36" s="11"/>
      <c r="CE36" s="12"/>
      <c r="CF36" s="17"/>
      <c r="CG36" s="13"/>
      <c r="CH36" s="13"/>
      <c r="CI36" s="13"/>
      <c r="CJ36" s="14"/>
      <c r="CK36" s="9"/>
      <c r="CL36" s="16"/>
      <c r="CM36" s="10"/>
      <c r="CN36" s="10"/>
      <c r="CO36" s="10"/>
      <c r="CP36" s="11"/>
      <c r="CQ36" s="12"/>
      <c r="CR36" s="17"/>
      <c r="CS36" s="13"/>
      <c r="CT36" s="13"/>
      <c r="CU36" s="13"/>
      <c r="CV36" s="14"/>
      <c r="CW36" s="9"/>
      <c r="CX36" s="16"/>
      <c r="CY36" s="10"/>
      <c r="CZ36" s="10"/>
      <c r="DA36" s="10"/>
      <c r="DB36" s="11"/>
      <c r="DC36" s="12"/>
      <c r="DD36" s="17"/>
      <c r="DE36" s="13"/>
      <c r="DF36" s="13"/>
      <c r="DG36" s="13"/>
      <c r="DH36" s="14"/>
      <c r="DI36" s="8">
        <f t="shared" ref="DI36:DI67" si="9">SUM(S36,Y36,AE36,AK36,AQ36,AW36,BC36,BI36,BO36,BU36,CA36,CG36,CM36,CS36,CY36,DE36)</f>
        <v>0</v>
      </c>
      <c r="DJ36" s="8">
        <f t="shared" ref="DJ36:DJ67" si="10">SUM(T36,Z36,AF36,AL36,AR36,AX36,BD36,BJ36,BP36,BV36,CB36,CH36,CN36,CT36,CZ36,DF36)</f>
        <v>0</v>
      </c>
      <c r="DK36" s="8">
        <f t="shared" ref="DK36:DK67" si="11">SUM(U36,AA36,AG36,AM36,AS36,AY36,BE36,BK36,BQ36,BW36,CC36,CI36,CO36,CU36,DA36,DG36)</f>
        <v>0</v>
      </c>
      <c r="DL36" s="8">
        <f t="shared" ref="DL36:DL67" si="12">SUM(V36,AB36,AH36,AN36,AT36,AZ36,BF36,BL36,BR36,BX36,CD36,CJ36,CP36,CV36,DB36,DH36)</f>
        <v>0</v>
      </c>
      <c r="DM36" s="8">
        <f t="shared" ref="DM36:DM67" si="13">MAX(DI36:DK36)</f>
        <v>0</v>
      </c>
      <c r="DN36" s="8">
        <f t="shared" ref="DN36:DN67" si="14">MIN(DI36:DK36)</f>
        <v>0</v>
      </c>
      <c r="DO36" s="15">
        <f t="shared" ref="DO36:DO67" si="15">IF(H36&gt;0,(DM36*SQRT(3)*IF(N36&gt;0,N36,IF(O36&gt;0,O36,IF(P36&gt;0,P36,415)))/(H36*1000))*100,0)</f>
        <v>0</v>
      </c>
      <c r="DP36" s="15" t="str">
        <f t="shared" ref="DP36:DP67" si="16">IF(DO36&gt;70,"Upgrade","OK - No Upgrade")</f>
        <v>OK - No Upgrade</v>
      </c>
      <c r="DQ36" s="15" t="str">
        <f t="shared" ref="DQ36:DQ67" si="17">IF(IF(AVERAGE(DI36:DK36)&gt;0,((DM36-AVERAGE(DI36:DK36))/AVERAGE(DI36:DK36))*100,0)&gt;10,"Need to Balance","OK - Balanced")</f>
        <v>OK - Balanced</v>
      </c>
    </row>
    <row r="37" spans="1:121" ht="15.75" customHeight="1" x14ac:dyDescent="0.25">
      <c r="A37" s="8" t="s">
        <v>1459</v>
      </c>
      <c r="B37" s="8" t="s">
        <v>2786</v>
      </c>
      <c r="C37" s="8" t="s">
        <v>2206</v>
      </c>
      <c r="D37" s="8" t="s">
        <v>2886</v>
      </c>
      <c r="E37" s="8" t="s">
        <v>2887</v>
      </c>
      <c r="F37" s="8" t="s">
        <v>43</v>
      </c>
      <c r="G37" s="8" t="s">
        <v>44</v>
      </c>
      <c r="H37" s="8">
        <v>315</v>
      </c>
      <c r="I37" s="8" t="s">
        <v>2888</v>
      </c>
      <c r="J37" s="8">
        <v>1</v>
      </c>
      <c r="K37" s="8">
        <v>236</v>
      </c>
      <c r="L37" s="8">
        <v>238</v>
      </c>
      <c r="M37" s="8">
        <v>235</v>
      </c>
      <c r="N37" s="8">
        <v>407</v>
      </c>
      <c r="O37" s="8">
        <v>410</v>
      </c>
      <c r="P37" s="8">
        <v>407</v>
      </c>
      <c r="Q37" s="9" t="s">
        <v>46</v>
      </c>
      <c r="R37" s="16"/>
      <c r="S37" s="10">
        <v>36</v>
      </c>
      <c r="T37" s="10">
        <v>37</v>
      </c>
      <c r="U37" s="10">
        <v>48</v>
      </c>
      <c r="V37" s="11">
        <v>16</v>
      </c>
      <c r="W37" s="12" t="s">
        <v>46</v>
      </c>
      <c r="X37" s="17"/>
      <c r="Y37" s="13">
        <v>135</v>
      </c>
      <c r="Z37" s="13">
        <v>126</v>
      </c>
      <c r="AA37" s="13">
        <v>119</v>
      </c>
      <c r="AB37" s="14">
        <v>19</v>
      </c>
      <c r="AC37" s="9" t="s">
        <v>47</v>
      </c>
      <c r="AD37" s="16"/>
      <c r="AE37" s="10">
        <v>94</v>
      </c>
      <c r="AF37" s="10">
        <v>35</v>
      </c>
      <c r="AG37" s="10">
        <v>109</v>
      </c>
      <c r="AH37" s="11">
        <v>66</v>
      </c>
      <c r="AI37" s="12"/>
      <c r="AJ37" s="17"/>
      <c r="AK37" s="13"/>
      <c r="AL37" s="13"/>
      <c r="AM37" s="13"/>
      <c r="AN37" s="14"/>
      <c r="AO37" s="9"/>
      <c r="AP37" s="16"/>
      <c r="AQ37" s="10"/>
      <c r="AR37" s="10"/>
      <c r="AS37" s="10"/>
      <c r="AT37" s="11"/>
      <c r="AU37" s="12"/>
      <c r="AV37" s="17"/>
      <c r="AW37" s="13"/>
      <c r="AX37" s="13"/>
      <c r="AY37" s="13"/>
      <c r="AZ37" s="14"/>
      <c r="BA37" s="9"/>
      <c r="BB37" s="16"/>
      <c r="BC37" s="10"/>
      <c r="BD37" s="10"/>
      <c r="BE37" s="10"/>
      <c r="BF37" s="11"/>
      <c r="BG37" s="12"/>
      <c r="BH37" s="17"/>
      <c r="BI37" s="13"/>
      <c r="BJ37" s="13"/>
      <c r="BK37" s="13"/>
      <c r="BL37" s="14"/>
      <c r="BM37" s="9"/>
      <c r="BN37" s="16"/>
      <c r="BO37" s="10"/>
      <c r="BP37" s="10"/>
      <c r="BQ37" s="10"/>
      <c r="BR37" s="11"/>
      <c r="BS37" s="12"/>
      <c r="BT37" s="17"/>
      <c r="BU37" s="13"/>
      <c r="BV37" s="13"/>
      <c r="BW37" s="13"/>
      <c r="BX37" s="14"/>
      <c r="BY37" s="9"/>
      <c r="BZ37" s="16"/>
      <c r="CA37" s="10"/>
      <c r="CB37" s="10"/>
      <c r="CC37" s="10"/>
      <c r="CD37" s="11"/>
      <c r="CE37" s="12"/>
      <c r="CF37" s="17"/>
      <c r="CG37" s="13"/>
      <c r="CH37" s="13"/>
      <c r="CI37" s="13"/>
      <c r="CJ37" s="14"/>
      <c r="CK37" s="9"/>
      <c r="CL37" s="16"/>
      <c r="CM37" s="10"/>
      <c r="CN37" s="10"/>
      <c r="CO37" s="10"/>
      <c r="CP37" s="11"/>
      <c r="CQ37" s="12"/>
      <c r="CR37" s="17"/>
      <c r="CS37" s="13"/>
      <c r="CT37" s="13"/>
      <c r="CU37" s="13"/>
      <c r="CV37" s="14"/>
      <c r="CW37" s="9"/>
      <c r="CX37" s="16"/>
      <c r="CY37" s="10"/>
      <c r="CZ37" s="10"/>
      <c r="DA37" s="10"/>
      <c r="DB37" s="11"/>
      <c r="DC37" s="12"/>
      <c r="DD37" s="17"/>
      <c r="DE37" s="13"/>
      <c r="DF37" s="13"/>
      <c r="DG37" s="13"/>
      <c r="DH37" s="14"/>
      <c r="DI37" s="8">
        <f t="shared" si="9"/>
        <v>265</v>
      </c>
      <c r="DJ37" s="8">
        <f t="shared" si="10"/>
        <v>198</v>
      </c>
      <c r="DK37" s="8">
        <f t="shared" si="11"/>
        <v>276</v>
      </c>
      <c r="DL37" s="8">
        <f t="shared" si="12"/>
        <v>101</v>
      </c>
      <c r="DM37" s="8">
        <f t="shared" si="13"/>
        <v>276</v>
      </c>
      <c r="DN37" s="8">
        <f t="shared" si="14"/>
        <v>198</v>
      </c>
      <c r="DO37" s="15">
        <f t="shared" si="15"/>
        <v>61.766581370103843</v>
      </c>
      <c r="DP37" s="15" t="str">
        <f t="shared" si="16"/>
        <v>OK - No Upgrade</v>
      </c>
      <c r="DQ37" s="15" t="str">
        <f t="shared" si="17"/>
        <v>Need to Balance</v>
      </c>
    </row>
    <row r="38" spans="1:121" ht="15.75" customHeight="1" x14ac:dyDescent="0.25">
      <c r="A38" s="8" t="s">
        <v>1459</v>
      </c>
      <c r="B38" s="8" t="s">
        <v>2786</v>
      </c>
      <c r="C38" s="8" t="s">
        <v>2206</v>
      </c>
      <c r="D38" s="8" t="s">
        <v>2889</v>
      </c>
      <c r="E38" s="8" t="s">
        <v>2890</v>
      </c>
      <c r="F38" s="8" t="s">
        <v>43</v>
      </c>
      <c r="G38" s="8" t="s">
        <v>44</v>
      </c>
      <c r="H38" s="8">
        <v>100</v>
      </c>
      <c r="I38" s="8" t="s">
        <v>2891</v>
      </c>
      <c r="J38" s="8">
        <v>1</v>
      </c>
      <c r="K38" s="8">
        <v>242</v>
      </c>
      <c r="L38" s="8">
        <v>239</v>
      </c>
      <c r="M38" s="8">
        <v>240</v>
      </c>
      <c r="N38" s="8">
        <v>415</v>
      </c>
      <c r="O38" s="8">
        <v>418</v>
      </c>
      <c r="P38" s="8">
        <v>414</v>
      </c>
      <c r="Q38" s="9" t="s">
        <v>46</v>
      </c>
      <c r="R38" s="16"/>
      <c r="S38" s="10">
        <v>0</v>
      </c>
      <c r="T38" s="10">
        <v>12</v>
      </c>
      <c r="U38" s="10">
        <v>10</v>
      </c>
      <c r="V38" s="11">
        <v>13</v>
      </c>
      <c r="W38" s="12"/>
      <c r="X38" s="17"/>
      <c r="Y38" s="13"/>
      <c r="Z38" s="13"/>
      <c r="AA38" s="13"/>
      <c r="AB38" s="14"/>
      <c r="AC38" s="9"/>
      <c r="AD38" s="16"/>
      <c r="AE38" s="10"/>
      <c r="AF38" s="10"/>
      <c r="AG38" s="10"/>
      <c r="AH38" s="11"/>
      <c r="AI38" s="12"/>
      <c r="AJ38" s="17"/>
      <c r="AK38" s="13"/>
      <c r="AL38" s="13"/>
      <c r="AM38" s="13"/>
      <c r="AN38" s="14"/>
      <c r="AO38" s="9"/>
      <c r="AP38" s="16"/>
      <c r="AQ38" s="10"/>
      <c r="AR38" s="10"/>
      <c r="AS38" s="10"/>
      <c r="AT38" s="11"/>
      <c r="AU38" s="12"/>
      <c r="AV38" s="17"/>
      <c r="AW38" s="13"/>
      <c r="AX38" s="13"/>
      <c r="AY38" s="13"/>
      <c r="AZ38" s="14"/>
      <c r="BA38" s="9"/>
      <c r="BB38" s="16"/>
      <c r="BC38" s="10"/>
      <c r="BD38" s="10"/>
      <c r="BE38" s="10"/>
      <c r="BF38" s="11"/>
      <c r="BG38" s="12"/>
      <c r="BH38" s="17"/>
      <c r="BI38" s="13"/>
      <c r="BJ38" s="13"/>
      <c r="BK38" s="13"/>
      <c r="BL38" s="14"/>
      <c r="BM38" s="9"/>
      <c r="BN38" s="16"/>
      <c r="BO38" s="10"/>
      <c r="BP38" s="10"/>
      <c r="BQ38" s="10"/>
      <c r="BR38" s="11"/>
      <c r="BS38" s="12"/>
      <c r="BT38" s="17"/>
      <c r="BU38" s="13"/>
      <c r="BV38" s="13"/>
      <c r="BW38" s="13"/>
      <c r="BX38" s="14"/>
      <c r="BY38" s="9"/>
      <c r="BZ38" s="16"/>
      <c r="CA38" s="10"/>
      <c r="CB38" s="10"/>
      <c r="CC38" s="10"/>
      <c r="CD38" s="11"/>
      <c r="CE38" s="12"/>
      <c r="CF38" s="17"/>
      <c r="CG38" s="13"/>
      <c r="CH38" s="13"/>
      <c r="CI38" s="13"/>
      <c r="CJ38" s="14"/>
      <c r="CK38" s="9"/>
      <c r="CL38" s="16"/>
      <c r="CM38" s="10"/>
      <c r="CN38" s="10"/>
      <c r="CO38" s="10"/>
      <c r="CP38" s="11"/>
      <c r="CQ38" s="12"/>
      <c r="CR38" s="17"/>
      <c r="CS38" s="13"/>
      <c r="CT38" s="13"/>
      <c r="CU38" s="13"/>
      <c r="CV38" s="14"/>
      <c r="CW38" s="9"/>
      <c r="CX38" s="16"/>
      <c r="CY38" s="10"/>
      <c r="CZ38" s="10"/>
      <c r="DA38" s="10"/>
      <c r="DB38" s="11"/>
      <c r="DC38" s="12"/>
      <c r="DD38" s="17"/>
      <c r="DE38" s="13"/>
      <c r="DF38" s="13"/>
      <c r="DG38" s="13"/>
      <c r="DH38" s="14"/>
      <c r="DI38" s="8">
        <f t="shared" si="9"/>
        <v>0</v>
      </c>
      <c r="DJ38" s="8">
        <f t="shared" si="10"/>
        <v>12</v>
      </c>
      <c r="DK38" s="8">
        <f t="shared" si="11"/>
        <v>10</v>
      </c>
      <c r="DL38" s="8">
        <f t="shared" si="12"/>
        <v>13</v>
      </c>
      <c r="DM38" s="8">
        <f t="shared" si="13"/>
        <v>12</v>
      </c>
      <c r="DN38" s="8">
        <f t="shared" si="14"/>
        <v>0</v>
      </c>
      <c r="DO38" s="15">
        <f t="shared" si="15"/>
        <v>8.6256130216930078</v>
      </c>
      <c r="DP38" s="15" t="str">
        <f t="shared" si="16"/>
        <v>OK - No Upgrade</v>
      </c>
      <c r="DQ38" s="15" t="str">
        <f t="shared" si="17"/>
        <v>Need to Balance</v>
      </c>
    </row>
    <row r="39" spans="1:121" ht="15.75" customHeight="1" x14ac:dyDescent="0.25">
      <c r="A39" s="8" t="s">
        <v>1459</v>
      </c>
      <c r="B39" s="8" t="s">
        <v>2786</v>
      </c>
      <c r="C39" s="8" t="s">
        <v>2206</v>
      </c>
      <c r="D39" s="8" t="s">
        <v>2892</v>
      </c>
      <c r="E39" s="8" t="s">
        <v>2893</v>
      </c>
      <c r="F39" s="8" t="s">
        <v>56</v>
      </c>
      <c r="G39" s="8" t="s">
        <v>44</v>
      </c>
      <c r="H39" s="8">
        <v>1000</v>
      </c>
      <c r="I39" s="8" t="s">
        <v>2894</v>
      </c>
      <c r="J39" s="8">
        <v>1</v>
      </c>
      <c r="K39" s="8">
        <v>236</v>
      </c>
      <c r="L39" s="8">
        <v>236</v>
      </c>
      <c r="M39" s="8">
        <v>237</v>
      </c>
      <c r="N39" s="8">
        <v>408</v>
      </c>
      <c r="O39" s="8">
        <v>411</v>
      </c>
      <c r="P39" s="8">
        <v>410</v>
      </c>
      <c r="Q39" s="9" t="s">
        <v>46</v>
      </c>
      <c r="R39" s="16"/>
      <c r="S39" s="10">
        <v>62</v>
      </c>
      <c r="T39" s="10">
        <v>46</v>
      </c>
      <c r="U39" s="10">
        <v>11</v>
      </c>
      <c r="V39" s="11">
        <v>33</v>
      </c>
      <c r="W39" s="12"/>
      <c r="X39" s="17"/>
      <c r="Y39" s="13"/>
      <c r="Z39" s="13"/>
      <c r="AA39" s="13"/>
      <c r="AB39" s="14"/>
      <c r="AC39" s="9"/>
      <c r="AD39" s="16"/>
      <c r="AE39" s="10"/>
      <c r="AF39" s="10"/>
      <c r="AG39" s="10"/>
      <c r="AH39" s="11"/>
      <c r="AI39" s="12"/>
      <c r="AJ39" s="17"/>
      <c r="AK39" s="13"/>
      <c r="AL39" s="13"/>
      <c r="AM39" s="13"/>
      <c r="AN39" s="14"/>
      <c r="AO39" s="9"/>
      <c r="AP39" s="16"/>
      <c r="AQ39" s="10"/>
      <c r="AR39" s="10"/>
      <c r="AS39" s="10"/>
      <c r="AT39" s="11"/>
      <c r="AU39" s="12" t="s">
        <v>47</v>
      </c>
      <c r="AV39" s="17"/>
      <c r="AW39" s="13">
        <v>0</v>
      </c>
      <c r="AX39" s="13">
        <v>0</v>
      </c>
      <c r="AY39" s="13">
        <v>0</v>
      </c>
      <c r="AZ39" s="14">
        <v>0</v>
      </c>
      <c r="BA39" s="9" t="s">
        <v>47</v>
      </c>
      <c r="BB39" s="16"/>
      <c r="BC39" s="10">
        <v>158</v>
      </c>
      <c r="BD39" s="10">
        <v>158</v>
      </c>
      <c r="BE39" s="10">
        <v>137</v>
      </c>
      <c r="BF39" s="11">
        <v>22</v>
      </c>
      <c r="BG39" s="12" t="s">
        <v>46</v>
      </c>
      <c r="BH39" s="17"/>
      <c r="BI39" s="13">
        <v>33</v>
      </c>
      <c r="BJ39" s="13">
        <v>43</v>
      </c>
      <c r="BK39" s="13">
        <v>48</v>
      </c>
      <c r="BL39" s="14">
        <v>17</v>
      </c>
      <c r="BM39" s="9"/>
      <c r="BN39" s="16"/>
      <c r="BO39" s="10"/>
      <c r="BP39" s="10"/>
      <c r="BQ39" s="10"/>
      <c r="BR39" s="11"/>
      <c r="BS39" s="12"/>
      <c r="BT39" s="17"/>
      <c r="BU39" s="13"/>
      <c r="BV39" s="13"/>
      <c r="BW39" s="13"/>
      <c r="BX39" s="14"/>
      <c r="BY39" s="9"/>
      <c r="BZ39" s="16"/>
      <c r="CA39" s="10"/>
      <c r="CB39" s="10"/>
      <c r="CC39" s="10"/>
      <c r="CD39" s="11"/>
      <c r="CE39" s="12"/>
      <c r="CF39" s="17"/>
      <c r="CG39" s="13"/>
      <c r="CH39" s="13"/>
      <c r="CI39" s="13"/>
      <c r="CJ39" s="14"/>
      <c r="CK39" s="9"/>
      <c r="CL39" s="16"/>
      <c r="CM39" s="10"/>
      <c r="CN39" s="10"/>
      <c r="CO39" s="10"/>
      <c r="CP39" s="11"/>
      <c r="CQ39" s="12"/>
      <c r="CR39" s="17"/>
      <c r="CS39" s="13"/>
      <c r="CT39" s="13"/>
      <c r="CU39" s="13"/>
      <c r="CV39" s="14"/>
      <c r="CW39" s="9"/>
      <c r="CX39" s="16"/>
      <c r="CY39" s="10"/>
      <c r="CZ39" s="10"/>
      <c r="DA39" s="10"/>
      <c r="DB39" s="11"/>
      <c r="DC39" s="12"/>
      <c r="DD39" s="17"/>
      <c r="DE39" s="13"/>
      <c r="DF39" s="13"/>
      <c r="DG39" s="13"/>
      <c r="DH39" s="14"/>
      <c r="DI39" s="8">
        <f t="shared" si="9"/>
        <v>253</v>
      </c>
      <c r="DJ39" s="8">
        <f t="shared" si="10"/>
        <v>247</v>
      </c>
      <c r="DK39" s="8">
        <f t="shared" si="11"/>
        <v>196</v>
      </c>
      <c r="DL39" s="8">
        <f t="shared" si="12"/>
        <v>72</v>
      </c>
      <c r="DM39" s="8">
        <f t="shared" si="13"/>
        <v>253</v>
      </c>
      <c r="DN39" s="8">
        <f t="shared" si="14"/>
        <v>196</v>
      </c>
      <c r="DO39" s="15">
        <f t="shared" si="15"/>
        <v>17.878921256048976</v>
      </c>
      <c r="DP39" s="15" t="str">
        <f t="shared" si="16"/>
        <v>OK - No Upgrade</v>
      </c>
      <c r="DQ39" s="15" t="str">
        <f t="shared" si="17"/>
        <v>OK - Balanced</v>
      </c>
    </row>
    <row r="40" spans="1:121" ht="15.75" customHeight="1" x14ac:dyDescent="0.25">
      <c r="A40" s="8" t="s">
        <v>1459</v>
      </c>
      <c r="B40" s="8" t="s">
        <v>2786</v>
      </c>
      <c r="C40" s="8" t="s">
        <v>2206</v>
      </c>
      <c r="D40" s="8" t="s">
        <v>2895</v>
      </c>
      <c r="E40" s="8" t="s">
        <v>2896</v>
      </c>
      <c r="F40" s="8" t="s">
        <v>43</v>
      </c>
      <c r="G40" s="8" t="s">
        <v>44</v>
      </c>
      <c r="H40" s="8">
        <v>315</v>
      </c>
      <c r="I40" s="8" t="s">
        <v>2897</v>
      </c>
      <c r="J40" s="8">
        <v>1</v>
      </c>
      <c r="K40" s="8">
        <v>242</v>
      </c>
      <c r="L40" s="8">
        <v>242</v>
      </c>
      <c r="M40" s="8">
        <v>243</v>
      </c>
      <c r="N40" s="8">
        <v>421</v>
      </c>
      <c r="O40" s="8">
        <v>419</v>
      </c>
      <c r="P40" s="8">
        <v>418</v>
      </c>
      <c r="Q40" s="9" t="s">
        <v>46</v>
      </c>
      <c r="R40" s="16"/>
      <c r="S40" s="10">
        <v>31</v>
      </c>
      <c r="T40" s="10">
        <v>0</v>
      </c>
      <c r="U40" s="10">
        <v>7</v>
      </c>
      <c r="V40" s="11">
        <v>25</v>
      </c>
      <c r="W40" s="12" t="s">
        <v>46</v>
      </c>
      <c r="X40" s="17"/>
      <c r="Y40" s="13">
        <v>20</v>
      </c>
      <c r="Z40" s="13">
        <v>22</v>
      </c>
      <c r="AA40" s="13">
        <v>19</v>
      </c>
      <c r="AB40" s="14">
        <v>15</v>
      </c>
      <c r="AC40" s="9"/>
      <c r="AD40" s="16"/>
      <c r="AE40" s="10"/>
      <c r="AF40" s="10"/>
      <c r="AG40" s="10"/>
      <c r="AH40" s="11"/>
      <c r="AI40" s="12"/>
      <c r="AJ40" s="17"/>
      <c r="AK40" s="13"/>
      <c r="AL40" s="13"/>
      <c r="AM40" s="13"/>
      <c r="AN40" s="14"/>
      <c r="AO40" s="9"/>
      <c r="AP40" s="16"/>
      <c r="AQ40" s="10"/>
      <c r="AR40" s="10"/>
      <c r="AS40" s="10"/>
      <c r="AT40" s="11"/>
      <c r="AU40" s="12"/>
      <c r="AV40" s="17"/>
      <c r="AW40" s="13"/>
      <c r="AX40" s="13"/>
      <c r="AY40" s="13"/>
      <c r="AZ40" s="14"/>
      <c r="BA40" s="9"/>
      <c r="BB40" s="16"/>
      <c r="BC40" s="10"/>
      <c r="BD40" s="10"/>
      <c r="BE40" s="10"/>
      <c r="BF40" s="11"/>
      <c r="BG40" s="12"/>
      <c r="BH40" s="17"/>
      <c r="BI40" s="13"/>
      <c r="BJ40" s="13"/>
      <c r="BK40" s="13"/>
      <c r="BL40" s="14"/>
      <c r="BM40" s="9"/>
      <c r="BN40" s="16"/>
      <c r="BO40" s="10"/>
      <c r="BP40" s="10"/>
      <c r="BQ40" s="10"/>
      <c r="BR40" s="11"/>
      <c r="BS40" s="12"/>
      <c r="BT40" s="17"/>
      <c r="BU40" s="13"/>
      <c r="BV40" s="13"/>
      <c r="BW40" s="13"/>
      <c r="BX40" s="14"/>
      <c r="BY40" s="9"/>
      <c r="BZ40" s="16"/>
      <c r="CA40" s="10"/>
      <c r="CB40" s="10"/>
      <c r="CC40" s="10"/>
      <c r="CD40" s="11"/>
      <c r="CE40" s="12"/>
      <c r="CF40" s="17"/>
      <c r="CG40" s="13"/>
      <c r="CH40" s="13"/>
      <c r="CI40" s="13"/>
      <c r="CJ40" s="14"/>
      <c r="CK40" s="9"/>
      <c r="CL40" s="16"/>
      <c r="CM40" s="10"/>
      <c r="CN40" s="10"/>
      <c r="CO40" s="10"/>
      <c r="CP40" s="11"/>
      <c r="CQ40" s="12"/>
      <c r="CR40" s="17"/>
      <c r="CS40" s="13"/>
      <c r="CT40" s="13"/>
      <c r="CU40" s="13"/>
      <c r="CV40" s="14"/>
      <c r="CW40" s="9"/>
      <c r="CX40" s="16"/>
      <c r="CY40" s="10"/>
      <c r="CZ40" s="10"/>
      <c r="DA40" s="10"/>
      <c r="DB40" s="11"/>
      <c r="DC40" s="12"/>
      <c r="DD40" s="17"/>
      <c r="DE40" s="13"/>
      <c r="DF40" s="13"/>
      <c r="DG40" s="13"/>
      <c r="DH40" s="14"/>
      <c r="DI40" s="8">
        <f t="shared" si="9"/>
        <v>51</v>
      </c>
      <c r="DJ40" s="8">
        <f t="shared" si="10"/>
        <v>22</v>
      </c>
      <c r="DK40" s="8">
        <f t="shared" si="11"/>
        <v>26</v>
      </c>
      <c r="DL40" s="8">
        <f t="shared" si="12"/>
        <v>40</v>
      </c>
      <c r="DM40" s="8">
        <f t="shared" si="13"/>
        <v>51</v>
      </c>
      <c r="DN40" s="8">
        <f t="shared" si="14"/>
        <v>22</v>
      </c>
      <c r="DO40" s="15">
        <f t="shared" si="15"/>
        <v>11.805988218829002</v>
      </c>
      <c r="DP40" s="15" t="str">
        <f t="shared" si="16"/>
        <v>OK - No Upgrade</v>
      </c>
      <c r="DQ40" s="15" t="str">
        <f t="shared" si="17"/>
        <v>Need to Balance</v>
      </c>
    </row>
    <row r="41" spans="1:121" ht="15.75" customHeight="1" x14ac:dyDescent="0.25">
      <c r="A41" s="8" t="s">
        <v>1459</v>
      </c>
      <c r="B41" s="8" t="s">
        <v>2786</v>
      </c>
      <c r="C41" s="8" t="s">
        <v>2206</v>
      </c>
      <c r="D41" s="8" t="s">
        <v>2898</v>
      </c>
      <c r="E41" s="8" t="s">
        <v>2899</v>
      </c>
      <c r="F41" s="8" t="s">
        <v>43</v>
      </c>
      <c r="G41" s="8" t="s">
        <v>44</v>
      </c>
      <c r="H41" s="8">
        <v>315</v>
      </c>
      <c r="I41" s="8" t="s">
        <v>2900</v>
      </c>
      <c r="J41" s="8">
        <v>1</v>
      </c>
      <c r="K41" s="8">
        <v>243</v>
      </c>
      <c r="L41" s="8">
        <v>242</v>
      </c>
      <c r="M41" s="8">
        <v>242</v>
      </c>
      <c r="N41" s="8">
        <v>422</v>
      </c>
      <c r="O41" s="8">
        <v>419</v>
      </c>
      <c r="P41" s="8">
        <v>419</v>
      </c>
      <c r="Q41" s="9" t="s">
        <v>47</v>
      </c>
      <c r="R41" s="16"/>
      <c r="S41" s="10">
        <v>83</v>
      </c>
      <c r="T41" s="10">
        <v>49</v>
      </c>
      <c r="U41" s="10">
        <v>69</v>
      </c>
      <c r="V41" s="11">
        <v>26</v>
      </c>
      <c r="W41" s="12"/>
      <c r="X41" s="17"/>
      <c r="Y41" s="13"/>
      <c r="Z41" s="13"/>
      <c r="AA41" s="13"/>
      <c r="AB41" s="14"/>
      <c r="AC41" s="9"/>
      <c r="AD41" s="16"/>
      <c r="AE41" s="10"/>
      <c r="AF41" s="10"/>
      <c r="AG41" s="10"/>
      <c r="AH41" s="11"/>
      <c r="AI41" s="12"/>
      <c r="AJ41" s="17"/>
      <c r="AK41" s="13"/>
      <c r="AL41" s="13"/>
      <c r="AM41" s="13"/>
      <c r="AN41" s="14"/>
      <c r="AO41" s="9"/>
      <c r="AP41" s="16"/>
      <c r="AQ41" s="10"/>
      <c r="AR41" s="10"/>
      <c r="AS41" s="10"/>
      <c r="AT41" s="11"/>
      <c r="AU41" s="12"/>
      <c r="AV41" s="17"/>
      <c r="AW41" s="13"/>
      <c r="AX41" s="13"/>
      <c r="AY41" s="13"/>
      <c r="AZ41" s="14"/>
      <c r="BA41" s="9"/>
      <c r="BB41" s="16"/>
      <c r="BC41" s="10"/>
      <c r="BD41" s="10"/>
      <c r="BE41" s="10"/>
      <c r="BF41" s="11"/>
      <c r="BG41" s="12"/>
      <c r="BH41" s="17"/>
      <c r="BI41" s="13"/>
      <c r="BJ41" s="13"/>
      <c r="BK41" s="13"/>
      <c r="BL41" s="14"/>
      <c r="BM41" s="9"/>
      <c r="BN41" s="16"/>
      <c r="BO41" s="10"/>
      <c r="BP41" s="10"/>
      <c r="BQ41" s="10"/>
      <c r="BR41" s="11"/>
      <c r="BS41" s="12"/>
      <c r="BT41" s="17"/>
      <c r="BU41" s="13"/>
      <c r="BV41" s="13"/>
      <c r="BW41" s="13"/>
      <c r="BX41" s="14"/>
      <c r="BY41" s="9"/>
      <c r="BZ41" s="16"/>
      <c r="CA41" s="10"/>
      <c r="CB41" s="10"/>
      <c r="CC41" s="10"/>
      <c r="CD41" s="11"/>
      <c r="CE41" s="12"/>
      <c r="CF41" s="17"/>
      <c r="CG41" s="13"/>
      <c r="CH41" s="13"/>
      <c r="CI41" s="13"/>
      <c r="CJ41" s="14"/>
      <c r="CK41" s="9"/>
      <c r="CL41" s="16"/>
      <c r="CM41" s="10"/>
      <c r="CN41" s="10"/>
      <c r="CO41" s="10"/>
      <c r="CP41" s="11"/>
      <c r="CQ41" s="12"/>
      <c r="CR41" s="17"/>
      <c r="CS41" s="13"/>
      <c r="CT41" s="13"/>
      <c r="CU41" s="13"/>
      <c r="CV41" s="14"/>
      <c r="CW41" s="9"/>
      <c r="CX41" s="16"/>
      <c r="CY41" s="10"/>
      <c r="CZ41" s="10"/>
      <c r="DA41" s="10"/>
      <c r="DB41" s="11"/>
      <c r="DC41" s="12"/>
      <c r="DD41" s="17"/>
      <c r="DE41" s="13"/>
      <c r="DF41" s="13"/>
      <c r="DG41" s="13"/>
      <c r="DH41" s="14"/>
      <c r="DI41" s="8">
        <f t="shared" si="9"/>
        <v>83</v>
      </c>
      <c r="DJ41" s="8">
        <f t="shared" si="10"/>
        <v>49</v>
      </c>
      <c r="DK41" s="8">
        <f t="shared" si="11"/>
        <v>69</v>
      </c>
      <c r="DL41" s="8">
        <f t="shared" si="12"/>
        <v>26</v>
      </c>
      <c r="DM41" s="8">
        <f t="shared" si="13"/>
        <v>83</v>
      </c>
      <c r="DN41" s="8">
        <f t="shared" si="14"/>
        <v>49</v>
      </c>
      <c r="DO41" s="15">
        <f t="shared" si="15"/>
        <v>19.259305265367459</v>
      </c>
      <c r="DP41" s="15" t="str">
        <f t="shared" si="16"/>
        <v>OK - No Upgrade</v>
      </c>
      <c r="DQ41" s="15" t="str">
        <f t="shared" si="17"/>
        <v>Need to Balance</v>
      </c>
    </row>
    <row r="42" spans="1:121" ht="15.75" customHeight="1" x14ac:dyDescent="0.25">
      <c r="A42" s="8" t="s">
        <v>1459</v>
      </c>
      <c r="B42" s="8" t="s">
        <v>2786</v>
      </c>
      <c r="C42" s="8" t="s">
        <v>2206</v>
      </c>
      <c r="D42" s="8" t="s">
        <v>2901</v>
      </c>
      <c r="E42" s="8" t="s">
        <v>2902</v>
      </c>
      <c r="F42" s="8" t="s">
        <v>43</v>
      </c>
      <c r="G42" s="8" t="s">
        <v>44</v>
      </c>
      <c r="H42" s="8">
        <v>315</v>
      </c>
      <c r="I42" s="8" t="s">
        <v>2903</v>
      </c>
      <c r="J42" s="8">
        <v>1</v>
      </c>
      <c r="K42" s="8">
        <v>243</v>
      </c>
      <c r="L42" s="8">
        <v>242</v>
      </c>
      <c r="M42" s="8">
        <v>243</v>
      </c>
      <c r="N42" s="8">
        <v>422</v>
      </c>
      <c r="O42" s="8">
        <v>419</v>
      </c>
      <c r="P42" s="8">
        <v>420</v>
      </c>
      <c r="Q42" s="9" t="s">
        <v>46</v>
      </c>
      <c r="R42" s="16"/>
      <c r="S42" s="10">
        <v>190</v>
      </c>
      <c r="T42" s="10">
        <v>165</v>
      </c>
      <c r="U42" s="10">
        <v>33</v>
      </c>
      <c r="V42" s="11">
        <v>39</v>
      </c>
      <c r="W42" s="12" t="s">
        <v>46</v>
      </c>
      <c r="X42" s="17"/>
      <c r="Y42" s="13">
        <v>0</v>
      </c>
      <c r="Z42" s="13">
        <v>0</v>
      </c>
      <c r="AA42" s="13">
        <v>0</v>
      </c>
      <c r="AB42" s="14">
        <v>0</v>
      </c>
      <c r="AC42" s="9"/>
      <c r="AD42" s="16"/>
      <c r="AE42" s="10"/>
      <c r="AF42" s="10"/>
      <c r="AG42" s="10"/>
      <c r="AH42" s="11"/>
      <c r="AI42" s="12"/>
      <c r="AJ42" s="17"/>
      <c r="AK42" s="13"/>
      <c r="AL42" s="13"/>
      <c r="AM42" s="13"/>
      <c r="AN42" s="14"/>
      <c r="AO42" s="9"/>
      <c r="AP42" s="16"/>
      <c r="AQ42" s="10"/>
      <c r="AR42" s="10"/>
      <c r="AS42" s="10"/>
      <c r="AT42" s="11"/>
      <c r="AU42" s="12"/>
      <c r="AV42" s="17"/>
      <c r="AW42" s="13"/>
      <c r="AX42" s="13"/>
      <c r="AY42" s="13"/>
      <c r="AZ42" s="14"/>
      <c r="BA42" s="9"/>
      <c r="BB42" s="16"/>
      <c r="BC42" s="10"/>
      <c r="BD42" s="10"/>
      <c r="BE42" s="10"/>
      <c r="BF42" s="11"/>
      <c r="BG42" s="12"/>
      <c r="BH42" s="17"/>
      <c r="BI42" s="13"/>
      <c r="BJ42" s="13"/>
      <c r="BK42" s="13"/>
      <c r="BL42" s="14"/>
      <c r="BM42" s="9"/>
      <c r="BN42" s="16"/>
      <c r="BO42" s="10"/>
      <c r="BP42" s="10"/>
      <c r="BQ42" s="10"/>
      <c r="BR42" s="11"/>
      <c r="BS42" s="12"/>
      <c r="BT42" s="17"/>
      <c r="BU42" s="13"/>
      <c r="BV42" s="13"/>
      <c r="BW42" s="13"/>
      <c r="BX42" s="14"/>
      <c r="BY42" s="9"/>
      <c r="BZ42" s="16"/>
      <c r="CA42" s="10"/>
      <c r="CB42" s="10"/>
      <c r="CC42" s="10"/>
      <c r="CD42" s="11"/>
      <c r="CE42" s="12"/>
      <c r="CF42" s="17"/>
      <c r="CG42" s="13"/>
      <c r="CH42" s="13"/>
      <c r="CI42" s="13"/>
      <c r="CJ42" s="14"/>
      <c r="CK42" s="9"/>
      <c r="CL42" s="16"/>
      <c r="CM42" s="10"/>
      <c r="CN42" s="10"/>
      <c r="CO42" s="10"/>
      <c r="CP42" s="11"/>
      <c r="CQ42" s="12"/>
      <c r="CR42" s="17"/>
      <c r="CS42" s="13"/>
      <c r="CT42" s="13"/>
      <c r="CU42" s="13"/>
      <c r="CV42" s="14"/>
      <c r="CW42" s="9"/>
      <c r="CX42" s="16"/>
      <c r="CY42" s="10"/>
      <c r="CZ42" s="10"/>
      <c r="DA42" s="10"/>
      <c r="DB42" s="11"/>
      <c r="DC42" s="12"/>
      <c r="DD42" s="17"/>
      <c r="DE42" s="13"/>
      <c r="DF42" s="13"/>
      <c r="DG42" s="13"/>
      <c r="DH42" s="14"/>
      <c r="DI42" s="8">
        <f t="shared" si="9"/>
        <v>190</v>
      </c>
      <c r="DJ42" s="8">
        <f t="shared" si="10"/>
        <v>165</v>
      </c>
      <c r="DK42" s="8">
        <f t="shared" si="11"/>
        <v>33</v>
      </c>
      <c r="DL42" s="8">
        <f t="shared" si="12"/>
        <v>39</v>
      </c>
      <c r="DM42" s="8">
        <f t="shared" si="13"/>
        <v>190</v>
      </c>
      <c r="DN42" s="8">
        <f t="shared" si="14"/>
        <v>33</v>
      </c>
      <c r="DO42" s="15">
        <f t="shared" si="15"/>
        <v>44.08756627011828</v>
      </c>
      <c r="DP42" s="15" t="str">
        <f t="shared" si="16"/>
        <v>OK - No Upgrade</v>
      </c>
      <c r="DQ42" s="15" t="str">
        <f t="shared" si="17"/>
        <v>Need to Balance</v>
      </c>
    </row>
    <row r="43" spans="1:121" ht="15.75" customHeight="1" x14ac:dyDescent="0.25">
      <c r="A43" s="8" t="s">
        <v>1459</v>
      </c>
      <c r="B43" s="8" t="s">
        <v>2786</v>
      </c>
      <c r="C43" s="8" t="s">
        <v>2206</v>
      </c>
      <c r="D43" s="8" t="s">
        <v>2904</v>
      </c>
      <c r="E43" s="8" t="s">
        <v>2905</v>
      </c>
      <c r="F43" s="8" t="s">
        <v>43</v>
      </c>
      <c r="G43" s="8" t="s">
        <v>44</v>
      </c>
      <c r="H43" s="8">
        <v>315</v>
      </c>
      <c r="I43" s="8" t="s">
        <v>2906</v>
      </c>
      <c r="J43" s="8">
        <v>1</v>
      </c>
      <c r="K43" s="8">
        <v>246</v>
      </c>
      <c r="L43" s="8">
        <v>245</v>
      </c>
      <c r="M43" s="8">
        <v>245</v>
      </c>
      <c r="N43" s="8">
        <v>426</v>
      </c>
      <c r="O43" s="8">
        <v>425</v>
      </c>
      <c r="P43" s="8">
        <v>425</v>
      </c>
      <c r="Q43" s="9" t="s">
        <v>47</v>
      </c>
      <c r="R43" s="16"/>
      <c r="S43" s="10">
        <v>64</v>
      </c>
      <c r="T43" s="10">
        <v>29</v>
      </c>
      <c r="U43" s="10">
        <v>48</v>
      </c>
      <c r="V43" s="11">
        <v>31</v>
      </c>
      <c r="W43" s="12" t="s">
        <v>47</v>
      </c>
      <c r="X43" s="17"/>
      <c r="Y43" s="13">
        <v>60</v>
      </c>
      <c r="Z43" s="13">
        <v>32</v>
      </c>
      <c r="AA43" s="13">
        <v>75</v>
      </c>
      <c r="AB43" s="14">
        <v>32</v>
      </c>
      <c r="AC43" s="9"/>
      <c r="AD43" s="16"/>
      <c r="AE43" s="10"/>
      <c r="AF43" s="10"/>
      <c r="AG43" s="10"/>
      <c r="AH43" s="11"/>
      <c r="AI43" s="12"/>
      <c r="AJ43" s="17"/>
      <c r="AK43" s="13"/>
      <c r="AL43" s="13"/>
      <c r="AM43" s="13"/>
      <c r="AN43" s="14"/>
      <c r="AO43" s="9"/>
      <c r="AP43" s="16"/>
      <c r="AQ43" s="10"/>
      <c r="AR43" s="10"/>
      <c r="AS43" s="10"/>
      <c r="AT43" s="11"/>
      <c r="AU43" s="12"/>
      <c r="AV43" s="17"/>
      <c r="AW43" s="13"/>
      <c r="AX43" s="13"/>
      <c r="AY43" s="13"/>
      <c r="AZ43" s="14"/>
      <c r="BA43" s="9"/>
      <c r="BB43" s="16"/>
      <c r="BC43" s="10"/>
      <c r="BD43" s="10"/>
      <c r="BE43" s="10"/>
      <c r="BF43" s="11"/>
      <c r="BG43" s="12"/>
      <c r="BH43" s="17"/>
      <c r="BI43" s="13"/>
      <c r="BJ43" s="13"/>
      <c r="BK43" s="13"/>
      <c r="BL43" s="14"/>
      <c r="BM43" s="9"/>
      <c r="BN43" s="16"/>
      <c r="BO43" s="10"/>
      <c r="BP43" s="10"/>
      <c r="BQ43" s="10"/>
      <c r="BR43" s="11"/>
      <c r="BS43" s="12"/>
      <c r="BT43" s="17"/>
      <c r="BU43" s="13"/>
      <c r="BV43" s="13"/>
      <c r="BW43" s="13"/>
      <c r="BX43" s="14"/>
      <c r="BY43" s="9"/>
      <c r="BZ43" s="16"/>
      <c r="CA43" s="10"/>
      <c r="CB43" s="10"/>
      <c r="CC43" s="10"/>
      <c r="CD43" s="11"/>
      <c r="CE43" s="12"/>
      <c r="CF43" s="17"/>
      <c r="CG43" s="13"/>
      <c r="CH43" s="13"/>
      <c r="CI43" s="13"/>
      <c r="CJ43" s="14"/>
      <c r="CK43" s="9"/>
      <c r="CL43" s="16"/>
      <c r="CM43" s="10"/>
      <c r="CN43" s="10"/>
      <c r="CO43" s="10"/>
      <c r="CP43" s="11"/>
      <c r="CQ43" s="12"/>
      <c r="CR43" s="17"/>
      <c r="CS43" s="13"/>
      <c r="CT43" s="13"/>
      <c r="CU43" s="13"/>
      <c r="CV43" s="14"/>
      <c r="CW43" s="9"/>
      <c r="CX43" s="16"/>
      <c r="CY43" s="10"/>
      <c r="CZ43" s="10"/>
      <c r="DA43" s="10"/>
      <c r="DB43" s="11"/>
      <c r="DC43" s="12"/>
      <c r="DD43" s="17"/>
      <c r="DE43" s="13"/>
      <c r="DF43" s="13"/>
      <c r="DG43" s="13"/>
      <c r="DH43" s="14"/>
      <c r="DI43" s="8">
        <f t="shared" si="9"/>
        <v>124</v>
      </c>
      <c r="DJ43" s="8">
        <f t="shared" si="10"/>
        <v>61</v>
      </c>
      <c r="DK43" s="8">
        <f t="shared" si="11"/>
        <v>123</v>
      </c>
      <c r="DL43" s="8">
        <f t="shared" si="12"/>
        <v>63</v>
      </c>
      <c r="DM43" s="8">
        <f t="shared" si="13"/>
        <v>124</v>
      </c>
      <c r="DN43" s="8">
        <f t="shared" si="14"/>
        <v>61</v>
      </c>
      <c r="DO43" s="15">
        <f t="shared" si="15"/>
        <v>29.045667256831226</v>
      </c>
      <c r="DP43" s="15" t="str">
        <f t="shared" si="16"/>
        <v>OK - No Upgrade</v>
      </c>
      <c r="DQ43" s="15" t="str">
        <f t="shared" si="17"/>
        <v>Need to Balance</v>
      </c>
    </row>
    <row r="44" spans="1:121" ht="15.75" customHeight="1" x14ac:dyDescent="0.25">
      <c r="A44" s="8" t="s">
        <v>1459</v>
      </c>
      <c r="B44" s="8" t="s">
        <v>2786</v>
      </c>
      <c r="C44" s="8" t="s">
        <v>2206</v>
      </c>
      <c r="D44" s="8" t="s">
        <v>2907</v>
      </c>
      <c r="E44" s="8" t="s">
        <v>2908</v>
      </c>
      <c r="F44" s="8" t="s">
        <v>56</v>
      </c>
      <c r="G44" s="8" t="s">
        <v>1077</v>
      </c>
      <c r="H44" s="8">
        <v>500</v>
      </c>
      <c r="I44" s="8" t="s">
        <v>437</v>
      </c>
      <c r="J44" s="8">
        <v>1</v>
      </c>
      <c r="K44" s="8">
        <v>255</v>
      </c>
      <c r="L44" s="8">
        <v>258</v>
      </c>
      <c r="M44" s="8">
        <v>258</v>
      </c>
      <c r="N44" s="8">
        <v>447</v>
      </c>
      <c r="O44" s="8">
        <v>447</v>
      </c>
      <c r="P44" s="8">
        <v>447</v>
      </c>
      <c r="Q44" s="9" t="s">
        <v>46</v>
      </c>
      <c r="R44" s="16"/>
      <c r="S44" s="10">
        <v>198</v>
      </c>
      <c r="T44" s="10">
        <v>240</v>
      </c>
      <c r="U44" s="10">
        <v>138</v>
      </c>
      <c r="V44" s="11">
        <v>73</v>
      </c>
      <c r="W44" s="12" t="s">
        <v>46</v>
      </c>
      <c r="X44" s="17"/>
      <c r="Y44" s="13">
        <v>94</v>
      </c>
      <c r="Z44" s="13">
        <v>107</v>
      </c>
      <c r="AA44" s="13">
        <v>78</v>
      </c>
      <c r="AB44" s="14">
        <v>29</v>
      </c>
      <c r="AC44" s="9" t="s">
        <v>46</v>
      </c>
      <c r="AD44" s="16"/>
      <c r="AE44" s="10">
        <v>93</v>
      </c>
      <c r="AF44" s="10">
        <v>34</v>
      </c>
      <c r="AG44" s="10">
        <v>30</v>
      </c>
      <c r="AH44" s="11">
        <v>55</v>
      </c>
      <c r="AI44" s="12"/>
      <c r="AJ44" s="17"/>
      <c r="AK44" s="13"/>
      <c r="AL44" s="13"/>
      <c r="AM44" s="13"/>
      <c r="AN44" s="14"/>
      <c r="AO44" s="9"/>
      <c r="AP44" s="16"/>
      <c r="AQ44" s="10"/>
      <c r="AR44" s="10"/>
      <c r="AS44" s="10"/>
      <c r="AT44" s="11"/>
      <c r="AU44" s="12"/>
      <c r="AV44" s="17"/>
      <c r="AW44" s="13"/>
      <c r="AX44" s="13"/>
      <c r="AY44" s="13"/>
      <c r="AZ44" s="14"/>
      <c r="BA44" s="9"/>
      <c r="BB44" s="16"/>
      <c r="BC44" s="10"/>
      <c r="BD44" s="10"/>
      <c r="BE44" s="10"/>
      <c r="BF44" s="11"/>
      <c r="BG44" s="12"/>
      <c r="BH44" s="17"/>
      <c r="BI44" s="13"/>
      <c r="BJ44" s="13"/>
      <c r="BK44" s="13"/>
      <c r="BL44" s="14"/>
      <c r="BM44" s="9"/>
      <c r="BN44" s="16"/>
      <c r="BO44" s="10"/>
      <c r="BP44" s="10"/>
      <c r="BQ44" s="10"/>
      <c r="BR44" s="11"/>
      <c r="BS44" s="12"/>
      <c r="BT44" s="17"/>
      <c r="BU44" s="13"/>
      <c r="BV44" s="13"/>
      <c r="BW44" s="13"/>
      <c r="BX44" s="14"/>
      <c r="BY44" s="9"/>
      <c r="BZ44" s="16"/>
      <c r="CA44" s="10"/>
      <c r="CB44" s="10"/>
      <c r="CC44" s="10"/>
      <c r="CD44" s="11"/>
      <c r="CE44" s="12"/>
      <c r="CF44" s="17"/>
      <c r="CG44" s="13"/>
      <c r="CH44" s="13"/>
      <c r="CI44" s="13"/>
      <c r="CJ44" s="14"/>
      <c r="CK44" s="9"/>
      <c r="CL44" s="16"/>
      <c r="CM44" s="10"/>
      <c r="CN44" s="10"/>
      <c r="CO44" s="10"/>
      <c r="CP44" s="11"/>
      <c r="CQ44" s="12"/>
      <c r="CR44" s="17"/>
      <c r="CS44" s="13"/>
      <c r="CT44" s="13"/>
      <c r="CU44" s="13"/>
      <c r="CV44" s="14"/>
      <c r="CW44" s="9"/>
      <c r="CX44" s="16"/>
      <c r="CY44" s="10"/>
      <c r="CZ44" s="10"/>
      <c r="DA44" s="10"/>
      <c r="DB44" s="11"/>
      <c r="DC44" s="12"/>
      <c r="DD44" s="17"/>
      <c r="DE44" s="13"/>
      <c r="DF44" s="13"/>
      <c r="DG44" s="13"/>
      <c r="DH44" s="14"/>
      <c r="DI44" s="8">
        <f t="shared" si="9"/>
        <v>385</v>
      </c>
      <c r="DJ44" s="8">
        <f t="shared" si="10"/>
        <v>381</v>
      </c>
      <c r="DK44" s="8">
        <f t="shared" si="11"/>
        <v>246</v>
      </c>
      <c r="DL44" s="8">
        <f t="shared" si="12"/>
        <v>157</v>
      </c>
      <c r="DM44" s="8">
        <f t="shared" si="13"/>
        <v>385</v>
      </c>
      <c r="DN44" s="8">
        <f t="shared" si="14"/>
        <v>246</v>
      </c>
      <c r="DO44" s="15">
        <f t="shared" si="15"/>
        <v>59.615456745713182</v>
      </c>
      <c r="DP44" s="15" t="str">
        <f t="shared" si="16"/>
        <v>OK - No Upgrade</v>
      </c>
      <c r="DQ44" s="15" t="str">
        <f t="shared" si="17"/>
        <v>Need to Balance</v>
      </c>
    </row>
    <row r="45" spans="1:121" ht="15.75" customHeight="1" x14ac:dyDescent="0.25">
      <c r="A45" s="8" t="s">
        <v>1459</v>
      </c>
      <c r="B45" s="8" t="s">
        <v>2786</v>
      </c>
      <c r="C45" s="8" t="s">
        <v>2206</v>
      </c>
      <c r="D45" s="8" t="s">
        <v>2909</v>
      </c>
      <c r="E45" s="8" t="s">
        <v>2910</v>
      </c>
      <c r="F45" s="8" t="s">
        <v>43</v>
      </c>
      <c r="G45" s="8" t="s">
        <v>44</v>
      </c>
      <c r="H45" s="8">
        <v>315</v>
      </c>
      <c r="I45" s="8" t="s">
        <v>2911</v>
      </c>
      <c r="J45" s="8">
        <v>1</v>
      </c>
      <c r="K45" s="8">
        <v>259</v>
      </c>
      <c r="L45" s="8">
        <v>260</v>
      </c>
      <c r="M45" s="8">
        <v>260</v>
      </c>
      <c r="N45" s="8">
        <v>452</v>
      </c>
      <c r="O45" s="8">
        <v>449</v>
      </c>
      <c r="P45" s="8">
        <v>452</v>
      </c>
      <c r="Q45" s="9" t="s">
        <v>47</v>
      </c>
      <c r="R45" s="16"/>
      <c r="S45" s="10">
        <v>81</v>
      </c>
      <c r="T45" s="10">
        <v>87</v>
      </c>
      <c r="U45" s="10">
        <v>80</v>
      </c>
      <c r="V45" s="11">
        <v>10</v>
      </c>
      <c r="W45" s="12"/>
      <c r="X45" s="17"/>
      <c r="Y45" s="13"/>
      <c r="Z45" s="13"/>
      <c r="AA45" s="13"/>
      <c r="AB45" s="14"/>
      <c r="AC45" s="9"/>
      <c r="AD45" s="16"/>
      <c r="AE45" s="10"/>
      <c r="AF45" s="10"/>
      <c r="AG45" s="10"/>
      <c r="AH45" s="11"/>
      <c r="AI45" s="12"/>
      <c r="AJ45" s="17"/>
      <c r="AK45" s="13"/>
      <c r="AL45" s="13"/>
      <c r="AM45" s="13"/>
      <c r="AN45" s="14"/>
      <c r="AO45" s="9"/>
      <c r="AP45" s="16"/>
      <c r="AQ45" s="10"/>
      <c r="AR45" s="10"/>
      <c r="AS45" s="10"/>
      <c r="AT45" s="11"/>
      <c r="AU45" s="12"/>
      <c r="AV45" s="17"/>
      <c r="AW45" s="13"/>
      <c r="AX45" s="13"/>
      <c r="AY45" s="13"/>
      <c r="AZ45" s="14"/>
      <c r="BA45" s="9"/>
      <c r="BB45" s="16"/>
      <c r="BC45" s="10"/>
      <c r="BD45" s="10"/>
      <c r="BE45" s="10"/>
      <c r="BF45" s="11"/>
      <c r="BG45" s="12"/>
      <c r="BH45" s="17"/>
      <c r="BI45" s="13"/>
      <c r="BJ45" s="13"/>
      <c r="BK45" s="13"/>
      <c r="BL45" s="14"/>
      <c r="BM45" s="9"/>
      <c r="BN45" s="16"/>
      <c r="BO45" s="10"/>
      <c r="BP45" s="10"/>
      <c r="BQ45" s="10"/>
      <c r="BR45" s="11"/>
      <c r="BS45" s="12"/>
      <c r="BT45" s="17"/>
      <c r="BU45" s="13"/>
      <c r="BV45" s="13"/>
      <c r="BW45" s="13"/>
      <c r="BX45" s="14"/>
      <c r="BY45" s="9"/>
      <c r="BZ45" s="16"/>
      <c r="CA45" s="10"/>
      <c r="CB45" s="10"/>
      <c r="CC45" s="10"/>
      <c r="CD45" s="11"/>
      <c r="CE45" s="12"/>
      <c r="CF45" s="17"/>
      <c r="CG45" s="13"/>
      <c r="CH45" s="13"/>
      <c r="CI45" s="13"/>
      <c r="CJ45" s="14"/>
      <c r="CK45" s="9"/>
      <c r="CL45" s="16"/>
      <c r="CM45" s="10"/>
      <c r="CN45" s="10"/>
      <c r="CO45" s="10"/>
      <c r="CP45" s="11"/>
      <c r="CQ45" s="12"/>
      <c r="CR45" s="17"/>
      <c r="CS45" s="13"/>
      <c r="CT45" s="13"/>
      <c r="CU45" s="13"/>
      <c r="CV45" s="14"/>
      <c r="CW45" s="9"/>
      <c r="CX45" s="16"/>
      <c r="CY45" s="10"/>
      <c r="CZ45" s="10"/>
      <c r="DA45" s="10"/>
      <c r="DB45" s="11"/>
      <c r="DC45" s="12"/>
      <c r="DD45" s="17"/>
      <c r="DE45" s="13"/>
      <c r="DF45" s="13"/>
      <c r="DG45" s="13"/>
      <c r="DH45" s="14"/>
      <c r="DI45" s="8">
        <f t="shared" si="9"/>
        <v>81</v>
      </c>
      <c r="DJ45" s="8">
        <f t="shared" si="10"/>
        <v>87</v>
      </c>
      <c r="DK45" s="8">
        <f t="shared" si="11"/>
        <v>80</v>
      </c>
      <c r="DL45" s="8">
        <f t="shared" si="12"/>
        <v>10</v>
      </c>
      <c r="DM45" s="8">
        <f t="shared" si="13"/>
        <v>87</v>
      </c>
      <c r="DN45" s="8">
        <f t="shared" si="14"/>
        <v>80</v>
      </c>
      <c r="DO45" s="15">
        <f t="shared" si="15"/>
        <v>21.622592367250331</v>
      </c>
      <c r="DP45" s="15" t="str">
        <f t="shared" si="16"/>
        <v>OK - No Upgrade</v>
      </c>
      <c r="DQ45" s="15" t="str">
        <f t="shared" si="17"/>
        <v>OK - Balanced</v>
      </c>
    </row>
    <row r="46" spans="1:121" ht="15.75" customHeight="1" x14ac:dyDescent="0.25">
      <c r="A46" s="8" t="s">
        <v>1459</v>
      </c>
      <c r="B46" s="8" t="s">
        <v>2786</v>
      </c>
      <c r="C46" s="8" t="s">
        <v>2206</v>
      </c>
      <c r="D46" s="8" t="s">
        <v>2912</v>
      </c>
      <c r="E46" s="8" t="s">
        <v>2913</v>
      </c>
      <c r="F46" s="8" t="s">
        <v>43</v>
      </c>
      <c r="G46" s="8" t="s">
        <v>44</v>
      </c>
      <c r="H46" s="8">
        <v>315</v>
      </c>
      <c r="I46" s="8" t="s">
        <v>2914</v>
      </c>
      <c r="J46" s="8">
        <v>1</v>
      </c>
      <c r="K46" s="8">
        <v>247</v>
      </c>
      <c r="L46" s="8">
        <v>248</v>
      </c>
      <c r="M46" s="8">
        <v>248</v>
      </c>
      <c r="N46" s="8">
        <v>430</v>
      </c>
      <c r="O46" s="8">
        <v>429</v>
      </c>
      <c r="P46" s="8">
        <v>430</v>
      </c>
      <c r="Q46" s="9" t="s">
        <v>47</v>
      </c>
      <c r="R46" s="16"/>
      <c r="S46" s="10">
        <v>2</v>
      </c>
      <c r="T46" s="10">
        <v>26</v>
      </c>
      <c r="U46" s="10">
        <v>31</v>
      </c>
      <c r="V46" s="11">
        <v>28</v>
      </c>
      <c r="W46" s="12" t="s">
        <v>47</v>
      </c>
      <c r="X46" s="17"/>
      <c r="Y46" s="13">
        <v>52</v>
      </c>
      <c r="Z46" s="13">
        <v>55</v>
      </c>
      <c r="AA46" s="13">
        <v>11</v>
      </c>
      <c r="AB46" s="14">
        <v>11</v>
      </c>
      <c r="AC46" s="9"/>
      <c r="AD46" s="16"/>
      <c r="AE46" s="10"/>
      <c r="AF46" s="10"/>
      <c r="AG46" s="10"/>
      <c r="AH46" s="11"/>
      <c r="AI46" s="12"/>
      <c r="AJ46" s="17"/>
      <c r="AK46" s="13"/>
      <c r="AL46" s="13"/>
      <c r="AM46" s="13"/>
      <c r="AN46" s="14"/>
      <c r="AO46" s="9"/>
      <c r="AP46" s="16"/>
      <c r="AQ46" s="10"/>
      <c r="AR46" s="10"/>
      <c r="AS46" s="10"/>
      <c r="AT46" s="11"/>
      <c r="AU46" s="12"/>
      <c r="AV46" s="17"/>
      <c r="AW46" s="13"/>
      <c r="AX46" s="13"/>
      <c r="AY46" s="13"/>
      <c r="AZ46" s="14"/>
      <c r="BA46" s="9"/>
      <c r="BB46" s="16"/>
      <c r="BC46" s="10"/>
      <c r="BD46" s="10"/>
      <c r="BE46" s="10"/>
      <c r="BF46" s="11"/>
      <c r="BG46" s="12"/>
      <c r="BH46" s="17"/>
      <c r="BI46" s="13"/>
      <c r="BJ46" s="13"/>
      <c r="BK46" s="13"/>
      <c r="BL46" s="14"/>
      <c r="BM46" s="9"/>
      <c r="BN46" s="16"/>
      <c r="BO46" s="10"/>
      <c r="BP46" s="10"/>
      <c r="BQ46" s="10"/>
      <c r="BR46" s="11"/>
      <c r="BS46" s="12"/>
      <c r="BT46" s="17"/>
      <c r="BU46" s="13"/>
      <c r="BV46" s="13"/>
      <c r="BW46" s="13"/>
      <c r="BX46" s="14"/>
      <c r="BY46" s="9"/>
      <c r="BZ46" s="16"/>
      <c r="CA46" s="10"/>
      <c r="CB46" s="10"/>
      <c r="CC46" s="10"/>
      <c r="CD46" s="11"/>
      <c r="CE46" s="12"/>
      <c r="CF46" s="17"/>
      <c r="CG46" s="13"/>
      <c r="CH46" s="13"/>
      <c r="CI46" s="13"/>
      <c r="CJ46" s="14"/>
      <c r="CK46" s="9"/>
      <c r="CL46" s="16"/>
      <c r="CM46" s="10"/>
      <c r="CN46" s="10"/>
      <c r="CO46" s="10"/>
      <c r="CP46" s="11"/>
      <c r="CQ46" s="12"/>
      <c r="CR46" s="17"/>
      <c r="CS46" s="13"/>
      <c r="CT46" s="13"/>
      <c r="CU46" s="13"/>
      <c r="CV46" s="14"/>
      <c r="CW46" s="9"/>
      <c r="CX46" s="16"/>
      <c r="CY46" s="10"/>
      <c r="CZ46" s="10"/>
      <c r="DA46" s="10"/>
      <c r="DB46" s="11"/>
      <c r="DC46" s="12"/>
      <c r="DD46" s="17"/>
      <c r="DE46" s="13"/>
      <c r="DF46" s="13"/>
      <c r="DG46" s="13"/>
      <c r="DH46" s="14"/>
      <c r="DI46" s="8">
        <f t="shared" si="9"/>
        <v>54</v>
      </c>
      <c r="DJ46" s="8">
        <f t="shared" si="10"/>
        <v>81</v>
      </c>
      <c r="DK46" s="8">
        <f t="shared" si="11"/>
        <v>42</v>
      </c>
      <c r="DL46" s="8">
        <f t="shared" si="12"/>
        <v>39</v>
      </c>
      <c r="DM46" s="8">
        <f t="shared" si="13"/>
        <v>81</v>
      </c>
      <c r="DN46" s="8">
        <f t="shared" si="14"/>
        <v>42</v>
      </c>
      <c r="DO46" s="15">
        <f t="shared" si="15"/>
        <v>19.151533215118729</v>
      </c>
      <c r="DP46" s="15" t="str">
        <f t="shared" si="16"/>
        <v>OK - No Upgrade</v>
      </c>
      <c r="DQ46" s="15" t="str">
        <f t="shared" si="17"/>
        <v>Need to Balance</v>
      </c>
    </row>
    <row r="47" spans="1:121" ht="15.75" customHeight="1" x14ac:dyDescent="0.25">
      <c r="A47" s="8" t="s">
        <v>1459</v>
      </c>
      <c r="B47" s="8" t="s">
        <v>2786</v>
      </c>
      <c r="C47" s="8" t="s">
        <v>2206</v>
      </c>
      <c r="D47" s="8" t="s">
        <v>2915</v>
      </c>
      <c r="E47" s="8" t="s">
        <v>2294</v>
      </c>
      <c r="F47" s="8" t="s">
        <v>43</v>
      </c>
      <c r="G47" s="8" t="s">
        <v>44</v>
      </c>
      <c r="H47" s="8">
        <v>100</v>
      </c>
      <c r="I47" s="8" t="s">
        <v>2916</v>
      </c>
      <c r="J47" s="8">
        <v>1</v>
      </c>
      <c r="K47" s="8">
        <v>250</v>
      </c>
      <c r="L47" s="8">
        <v>250</v>
      </c>
      <c r="M47" s="8">
        <v>250</v>
      </c>
      <c r="N47" s="8">
        <v>435</v>
      </c>
      <c r="O47" s="8">
        <v>434</v>
      </c>
      <c r="P47" s="8">
        <v>435</v>
      </c>
      <c r="Q47" s="9" t="s">
        <v>46</v>
      </c>
      <c r="R47" s="16"/>
      <c r="S47" s="10">
        <v>30</v>
      </c>
      <c r="T47" s="10">
        <v>29</v>
      </c>
      <c r="U47" s="10">
        <v>30</v>
      </c>
      <c r="V47" s="11">
        <v>0</v>
      </c>
      <c r="W47" s="12" t="s">
        <v>46</v>
      </c>
      <c r="X47" s="17"/>
      <c r="Y47" s="13">
        <v>0</v>
      </c>
      <c r="Z47" s="13">
        <v>0</v>
      </c>
      <c r="AA47" s="13">
        <v>0</v>
      </c>
      <c r="AB47" s="14">
        <v>0</v>
      </c>
      <c r="AC47" s="9"/>
      <c r="AD47" s="16"/>
      <c r="AE47" s="10"/>
      <c r="AF47" s="10"/>
      <c r="AG47" s="10"/>
      <c r="AH47" s="11"/>
      <c r="AI47" s="12"/>
      <c r="AJ47" s="17"/>
      <c r="AK47" s="13"/>
      <c r="AL47" s="13"/>
      <c r="AM47" s="13"/>
      <c r="AN47" s="14"/>
      <c r="AO47" s="9"/>
      <c r="AP47" s="16"/>
      <c r="AQ47" s="10"/>
      <c r="AR47" s="10"/>
      <c r="AS47" s="10"/>
      <c r="AT47" s="11"/>
      <c r="AU47" s="12"/>
      <c r="AV47" s="17"/>
      <c r="AW47" s="13"/>
      <c r="AX47" s="13"/>
      <c r="AY47" s="13"/>
      <c r="AZ47" s="14"/>
      <c r="BA47" s="9"/>
      <c r="BB47" s="16"/>
      <c r="BC47" s="10"/>
      <c r="BD47" s="10"/>
      <c r="BE47" s="10"/>
      <c r="BF47" s="11"/>
      <c r="BG47" s="12"/>
      <c r="BH47" s="17"/>
      <c r="BI47" s="13"/>
      <c r="BJ47" s="13"/>
      <c r="BK47" s="13"/>
      <c r="BL47" s="14"/>
      <c r="BM47" s="9"/>
      <c r="BN47" s="16"/>
      <c r="BO47" s="10"/>
      <c r="BP47" s="10"/>
      <c r="BQ47" s="10"/>
      <c r="BR47" s="11"/>
      <c r="BS47" s="12"/>
      <c r="BT47" s="17"/>
      <c r="BU47" s="13"/>
      <c r="BV47" s="13"/>
      <c r="BW47" s="13"/>
      <c r="BX47" s="14"/>
      <c r="BY47" s="9"/>
      <c r="BZ47" s="16"/>
      <c r="CA47" s="10"/>
      <c r="CB47" s="10"/>
      <c r="CC47" s="10"/>
      <c r="CD47" s="11"/>
      <c r="CE47" s="12"/>
      <c r="CF47" s="17"/>
      <c r="CG47" s="13"/>
      <c r="CH47" s="13"/>
      <c r="CI47" s="13"/>
      <c r="CJ47" s="14"/>
      <c r="CK47" s="9"/>
      <c r="CL47" s="16"/>
      <c r="CM47" s="10"/>
      <c r="CN47" s="10"/>
      <c r="CO47" s="10"/>
      <c r="CP47" s="11"/>
      <c r="CQ47" s="12"/>
      <c r="CR47" s="17"/>
      <c r="CS47" s="13"/>
      <c r="CT47" s="13"/>
      <c r="CU47" s="13"/>
      <c r="CV47" s="14"/>
      <c r="CW47" s="9"/>
      <c r="CX47" s="16"/>
      <c r="CY47" s="10"/>
      <c r="CZ47" s="10"/>
      <c r="DA47" s="10"/>
      <c r="DB47" s="11"/>
      <c r="DC47" s="12"/>
      <c r="DD47" s="17"/>
      <c r="DE47" s="13"/>
      <c r="DF47" s="13"/>
      <c r="DG47" s="13"/>
      <c r="DH47" s="14"/>
      <c r="DI47" s="8">
        <f t="shared" si="9"/>
        <v>30</v>
      </c>
      <c r="DJ47" s="8">
        <f t="shared" si="10"/>
        <v>29</v>
      </c>
      <c r="DK47" s="8">
        <f t="shared" si="11"/>
        <v>30</v>
      </c>
      <c r="DL47" s="8">
        <f t="shared" si="12"/>
        <v>0</v>
      </c>
      <c r="DM47" s="8">
        <f t="shared" si="13"/>
        <v>30</v>
      </c>
      <c r="DN47" s="8">
        <f t="shared" si="14"/>
        <v>29</v>
      </c>
      <c r="DO47" s="15">
        <f t="shared" si="15"/>
        <v>22.603263038773846</v>
      </c>
      <c r="DP47" s="15" t="str">
        <f t="shared" si="16"/>
        <v>OK - No Upgrade</v>
      </c>
      <c r="DQ47" s="15" t="str">
        <f t="shared" si="17"/>
        <v>OK - Balanced</v>
      </c>
    </row>
    <row r="48" spans="1:121" ht="15.75" customHeight="1" x14ac:dyDescent="0.25">
      <c r="A48" s="8" t="s">
        <v>1459</v>
      </c>
      <c r="B48" s="8" t="s">
        <v>2786</v>
      </c>
      <c r="C48" s="8" t="s">
        <v>2206</v>
      </c>
      <c r="D48" s="8" t="s">
        <v>2917</v>
      </c>
      <c r="E48" s="8" t="s">
        <v>2918</v>
      </c>
      <c r="F48" s="8" t="s">
        <v>43</v>
      </c>
      <c r="G48" s="8" t="s">
        <v>44</v>
      </c>
      <c r="H48" s="8">
        <v>100</v>
      </c>
      <c r="I48" s="8" t="s">
        <v>2919</v>
      </c>
      <c r="J48" s="8">
        <v>1</v>
      </c>
      <c r="K48" s="8">
        <v>253</v>
      </c>
      <c r="L48" s="8">
        <v>254</v>
      </c>
      <c r="M48" s="8">
        <v>254</v>
      </c>
      <c r="N48" s="8">
        <v>441</v>
      </c>
      <c r="O48" s="8">
        <v>441</v>
      </c>
      <c r="P48" s="8">
        <v>442</v>
      </c>
      <c r="Q48" s="9" t="s">
        <v>47</v>
      </c>
      <c r="R48" s="16"/>
      <c r="S48" s="10">
        <v>0</v>
      </c>
      <c r="T48" s="10">
        <v>0</v>
      </c>
      <c r="U48" s="10">
        <v>0</v>
      </c>
      <c r="V48" s="11">
        <v>0</v>
      </c>
      <c r="W48" s="12"/>
      <c r="X48" s="17"/>
      <c r="Y48" s="13"/>
      <c r="Z48" s="13"/>
      <c r="AA48" s="13"/>
      <c r="AB48" s="14"/>
      <c r="AC48" s="9"/>
      <c r="AD48" s="16"/>
      <c r="AE48" s="10"/>
      <c r="AF48" s="10"/>
      <c r="AG48" s="10"/>
      <c r="AH48" s="11"/>
      <c r="AI48" s="12"/>
      <c r="AJ48" s="17"/>
      <c r="AK48" s="13"/>
      <c r="AL48" s="13"/>
      <c r="AM48" s="13"/>
      <c r="AN48" s="14"/>
      <c r="AO48" s="9"/>
      <c r="AP48" s="16"/>
      <c r="AQ48" s="10"/>
      <c r="AR48" s="10"/>
      <c r="AS48" s="10"/>
      <c r="AT48" s="11"/>
      <c r="AU48" s="12"/>
      <c r="AV48" s="17"/>
      <c r="AW48" s="13"/>
      <c r="AX48" s="13"/>
      <c r="AY48" s="13"/>
      <c r="AZ48" s="14"/>
      <c r="BA48" s="9"/>
      <c r="BB48" s="16"/>
      <c r="BC48" s="10"/>
      <c r="BD48" s="10"/>
      <c r="BE48" s="10"/>
      <c r="BF48" s="11"/>
      <c r="BG48" s="12"/>
      <c r="BH48" s="17"/>
      <c r="BI48" s="13"/>
      <c r="BJ48" s="13"/>
      <c r="BK48" s="13"/>
      <c r="BL48" s="14"/>
      <c r="BM48" s="9"/>
      <c r="BN48" s="16"/>
      <c r="BO48" s="10"/>
      <c r="BP48" s="10"/>
      <c r="BQ48" s="10"/>
      <c r="BR48" s="11"/>
      <c r="BS48" s="12"/>
      <c r="BT48" s="17"/>
      <c r="BU48" s="13"/>
      <c r="BV48" s="13"/>
      <c r="BW48" s="13"/>
      <c r="BX48" s="14"/>
      <c r="BY48" s="9"/>
      <c r="BZ48" s="16"/>
      <c r="CA48" s="10"/>
      <c r="CB48" s="10"/>
      <c r="CC48" s="10"/>
      <c r="CD48" s="11"/>
      <c r="CE48" s="12"/>
      <c r="CF48" s="17"/>
      <c r="CG48" s="13"/>
      <c r="CH48" s="13"/>
      <c r="CI48" s="13"/>
      <c r="CJ48" s="14"/>
      <c r="CK48" s="9"/>
      <c r="CL48" s="16"/>
      <c r="CM48" s="10"/>
      <c r="CN48" s="10"/>
      <c r="CO48" s="10"/>
      <c r="CP48" s="11"/>
      <c r="CQ48" s="12"/>
      <c r="CR48" s="17"/>
      <c r="CS48" s="13"/>
      <c r="CT48" s="13"/>
      <c r="CU48" s="13"/>
      <c r="CV48" s="14"/>
      <c r="CW48" s="9"/>
      <c r="CX48" s="16"/>
      <c r="CY48" s="10"/>
      <c r="CZ48" s="10"/>
      <c r="DA48" s="10"/>
      <c r="DB48" s="11"/>
      <c r="DC48" s="12"/>
      <c r="DD48" s="17"/>
      <c r="DE48" s="13"/>
      <c r="DF48" s="13"/>
      <c r="DG48" s="13"/>
      <c r="DH48" s="14"/>
      <c r="DI48" s="8">
        <f t="shared" si="9"/>
        <v>0</v>
      </c>
      <c r="DJ48" s="8">
        <f t="shared" si="10"/>
        <v>0</v>
      </c>
      <c r="DK48" s="8">
        <f t="shared" si="11"/>
        <v>0</v>
      </c>
      <c r="DL48" s="8">
        <f t="shared" si="12"/>
        <v>0</v>
      </c>
      <c r="DM48" s="8">
        <f t="shared" si="13"/>
        <v>0</v>
      </c>
      <c r="DN48" s="8">
        <f t="shared" si="14"/>
        <v>0</v>
      </c>
      <c r="DO48" s="15">
        <f t="shared" si="15"/>
        <v>0</v>
      </c>
      <c r="DP48" s="15" t="str">
        <f t="shared" si="16"/>
        <v>OK - No Upgrade</v>
      </c>
      <c r="DQ48" s="15" t="str">
        <f t="shared" si="17"/>
        <v>OK - Balanced</v>
      </c>
    </row>
    <row r="49" spans="1:121" ht="15.75" customHeight="1" x14ac:dyDescent="0.25">
      <c r="A49" s="8" t="s">
        <v>1459</v>
      </c>
      <c r="B49" s="8" t="s">
        <v>2786</v>
      </c>
      <c r="C49" s="8" t="s">
        <v>905</v>
      </c>
      <c r="D49" s="8" t="s">
        <v>2920</v>
      </c>
      <c r="E49" s="8" t="s">
        <v>2921</v>
      </c>
      <c r="F49" s="8" t="s">
        <v>43</v>
      </c>
      <c r="G49" s="8" t="s">
        <v>44</v>
      </c>
      <c r="H49" s="8">
        <v>100</v>
      </c>
      <c r="I49" s="8" t="s">
        <v>2922</v>
      </c>
      <c r="J49" s="8">
        <v>1</v>
      </c>
      <c r="K49" s="8">
        <v>230</v>
      </c>
      <c r="L49" s="8">
        <v>229</v>
      </c>
      <c r="M49" s="8">
        <v>228</v>
      </c>
      <c r="N49" s="8">
        <v>408</v>
      </c>
      <c r="O49" s="8">
        <v>407</v>
      </c>
      <c r="P49" s="8">
        <v>406</v>
      </c>
      <c r="Q49" s="9" t="s">
        <v>46</v>
      </c>
      <c r="R49" s="16"/>
      <c r="S49" s="10">
        <v>55</v>
      </c>
      <c r="T49" s="10">
        <v>36</v>
      </c>
      <c r="U49" s="10">
        <v>26</v>
      </c>
      <c r="V49" s="11">
        <v>35</v>
      </c>
      <c r="W49" s="12" t="s">
        <v>47</v>
      </c>
      <c r="X49" s="17"/>
      <c r="Y49" s="13">
        <v>20</v>
      </c>
      <c r="Z49" s="13">
        <v>3</v>
      </c>
      <c r="AA49" s="13">
        <v>4</v>
      </c>
      <c r="AB49" s="14">
        <v>19</v>
      </c>
      <c r="AC49" s="9"/>
      <c r="AD49" s="16"/>
      <c r="AE49" s="10"/>
      <c r="AF49" s="10"/>
      <c r="AG49" s="10"/>
      <c r="AH49" s="11"/>
      <c r="AI49" s="12"/>
      <c r="AJ49" s="17"/>
      <c r="AK49" s="13"/>
      <c r="AL49" s="13"/>
      <c r="AM49" s="13"/>
      <c r="AN49" s="14"/>
      <c r="AO49" s="9"/>
      <c r="AP49" s="16"/>
      <c r="AQ49" s="10"/>
      <c r="AR49" s="10"/>
      <c r="AS49" s="10"/>
      <c r="AT49" s="11"/>
      <c r="AU49" s="12"/>
      <c r="AV49" s="17"/>
      <c r="AW49" s="13"/>
      <c r="AX49" s="13"/>
      <c r="AY49" s="13"/>
      <c r="AZ49" s="14"/>
      <c r="BA49" s="9"/>
      <c r="BB49" s="16"/>
      <c r="BC49" s="10"/>
      <c r="BD49" s="10"/>
      <c r="BE49" s="10"/>
      <c r="BF49" s="11"/>
      <c r="BG49" s="12"/>
      <c r="BH49" s="17"/>
      <c r="BI49" s="13"/>
      <c r="BJ49" s="13"/>
      <c r="BK49" s="13"/>
      <c r="BL49" s="14"/>
      <c r="BM49" s="9"/>
      <c r="BN49" s="16"/>
      <c r="BO49" s="10"/>
      <c r="BP49" s="10"/>
      <c r="BQ49" s="10"/>
      <c r="BR49" s="11"/>
      <c r="BS49" s="12"/>
      <c r="BT49" s="17"/>
      <c r="BU49" s="13"/>
      <c r="BV49" s="13"/>
      <c r="BW49" s="13"/>
      <c r="BX49" s="14"/>
      <c r="BY49" s="9"/>
      <c r="BZ49" s="16"/>
      <c r="CA49" s="10"/>
      <c r="CB49" s="10"/>
      <c r="CC49" s="10"/>
      <c r="CD49" s="11"/>
      <c r="CE49" s="12"/>
      <c r="CF49" s="17"/>
      <c r="CG49" s="13"/>
      <c r="CH49" s="13"/>
      <c r="CI49" s="13"/>
      <c r="CJ49" s="14"/>
      <c r="CK49" s="9"/>
      <c r="CL49" s="16"/>
      <c r="CM49" s="10"/>
      <c r="CN49" s="10"/>
      <c r="CO49" s="10"/>
      <c r="CP49" s="11"/>
      <c r="CQ49" s="12"/>
      <c r="CR49" s="17"/>
      <c r="CS49" s="13"/>
      <c r="CT49" s="13"/>
      <c r="CU49" s="13"/>
      <c r="CV49" s="14"/>
      <c r="CW49" s="9"/>
      <c r="CX49" s="16"/>
      <c r="CY49" s="10"/>
      <c r="CZ49" s="10"/>
      <c r="DA49" s="10"/>
      <c r="DB49" s="11"/>
      <c r="DC49" s="12"/>
      <c r="DD49" s="17"/>
      <c r="DE49" s="13"/>
      <c r="DF49" s="13"/>
      <c r="DG49" s="13"/>
      <c r="DH49" s="14"/>
      <c r="DI49" s="8">
        <f t="shared" si="9"/>
        <v>75</v>
      </c>
      <c r="DJ49" s="8">
        <f t="shared" si="10"/>
        <v>39</v>
      </c>
      <c r="DK49" s="8">
        <f t="shared" si="11"/>
        <v>30</v>
      </c>
      <c r="DL49" s="8">
        <f t="shared" si="12"/>
        <v>54</v>
      </c>
      <c r="DM49" s="8">
        <f t="shared" si="13"/>
        <v>75</v>
      </c>
      <c r="DN49" s="8">
        <f t="shared" si="14"/>
        <v>30</v>
      </c>
      <c r="DO49" s="15">
        <f t="shared" si="15"/>
        <v>53.000754711607648</v>
      </c>
      <c r="DP49" s="15" t="str">
        <f t="shared" si="16"/>
        <v>OK - No Upgrade</v>
      </c>
      <c r="DQ49" s="15" t="str">
        <f t="shared" si="17"/>
        <v>Need to Balance</v>
      </c>
    </row>
    <row r="50" spans="1:121" ht="15.75" customHeight="1" x14ac:dyDescent="0.25">
      <c r="A50" s="8" t="s">
        <v>1459</v>
      </c>
      <c r="B50" s="8" t="s">
        <v>2786</v>
      </c>
      <c r="C50" s="8" t="s">
        <v>905</v>
      </c>
      <c r="D50" s="8" t="s">
        <v>2923</v>
      </c>
      <c r="E50" s="8" t="s">
        <v>2924</v>
      </c>
      <c r="F50" s="8" t="s">
        <v>43</v>
      </c>
      <c r="G50" s="8" t="s">
        <v>44</v>
      </c>
      <c r="H50" s="8">
        <v>100</v>
      </c>
      <c r="I50" s="8" t="s">
        <v>2925</v>
      </c>
      <c r="J50" s="8">
        <v>1</v>
      </c>
      <c r="K50" s="8">
        <v>241</v>
      </c>
      <c r="L50" s="8">
        <v>244</v>
      </c>
      <c r="M50" s="8">
        <v>243</v>
      </c>
      <c r="N50" s="8">
        <v>420</v>
      </c>
      <c r="O50" s="8">
        <v>422</v>
      </c>
      <c r="P50" s="8">
        <v>424</v>
      </c>
      <c r="Q50" s="9"/>
      <c r="R50" s="16"/>
      <c r="S50" s="10"/>
      <c r="T50" s="10"/>
      <c r="U50" s="10"/>
      <c r="V50" s="11"/>
      <c r="W50" s="12" t="s">
        <v>46</v>
      </c>
      <c r="X50" s="17"/>
      <c r="Y50" s="13">
        <v>58</v>
      </c>
      <c r="Z50" s="13">
        <v>35</v>
      </c>
      <c r="AA50" s="13">
        <v>36</v>
      </c>
      <c r="AB50" s="14">
        <v>20</v>
      </c>
      <c r="AC50" s="9"/>
      <c r="AD50" s="16"/>
      <c r="AE50" s="10"/>
      <c r="AF50" s="10"/>
      <c r="AG50" s="10"/>
      <c r="AH50" s="11"/>
      <c r="AI50" s="12"/>
      <c r="AJ50" s="17"/>
      <c r="AK50" s="13"/>
      <c r="AL50" s="13"/>
      <c r="AM50" s="13"/>
      <c r="AN50" s="14"/>
      <c r="AO50" s="9"/>
      <c r="AP50" s="16"/>
      <c r="AQ50" s="10"/>
      <c r="AR50" s="10"/>
      <c r="AS50" s="10"/>
      <c r="AT50" s="11"/>
      <c r="AU50" s="12"/>
      <c r="AV50" s="17"/>
      <c r="AW50" s="13"/>
      <c r="AX50" s="13"/>
      <c r="AY50" s="13"/>
      <c r="AZ50" s="14"/>
      <c r="BA50" s="9"/>
      <c r="BB50" s="16"/>
      <c r="BC50" s="10"/>
      <c r="BD50" s="10"/>
      <c r="BE50" s="10"/>
      <c r="BF50" s="11"/>
      <c r="BG50" s="12"/>
      <c r="BH50" s="17"/>
      <c r="BI50" s="13"/>
      <c r="BJ50" s="13"/>
      <c r="BK50" s="13"/>
      <c r="BL50" s="14"/>
      <c r="BM50" s="9"/>
      <c r="BN50" s="16"/>
      <c r="BO50" s="10"/>
      <c r="BP50" s="10"/>
      <c r="BQ50" s="10"/>
      <c r="BR50" s="11"/>
      <c r="BS50" s="12"/>
      <c r="BT50" s="17"/>
      <c r="BU50" s="13"/>
      <c r="BV50" s="13"/>
      <c r="BW50" s="13"/>
      <c r="BX50" s="14"/>
      <c r="BY50" s="9"/>
      <c r="BZ50" s="16"/>
      <c r="CA50" s="10"/>
      <c r="CB50" s="10"/>
      <c r="CC50" s="10"/>
      <c r="CD50" s="11"/>
      <c r="CE50" s="12"/>
      <c r="CF50" s="17"/>
      <c r="CG50" s="13"/>
      <c r="CH50" s="13"/>
      <c r="CI50" s="13"/>
      <c r="CJ50" s="14"/>
      <c r="CK50" s="9"/>
      <c r="CL50" s="16"/>
      <c r="CM50" s="10"/>
      <c r="CN50" s="10"/>
      <c r="CO50" s="10"/>
      <c r="CP50" s="11"/>
      <c r="CQ50" s="12"/>
      <c r="CR50" s="17"/>
      <c r="CS50" s="13"/>
      <c r="CT50" s="13"/>
      <c r="CU50" s="13"/>
      <c r="CV50" s="14"/>
      <c r="CW50" s="9"/>
      <c r="CX50" s="16"/>
      <c r="CY50" s="10"/>
      <c r="CZ50" s="10"/>
      <c r="DA50" s="10"/>
      <c r="DB50" s="11"/>
      <c r="DC50" s="12"/>
      <c r="DD50" s="17"/>
      <c r="DE50" s="13"/>
      <c r="DF50" s="13"/>
      <c r="DG50" s="13"/>
      <c r="DH50" s="14"/>
      <c r="DI50" s="8">
        <f t="shared" si="9"/>
        <v>58</v>
      </c>
      <c r="DJ50" s="8">
        <f t="shared" si="10"/>
        <v>35</v>
      </c>
      <c r="DK50" s="8">
        <f t="shared" si="11"/>
        <v>36</v>
      </c>
      <c r="DL50" s="8">
        <f t="shared" si="12"/>
        <v>20</v>
      </c>
      <c r="DM50" s="8">
        <f t="shared" si="13"/>
        <v>58</v>
      </c>
      <c r="DN50" s="8">
        <f t="shared" si="14"/>
        <v>35</v>
      </c>
      <c r="DO50" s="15">
        <f t="shared" si="15"/>
        <v>42.192757672377844</v>
      </c>
      <c r="DP50" s="15" t="str">
        <f t="shared" si="16"/>
        <v>OK - No Upgrade</v>
      </c>
      <c r="DQ50" s="15" t="str">
        <f t="shared" si="17"/>
        <v>Need to Balance</v>
      </c>
    </row>
    <row r="51" spans="1:121" ht="15.75" customHeight="1" x14ac:dyDescent="0.25">
      <c r="A51" s="8" t="s">
        <v>1459</v>
      </c>
      <c r="B51" s="8" t="s">
        <v>2786</v>
      </c>
      <c r="C51" s="8" t="s">
        <v>905</v>
      </c>
      <c r="D51" s="8" t="s">
        <v>2926</v>
      </c>
      <c r="E51" s="8" t="s">
        <v>2927</v>
      </c>
      <c r="F51" s="8" t="s">
        <v>43</v>
      </c>
      <c r="G51" s="8" t="s">
        <v>44</v>
      </c>
      <c r="H51" s="8">
        <v>315</v>
      </c>
      <c r="I51" s="8" t="s">
        <v>2928</v>
      </c>
      <c r="J51" s="8">
        <v>1</v>
      </c>
      <c r="K51" s="8">
        <v>242</v>
      </c>
      <c r="L51" s="8">
        <v>240</v>
      </c>
      <c r="M51" s="8">
        <v>241</v>
      </c>
      <c r="N51" s="8">
        <v>424</v>
      </c>
      <c r="O51" s="8">
        <v>423</v>
      </c>
      <c r="P51" s="8">
        <v>420</v>
      </c>
      <c r="Q51" s="9" t="s">
        <v>46</v>
      </c>
      <c r="R51" s="16"/>
      <c r="S51" s="10">
        <v>22</v>
      </c>
      <c r="T51" s="10">
        <v>18</v>
      </c>
      <c r="U51" s="10">
        <v>15</v>
      </c>
      <c r="V51" s="11">
        <v>17</v>
      </c>
      <c r="W51" s="12"/>
      <c r="X51" s="17"/>
      <c r="Y51" s="13"/>
      <c r="Z51" s="13"/>
      <c r="AA51" s="13"/>
      <c r="AB51" s="14"/>
      <c r="AC51" s="9"/>
      <c r="AD51" s="16"/>
      <c r="AE51" s="10"/>
      <c r="AF51" s="10"/>
      <c r="AG51" s="10"/>
      <c r="AH51" s="11"/>
      <c r="AI51" s="12"/>
      <c r="AJ51" s="17"/>
      <c r="AK51" s="13"/>
      <c r="AL51" s="13"/>
      <c r="AM51" s="13"/>
      <c r="AN51" s="14"/>
      <c r="AO51" s="9"/>
      <c r="AP51" s="16"/>
      <c r="AQ51" s="10"/>
      <c r="AR51" s="10"/>
      <c r="AS51" s="10"/>
      <c r="AT51" s="11"/>
      <c r="AU51" s="12"/>
      <c r="AV51" s="17"/>
      <c r="AW51" s="13"/>
      <c r="AX51" s="13"/>
      <c r="AY51" s="13"/>
      <c r="AZ51" s="14"/>
      <c r="BA51" s="9"/>
      <c r="BB51" s="16"/>
      <c r="BC51" s="10"/>
      <c r="BD51" s="10"/>
      <c r="BE51" s="10"/>
      <c r="BF51" s="11"/>
      <c r="BG51" s="12"/>
      <c r="BH51" s="17"/>
      <c r="BI51" s="13"/>
      <c r="BJ51" s="13"/>
      <c r="BK51" s="13"/>
      <c r="BL51" s="14"/>
      <c r="BM51" s="9"/>
      <c r="BN51" s="16"/>
      <c r="BO51" s="10"/>
      <c r="BP51" s="10"/>
      <c r="BQ51" s="10"/>
      <c r="BR51" s="11"/>
      <c r="BS51" s="12"/>
      <c r="BT51" s="17"/>
      <c r="BU51" s="13"/>
      <c r="BV51" s="13"/>
      <c r="BW51" s="13"/>
      <c r="BX51" s="14"/>
      <c r="BY51" s="9"/>
      <c r="BZ51" s="16"/>
      <c r="CA51" s="10"/>
      <c r="CB51" s="10"/>
      <c r="CC51" s="10"/>
      <c r="CD51" s="11"/>
      <c r="CE51" s="12"/>
      <c r="CF51" s="17"/>
      <c r="CG51" s="13"/>
      <c r="CH51" s="13"/>
      <c r="CI51" s="13"/>
      <c r="CJ51" s="14"/>
      <c r="CK51" s="9"/>
      <c r="CL51" s="16"/>
      <c r="CM51" s="10"/>
      <c r="CN51" s="10"/>
      <c r="CO51" s="10"/>
      <c r="CP51" s="11"/>
      <c r="CQ51" s="12"/>
      <c r="CR51" s="17"/>
      <c r="CS51" s="13"/>
      <c r="CT51" s="13"/>
      <c r="CU51" s="13"/>
      <c r="CV51" s="14"/>
      <c r="CW51" s="9"/>
      <c r="CX51" s="16"/>
      <c r="CY51" s="10"/>
      <c r="CZ51" s="10"/>
      <c r="DA51" s="10"/>
      <c r="DB51" s="11"/>
      <c r="DC51" s="12"/>
      <c r="DD51" s="17"/>
      <c r="DE51" s="13"/>
      <c r="DF51" s="13"/>
      <c r="DG51" s="13"/>
      <c r="DH51" s="14"/>
      <c r="DI51" s="8">
        <f t="shared" si="9"/>
        <v>22</v>
      </c>
      <c r="DJ51" s="8">
        <f t="shared" si="10"/>
        <v>18</v>
      </c>
      <c r="DK51" s="8">
        <f t="shared" si="11"/>
        <v>15</v>
      </c>
      <c r="DL51" s="8">
        <f t="shared" si="12"/>
        <v>17</v>
      </c>
      <c r="DM51" s="8">
        <f t="shared" si="13"/>
        <v>22</v>
      </c>
      <c r="DN51" s="8">
        <f t="shared" si="14"/>
        <v>15</v>
      </c>
      <c r="DO51" s="15">
        <f t="shared" si="15"/>
        <v>5.1290698200007894</v>
      </c>
      <c r="DP51" s="15" t="str">
        <f t="shared" si="16"/>
        <v>OK - No Upgrade</v>
      </c>
      <c r="DQ51" s="15" t="str">
        <f t="shared" si="17"/>
        <v>Need to Balance</v>
      </c>
    </row>
    <row r="52" spans="1:121" ht="15.75" customHeight="1" x14ac:dyDescent="0.25">
      <c r="A52" s="8" t="s">
        <v>1459</v>
      </c>
      <c r="B52" s="8" t="s">
        <v>2786</v>
      </c>
      <c r="C52" s="8" t="s">
        <v>905</v>
      </c>
      <c r="D52" s="8" t="s">
        <v>2929</v>
      </c>
      <c r="E52" s="8" t="s">
        <v>2930</v>
      </c>
      <c r="F52" s="8" t="s">
        <v>56</v>
      </c>
      <c r="G52" s="8" t="s">
        <v>44</v>
      </c>
      <c r="H52" s="8">
        <v>1000</v>
      </c>
      <c r="I52" s="8" t="s">
        <v>82</v>
      </c>
      <c r="J52" s="8">
        <v>1</v>
      </c>
      <c r="K52" s="8">
        <v>243</v>
      </c>
      <c r="L52" s="8">
        <v>243</v>
      </c>
      <c r="M52" s="8">
        <v>244</v>
      </c>
      <c r="N52" s="8">
        <v>423</v>
      </c>
      <c r="O52" s="8">
        <v>426</v>
      </c>
      <c r="P52" s="8">
        <v>424</v>
      </c>
      <c r="Q52" s="9" t="s">
        <v>47</v>
      </c>
      <c r="R52" s="16"/>
      <c r="S52" s="10">
        <v>13</v>
      </c>
      <c r="T52" s="10">
        <v>9</v>
      </c>
      <c r="U52" s="10">
        <v>9</v>
      </c>
      <c r="V52" s="11">
        <v>4</v>
      </c>
      <c r="W52" s="12" t="s">
        <v>47</v>
      </c>
      <c r="X52" s="17"/>
      <c r="Y52" s="13">
        <v>133</v>
      </c>
      <c r="Z52" s="13">
        <v>125</v>
      </c>
      <c r="AA52" s="13">
        <v>134</v>
      </c>
      <c r="AB52" s="14">
        <v>22</v>
      </c>
      <c r="AC52" s="9" t="s">
        <v>47</v>
      </c>
      <c r="AD52" s="16"/>
      <c r="AE52" s="10">
        <v>40</v>
      </c>
      <c r="AF52" s="10">
        <v>10</v>
      </c>
      <c r="AG52" s="10">
        <v>22</v>
      </c>
      <c r="AH52" s="11">
        <v>32</v>
      </c>
      <c r="AI52" s="12" t="s">
        <v>47</v>
      </c>
      <c r="AJ52" s="17"/>
      <c r="AK52" s="13">
        <v>50</v>
      </c>
      <c r="AL52" s="13">
        <v>35</v>
      </c>
      <c r="AM52" s="13">
        <v>25</v>
      </c>
      <c r="AN52" s="14">
        <v>16</v>
      </c>
      <c r="AO52" s="9" t="s">
        <v>47</v>
      </c>
      <c r="AP52" s="16"/>
      <c r="AQ52" s="10">
        <v>38</v>
      </c>
      <c r="AR52" s="10">
        <v>15</v>
      </c>
      <c r="AS52" s="10">
        <v>15</v>
      </c>
      <c r="AT52" s="11">
        <v>27</v>
      </c>
      <c r="AU52" s="12" t="s">
        <v>47</v>
      </c>
      <c r="AV52" s="17"/>
      <c r="AW52" s="13">
        <v>42</v>
      </c>
      <c r="AX52" s="13">
        <v>25</v>
      </c>
      <c r="AY52" s="13">
        <v>25</v>
      </c>
      <c r="AZ52" s="14">
        <v>37</v>
      </c>
      <c r="BA52" s="9"/>
      <c r="BB52" s="16"/>
      <c r="BC52" s="10"/>
      <c r="BD52" s="10"/>
      <c r="BE52" s="10"/>
      <c r="BF52" s="11"/>
      <c r="BG52" s="12"/>
      <c r="BH52" s="17"/>
      <c r="BI52" s="13"/>
      <c r="BJ52" s="13"/>
      <c r="BK52" s="13"/>
      <c r="BL52" s="14"/>
      <c r="BM52" s="9"/>
      <c r="BN52" s="16"/>
      <c r="BO52" s="10"/>
      <c r="BP52" s="10"/>
      <c r="BQ52" s="10"/>
      <c r="BR52" s="11"/>
      <c r="BS52" s="12"/>
      <c r="BT52" s="17"/>
      <c r="BU52" s="13"/>
      <c r="BV52" s="13"/>
      <c r="BW52" s="13"/>
      <c r="BX52" s="14"/>
      <c r="BY52" s="9"/>
      <c r="BZ52" s="16"/>
      <c r="CA52" s="10"/>
      <c r="CB52" s="10"/>
      <c r="CC52" s="10"/>
      <c r="CD52" s="11"/>
      <c r="CE52" s="12"/>
      <c r="CF52" s="17"/>
      <c r="CG52" s="13"/>
      <c r="CH52" s="13"/>
      <c r="CI52" s="13"/>
      <c r="CJ52" s="14"/>
      <c r="CK52" s="9"/>
      <c r="CL52" s="16"/>
      <c r="CM52" s="10"/>
      <c r="CN52" s="10"/>
      <c r="CO52" s="10"/>
      <c r="CP52" s="11"/>
      <c r="CQ52" s="12"/>
      <c r="CR52" s="17"/>
      <c r="CS52" s="13"/>
      <c r="CT52" s="13"/>
      <c r="CU52" s="13"/>
      <c r="CV52" s="14"/>
      <c r="CW52" s="9"/>
      <c r="CX52" s="16"/>
      <c r="CY52" s="10"/>
      <c r="CZ52" s="10"/>
      <c r="DA52" s="10"/>
      <c r="DB52" s="11"/>
      <c r="DC52" s="12"/>
      <c r="DD52" s="17"/>
      <c r="DE52" s="13"/>
      <c r="DF52" s="13"/>
      <c r="DG52" s="13"/>
      <c r="DH52" s="14"/>
      <c r="DI52" s="8">
        <f t="shared" si="9"/>
        <v>316</v>
      </c>
      <c r="DJ52" s="8">
        <f t="shared" si="10"/>
        <v>219</v>
      </c>
      <c r="DK52" s="8">
        <f t="shared" si="11"/>
        <v>230</v>
      </c>
      <c r="DL52" s="8">
        <f t="shared" si="12"/>
        <v>138</v>
      </c>
      <c r="DM52" s="8">
        <f t="shared" si="13"/>
        <v>316</v>
      </c>
      <c r="DN52" s="8">
        <f t="shared" si="14"/>
        <v>219</v>
      </c>
      <c r="DO52" s="15">
        <f t="shared" si="15"/>
        <v>23.151976734611669</v>
      </c>
      <c r="DP52" s="15" t="str">
        <f t="shared" si="16"/>
        <v>OK - No Upgrade</v>
      </c>
      <c r="DQ52" s="15" t="str">
        <f t="shared" si="17"/>
        <v>Need to Balance</v>
      </c>
    </row>
    <row r="53" spans="1:121" ht="15.75" customHeight="1" x14ac:dyDescent="0.25">
      <c r="A53" s="8" t="s">
        <v>1459</v>
      </c>
      <c r="B53" s="8" t="s">
        <v>2786</v>
      </c>
      <c r="C53" s="8" t="s">
        <v>905</v>
      </c>
      <c r="D53" s="8" t="s">
        <v>2931</v>
      </c>
      <c r="E53" s="8" t="s">
        <v>2932</v>
      </c>
      <c r="F53" s="8" t="s">
        <v>43</v>
      </c>
      <c r="G53" s="8" t="s">
        <v>44</v>
      </c>
      <c r="H53" s="8">
        <v>100</v>
      </c>
      <c r="I53" s="8" t="s">
        <v>2933</v>
      </c>
      <c r="J53" s="8">
        <v>1</v>
      </c>
      <c r="K53" s="8">
        <v>232</v>
      </c>
      <c r="L53" s="8">
        <v>233</v>
      </c>
      <c r="M53" s="8">
        <v>233</v>
      </c>
      <c r="N53" s="8">
        <v>405</v>
      </c>
      <c r="O53" s="8">
        <v>402</v>
      </c>
      <c r="P53" s="8">
        <v>405</v>
      </c>
      <c r="Q53" s="9" t="s">
        <v>46</v>
      </c>
      <c r="R53" s="16"/>
      <c r="S53" s="10">
        <v>14</v>
      </c>
      <c r="T53" s="10">
        <v>2</v>
      </c>
      <c r="U53" s="10">
        <v>2</v>
      </c>
      <c r="V53" s="11">
        <v>0</v>
      </c>
      <c r="W53" s="12" t="s">
        <v>46</v>
      </c>
      <c r="X53" s="17"/>
      <c r="Y53" s="13">
        <v>8</v>
      </c>
      <c r="Z53" s="13">
        <v>8</v>
      </c>
      <c r="AA53" s="13">
        <v>0</v>
      </c>
      <c r="AB53" s="14">
        <v>0</v>
      </c>
      <c r="AC53" s="9"/>
      <c r="AD53" s="16"/>
      <c r="AE53" s="10"/>
      <c r="AF53" s="10"/>
      <c r="AG53" s="10"/>
      <c r="AH53" s="11"/>
      <c r="AI53" s="12"/>
      <c r="AJ53" s="17"/>
      <c r="AK53" s="13"/>
      <c r="AL53" s="13"/>
      <c r="AM53" s="13"/>
      <c r="AN53" s="14"/>
      <c r="AO53" s="9"/>
      <c r="AP53" s="16"/>
      <c r="AQ53" s="10"/>
      <c r="AR53" s="10"/>
      <c r="AS53" s="10"/>
      <c r="AT53" s="11"/>
      <c r="AU53" s="12"/>
      <c r="AV53" s="17"/>
      <c r="AW53" s="13"/>
      <c r="AX53" s="13"/>
      <c r="AY53" s="13"/>
      <c r="AZ53" s="14"/>
      <c r="BA53" s="9"/>
      <c r="BB53" s="16"/>
      <c r="BC53" s="10"/>
      <c r="BD53" s="10"/>
      <c r="BE53" s="10"/>
      <c r="BF53" s="11"/>
      <c r="BG53" s="12"/>
      <c r="BH53" s="17"/>
      <c r="BI53" s="13"/>
      <c r="BJ53" s="13"/>
      <c r="BK53" s="13"/>
      <c r="BL53" s="14"/>
      <c r="BM53" s="9"/>
      <c r="BN53" s="16"/>
      <c r="BO53" s="10"/>
      <c r="BP53" s="10"/>
      <c r="BQ53" s="10"/>
      <c r="BR53" s="11"/>
      <c r="BS53" s="12"/>
      <c r="BT53" s="17"/>
      <c r="BU53" s="13"/>
      <c r="BV53" s="13"/>
      <c r="BW53" s="13"/>
      <c r="BX53" s="14"/>
      <c r="BY53" s="9"/>
      <c r="BZ53" s="16"/>
      <c r="CA53" s="10"/>
      <c r="CB53" s="10"/>
      <c r="CC53" s="10"/>
      <c r="CD53" s="11"/>
      <c r="CE53" s="12"/>
      <c r="CF53" s="17"/>
      <c r="CG53" s="13"/>
      <c r="CH53" s="13"/>
      <c r="CI53" s="13"/>
      <c r="CJ53" s="14"/>
      <c r="CK53" s="9"/>
      <c r="CL53" s="16"/>
      <c r="CM53" s="10"/>
      <c r="CN53" s="10"/>
      <c r="CO53" s="10"/>
      <c r="CP53" s="11"/>
      <c r="CQ53" s="12"/>
      <c r="CR53" s="17"/>
      <c r="CS53" s="13"/>
      <c r="CT53" s="13"/>
      <c r="CU53" s="13"/>
      <c r="CV53" s="14"/>
      <c r="CW53" s="9"/>
      <c r="CX53" s="16"/>
      <c r="CY53" s="10"/>
      <c r="CZ53" s="10"/>
      <c r="DA53" s="10"/>
      <c r="DB53" s="11"/>
      <c r="DC53" s="12"/>
      <c r="DD53" s="17"/>
      <c r="DE53" s="13"/>
      <c r="DF53" s="13"/>
      <c r="DG53" s="13"/>
      <c r="DH53" s="14"/>
      <c r="DI53" s="8">
        <f t="shared" si="9"/>
        <v>22</v>
      </c>
      <c r="DJ53" s="8">
        <f t="shared" si="10"/>
        <v>10</v>
      </c>
      <c r="DK53" s="8">
        <f t="shared" si="11"/>
        <v>2</v>
      </c>
      <c r="DL53" s="8">
        <f t="shared" si="12"/>
        <v>0</v>
      </c>
      <c r="DM53" s="8">
        <f t="shared" si="13"/>
        <v>22</v>
      </c>
      <c r="DN53" s="8">
        <f t="shared" si="14"/>
        <v>2</v>
      </c>
      <c r="DO53" s="15">
        <f t="shared" si="15"/>
        <v>15.432572695438695</v>
      </c>
      <c r="DP53" s="15" t="str">
        <f t="shared" si="16"/>
        <v>OK - No Upgrade</v>
      </c>
      <c r="DQ53" s="15" t="str">
        <f t="shared" si="17"/>
        <v>Need to Balance</v>
      </c>
    </row>
    <row r="54" spans="1:121" ht="15.75" customHeight="1" x14ac:dyDescent="0.25">
      <c r="A54" s="8" t="s">
        <v>1459</v>
      </c>
      <c r="B54" s="8" t="s">
        <v>2786</v>
      </c>
      <c r="C54" s="8" t="s">
        <v>905</v>
      </c>
      <c r="D54" s="8" t="s">
        <v>2934</v>
      </c>
      <c r="E54" s="8" t="s">
        <v>2935</v>
      </c>
      <c r="F54" s="8" t="s">
        <v>43</v>
      </c>
      <c r="G54" s="8" t="s">
        <v>44</v>
      </c>
      <c r="H54" s="8">
        <v>315</v>
      </c>
      <c r="I54" s="8" t="s">
        <v>661</v>
      </c>
      <c r="J54" s="8">
        <v>1</v>
      </c>
      <c r="K54" s="8">
        <v>240</v>
      </c>
      <c r="L54" s="8">
        <v>241</v>
      </c>
      <c r="M54" s="8">
        <v>242</v>
      </c>
      <c r="N54" s="8">
        <v>421</v>
      </c>
      <c r="O54" s="8">
        <v>418</v>
      </c>
      <c r="P54" s="8">
        <v>418</v>
      </c>
      <c r="Q54" s="9" t="s">
        <v>46</v>
      </c>
      <c r="R54" s="16"/>
      <c r="S54" s="10">
        <v>129</v>
      </c>
      <c r="T54" s="10">
        <v>110</v>
      </c>
      <c r="U54" s="10">
        <v>80</v>
      </c>
      <c r="V54" s="11">
        <v>44</v>
      </c>
      <c r="W54" s="12" t="s">
        <v>46</v>
      </c>
      <c r="X54" s="17"/>
      <c r="Y54" s="13">
        <v>101</v>
      </c>
      <c r="Z54" s="13">
        <v>85</v>
      </c>
      <c r="AA54" s="13">
        <v>116</v>
      </c>
      <c r="AB54" s="14">
        <v>32</v>
      </c>
      <c r="AC54" s="9"/>
      <c r="AD54" s="16"/>
      <c r="AE54" s="10"/>
      <c r="AF54" s="10"/>
      <c r="AG54" s="10"/>
      <c r="AH54" s="11"/>
      <c r="AI54" s="12"/>
      <c r="AJ54" s="17"/>
      <c r="AK54" s="13"/>
      <c r="AL54" s="13"/>
      <c r="AM54" s="13"/>
      <c r="AN54" s="14"/>
      <c r="AO54" s="9"/>
      <c r="AP54" s="16"/>
      <c r="AQ54" s="10"/>
      <c r="AR54" s="10"/>
      <c r="AS54" s="10"/>
      <c r="AT54" s="11"/>
      <c r="AU54" s="12"/>
      <c r="AV54" s="17"/>
      <c r="AW54" s="13"/>
      <c r="AX54" s="13"/>
      <c r="AY54" s="13"/>
      <c r="AZ54" s="14"/>
      <c r="BA54" s="9"/>
      <c r="BB54" s="16"/>
      <c r="BC54" s="10"/>
      <c r="BD54" s="10"/>
      <c r="BE54" s="10"/>
      <c r="BF54" s="11"/>
      <c r="BG54" s="12"/>
      <c r="BH54" s="17"/>
      <c r="BI54" s="13"/>
      <c r="BJ54" s="13"/>
      <c r="BK54" s="13"/>
      <c r="BL54" s="14"/>
      <c r="BM54" s="9"/>
      <c r="BN54" s="16"/>
      <c r="BO54" s="10"/>
      <c r="BP54" s="10"/>
      <c r="BQ54" s="10"/>
      <c r="BR54" s="11"/>
      <c r="BS54" s="12"/>
      <c r="BT54" s="17"/>
      <c r="BU54" s="13"/>
      <c r="BV54" s="13"/>
      <c r="BW54" s="13"/>
      <c r="BX54" s="14"/>
      <c r="BY54" s="9"/>
      <c r="BZ54" s="16"/>
      <c r="CA54" s="10"/>
      <c r="CB54" s="10"/>
      <c r="CC54" s="10"/>
      <c r="CD54" s="11"/>
      <c r="CE54" s="12"/>
      <c r="CF54" s="17"/>
      <c r="CG54" s="13"/>
      <c r="CH54" s="13"/>
      <c r="CI54" s="13"/>
      <c r="CJ54" s="14"/>
      <c r="CK54" s="9"/>
      <c r="CL54" s="16"/>
      <c r="CM54" s="10"/>
      <c r="CN54" s="10"/>
      <c r="CO54" s="10"/>
      <c r="CP54" s="11"/>
      <c r="CQ54" s="12"/>
      <c r="CR54" s="17"/>
      <c r="CS54" s="13"/>
      <c r="CT54" s="13"/>
      <c r="CU54" s="13"/>
      <c r="CV54" s="14"/>
      <c r="CW54" s="9"/>
      <c r="CX54" s="16"/>
      <c r="CY54" s="10"/>
      <c r="CZ54" s="10"/>
      <c r="DA54" s="10"/>
      <c r="DB54" s="11"/>
      <c r="DC54" s="12"/>
      <c r="DD54" s="17"/>
      <c r="DE54" s="13"/>
      <c r="DF54" s="13"/>
      <c r="DG54" s="13"/>
      <c r="DH54" s="14"/>
      <c r="DI54" s="8">
        <f t="shared" si="9"/>
        <v>230</v>
      </c>
      <c r="DJ54" s="8">
        <f t="shared" si="10"/>
        <v>195</v>
      </c>
      <c r="DK54" s="8">
        <f t="shared" si="11"/>
        <v>196</v>
      </c>
      <c r="DL54" s="8">
        <f t="shared" si="12"/>
        <v>76</v>
      </c>
      <c r="DM54" s="8">
        <f t="shared" si="13"/>
        <v>230</v>
      </c>
      <c r="DN54" s="8">
        <f t="shared" si="14"/>
        <v>195</v>
      </c>
      <c r="DO54" s="15">
        <f t="shared" si="15"/>
        <v>53.242691967268065</v>
      </c>
      <c r="DP54" s="15" t="str">
        <f t="shared" si="16"/>
        <v>OK - No Upgrade</v>
      </c>
      <c r="DQ54" s="15" t="str">
        <f t="shared" si="17"/>
        <v>Need to Balance</v>
      </c>
    </row>
    <row r="55" spans="1:121" ht="15.75" customHeight="1" x14ac:dyDescent="0.25">
      <c r="A55" s="8" t="s">
        <v>1459</v>
      </c>
      <c r="B55" s="8" t="s">
        <v>2786</v>
      </c>
      <c r="C55" s="8" t="s">
        <v>905</v>
      </c>
      <c r="D55" s="8" t="s">
        <v>2936</v>
      </c>
      <c r="E55" s="8" t="s">
        <v>2937</v>
      </c>
      <c r="F55" s="8" t="s">
        <v>43</v>
      </c>
      <c r="G55" s="8" t="s">
        <v>44</v>
      </c>
      <c r="H55" s="8">
        <v>200</v>
      </c>
      <c r="I55" s="8" t="s">
        <v>2938</v>
      </c>
      <c r="J55" s="8">
        <v>1</v>
      </c>
      <c r="K55" s="8">
        <v>243</v>
      </c>
      <c r="L55" s="8">
        <v>243</v>
      </c>
      <c r="M55" s="8">
        <v>222</v>
      </c>
      <c r="N55" s="8">
        <v>424</v>
      </c>
      <c r="O55" s="8">
        <v>422</v>
      </c>
      <c r="P55" s="8">
        <v>424</v>
      </c>
      <c r="Q55" s="9" t="s">
        <v>46</v>
      </c>
      <c r="R55" s="16"/>
      <c r="S55" s="10">
        <v>0</v>
      </c>
      <c r="T55" s="10">
        <v>0</v>
      </c>
      <c r="U55" s="10">
        <v>0</v>
      </c>
      <c r="V55" s="11">
        <v>0</v>
      </c>
      <c r="W55" s="12" t="s">
        <v>46</v>
      </c>
      <c r="X55" s="17"/>
      <c r="Y55" s="13">
        <v>22</v>
      </c>
      <c r="Z55" s="13">
        <v>42</v>
      </c>
      <c r="AA55" s="13">
        <v>40</v>
      </c>
      <c r="AB55" s="14">
        <v>13</v>
      </c>
      <c r="AC55" s="9"/>
      <c r="AD55" s="16"/>
      <c r="AE55" s="10"/>
      <c r="AF55" s="10"/>
      <c r="AG55" s="10"/>
      <c r="AH55" s="11"/>
      <c r="AI55" s="12"/>
      <c r="AJ55" s="17"/>
      <c r="AK55" s="13"/>
      <c r="AL55" s="13"/>
      <c r="AM55" s="13"/>
      <c r="AN55" s="14"/>
      <c r="AO55" s="9"/>
      <c r="AP55" s="16"/>
      <c r="AQ55" s="10"/>
      <c r="AR55" s="10"/>
      <c r="AS55" s="10"/>
      <c r="AT55" s="11"/>
      <c r="AU55" s="12"/>
      <c r="AV55" s="17"/>
      <c r="AW55" s="13"/>
      <c r="AX55" s="13"/>
      <c r="AY55" s="13"/>
      <c r="AZ55" s="14"/>
      <c r="BA55" s="9"/>
      <c r="BB55" s="16"/>
      <c r="BC55" s="10"/>
      <c r="BD55" s="10"/>
      <c r="BE55" s="10"/>
      <c r="BF55" s="11"/>
      <c r="BG55" s="12"/>
      <c r="BH55" s="17"/>
      <c r="BI55" s="13"/>
      <c r="BJ55" s="13"/>
      <c r="BK55" s="13"/>
      <c r="BL55" s="14"/>
      <c r="BM55" s="9"/>
      <c r="BN55" s="16"/>
      <c r="BO55" s="10"/>
      <c r="BP55" s="10"/>
      <c r="BQ55" s="10"/>
      <c r="BR55" s="11"/>
      <c r="BS55" s="12"/>
      <c r="BT55" s="17"/>
      <c r="BU55" s="13"/>
      <c r="BV55" s="13"/>
      <c r="BW55" s="13"/>
      <c r="BX55" s="14"/>
      <c r="BY55" s="9"/>
      <c r="BZ55" s="16"/>
      <c r="CA55" s="10"/>
      <c r="CB55" s="10"/>
      <c r="CC55" s="10"/>
      <c r="CD55" s="11"/>
      <c r="CE55" s="12"/>
      <c r="CF55" s="17"/>
      <c r="CG55" s="13"/>
      <c r="CH55" s="13"/>
      <c r="CI55" s="13"/>
      <c r="CJ55" s="14"/>
      <c r="CK55" s="9"/>
      <c r="CL55" s="16"/>
      <c r="CM55" s="10"/>
      <c r="CN55" s="10"/>
      <c r="CO55" s="10"/>
      <c r="CP55" s="11"/>
      <c r="CQ55" s="12"/>
      <c r="CR55" s="17"/>
      <c r="CS55" s="13"/>
      <c r="CT55" s="13"/>
      <c r="CU55" s="13"/>
      <c r="CV55" s="14"/>
      <c r="CW55" s="9"/>
      <c r="CX55" s="16"/>
      <c r="CY55" s="10"/>
      <c r="CZ55" s="10"/>
      <c r="DA55" s="10"/>
      <c r="DB55" s="11"/>
      <c r="DC55" s="12"/>
      <c r="DD55" s="17"/>
      <c r="DE55" s="13"/>
      <c r="DF55" s="13"/>
      <c r="DG55" s="13"/>
      <c r="DH55" s="14"/>
      <c r="DI55" s="8">
        <f t="shared" si="9"/>
        <v>22</v>
      </c>
      <c r="DJ55" s="8">
        <f t="shared" si="10"/>
        <v>42</v>
      </c>
      <c r="DK55" s="8">
        <f t="shared" si="11"/>
        <v>40</v>
      </c>
      <c r="DL55" s="8">
        <f t="shared" si="12"/>
        <v>13</v>
      </c>
      <c r="DM55" s="8">
        <f t="shared" si="13"/>
        <v>42</v>
      </c>
      <c r="DN55" s="8">
        <f t="shared" si="14"/>
        <v>22</v>
      </c>
      <c r="DO55" s="15">
        <f t="shared" si="15"/>
        <v>15.422180390593281</v>
      </c>
      <c r="DP55" s="15" t="str">
        <f t="shared" si="16"/>
        <v>OK - No Upgrade</v>
      </c>
      <c r="DQ55" s="15" t="str">
        <f t="shared" si="17"/>
        <v>Need to Balance</v>
      </c>
    </row>
    <row r="56" spans="1:121" ht="15.75" customHeight="1" x14ac:dyDescent="0.25">
      <c r="A56" s="8" t="s">
        <v>1459</v>
      </c>
      <c r="B56" s="8" t="s">
        <v>2786</v>
      </c>
      <c r="C56" s="8" t="s">
        <v>2206</v>
      </c>
      <c r="D56" s="8" t="s">
        <v>2939</v>
      </c>
      <c r="E56" s="8" t="s">
        <v>2940</v>
      </c>
      <c r="F56" s="8" t="s">
        <v>43</v>
      </c>
      <c r="G56" s="8" t="s">
        <v>44</v>
      </c>
      <c r="H56" s="8">
        <v>100</v>
      </c>
      <c r="I56" s="8" t="s">
        <v>2941</v>
      </c>
      <c r="J56" s="8">
        <v>1</v>
      </c>
      <c r="K56" s="8">
        <v>230</v>
      </c>
      <c r="L56" s="8">
        <v>232</v>
      </c>
      <c r="M56" s="8">
        <v>228</v>
      </c>
      <c r="N56" s="8">
        <v>400</v>
      </c>
      <c r="O56" s="8">
        <v>398</v>
      </c>
      <c r="P56" s="8">
        <v>408</v>
      </c>
      <c r="Q56" s="9" t="s">
        <v>46</v>
      </c>
      <c r="R56" s="16"/>
      <c r="S56" s="10">
        <v>24</v>
      </c>
      <c r="T56" s="10">
        <v>10</v>
      </c>
      <c r="U56" s="10">
        <v>36</v>
      </c>
      <c r="V56" s="11">
        <v>31</v>
      </c>
      <c r="W56" s="12"/>
      <c r="X56" s="17"/>
      <c r="Y56" s="13"/>
      <c r="Z56" s="13"/>
      <c r="AA56" s="13"/>
      <c r="AB56" s="14"/>
      <c r="AC56" s="9"/>
      <c r="AD56" s="16"/>
      <c r="AE56" s="10"/>
      <c r="AF56" s="10"/>
      <c r="AG56" s="10"/>
      <c r="AH56" s="11"/>
      <c r="AI56" s="12"/>
      <c r="AJ56" s="17"/>
      <c r="AK56" s="13"/>
      <c r="AL56" s="13"/>
      <c r="AM56" s="13"/>
      <c r="AN56" s="14"/>
      <c r="AO56" s="9"/>
      <c r="AP56" s="16"/>
      <c r="AQ56" s="10"/>
      <c r="AR56" s="10"/>
      <c r="AS56" s="10"/>
      <c r="AT56" s="11"/>
      <c r="AU56" s="12"/>
      <c r="AV56" s="17"/>
      <c r="AW56" s="13"/>
      <c r="AX56" s="13"/>
      <c r="AY56" s="13"/>
      <c r="AZ56" s="14"/>
      <c r="BA56" s="9"/>
      <c r="BB56" s="16"/>
      <c r="BC56" s="10"/>
      <c r="BD56" s="10"/>
      <c r="BE56" s="10"/>
      <c r="BF56" s="11"/>
      <c r="BG56" s="12"/>
      <c r="BH56" s="17"/>
      <c r="BI56" s="13"/>
      <c r="BJ56" s="13"/>
      <c r="BK56" s="13"/>
      <c r="BL56" s="14"/>
      <c r="BM56" s="9"/>
      <c r="BN56" s="16"/>
      <c r="BO56" s="10"/>
      <c r="BP56" s="10"/>
      <c r="BQ56" s="10"/>
      <c r="BR56" s="11"/>
      <c r="BS56" s="12"/>
      <c r="BT56" s="17"/>
      <c r="BU56" s="13"/>
      <c r="BV56" s="13"/>
      <c r="BW56" s="13"/>
      <c r="BX56" s="14"/>
      <c r="BY56" s="9"/>
      <c r="BZ56" s="16"/>
      <c r="CA56" s="10"/>
      <c r="CB56" s="10"/>
      <c r="CC56" s="10"/>
      <c r="CD56" s="11"/>
      <c r="CE56" s="12"/>
      <c r="CF56" s="17"/>
      <c r="CG56" s="13"/>
      <c r="CH56" s="13"/>
      <c r="CI56" s="13"/>
      <c r="CJ56" s="14"/>
      <c r="CK56" s="9"/>
      <c r="CL56" s="16"/>
      <c r="CM56" s="10"/>
      <c r="CN56" s="10"/>
      <c r="CO56" s="10"/>
      <c r="CP56" s="11"/>
      <c r="CQ56" s="12"/>
      <c r="CR56" s="17"/>
      <c r="CS56" s="13"/>
      <c r="CT56" s="13"/>
      <c r="CU56" s="13"/>
      <c r="CV56" s="14"/>
      <c r="CW56" s="9"/>
      <c r="CX56" s="16"/>
      <c r="CY56" s="10"/>
      <c r="CZ56" s="10"/>
      <c r="DA56" s="10"/>
      <c r="DB56" s="11"/>
      <c r="DC56" s="12"/>
      <c r="DD56" s="17"/>
      <c r="DE56" s="13"/>
      <c r="DF56" s="13"/>
      <c r="DG56" s="13"/>
      <c r="DH56" s="14"/>
      <c r="DI56" s="8">
        <f t="shared" si="9"/>
        <v>24</v>
      </c>
      <c r="DJ56" s="8">
        <f t="shared" si="10"/>
        <v>10</v>
      </c>
      <c r="DK56" s="8">
        <f t="shared" si="11"/>
        <v>36</v>
      </c>
      <c r="DL56" s="8">
        <f t="shared" si="12"/>
        <v>31</v>
      </c>
      <c r="DM56" s="8">
        <f t="shared" si="13"/>
        <v>36</v>
      </c>
      <c r="DN56" s="8">
        <f t="shared" si="14"/>
        <v>10</v>
      </c>
      <c r="DO56" s="15">
        <f t="shared" si="15"/>
        <v>24.941531628991832</v>
      </c>
      <c r="DP56" s="15" t="str">
        <f t="shared" si="16"/>
        <v>OK - No Upgrade</v>
      </c>
      <c r="DQ56" s="15" t="str">
        <f t="shared" si="17"/>
        <v>Need to Balance</v>
      </c>
    </row>
    <row r="57" spans="1:121" ht="15.75" customHeight="1" x14ac:dyDescent="0.25">
      <c r="A57" s="8" t="s">
        <v>1459</v>
      </c>
      <c r="B57" s="8" t="s">
        <v>2786</v>
      </c>
      <c r="C57" s="8" t="s">
        <v>905</v>
      </c>
      <c r="D57" s="8" t="s">
        <v>2939</v>
      </c>
      <c r="E57" s="8" t="s">
        <v>2942</v>
      </c>
      <c r="F57" s="8" t="s">
        <v>56</v>
      </c>
      <c r="G57" s="8" t="s">
        <v>44</v>
      </c>
      <c r="H57" s="8">
        <v>1000</v>
      </c>
      <c r="I57" s="8" t="s">
        <v>2943</v>
      </c>
      <c r="J57" s="8">
        <v>1</v>
      </c>
      <c r="K57" s="8">
        <v>243</v>
      </c>
      <c r="L57" s="8">
        <v>244</v>
      </c>
      <c r="M57" s="8">
        <v>243</v>
      </c>
      <c r="N57" s="8">
        <v>422</v>
      </c>
      <c r="O57" s="8">
        <v>424</v>
      </c>
      <c r="P57" s="8">
        <v>425</v>
      </c>
      <c r="Q57" s="9"/>
      <c r="R57" s="16"/>
      <c r="S57" s="10"/>
      <c r="T57" s="10"/>
      <c r="U57" s="10"/>
      <c r="V57" s="11"/>
      <c r="W57" s="12"/>
      <c r="X57" s="17"/>
      <c r="Y57" s="13"/>
      <c r="Z57" s="13"/>
      <c r="AA57" s="13"/>
      <c r="AB57" s="14"/>
      <c r="AC57" s="9"/>
      <c r="AD57" s="16"/>
      <c r="AE57" s="10"/>
      <c r="AF57" s="10"/>
      <c r="AG57" s="10"/>
      <c r="AH57" s="11"/>
      <c r="AI57" s="12" t="s">
        <v>47</v>
      </c>
      <c r="AJ57" s="17"/>
      <c r="AK57" s="13">
        <v>21</v>
      </c>
      <c r="AL57" s="13">
        <v>18</v>
      </c>
      <c r="AM57" s="13">
        <v>28</v>
      </c>
      <c r="AN57" s="14">
        <v>11</v>
      </c>
      <c r="AO57" s="9" t="s">
        <v>47</v>
      </c>
      <c r="AP57" s="16"/>
      <c r="AQ57" s="10">
        <v>135</v>
      </c>
      <c r="AR57" s="10">
        <v>127</v>
      </c>
      <c r="AS57" s="10">
        <v>137</v>
      </c>
      <c r="AT57" s="11">
        <v>19</v>
      </c>
      <c r="AU57" s="12" t="s">
        <v>47</v>
      </c>
      <c r="AV57" s="17"/>
      <c r="AW57" s="13">
        <v>66</v>
      </c>
      <c r="AX57" s="13">
        <v>63</v>
      </c>
      <c r="AY57" s="13">
        <v>62</v>
      </c>
      <c r="AZ57" s="14">
        <v>14</v>
      </c>
      <c r="BA57" s="9"/>
      <c r="BB57" s="16"/>
      <c r="BC57" s="10"/>
      <c r="BD57" s="10"/>
      <c r="BE57" s="10"/>
      <c r="BF57" s="11"/>
      <c r="BG57" s="12"/>
      <c r="BH57" s="17"/>
      <c r="BI57" s="13"/>
      <c r="BJ57" s="13"/>
      <c r="BK57" s="13"/>
      <c r="BL57" s="14"/>
      <c r="BM57" s="9"/>
      <c r="BN57" s="16"/>
      <c r="BO57" s="10"/>
      <c r="BP57" s="10"/>
      <c r="BQ57" s="10"/>
      <c r="BR57" s="11"/>
      <c r="BS57" s="12"/>
      <c r="BT57" s="17"/>
      <c r="BU57" s="13"/>
      <c r="BV57" s="13"/>
      <c r="BW57" s="13"/>
      <c r="BX57" s="14"/>
      <c r="BY57" s="9"/>
      <c r="BZ57" s="16"/>
      <c r="CA57" s="10"/>
      <c r="CB57" s="10"/>
      <c r="CC57" s="10"/>
      <c r="CD57" s="11"/>
      <c r="CE57" s="12"/>
      <c r="CF57" s="17"/>
      <c r="CG57" s="13"/>
      <c r="CH57" s="13"/>
      <c r="CI57" s="13"/>
      <c r="CJ57" s="14"/>
      <c r="CK57" s="9"/>
      <c r="CL57" s="16"/>
      <c r="CM57" s="10"/>
      <c r="CN57" s="10"/>
      <c r="CO57" s="10"/>
      <c r="CP57" s="11"/>
      <c r="CQ57" s="12"/>
      <c r="CR57" s="17"/>
      <c r="CS57" s="13"/>
      <c r="CT57" s="13"/>
      <c r="CU57" s="13"/>
      <c r="CV57" s="14"/>
      <c r="CW57" s="9"/>
      <c r="CX57" s="16"/>
      <c r="CY57" s="10"/>
      <c r="CZ57" s="10"/>
      <c r="DA57" s="10"/>
      <c r="DB57" s="11"/>
      <c r="DC57" s="12"/>
      <c r="DD57" s="17"/>
      <c r="DE57" s="13"/>
      <c r="DF57" s="13"/>
      <c r="DG57" s="13"/>
      <c r="DH57" s="14"/>
      <c r="DI57" s="8">
        <f t="shared" si="9"/>
        <v>222</v>
      </c>
      <c r="DJ57" s="8">
        <f t="shared" si="10"/>
        <v>208</v>
      </c>
      <c r="DK57" s="8">
        <f t="shared" si="11"/>
        <v>227</v>
      </c>
      <c r="DL57" s="8">
        <f t="shared" si="12"/>
        <v>44</v>
      </c>
      <c r="DM57" s="8">
        <f t="shared" si="13"/>
        <v>227</v>
      </c>
      <c r="DN57" s="8">
        <f t="shared" si="14"/>
        <v>208</v>
      </c>
      <c r="DO57" s="15">
        <f t="shared" si="15"/>
        <v>16.592007506025304</v>
      </c>
      <c r="DP57" s="15" t="str">
        <f t="shared" si="16"/>
        <v>OK - No Upgrade</v>
      </c>
      <c r="DQ57" s="15" t="str">
        <f t="shared" si="17"/>
        <v>OK - Balanced</v>
      </c>
    </row>
    <row r="58" spans="1:121" ht="15.75" customHeight="1" x14ac:dyDescent="0.25">
      <c r="A58" s="8" t="s">
        <v>1459</v>
      </c>
      <c r="B58" s="8" t="s">
        <v>2786</v>
      </c>
      <c r="C58" s="8" t="s">
        <v>905</v>
      </c>
      <c r="D58" s="8" t="s">
        <v>2944</v>
      </c>
      <c r="E58" s="8" t="s">
        <v>2945</v>
      </c>
      <c r="F58" s="8" t="s">
        <v>43</v>
      </c>
      <c r="G58" s="8" t="s">
        <v>44</v>
      </c>
      <c r="H58" s="8">
        <v>315</v>
      </c>
      <c r="I58" s="8" t="s">
        <v>88</v>
      </c>
      <c r="J58" s="8">
        <v>1</v>
      </c>
      <c r="K58" s="8">
        <v>244</v>
      </c>
      <c r="L58" s="8">
        <v>245</v>
      </c>
      <c r="M58" s="8">
        <v>246</v>
      </c>
      <c r="N58" s="8">
        <v>426</v>
      </c>
      <c r="O58" s="8">
        <v>424</v>
      </c>
      <c r="P58" s="8">
        <v>425</v>
      </c>
      <c r="Q58" s="9" t="s">
        <v>47</v>
      </c>
      <c r="R58" s="16"/>
      <c r="S58" s="10">
        <v>99</v>
      </c>
      <c r="T58" s="10">
        <v>125</v>
      </c>
      <c r="U58" s="10">
        <v>81</v>
      </c>
      <c r="V58" s="11">
        <v>34</v>
      </c>
      <c r="W58" s="12"/>
      <c r="X58" s="17"/>
      <c r="Y58" s="13"/>
      <c r="Z58" s="13"/>
      <c r="AA58" s="13"/>
      <c r="AB58" s="14"/>
      <c r="AC58" s="9"/>
      <c r="AD58" s="16"/>
      <c r="AE58" s="10"/>
      <c r="AF58" s="10"/>
      <c r="AG58" s="10"/>
      <c r="AH58" s="11"/>
      <c r="AI58" s="12"/>
      <c r="AJ58" s="17"/>
      <c r="AK58" s="13"/>
      <c r="AL58" s="13"/>
      <c r="AM58" s="13"/>
      <c r="AN58" s="14"/>
      <c r="AO58" s="9"/>
      <c r="AP58" s="16"/>
      <c r="AQ58" s="10"/>
      <c r="AR58" s="10"/>
      <c r="AS58" s="10"/>
      <c r="AT58" s="11"/>
      <c r="AU58" s="12"/>
      <c r="AV58" s="17"/>
      <c r="AW58" s="13"/>
      <c r="AX58" s="13"/>
      <c r="AY58" s="13"/>
      <c r="AZ58" s="14"/>
      <c r="BA58" s="9"/>
      <c r="BB58" s="16"/>
      <c r="BC58" s="10"/>
      <c r="BD58" s="10"/>
      <c r="BE58" s="10"/>
      <c r="BF58" s="11"/>
      <c r="BG58" s="12"/>
      <c r="BH58" s="17"/>
      <c r="BI58" s="13"/>
      <c r="BJ58" s="13"/>
      <c r="BK58" s="13"/>
      <c r="BL58" s="14"/>
      <c r="BM58" s="9"/>
      <c r="BN58" s="16"/>
      <c r="BO58" s="10"/>
      <c r="BP58" s="10"/>
      <c r="BQ58" s="10"/>
      <c r="BR58" s="11"/>
      <c r="BS58" s="12"/>
      <c r="BT58" s="17"/>
      <c r="BU58" s="13"/>
      <c r="BV58" s="13"/>
      <c r="BW58" s="13"/>
      <c r="BX58" s="14"/>
      <c r="BY58" s="9"/>
      <c r="BZ58" s="16"/>
      <c r="CA58" s="10"/>
      <c r="CB58" s="10"/>
      <c r="CC58" s="10"/>
      <c r="CD58" s="11"/>
      <c r="CE58" s="12"/>
      <c r="CF58" s="17"/>
      <c r="CG58" s="13"/>
      <c r="CH58" s="13"/>
      <c r="CI58" s="13"/>
      <c r="CJ58" s="14"/>
      <c r="CK58" s="9"/>
      <c r="CL58" s="16"/>
      <c r="CM58" s="10"/>
      <c r="CN58" s="10"/>
      <c r="CO58" s="10"/>
      <c r="CP58" s="11"/>
      <c r="CQ58" s="12"/>
      <c r="CR58" s="17"/>
      <c r="CS58" s="13"/>
      <c r="CT58" s="13"/>
      <c r="CU58" s="13"/>
      <c r="CV58" s="14"/>
      <c r="CW58" s="9"/>
      <c r="CX58" s="16"/>
      <c r="CY58" s="10"/>
      <c r="CZ58" s="10"/>
      <c r="DA58" s="10"/>
      <c r="DB58" s="11"/>
      <c r="DC58" s="12"/>
      <c r="DD58" s="17"/>
      <c r="DE58" s="13"/>
      <c r="DF58" s="13"/>
      <c r="DG58" s="13"/>
      <c r="DH58" s="14"/>
      <c r="DI58" s="8">
        <f t="shared" si="9"/>
        <v>99</v>
      </c>
      <c r="DJ58" s="8">
        <f t="shared" si="10"/>
        <v>125</v>
      </c>
      <c r="DK58" s="8">
        <f t="shared" si="11"/>
        <v>81</v>
      </c>
      <c r="DL58" s="8">
        <f t="shared" si="12"/>
        <v>34</v>
      </c>
      <c r="DM58" s="8">
        <f t="shared" si="13"/>
        <v>125</v>
      </c>
      <c r="DN58" s="8">
        <f t="shared" si="14"/>
        <v>81</v>
      </c>
      <c r="DO58" s="15">
        <f t="shared" si="15"/>
        <v>29.27990650890245</v>
      </c>
      <c r="DP58" s="15" t="str">
        <f t="shared" si="16"/>
        <v>OK - No Upgrade</v>
      </c>
      <c r="DQ58" s="15" t="str">
        <f t="shared" si="17"/>
        <v>Need to Balance</v>
      </c>
    </row>
    <row r="59" spans="1:121" ht="15.75" customHeight="1" x14ac:dyDescent="0.25">
      <c r="A59" s="8" t="s">
        <v>1459</v>
      </c>
      <c r="B59" s="8" t="s">
        <v>2786</v>
      </c>
      <c r="C59" s="8" t="s">
        <v>905</v>
      </c>
      <c r="D59" s="8" t="s">
        <v>2946</v>
      </c>
      <c r="E59" s="8" t="s">
        <v>2947</v>
      </c>
      <c r="F59" s="8" t="s">
        <v>43</v>
      </c>
      <c r="G59" s="8" t="s">
        <v>44</v>
      </c>
      <c r="H59" s="8">
        <v>315</v>
      </c>
      <c r="I59" s="8" t="s">
        <v>91</v>
      </c>
      <c r="J59" s="8">
        <v>1</v>
      </c>
      <c r="K59" s="8">
        <v>246</v>
      </c>
      <c r="L59" s="8">
        <v>246</v>
      </c>
      <c r="M59" s="8">
        <v>245</v>
      </c>
      <c r="N59" s="8">
        <v>428</v>
      </c>
      <c r="O59" s="8">
        <v>425</v>
      </c>
      <c r="P59" s="8">
        <v>429</v>
      </c>
      <c r="Q59" s="9" t="s">
        <v>46</v>
      </c>
      <c r="R59" s="16"/>
      <c r="S59" s="10">
        <v>68</v>
      </c>
      <c r="T59" s="10">
        <v>135</v>
      </c>
      <c r="U59" s="10">
        <v>137</v>
      </c>
      <c r="V59" s="11">
        <v>25</v>
      </c>
      <c r="W59" s="12" t="s">
        <v>47</v>
      </c>
      <c r="X59" s="17"/>
      <c r="Y59" s="13">
        <v>0</v>
      </c>
      <c r="Z59" s="13">
        <v>0</v>
      </c>
      <c r="AA59" s="13">
        <v>0</v>
      </c>
      <c r="AB59" s="14">
        <v>0</v>
      </c>
      <c r="AC59" s="9"/>
      <c r="AD59" s="16"/>
      <c r="AE59" s="10"/>
      <c r="AF59" s="10"/>
      <c r="AG59" s="10"/>
      <c r="AH59" s="11"/>
      <c r="AI59" s="12"/>
      <c r="AJ59" s="17"/>
      <c r="AK59" s="13"/>
      <c r="AL59" s="13"/>
      <c r="AM59" s="13"/>
      <c r="AN59" s="14"/>
      <c r="AO59" s="9"/>
      <c r="AP59" s="16"/>
      <c r="AQ59" s="10"/>
      <c r="AR59" s="10"/>
      <c r="AS59" s="10"/>
      <c r="AT59" s="11"/>
      <c r="AU59" s="12"/>
      <c r="AV59" s="17"/>
      <c r="AW59" s="13"/>
      <c r="AX59" s="13"/>
      <c r="AY59" s="13"/>
      <c r="AZ59" s="14"/>
      <c r="BA59" s="9"/>
      <c r="BB59" s="16"/>
      <c r="BC59" s="10"/>
      <c r="BD59" s="10"/>
      <c r="BE59" s="10"/>
      <c r="BF59" s="11"/>
      <c r="BG59" s="12"/>
      <c r="BH59" s="17"/>
      <c r="BI59" s="13"/>
      <c r="BJ59" s="13"/>
      <c r="BK59" s="13"/>
      <c r="BL59" s="14"/>
      <c r="BM59" s="9"/>
      <c r="BN59" s="16"/>
      <c r="BO59" s="10"/>
      <c r="BP59" s="10"/>
      <c r="BQ59" s="10"/>
      <c r="BR59" s="11"/>
      <c r="BS59" s="12"/>
      <c r="BT59" s="17"/>
      <c r="BU59" s="13"/>
      <c r="BV59" s="13"/>
      <c r="BW59" s="13"/>
      <c r="BX59" s="14"/>
      <c r="BY59" s="9"/>
      <c r="BZ59" s="16"/>
      <c r="CA59" s="10"/>
      <c r="CB59" s="10"/>
      <c r="CC59" s="10"/>
      <c r="CD59" s="11"/>
      <c r="CE59" s="12"/>
      <c r="CF59" s="17"/>
      <c r="CG59" s="13"/>
      <c r="CH59" s="13"/>
      <c r="CI59" s="13"/>
      <c r="CJ59" s="14"/>
      <c r="CK59" s="9"/>
      <c r="CL59" s="16"/>
      <c r="CM59" s="10"/>
      <c r="CN59" s="10"/>
      <c r="CO59" s="10"/>
      <c r="CP59" s="11"/>
      <c r="CQ59" s="12"/>
      <c r="CR59" s="17"/>
      <c r="CS59" s="13"/>
      <c r="CT59" s="13"/>
      <c r="CU59" s="13"/>
      <c r="CV59" s="14"/>
      <c r="CW59" s="9"/>
      <c r="CX59" s="16"/>
      <c r="CY59" s="10"/>
      <c r="CZ59" s="10"/>
      <c r="DA59" s="10"/>
      <c r="DB59" s="11"/>
      <c r="DC59" s="12"/>
      <c r="DD59" s="17"/>
      <c r="DE59" s="13"/>
      <c r="DF59" s="13"/>
      <c r="DG59" s="13"/>
      <c r="DH59" s="14"/>
      <c r="DI59" s="8">
        <f t="shared" si="9"/>
        <v>68</v>
      </c>
      <c r="DJ59" s="8">
        <f t="shared" si="10"/>
        <v>135</v>
      </c>
      <c r="DK59" s="8">
        <f t="shared" si="11"/>
        <v>137</v>
      </c>
      <c r="DL59" s="8">
        <f t="shared" si="12"/>
        <v>25</v>
      </c>
      <c r="DM59" s="8">
        <f t="shared" si="13"/>
        <v>137</v>
      </c>
      <c r="DN59" s="8">
        <f t="shared" si="14"/>
        <v>68</v>
      </c>
      <c r="DO59" s="15">
        <f t="shared" si="15"/>
        <v>32.241438461145613</v>
      </c>
      <c r="DP59" s="15" t="str">
        <f t="shared" si="16"/>
        <v>OK - No Upgrade</v>
      </c>
      <c r="DQ59" s="15" t="str">
        <f t="shared" si="17"/>
        <v>Need to Balance</v>
      </c>
    </row>
    <row r="60" spans="1:121" ht="15.75" customHeight="1" x14ac:dyDescent="0.25">
      <c r="A60" s="8" t="s">
        <v>1459</v>
      </c>
      <c r="B60" s="8" t="s">
        <v>2786</v>
      </c>
      <c r="C60" s="8" t="s">
        <v>2948</v>
      </c>
      <c r="D60" s="8" t="s">
        <v>2949</v>
      </c>
      <c r="E60" s="8" t="s">
        <v>2950</v>
      </c>
      <c r="F60" s="8" t="s">
        <v>56</v>
      </c>
      <c r="G60" s="8" t="s">
        <v>44</v>
      </c>
      <c r="H60" s="8">
        <v>1000</v>
      </c>
      <c r="I60" s="8" t="s">
        <v>2951</v>
      </c>
      <c r="J60" s="8">
        <v>1</v>
      </c>
      <c r="K60" s="8">
        <v>245</v>
      </c>
      <c r="L60" s="8">
        <v>245</v>
      </c>
      <c r="M60" s="8">
        <v>246</v>
      </c>
      <c r="N60" s="8">
        <v>426</v>
      </c>
      <c r="O60" s="8">
        <v>428</v>
      </c>
      <c r="P60" s="8">
        <v>428</v>
      </c>
      <c r="Q60" s="9"/>
      <c r="R60" s="16"/>
      <c r="S60" s="10"/>
      <c r="T60" s="10"/>
      <c r="U60" s="10"/>
      <c r="V60" s="11"/>
      <c r="W60" s="12"/>
      <c r="X60" s="17"/>
      <c r="Y60" s="13"/>
      <c r="Z60" s="13"/>
      <c r="AA60" s="13"/>
      <c r="AB60" s="14"/>
      <c r="AC60" s="9"/>
      <c r="AD60" s="16"/>
      <c r="AE60" s="10"/>
      <c r="AF60" s="10"/>
      <c r="AG60" s="10"/>
      <c r="AH60" s="11"/>
      <c r="AI60" s="12" t="s">
        <v>47</v>
      </c>
      <c r="AJ60" s="17"/>
      <c r="AK60" s="13">
        <v>0</v>
      </c>
      <c r="AL60" s="13">
        <v>0</v>
      </c>
      <c r="AM60" s="13">
        <v>0</v>
      </c>
      <c r="AN60" s="14">
        <v>0</v>
      </c>
      <c r="AO60" s="9"/>
      <c r="AP60" s="16"/>
      <c r="AQ60" s="10"/>
      <c r="AR60" s="10"/>
      <c r="AS60" s="10"/>
      <c r="AT60" s="11"/>
      <c r="AU60" s="12"/>
      <c r="AV60" s="17"/>
      <c r="AW60" s="13"/>
      <c r="AX60" s="13"/>
      <c r="AY60" s="13"/>
      <c r="AZ60" s="14"/>
      <c r="BA60" s="9"/>
      <c r="BB60" s="16"/>
      <c r="BC60" s="10"/>
      <c r="BD60" s="10"/>
      <c r="BE60" s="10"/>
      <c r="BF60" s="11"/>
      <c r="BG60" s="12" t="s">
        <v>47</v>
      </c>
      <c r="BH60" s="17"/>
      <c r="BI60" s="13">
        <v>13</v>
      </c>
      <c r="BJ60" s="13">
        <v>9</v>
      </c>
      <c r="BK60" s="13">
        <v>4</v>
      </c>
      <c r="BL60" s="14">
        <v>11</v>
      </c>
      <c r="BM60" s="9"/>
      <c r="BN60" s="16"/>
      <c r="BO60" s="10"/>
      <c r="BP60" s="10"/>
      <c r="BQ60" s="10"/>
      <c r="BR60" s="11"/>
      <c r="BS60" s="12"/>
      <c r="BT60" s="17"/>
      <c r="BU60" s="13"/>
      <c r="BV60" s="13"/>
      <c r="BW60" s="13"/>
      <c r="BX60" s="14"/>
      <c r="BY60" s="9"/>
      <c r="BZ60" s="16"/>
      <c r="CA60" s="10"/>
      <c r="CB60" s="10"/>
      <c r="CC60" s="10"/>
      <c r="CD60" s="11"/>
      <c r="CE60" s="12"/>
      <c r="CF60" s="17"/>
      <c r="CG60" s="13"/>
      <c r="CH60" s="13"/>
      <c r="CI60" s="13"/>
      <c r="CJ60" s="14"/>
      <c r="CK60" s="9"/>
      <c r="CL60" s="16"/>
      <c r="CM60" s="10"/>
      <c r="CN60" s="10"/>
      <c r="CO60" s="10"/>
      <c r="CP60" s="11"/>
      <c r="CQ60" s="12"/>
      <c r="CR60" s="17"/>
      <c r="CS60" s="13"/>
      <c r="CT60" s="13"/>
      <c r="CU60" s="13"/>
      <c r="CV60" s="14"/>
      <c r="CW60" s="9"/>
      <c r="CX60" s="16"/>
      <c r="CY60" s="10"/>
      <c r="CZ60" s="10"/>
      <c r="DA60" s="10"/>
      <c r="DB60" s="11"/>
      <c r="DC60" s="12"/>
      <c r="DD60" s="17"/>
      <c r="DE60" s="13"/>
      <c r="DF60" s="13"/>
      <c r="DG60" s="13"/>
      <c r="DH60" s="14"/>
      <c r="DI60" s="8">
        <f t="shared" si="9"/>
        <v>13</v>
      </c>
      <c r="DJ60" s="8">
        <f t="shared" si="10"/>
        <v>9</v>
      </c>
      <c r="DK60" s="8">
        <f t="shared" si="11"/>
        <v>4</v>
      </c>
      <c r="DL60" s="8">
        <f t="shared" si="12"/>
        <v>11</v>
      </c>
      <c r="DM60" s="8">
        <f t="shared" si="13"/>
        <v>13</v>
      </c>
      <c r="DN60" s="8">
        <f t="shared" si="14"/>
        <v>4</v>
      </c>
      <c r="DO60" s="15">
        <f t="shared" si="15"/>
        <v>0.95920973723164427</v>
      </c>
      <c r="DP60" s="15" t="str">
        <f t="shared" si="16"/>
        <v>OK - No Upgrade</v>
      </c>
      <c r="DQ60" s="15" t="str">
        <f t="shared" si="17"/>
        <v>Need to Balance</v>
      </c>
    </row>
    <row r="61" spans="1:121" ht="15.75" customHeight="1" x14ac:dyDescent="0.25">
      <c r="A61" s="8" t="s">
        <v>1459</v>
      </c>
      <c r="B61" s="8" t="s">
        <v>2786</v>
      </c>
      <c r="C61" s="8" t="s">
        <v>2948</v>
      </c>
      <c r="D61" s="8" t="s">
        <v>2952</v>
      </c>
      <c r="E61" s="8" t="s">
        <v>2953</v>
      </c>
      <c r="F61" s="8" t="s">
        <v>43</v>
      </c>
      <c r="G61" s="8" t="s">
        <v>44</v>
      </c>
      <c r="H61" s="8">
        <v>100</v>
      </c>
      <c r="I61" s="8" t="s">
        <v>1732</v>
      </c>
      <c r="J61" s="8">
        <v>1</v>
      </c>
      <c r="K61" s="8">
        <v>244</v>
      </c>
      <c r="L61" s="8">
        <v>240</v>
      </c>
      <c r="M61" s="8">
        <v>242</v>
      </c>
      <c r="N61" s="8">
        <v>418</v>
      </c>
      <c r="O61" s="8">
        <v>421</v>
      </c>
      <c r="P61" s="8">
        <v>420</v>
      </c>
      <c r="Q61" s="9" t="s">
        <v>47</v>
      </c>
      <c r="R61" s="16"/>
      <c r="S61" s="10">
        <v>18</v>
      </c>
      <c r="T61" s="10">
        <v>48</v>
      </c>
      <c r="U61" s="10">
        <v>65</v>
      </c>
      <c r="V61" s="11">
        <v>35</v>
      </c>
      <c r="W61" s="12" t="s">
        <v>46</v>
      </c>
      <c r="X61" s="17"/>
      <c r="Y61" s="13">
        <v>11</v>
      </c>
      <c r="Z61" s="13">
        <v>54</v>
      </c>
      <c r="AA61" s="13">
        <v>28</v>
      </c>
      <c r="AB61" s="14">
        <v>50</v>
      </c>
      <c r="AC61" s="9"/>
      <c r="AD61" s="16"/>
      <c r="AE61" s="10"/>
      <c r="AF61" s="10"/>
      <c r="AG61" s="10"/>
      <c r="AH61" s="11"/>
      <c r="AI61" s="12"/>
      <c r="AJ61" s="17"/>
      <c r="AK61" s="13"/>
      <c r="AL61" s="13"/>
      <c r="AM61" s="13"/>
      <c r="AN61" s="14"/>
      <c r="AO61" s="9"/>
      <c r="AP61" s="16"/>
      <c r="AQ61" s="10"/>
      <c r="AR61" s="10"/>
      <c r="AS61" s="10"/>
      <c r="AT61" s="11"/>
      <c r="AU61" s="12"/>
      <c r="AV61" s="17"/>
      <c r="AW61" s="13"/>
      <c r="AX61" s="13"/>
      <c r="AY61" s="13"/>
      <c r="AZ61" s="14"/>
      <c r="BA61" s="9"/>
      <c r="BB61" s="16"/>
      <c r="BC61" s="10"/>
      <c r="BD61" s="10"/>
      <c r="BE61" s="10"/>
      <c r="BF61" s="11"/>
      <c r="BG61" s="12"/>
      <c r="BH61" s="17"/>
      <c r="BI61" s="13"/>
      <c r="BJ61" s="13"/>
      <c r="BK61" s="13"/>
      <c r="BL61" s="14"/>
      <c r="BM61" s="9"/>
      <c r="BN61" s="16"/>
      <c r="BO61" s="10"/>
      <c r="BP61" s="10"/>
      <c r="BQ61" s="10"/>
      <c r="BR61" s="11"/>
      <c r="BS61" s="12"/>
      <c r="BT61" s="17"/>
      <c r="BU61" s="13"/>
      <c r="BV61" s="13"/>
      <c r="BW61" s="13"/>
      <c r="BX61" s="14"/>
      <c r="BY61" s="9"/>
      <c r="BZ61" s="16"/>
      <c r="CA61" s="10"/>
      <c r="CB61" s="10"/>
      <c r="CC61" s="10"/>
      <c r="CD61" s="11"/>
      <c r="CE61" s="12"/>
      <c r="CF61" s="17"/>
      <c r="CG61" s="13"/>
      <c r="CH61" s="13"/>
      <c r="CI61" s="13"/>
      <c r="CJ61" s="14"/>
      <c r="CK61" s="9"/>
      <c r="CL61" s="16"/>
      <c r="CM61" s="10"/>
      <c r="CN61" s="10"/>
      <c r="CO61" s="10"/>
      <c r="CP61" s="11"/>
      <c r="CQ61" s="12"/>
      <c r="CR61" s="17"/>
      <c r="CS61" s="13"/>
      <c r="CT61" s="13"/>
      <c r="CU61" s="13"/>
      <c r="CV61" s="14"/>
      <c r="CW61" s="9"/>
      <c r="CX61" s="16"/>
      <c r="CY61" s="10"/>
      <c r="CZ61" s="10"/>
      <c r="DA61" s="10"/>
      <c r="DB61" s="11"/>
      <c r="DC61" s="12"/>
      <c r="DD61" s="17"/>
      <c r="DE61" s="13"/>
      <c r="DF61" s="13"/>
      <c r="DG61" s="13"/>
      <c r="DH61" s="14"/>
      <c r="DI61" s="8">
        <f t="shared" si="9"/>
        <v>29</v>
      </c>
      <c r="DJ61" s="8">
        <f t="shared" si="10"/>
        <v>102</v>
      </c>
      <c r="DK61" s="8">
        <f t="shared" si="11"/>
        <v>93</v>
      </c>
      <c r="DL61" s="8">
        <f t="shared" si="12"/>
        <v>85</v>
      </c>
      <c r="DM61" s="8">
        <f t="shared" si="13"/>
        <v>102</v>
      </c>
      <c r="DN61" s="8">
        <f t="shared" si="14"/>
        <v>29</v>
      </c>
      <c r="DO61" s="15">
        <f t="shared" si="15"/>
        <v>73.847718231506647</v>
      </c>
      <c r="DP61" s="15" t="str">
        <f t="shared" si="16"/>
        <v>Upgrade</v>
      </c>
      <c r="DQ61" s="15" t="str">
        <f t="shared" si="17"/>
        <v>Need to Balance</v>
      </c>
    </row>
    <row r="62" spans="1:121" ht="15.75" customHeight="1" x14ac:dyDescent="0.25">
      <c r="A62" s="8" t="s">
        <v>1459</v>
      </c>
      <c r="B62" s="8" t="s">
        <v>2786</v>
      </c>
      <c r="C62" s="8" t="s">
        <v>2948</v>
      </c>
      <c r="D62" s="8" t="s">
        <v>2954</v>
      </c>
      <c r="E62" s="8" t="s">
        <v>2955</v>
      </c>
      <c r="F62" s="8" t="s">
        <v>43</v>
      </c>
      <c r="G62" s="8" t="s">
        <v>44</v>
      </c>
      <c r="H62" s="8">
        <v>315</v>
      </c>
      <c r="I62" s="8" t="s">
        <v>684</v>
      </c>
      <c r="J62" s="8">
        <v>1</v>
      </c>
      <c r="K62" s="8">
        <v>245</v>
      </c>
      <c r="L62" s="8">
        <v>245</v>
      </c>
      <c r="M62" s="8">
        <v>246</v>
      </c>
      <c r="N62" s="8">
        <v>425</v>
      </c>
      <c r="O62" s="8">
        <v>426</v>
      </c>
      <c r="P62" s="8">
        <v>425</v>
      </c>
      <c r="Q62" s="9" t="s">
        <v>46</v>
      </c>
      <c r="R62" s="16"/>
      <c r="S62" s="10">
        <v>95</v>
      </c>
      <c r="T62" s="10">
        <v>85</v>
      </c>
      <c r="U62" s="10">
        <v>40</v>
      </c>
      <c r="V62" s="11">
        <v>35</v>
      </c>
      <c r="W62" s="12"/>
      <c r="X62" s="17"/>
      <c r="Y62" s="13"/>
      <c r="Z62" s="13"/>
      <c r="AA62" s="13"/>
      <c r="AB62" s="14"/>
      <c r="AC62" s="9"/>
      <c r="AD62" s="16"/>
      <c r="AE62" s="10"/>
      <c r="AF62" s="10"/>
      <c r="AG62" s="10"/>
      <c r="AH62" s="11"/>
      <c r="AI62" s="12"/>
      <c r="AJ62" s="17"/>
      <c r="AK62" s="13"/>
      <c r="AL62" s="13"/>
      <c r="AM62" s="13"/>
      <c r="AN62" s="14"/>
      <c r="AO62" s="9"/>
      <c r="AP62" s="16"/>
      <c r="AQ62" s="10"/>
      <c r="AR62" s="10"/>
      <c r="AS62" s="10"/>
      <c r="AT62" s="11"/>
      <c r="AU62" s="12"/>
      <c r="AV62" s="17"/>
      <c r="AW62" s="13"/>
      <c r="AX62" s="13"/>
      <c r="AY62" s="13"/>
      <c r="AZ62" s="14"/>
      <c r="BA62" s="9"/>
      <c r="BB62" s="16"/>
      <c r="BC62" s="10"/>
      <c r="BD62" s="10"/>
      <c r="BE62" s="10"/>
      <c r="BF62" s="11"/>
      <c r="BG62" s="12"/>
      <c r="BH62" s="17"/>
      <c r="BI62" s="13"/>
      <c r="BJ62" s="13"/>
      <c r="BK62" s="13"/>
      <c r="BL62" s="14"/>
      <c r="BM62" s="9"/>
      <c r="BN62" s="16"/>
      <c r="BO62" s="10"/>
      <c r="BP62" s="10"/>
      <c r="BQ62" s="10"/>
      <c r="BR62" s="11"/>
      <c r="BS62" s="12"/>
      <c r="BT62" s="17"/>
      <c r="BU62" s="13"/>
      <c r="BV62" s="13"/>
      <c r="BW62" s="13"/>
      <c r="BX62" s="14"/>
      <c r="BY62" s="9"/>
      <c r="BZ62" s="16"/>
      <c r="CA62" s="10"/>
      <c r="CB62" s="10"/>
      <c r="CC62" s="10"/>
      <c r="CD62" s="11"/>
      <c r="CE62" s="12"/>
      <c r="CF62" s="17"/>
      <c r="CG62" s="13"/>
      <c r="CH62" s="13"/>
      <c r="CI62" s="13"/>
      <c r="CJ62" s="14"/>
      <c r="CK62" s="9"/>
      <c r="CL62" s="16"/>
      <c r="CM62" s="10"/>
      <c r="CN62" s="10"/>
      <c r="CO62" s="10"/>
      <c r="CP62" s="11"/>
      <c r="CQ62" s="12"/>
      <c r="CR62" s="17"/>
      <c r="CS62" s="13"/>
      <c r="CT62" s="13"/>
      <c r="CU62" s="13"/>
      <c r="CV62" s="14"/>
      <c r="CW62" s="9"/>
      <c r="CX62" s="16"/>
      <c r="CY62" s="10"/>
      <c r="CZ62" s="10"/>
      <c r="DA62" s="10"/>
      <c r="DB62" s="11"/>
      <c r="DC62" s="12"/>
      <c r="DD62" s="17"/>
      <c r="DE62" s="13"/>
      <c r="DF62" s="13"/>
      <c r="DG62" s="13"/>
      <c r="DH62" s="14"/>
      <c r="DI62" s="8">
        <f t="shared" si="9"/>
        <v>95</v>
      </c>
      <c r="DJ62" s="8">
        <f t="shared" si="10"/>
        <v>85</v>
      </c>
      <c r="DK62" s="8">
        <f t="shared" si="11"/>
        <v>40</v>
      </c>
      <c r="DL62" s="8">
        <f t="shared" si="12"/>
        <v>35</v>
      </c>
      <c r="DM62" s="8">
        <f t="shared" si="13"/>
        <v>95</v>
      </c>
      <c r="DN62" s="8">
        <f t="shared" si="14"/>
        <v>40</v>
      </c>
      <c r="DO62" s="15">
        <f t="shared" si="15"/>
        <v>22.200492493839182</v>
      </c>
      <c r="DP62" s="15" t="str">
        <f t="shared" si="16"/>
        <v>OK - No Upgrade</v>
      </c>
      <c r="DQ62" s="15" t="str">
        <f t="shared" si="17"/>
        <v>Need to Balance</v>
      </c>
    </row>
    <row r="63" spans="1:121" ht="15.75" customHeight="1" x14ac:dyDescent="0.25">
      <c r="A63" s="8" t="s">
        <v>1459</v>
      </c>
      <c r="B63" s="8" t="s">
        <v>2786</v>
      </c>
      <c r="C63" s="8" t="s">
        <v>2948</v>
      </c>
      <c r="D63" s="8" t="s">
        <v>2956</v>
      </c>
      <c r="E63" s="8" t="s">
        <v>2957</v>
      </c>
      <c r="F63" s="8" t="s">
        <v>43</v>
      </c>
      <c r="G63" s="8" t="s">
        <v>44</v>
      </c>
      <c r="H63" s="8">
        <v>100</v>
      </c>
      <c r="I63" s="8" t="s">
        <v>2958</v>
      </c>
      <c r="J63" s="8">
        <v>1</v>
      </c>
      <c r="K63" s="8">
        <v>244</v>
      </c>
      <c r="L63" s="8">
        <v>243</v>
      </c>
      <c r="M63" s="8">
        <v>245</v>
      </c>
      <c r="N63" s="8">
        <v>421</v>
      </c>
      <c r="O63" s="8">
        <v>426</v>
      </c>
      <c r="P63" s="8">
        <v>425</v>
      </c>
      <c r="Q63" s="9" t="s">
        <v>47</v>
      </c>
      <c r="R63" s="16"/>
      <c r="S63" s="10">
        <v>53</v>
      </c>
      <c r="T63" s="10">
        <v>60</v>
      </c>
      <c r="U63" s="10">
        <v>15</v>
      </c>
      <c r="V63" s="11">
        <v>35</v>
      </c>
      <c r="W63" s="12"/>
      <c r="X63" s="17"/>
      <c r="Y63" s="13"/>
      <c r="Z63" s="13"/>
      <c r="AA63" s="13"/>
      <c r="AB63" s="14"/>
      <c r="AC63" s="9"/>
      <c r="AD63" s="16"/>
      <c r="AE63" s="10"/>
      <c r="AF63" s="10"/>
      <c r="AG63" s="10"/>
      <c r="AH63" s="11"/>
      <c r="AI63" s="12"/>
      <c r="AJ63" s="17"/>
      <c r="AK63" s="13"/>
      <c r="AL63" s="13"/>
      <c r="AM63" s="13"/>
      <c r="AN63" s="14"/>
      <c r="AO63" s="9"/>
      <c r="AP63" s="16"/>
      <c r="AQ63" s="10"/>
      <c r="AR63" s="10"/>
      <c r="AS63" s="10"/>
      <c r="AT63" s="11"/>
      <c r="AU63" s="12"/>
      <c r="AV63" s="17"/>
      <c r="AW63" s="13"/>
      <c r="AX63" s="13"/>
      <c r="AY63" s="13"/>
      <c r="AZ63" s="14"/>
      <c r="BA63" s="9"/>
      <c r="BB63" s="16"/>
      <c r="BC63" s="10"/>
      <c r="BD63" s="10"/>
      <c r="BE63" s="10"/>
      <c r="BF63" s="11"/>
      <c r="BG63" s="12"/>
      <c r="BH63" s="17"/>
      <c r="BI63" s="13"/>
      <c r="BJ63" s="13"/>
      <c r="BK63" s="13"/>
      <c r="BL63" s="14"/>
      <c r="BM63" s="9"/>
      <c r="BN63" s="16"/>
      <c r="BO63" s="10"/>
      <c r="BP63" s="10"/>
      <c r="BQ63" s="10"/>
      <c r="BR63" s="11"/>
      <c r="BS63" s="12"/>
      <c r="BT63" s="17"/>
      <c r="BU63" s="13"/>
      <c r="BV63" s="13"/>
      <c r="BW63" s="13"/>
      <c r="BX63" s="14"/>
      <c r="BY63" s="9"/>
      <c r="BZ63" s="16"/>
      <c r="CA63" s="10"/>
      <c r="CB63" s="10"/>
      <c r="CC63" s="10"/>
      <c r="CD63" s="11"/>
      <c r="CE63" s="12"/>
      <c r="CF63" s="17"/>
      <c r="CG63" s="13"/>
      <c r="CH63" s="13"/>
      <c r="CI63" s="13"/>
      <c r="CJ63" s="14"/>
      <c r="CK63" s="9"/>
      <c r="CL63" s="16"/>
      <c r="CM63" s="10"/>
      <c r="CN63" s="10"/>
      <c r="CO63" s="10"/>
      <c r="CP63" s="11"/>
      <c r="CQ63" s="12"/>
      <c r="CR63" s="17"/>
      <c r="CS63" s="13"/>
      <c r="CT63" s="13"/>
      <c r="CU63" s="13"/>
      <c r="CV63" s="14"/>
      <c r="CW63" s="9"/>
      <c r="CX63" s="16"/>
      <c r="CY63" s="10"/>
      <c r="CZ63" s="10"/>
      <c r="DA63" s="10"/>
      <c r="DB63" s="11"/>
      <c r="DC63" s="12"/>
      <c r="DD63" s="17"/>
      <c r="DE63" s="13"/>
      <c r="DF63" s="13"/>
      <c r="DG63" s="13"/>
      <c r="DH63" s="14"/>
      <c r="DI63" s="8">
        <f t="shared" si="9"/>
        <v>53</v>
      </c>
      <c r="DJ63" s="8">
        <f t="shared" si="10"/>
        <v>60</v>
      </c>
      <c r="DK63" s="8">
        <f t="shared" si="11"/>
        <v>15</v>
      </c>
      <c r="DL63" s="8">
        <f t="shared" si="12"/>
        <v>35</v>
      </c>
      <c r="DM63" s="8">
        <f t="shared" si="13"/>
        <v>60</v>
      </c>
      <c r="DN63" s="8">
        <f t="shared" si="14"/>
        <v>15</v>
      </c>
      <c r="DO63" s="15">
        <f t="shared" si="15"/>
        <v>43.75160339918984</v>
      </c>
      <c r="DP63" s="15" t="str">
        <f t="shared" si="16"/>
        <v>OK - No Upgrade</v>
      </c>
      <c r="DQ63" s="15" t="str">
        <f t="shared" si="17"/>
        <v>Need to Balance</v>
      </c>
    </row>
    <row r="64" spans="1:121" ht="15.75" customHeight="1" x14ac:dyDescent="0.25">
      <c r="A64" s="8" t="s">
        <v>1459</v>
      </c>
      <c r="B64" s="8" t="s">
        <v>2786</v>
      </c>
      <c r="C64" s="8" t="s">
        <v>2948</v>
      </c>
      <c r="D64" s="8" t="s">
        <v>2959</v>
      </c>
      <c r="E64" s="8" t="s">
        <v>2960</v>
      </c>
      <c r="F64" s="8" t="s">
        <v>56</v>
      </c>
      <c r="G64" s="8" t="s">
        <v>44</v>
      </c>
      <c r="H64" s="8">
        <v>1000</v>
      </c>
      <c r="I64" s="8" t="s">
        <v>2961</v>
      </c>
      <c r="J64" s="8">
        <v>1</v>
      </c>
      <c r="K64" s="8">
        <v>253</v>
      </c>
      <c r="L64" s="8">
        <v>253</v>
      </c>
      <c r="M64" s="8">
        <v>254</v>
      </c>
      <c r="N64" s="8">
        <v>440</v>
      </c>
      <c r="O64" s="8">
        <v>441</v>
      </c>
      <c r="P64" s="8">
        <v>442</v>
      </c>
      <c r="Q64" s="9"/>
      <c r="R64" s="16"/>
      <c r="S64" s="10"/>
      <c r="T64" s="10"/>
      <c r="U64" s="10"/>
      <c r="V64" s="11"/>
      <c r="W64" s="12"/>
      <c r="X64" s="17"/>
      <c r="Y64" s="13"/>
      <c r="Z64" s="13"/>
      <c r="AA64" s="13"/>
      <c r="AB64" s="14"/>
      <c r="AC64" s="9" t="s">
        <v>47</v>
      </c>
      <c r="AD64" s="16"/>
      <c r="AE64" s="10">
        <v>17</v>
      </c>
      <c r="AF64" s="10">
        <v>35</v>
      </c>
      <c r="AG64" s="10">
        <v>23</v>
      </c>
      <c r="AH64" s="11">
        <v>13</v>
      </c>
      <c r="AI64" s="12" t="s">
        <v>47</v>
      </c>
      <c r="AJ64" s="17"/>
      <c r="AK64" s="13">
        <v>109</v>
      </c>
      <c r="AL64" s="13">
        <v>40</v>
      </c>
      <c r="AM64" s="13">
        <v>95</v>
      </c>
      <c r="AN64" s="14">
        <v>49</v>
      </c>
      <c r="AO64" s="9" t="s">
        <v>47</v>
      </c>
      <c r="AP64" s="16"/>
      <c r="AQ64" s="10">
        <v>15</v>
      </c>
      <c r="AR64" s="10">
        <v>18</v>
      </c>
      <c r="AS64" s="10">
        <v>13</v>
      </c>
      <c r="AT64" s="11">
        <v>3</v>
      </c>
      <c r="AU64" s="12" t="s">
        <v>47</v>
      </c>
      <c r="AV64" s="17"/>
      <c r="AW64" s="13">
        <v>12</v>
      </c>
      <c r="AX64" s="13">
        <v>8</v>
      </c>
      <c r="AY64" s="13">
        <v>12</v>
      </c>
      <c r="AZ64" s="14">
        <v>9</v>
      </c>
      <c r="BA64" s="9"/>
      <c r="BB64" s="16"/>
      <c r="BC64" s="10"/>
      <c r="BD64" s="10"/>
      <c r="BE64" s="10"/>
      <c r="BF64" s="11"/>
      <c r="BG64" s="12"/>
      <c r="BH64" s="17"/>
      <c r="BI64" s="13"/>
      <c r="BJ64" s="13"/>
      <c r="BK64" s="13"/>
      <c r="BL64" s="14"/>
      <c r="BM64" s="9"/>
      <c r="BN64" s="16"/>
      <c r="BO64" s="10"/>
      <c r="BP64" s="10"/>
      <c r="BQ64" s="10"/>
      <c r="BR64" s="11"/>
      <c r="BS64" s="12"/>
      <c r="BT64" s="17"/>
      <c r="BU64" s="13"/>
      <c r="BV64" s="13"/>
      <c r="BW64" s="13"/>
      <c r="BX64" s="14"/>
      <c r="BY64" s="9"/>
      <c r="BZ64" s="16"/>
      <c r="CA64" s="10"/>
      <c r="CB64" s="10"/>
      <c r="CC64" s="10"/>
      <c r="CD64" s="11"/>
      <c r="CE64" s="12"/>
      <c r="CF64" s="17"/>
      <c r="CG64" s="13"/>
      <c r="CH64" s="13"/>
      <c r="CI64" s="13"/>
      <c r="CJ64" s="14"/>
      <c r="CK64" s="9"/>
      <c r="CL64" s="16"/>
      <c r="CM64" s="10"/>
      <c r="CN64" s="10"/>
      <c r="CO64" s="10"/>
      <c r="CP64" s="11"/>
      <c r="CQ64" s="12"/>
      <c r="CR64" s="17"/>
      <c r="CS64" s="13"/>
      <c r="CT64" s="13"/>
      <c r="CU64" s="13"/>
      <c r="CV64" s="14"/>
      <c r="CW64" s="9"/>
      <c r="CX64" s="16"/>
      <c r="CY64" s="10"/>
      <c r="CZ64" s="10"/>
      <c r="DA64" s="10"/>
      <c r="DB64" s="11"/>
      <c r="DC64" s="12"/>
      <c r="DD64" s="17"/>
      <c r="DE64" s="13"/>
      <c r="DF64" s="13"/>
      <c r="DG64" s="13"/>
      <c r="DH64" s="14"/>
      <c r="DI64" s="8">
        <f t="shared" si="9"/>
        <v>153</v>
      </c>
      <c r="DJ64" s="8">
        <f t="shared" si="10"/>
        <v>101</v>
      </c>
      <c r="DK64" s="8">
        <f t="shared" si="11"/>
        <v>143</v>
      </c>
      <c r="DL64" s="8">
        <f t="shared" si="12"/>
        <v>74</v>
      </c>
      <c r="DM64" s="8">
        <f t="shared" si="13"/>
        <v>153</v>
      </c>
      <c r="DN64" s="8">
        <f t="shared" si="14"/>
        <v>101</v>
      </c>
      <c r="DO64" s="15">
        <f t="shared" si="15"/>
        <v>11.660166036553681</v>
      </c>
      <c r="DP64" s="15" t="str">
        <f t="shared" si="16"/>
        <v>OK - No Upgrade</v>
      </c>
      <c r="DQ64" s="15" t="str">
        <f t="shared" si="17"/>
        <v>Need to Balance</v>
      </c>
    </row>
    <row r="65" spans="1:121" ht="15.75" customHeight="1" x14ac:dyDescent="0.25">
      <c r="A65" s="8" t="s">
        <v>1459</v>
      </c>
      <c r="B65" s="8" t="s">
        <v>2786</v>
      </c>
      <c r="C65" s="8" t="s">
        <v>2948</v>
      </c>
      <c r="D65" s="8" t="s">
        <v>2962</v>
      </c>
      <c r="E65" s="8" t="s">
        <v>2963</v>
      </c>
      <c r="F65" s="8" t="s">
        <v>43</v>
      </c>
      <c r="G65" s="8" t="s">
        <v>44</v>
      </c>
      <c r="H65" s="8">
        <v>100</v>
      </c>
      <c r="I65" s="8" t="s">
        <v>2964</v>
      </c>
      <c r="J65" s="8">
        <v>1</v>
      </c>
      <c r="K65" s="8">
        <v>248</v>
      </c>
      <c r="L65" s="8">
        <v>249</v>
      </c>
      <c r="M65" s="8">
        <v>249</v>
      </c>
      <c r="N65" s="8">
        <v>433</v>
      </c>
      <c r="O65" s="8">
        <v>434</v>
      </c>
      <c r="P65" s="8">
        <v>434</v>
      </c>
      <c r="Q65" s="9" t="s">
        <v>47</v>
      </c>
      <c r="R65" s="16"/>
      <c r="S65" s="10">
        <v>0</v>
      </c>
      <c r="T65" s="10">
        <v>0</v>
      </c>
      <c r="U65" s="10">
        <v>0</v>
      </c>
      <c r="V65" s="11">
        <v>0</v>
      </c>
      <c r="W65" s="12"/>
      <c r="X65" s="17"/>
      <c r="Y65" s="13"/>
      <c r="Z65" s="13"/>
      <c r="AA65" s="13"/>
      <c r="AB65" s="14"/>
      <c r="AC65" s="9"/>
      <c r="AD65" s="16"/>
      <c r="AE65" s="10"/>
      <c r="AF65" s="10"/>
      <c r="AG65" s="10"/>
      <c r="AH65" s="11"/>
      <c r="AI65" s="12"/>
      <c r="AJ65" s="17"/>
      <c r="AK65" s="13"/>
      <c r="AL65" s="13"/>
      <c r="AM65" s="13"/>
      <c r="AN65" s="14"/>
      <c r="AO65" s="9"/>
      <c r="AP65" s="16"/>
      <c r="AQ65" s="10"/>
      <c r="AR65" s="10"/>
      <c r="AS65" s="10"/>
      <c r="AT65" s="11"/>
      <c r="AU65" s="12"/>
      <c r="AV65" s="17"/>
      <c r="AW65" s="13"/>
      <c r="AX65" s="13"/>
      <c r="AY65" s="13"/>
      <c r="AZ65" s="14"/>
      <c r="BA65" s="9"/>
      <c r="BB65" s="16"/>
      <c r="BC65" s="10"/>
      <c r="BD65" s="10"/>
      <c r="BE65" s="10"/>
      <c r="BF65" s="11"/>
      <c r="BG65" s="12"/>
      <c r="BH65" s="17"/>
      <c r="BI65" s="13"/>
      <c r="BJ65" s="13"/>
      <c r="BK65" s="13"/>
      <c r="BL65" s="14"/>
      <c r="BM65" s="9"/>
      <c r="BN65" s="16"/>
      <c r="BO65" s="10"/>
      <c r="BP65" s="10"/>
      <c r="BQ65" s="10"/>
      <c r="BR65" s="11"/>
      <c r="BS65" s="12"/>
      <c r="BT65" s="17"/>
      <c r="BU65" s="13"/>
      <c r="BV65" s="13"/>
      <c r="BW65" s="13"/>
      <c r="BX65" s="14"/>
      <c r="BY65" s="9"/>
      <c r="BZ65" s="16"/>
      <c r="CA65" s="10"/>
      <c r="CB65" s="10"/>
      <c r="CC65" s="10"/>
      <c r="CD65" s="11"/>
      <c r="CE65" s="12"/>
      <c r="CF65" s="17"/>
      <c r="CG65" s="13"/>
      <c r="CH65" s="13"/>
      <c r="CI65" s="13"/>
      <c r="CJ65" s="14"/>
      <c r="CK65" s="9"/>
      <c r="CL65" s="16"/>
      <c r="CM65" s="10"/>
      <c r="CN65" s="10"/>
      <c r="CO65" s="10"/>
      <c r="CP65" s="11"/>
      <c r="CQ65" s="12"/>
      <c r="CR65" s="17"/>
      <c r="CS65" s="13"/>
      <c r="CT65" s="13"/>
      <c r="CU65" s="13"/>
      <c r="CV65" s="14"/>
      <c r="CW65" s="9"/>
      <c r="CX65" s="16"/>
      <c r="CY65" s="10"/>
      <c r="CZ65" s="10"/>
      <c r="DA65" s="10"/>
      <c r="DB65" s="11"/>
      <c r="DC65" s="12"/>
      <c r="DD65" s="17"/>
      <c r="DE65" s="13"/>
      <c r="DF65" s="13"/>
      <c r="DG65" s="13"/>
      <c r="DH65" s="14"/>
      <c r="DI65" s="8">
        <f t="shared" si="9"/>
        <v>0</v>
      </c>
      <c r="DJ65" s="8">
        <f t="shared" si="10"/>
        <v>0</v>
      </c>
      <c r="DK65" s="8">
        <f t="shared" si="11"/>
        <v>0</v>
      </c>
      <c r="DL65" s="8">
        <f t="shared" si="12"/>
        <v>0</v>
      </c>
      <c r="DM65" s="8">
        <f t="shared" si="13"/>
        <v>0</v>
      </c>
      <c r="DN65" s="8">
        <f t="shared" si="14"/>
        <v>0</v>
      </c>
      <c r="DO65" s="15">
        <f t="shared" si="15"/>
        <v>0</v>
      </c>
      <c r="DP65" s="15" t="str">
        <f t="shared" si="16"/>
        <v>OK - No Upgrade</v>
      </c>
      <c r="DQ65" s="15" t="str">
        <f t="shared" si="17"/>
        <v>OK - Balanced</v>
      </c>
    </row>
    <row r="66" spans="1:121" ht="15.75" customHeight="1" x14ac:dyDescent="0.25">
      <c r="A66" s="8" t="s">
        <v>1459</v>
      </c>
      <c r="B66" s="8" t="s">
        <v>2786</v>
      </c>
      <c r="C66" s="8" t="s">
        <v>2948</v>
      </c>
      <c r="D66" s="8" t="s">
        <v>2965</v>
      </c>
      <c r="E66" s="8" t="s">
        <v>2966</v>
      </c>
      <c r="F66" s="8" t="s">
        <v>43</v>
      </c>
      <c r="G66" s="8" t="s">
        <v>44</v>
      </c>
      <c r="H66" s="8">
        <v>315</v>
      </c>
      <c r="I66" s="8" t="s">
        <v>2967</v>
      </c>
      <c r="J66" s="8">
        <v>1</v>
      </c>
      <c r="K66" s="8">
        <v>247</v>
      </c>
      <c r="L66" s="8">
        <v>248</v>
      </c>
      <c r="M66" s="8">
        <v>247</v>
      </c>
      <c r="N66" s="8">
        <v>432</v>
      </c>
      <c r="O66" s="8">
        <v>432</v>
      </c>
      <c r="P66" s="8">
        <v>431</v>
      </c>
      <c r="Q66" s="9" t="s">
        <v>47</v>
      </c>
      <c r="R66" s="16"/>
      <c r="S66" s="10">
        <v>23</v>
      </c>
      <c r="T66" s="10">
        <v>10</v>
      </c>
      <c r="U66" s="10">
        <v>28</v>
      </c>
      <c r="V66" s="11">
        <v>16</v>
      </c>
      <c r="W66" s="12" t="s">
        <v>47</v>
      </c>
      <c r="X66" s="17"/>
      <c r="Y66" s="13">
        <v>0</v>
      </c>
      <c r="Z66" s="13">
        <v>0</v>
      </c>
      <c r="AA66" s="13">
        <v>0</v>
      </c>
      <c r="AB66" s="14">
        <v>0</v>
      </c>
      <c r="AC66" s="9"/>
      <c r="AD66" s="16"/>
      <c r="AE66" s="10"/>
      <c r="AF66" s="10"/>
      <c r="AG66" s="10"/>
      <c r="AH66" s="11"/>
      <c r="AI66" s="12"/>
      <c r="AJ66" s="17"/>
      <c r="AK66" s="13"/>
      <c r="AL66" s="13"/>
      <c r="AM66" s="13"/>
      <c r="AN66" s="14"/>
      <c r="AO66" s="9"/>
      <c r="AP66" s="16"/>
      <c r="AQ66" s="10"/>
      <c r="AR66" s="10"/>
      <c r="AS66" s="10"/>
      <c r="AT66" s="11"/>
      <c r="AU66" s="12"/>
      <c r="AV66" s="17"/>
      <c r="AW66" s="13"/>
      <c r="AX66" s="13"/>
      <c r="AY66" s="13"/>
      <c r="AZ66" s="14"/>
      <c r="BA66" s="9"/>
      <c r="BB66" s="16"/>
      <c r="BC66" s="10"/>
      <c r="BD66" s="10"/>
      <c r="BE66" s="10"/>
      <c r="BF66" s="11"/>
      <c r="BG66" s="12"/>
      <c r="BH66" s="17"/>
      <c r="BI66" s="13"/>
      <c r="BJ66" s="13"/>
      <c r="BK66" s="13"/>
      <c r="BL66" s="14"/>
      <c r="BM66" s="9"/>
      <c r="BN66" s="16"/>
      <c r="BO66" s="10"/>
      <c r="BP66" s="10"/>
      <c r="BQ66" s="10"/>
      <c r="BR66" s="11"/>
      <c r="BS66" s="12"/>
      <c r="BT66" s="17"/>
      <c r="BU66" s="13"/>
      <c r="BV66" s="13"/>
      <c r="BW66" s="13"/>
      <c r="BX66" s="14"/>
      <c r="BY66" s="9"/>
      <c r="BZ66" s="16"/>
      <c r="CA66" s="10"/>
      <c r="CB66" s="10"/>
      <c r="CC66" s="10"/>
      <c r="CD66" s="11"/>
      <c r="CE66" s="12"/>
      <c r="CF66" s="17"/>
      <c r="CG66" s="13"/>
      <c r="CH66" s="13"/>
      <c r="CI66" s="13"/>
      <c r="CJ66" s="14"/>
      <c r="CK66" s="9"/>
      <c r="CL66" s="16"/>
      <c r="CM66" s="10"/>
      <c r="CN66" s="10"/>
      <c r="CO66" s="10"/>
      <c r="CP66" s="11"/>
      <c r="CQ66" s="12"/>
      <c r="CR66" s="17"/>
      <c r="CS66" s="13"/>
      <c r="CT66" s="13"/>
      <c r="CU66" s="13"/>
      <c r="CV66" s="14"/>
      <c r="CW66" s="9"/>
      <c r="CX66" s="16"/>
      <c r="CY66" s="10"/>
      <c r="CZ66" s="10"/>
      <c r="DA66" s="10"/>
      <c r="DB66" s="11"/>
      <c r="DC66" s="12"/>
      <c r="DD66" s="17"/>
      <c r="DE66" s="13"/>
      <c r="DF66" s="13"/>
      <c r="DG66" s="13"/>
      <c r="DH66" s="14"/>
      <c r="DI66" s="8">
        <f t="shared" si="9"/>
        <v>23</v>
      </c>
      <c r="DJ66" s="8">
        <f t="shared" si="10"/>
        <v>10</v>
      </c>
      <c r="DK66" s="8">
        <f t="shared" si="11"/>
        <v>28</v>
      </c>
      <c r="DL66" s="8">
        <f t="shared" si="12"/>
        <v>16</v>
      </c>
      <c r="DM66" s="8">
        <f t="shared" si="13"/>
        <v>28</v>
      </c>
      <c r="DN66" s="8">
        <f t="shared" si="14"/>
        <v>10</v>
      </c>
      <c r="DO66" s="15">
        <f t="shared" si="15"/>
        <v>6.6510751010644897</v>
      </c>
      <c r="DP66" s="15" t="str">
        <f t="shared" si="16"/>
        <v>OK - No Upgrade</v>
      </c>
      <c r="DQ66" s="15" t="str">
        <f t="shared" si="17"/>
        <v>Need to Balance</v>
      </c>
    </row>
    <row r="67" spans="1:121" ht="15.75" customHeight="1" x14ac:dyDescent="0.25">
      <c r="A67" s="8" t="s">
        <v>1459</v>
      </c>
      <c r="B67" s="8" t="s">
        <v>2786</v>
      </c>
      <c r="C67" s="8" t="s">
        <v>2948</v>
      </c>
      <c r="D67" s="8" t="s">
        <v>2968</v>
      </c>
      <c r="E67" s="8" t="s">
        <v>2969</v>
      </c>
      <c r="F67" s="8" t="s">
        <v>43</v>
      </c>
      <c r="G67" s="8" t="s">
        <v>44</v>
      </c>
      <c r="H67" s="8">
        <v>100</v>
      </c>
      <c r="I67" s="8" t="s">
        <v>2970</v>
      </c>
      <c r="J67" s="8">
        <v>1</v>
      </c>
      <c r="K67" s="8">
        <v>248</v>
      </c>
      <c r="L67" s="8">
        <v>249</v>
      </c>
      <c r="M67" s="8">
        <v>248</v>
      </c>
      <c r="N67" s="8">
        <v>433</v>
      </c>
      <c r="O67" s="8">
        <v>434</v>
      </c>
      <c r="P67" s="8">
        <v>432</v>
      </c>
      <c r="Q67" s="9" t="s">
        <v>46</v>
      </c>
      <c r="R67" s="16"/>
      <c r="S67" s="10">
        <v>0</v>
      </c>
      <c r="T67" s="10">
        <v>0</v>
      </c>
      <c r="U67" s="10">
        <v>0</v>
      </c>
      <c r="V67" s="11">
        <v>0</v>
      </c>
      <c r="W67" s="12"/>
      <c r="X67" s="17"/>
      <c r="Y67" s="13"/>
      <c r="Z67" s="13"/>
      <c r="AA67" s="13"/>
      <c r="AB67" s="14"/>
      <c r="AC67" s="9"/>
      <c r="AD67" s="16"/>
      <c r="AE67" s="10"/>
      <c r="AF67" s="10"/>
      <c r="AG67" s="10"/>
      <c r="AH67" s="11"/>
      <c r="AI67" s="12"/>
      <c r="AJ67" s="17"/>
      <c r="AK67" s="13"/>
      <c r="AL67" s="13"/>
      <c r="AM67" s="13"/>
      <c r="AN67" s="14"/>
      <c r="AO67" s="9"/>
      <c r="AP67" s="16"/>
      <c r="AQ67" s="10"/>
      <c r="AR67" s="10"/>
      <c r="AS67" s="10"/>
      <c r="AT67" s="11"/>
      <c r="AU67" s="12"/>
      <c r="AV67" s="17"/>
      <c r="AW67" s="13"/>
      <c r="AX67" s="13"/>
      <c r="AY67" s="13"/>
      <c r="AZ67" s="14"/>
      <c r="BA67" s="9"/>
      <c r="BB67" s="16"/>
      <c r="BC67" s="10"/>
      <c r="BD67" s="10"/>
      <c r="BE67" s="10"/>
      <c r="BF67" s="11"/>
      <c r="BG67" s="12"/>
      <c r="BH67" s="17"/>
      <c r="BI67" s="13"/>
      <c r="BJ67" s="13"/>
      <c r="BK67" s="13"/>
      <c r="BL67" s="14"/>
      <c r="BM67" s="9"/>
      <c r="BN67" s="16"/>
      <c r="BO67" s="10"/>
      <c r="BP67" s="10"/>
      <c r="BQ67" s="10"/>
      <c r="BR67" s="11"/>
      <c r="BS67" s="12"/>
      <c r="BT67" s="17"/>
      <c r="BU67" s="13"/>
      <c r="BV67" s="13"/>
      <c r="BW67" s="13"/>
      <c r="BX67" s="14"/>
      <c r="BY67" s="9"/>
      <c r="BZ67" s="16"/>
      <c r="CA67" s="10"/>
      <c r="CB67" s="10"/>
      <c r="CC67" s="10"/>
      <c r="CD67" s="11"/>
      <c r="CE67" s="12"/>
      <c r="CF67" s="17"/>
      <c r="CG67" s="13"/>
      <c r="CH67" s="13"/>
      <c r="CI67" s="13"/>
      <c r="CJ67" s="14"/>
      <c r="CK67" s="9"/>
      <c r="CL67" s="16"/>
      <c r="CM67" s="10"/>
      <c r="CN67" s="10"/>
      <c r="CO67" s="10"/>
      <c r="CP67" s="11"/>
      <c r="CQ67" s="12"/>
      <c r="CR67" s="17"/>
      <c r="CS67" s="13"/>
      <c r="CT67" s="13"/>
      <c r="CU67" s="13"/>
      <c r="CV67" s="14"/>
      <c r="CW67" s="9"/>
      <c r="CX67" s="16"/>
      <c r="CY67" s="10"/>
      <c r="CZ67" s="10"/>
      <c r="DA67" s="10"/>
      <c r="DB67" s="11"/>
      <c r="DC67" s="12"/>
      <c r="DD67" s="17"/>
      <c r="DE67" s="13"/>
      <c r="DF67" s="13"/>
      <c r="DG67" s="13"/>
      <c r="DH67" s="14"/>
      <c r="DI67" s="8">
        <f t="shared" si="9"/>
        <v>0</v>
      </c>
      <c r="DJ67" s="8">
        <f t="shared" si="10"/>
        <v>0</v>
      </c>
      <c r="DK67" s="8">
        <f t="shared" si="11"/>
        <v>0</v>
      </c>
      <c r="DL67" s="8">
        <f t="shared" si="12"/>
        <v>0</v>
      </c>
      <c r="DM67" s="8">
        <f t="shared" si="13"/>
        <v>0</v>
      </c>
      <c r="DN67" s="8">
        <f t="shared" si="14"/>
        <v>0</v>
      </c>
      <c r="DO67" s="15">
        <f t="shared" si="15"/>
        <v>0</v>
      </c>
      <c r="DP67" s="15" t="str">
        <f t="shared" si="16"/>
        <v>OK - No Upgrade</v>
      </c>
      <c r="DQ67" s="15" t="str">
        <f t="shared" si="17"/>
        <v>OK - Balanced</v>
      </c>
    </row>
    <row r="68" spans="1:121" ht="15.75" customHeight="1" x14ac:dyDescent="0.25">
      <c r="A68" s="8" t="s">
        <v>1459</v>
      </c>
      <c r="B68" s="8" t="s">
        <v>2786</v>
      </c>
      <c r="C68" s="8" t="s">
        <v>2948</v>
      </c>
      <c r="D68" s="8" t="s">
        <v>2971</v>
      </c>
      <c r="E68" s="8" t="s">
        <v>2972</v>
      </c>
      <c r="F68" s="8" t="s">
        <v>43</v>
      </c>
      <c r="G68" s="8" t="s">
        <v>44</v>
      </c>
      <c r="H68" s="8">
        <v>100</v>
      </c>
      <c r="I68" s="8" t="s">
        <v>2973</v>
      </c>
      <c r="J68" s="8">
        <v>1</v>
      </c>
      <c r="K68" s="8">
        <v>249</v>
      </c>
      <c r="L68" s="8">
        <v>249</v>
      </c>
      <c r="M68" s="8">
        <v>248</v>
      </c>
      <c r="N68" s="8">
        <v>433</v>
      </c>
      <c r="O68" s="8">
        <v>432</v>
      </c>
      <c r="P68" s="8">
        <v>433</v>
      </c>
      <c r="Q68" s="9" t="s">
        <v>47</v>
      </c>
      <c r="R68" s="16"/>
      <c r="S68" s="10">
        <v>5</v>
      </c>
      <c r="T68" s="10">
        <v>9</v>
      </c>
      <c r="U68" s="10">
        <v>11</v>
      </c>
      <c r="V68" s="11">
        <v>15</v>
      </c>
      <c r="W68" s="12"/>
      <c r="X68" s="17"/>
      <c r="Y68" s="13"/>
      <c r="Z68" s="13"/>
      <c r="AA68" s="13"/>
      <c r="AB68" s="14"/>
      <c r="AC68" s="9"/>
      <c r="AD68" s="16"/>
      <c r="AE68" s="10"/>
      <c r="AF68" s="10"/>
      <c r="AG68" s="10"/>
      <c r="AH68" s="11"/>
      <c r="AI68" s="12"/>
      <c r="AJ68" s="17"/>
      <c r="AK68" s="13"/>
      <c r="AL68" s="13"/>
      <c r="AM68" s="13"/>
      <c r="AN68" s="14"/>
      <c r="AO68" s="9"/>
      <c r="AP68" s="16"/>
      <c r="AQ68" s="10"/>
      <c r="AR68" s="10"/>
      <c r="AS68" s="10"/>
      <c r="AT68" s="11"/>
      <c r="AU68" s="12"/>
      <c r="AV68" s="17"/>
      <c r="AW68" s="13"/>
      <c r="AX68" s="13"/>
      <c r="AY68" s="13"/>
      <c r="AZ68" s="14"/>
      <c r="BA68" s="9"/>
      <c r="BB68" s="16"/>
      <c r="BC68" s="10"/>
      <c r="BD68" s="10"/>
      <c r="BE68" s="10"/>
      <c r="BF68" s="11"/>
      <c r="BG68" s="12"/>
      <c r="BH68" s="17"/>
      <c r="BI68" s="13"/>
      <c r="BJ68" s="13"/>
      <c r="BK68" s="13"/>
      <c r="BL68" s="14"/>
      <c r="BM68" s="9"/>
      <c r="BN68" s="16"/>
      <c r="BO68" s="10"/>
      <c r="BP68" s="10"/>
      <c r="BQ68" s="10"/>
      <c r="BR68" s="11"/>
      <c r="BS68" s="12"/>
      <c r="BT68" s="17"/>
      <c r="BU68" s="13"/>
      <c r="BV68" s="13"/>
      <c r="BW68" s="13"/>
      <c r="BX68" s="14"/>
      <c r="BY68" s="9"/>
      <c r="BZ68" s="16"/>
      <c r="CA68" s="10"/>
      <c r="CB68" s="10"/>
      <c r="CC68" s="10"/>
      <c r="CD68" s="11"/>
      <c r="CE68" s="12"/>
      <c r="CF68" s="17"/>
      <c r="CG68" s="13"/>
      <c r="CH68" s="13"/>
      <c r="CI68" s="13"/>
      <c r="CJ68" s="14"/>
      <c r="CK68" s="9"/>
      <c r="CL68" s="16"/>
      <c r="CM68" s="10"/>
      <c r="CN68" s="10"/>
      <c r="CO68" s="10"/>
      <c r="CP68" s="11"/>
      <c r="CQ68" s="12"/>
      <c r="CR68" s="17"/>
      <c r="CS68" s="13"/>
      <c r="CT68" s="13"/>
      <c r="CU68" s="13"/>
      <c r="CV68" s="14"/>
      <c r="CW68" s="9"/>
      <c r="CX68" s="16"/>
      <c r="CY68" s="10"/>
      <c r="CZ68" s="10"/>
      <c r="DA68" s="10"/>
      <c r="DB68" s="11"/>
      <c r="DC68" s="12"/>
      <c r="DD68" s="17"/>
      <c r="DE68" s="13"/>
      <c r="DF68" s="13"/>
      <c r="DG68" s="13"/>
      <c r="DH68" s="14"/>
      <c r="DI68" s="8">
        <f t="shared" ref="DI68:DI79" si="18">SUM(S68,Y68,AE68,AK68,AQ68,AW68,BC68,BI68,BO68,BU68,CA68,CG68,CM68,CS68,CY68,DE68)</f>
        <v>5</v>
      </c>
      <c r="DJ68" s="8">
        <f t="shared" ref="DJ68:DJ79" si="19">SUM(T68,Z68,AF68,AL68,AR68,AX68,BD68,BJ68,BP68,BV68,CB68,CH68,CN68,CT68,CZ68,DF68)</f>
        <v>9</v>
      </c>
      <c r="DK68" s="8">
        <f t="shared" ref="DK68:DK79" si="20">SUM(U68,AA68,AG68,AM68,AS68,AY68,BE68,BK68,BQ68,BW68,CC68,CI68,CO68,CU68,DA68,DG68)</f>
        <v>11</v>
      </c>
      <c r="DL68" s="8">
        <f t="shared" ref="DL68:DL79" si="21">SUM(V68,AB68,AH68,AN68,AT68,AZ68,BF68,BL68,BR68,BX68,CD68,CJ68,CP68,CV68,DB68,DH68)</f>
        <v>15</v>
      </c>
      <c r="DM68" s="8">
        <f t="shared" ref="DM68:DM79" si="22">MAX(DI68:DK68)</f>
        <v>11</v>
      </c>
      <c r="DN68" s="8">
        <f t="shared" ref="DN68:DN79" si="23">MIN(DI68:DK68)</f>
        <v>5</v>
      </c>
      <c r="DO68" s="15">
        <f t="shared" ref="DO68:DO79" si="24">IF(H68&gt;0,(DM68*SQRT(3)*IF(N68&gt;0,N68,IF(O68&gt;0,O68,IF(P68&gt;0,P68,415)))/(H68*1000))*100,0)</f>
        <v>8.2497579964505618</v>
      </c>
      <c r="DP68" s="15" t="str">
        <f t="shared" ref="DP68:DP99" si="25">IF(DO68&gt;70,"Upgrade","OK - No Upgrade")</f>
        <v>OK - No Upgrade</v>
      </c>
      <c r="DQ68" s="15" t="str">
        <f t="shared" ref="DQ68:DQ79" si="26">IF(IF(AVERAGE(DI68:DK68)&gt;0,((DM68-AVERAGE(DI68:DK68))/AVERAGE(DI68:DK68))*100,0)&gt;10,"Need to Balance","OK - Balanced")</f>
        <v>Need to Balance</v>
      </c>
    </row>
    <row r="69" spans="1:121" ht="15.75" customHeight="1" x14ac:dyDescent="0.25">
      <c r="A69" s="8" t="s">
        <v>1459</v>
      </c>
      <c r="B69" s="8" t="s">
        <v>2786</v>
      </c>
      <c r="C69" s="8" t="s">
        <v>2948</v>
      </c>
      <c r="D69" s="8" t="s">
        <v>2974</v>
      </c>
      <c r="E69" s="8" t="s">
        <v>2975</v>
      </c>
      <c r="F69" s="8" t="s">
        <v>56</v>
      </c>
      <c r="G69" s="8" t="s">
        <v>44</v>
      </c>
      <c r="H69" s="8">
        <v>1000</v>
      </c>
      <c r="I69" s="8" t="s">
        <v>2976</v>
      </c>
      <c r="J69" s="8">
        <v>1</v>
      </c>
      <c r="K69" s="8">
        <v>249</v>
      </c>
      <c r="L69" s="8">
        <v>249</v>
      </c>
      <c r="M69" s="8">
        <v>250</v>
      </c>
      <c r="N69" s="8">
        <v>433</v>
      </c>
      <c r="O69" s="8">
        <v>433</v>
      </c>
      <c r="P69" s="8">
        <v>434</v>
      </c>
      <c r="Q69" s="9" t="s">
        <v>47</v>
      </c>
      <c r="R69" s="16"/>
      <c r="S69" s="10">
        <v>91</v>
      </c>
      <c r="T69" s="10">
        <v>103</v>
      </c>
      <c r="U69" s="10">
        <v>71</v>
      </c>
      <c r="V69" s="11">
        <v>19</v>
      </c>
      <c r="W69" s="12" t="s">
        <v>47</v>
      </c>
      <c r="X69" s="17"/>
      <c r="Y69" s="13">
        <v>26</v>
      </c>
      <c r="Z69" s="13">
        <v>48</v>
      </c>
      <c r="AA69" s="13">
        <v>19</v>
      </c>
      <c r="AB69" s="14">
        <v>23</v>
      </c>
      <c r="AC69" s="9" t="s">
        <v>47</v>
      </c>
      <c r="AD69" s="16"/>
      <c r="AE69" s="10">
        <v>85</v>
      </c>
      <c r="AF69" s="10">
        <v>60</v>
      </c>
      <c r="AG69" s="10">
        <v>67</v>
      </c>
      <c r="AH69" s="11">
        <v>22</v>
      </c>
      <c r="AI69" s="12"/>
      <c r="AJ69" s="17"/>
      <c r="AK69" s="13"/>
      <c r="AL69" s="13"/>
      <c r="AM69" s="13"/>
      <c r="AN69" s="14"/>
      <c r="AO69" s="9"/>
      <c r="AP69" s="16"/>
      <c r="AQ69" s="10"/>
      <c r="AR69" s="10"/>
      <c r="AS69" s="10"/>
      <c r="AT69" s="11"/>
      <c r="AU69" s="12"/>
      <c r="AV69" s="17"/>
      <c r="AW69" s="13"/>
      <c r="AX69" s="13"/>
      <c r="AY69" s="13"/>
      <c r="AZ69" s="14"/>
      <c r="BA69" s="9"/>
      <c r="BB69" s="16"/>
      <c r="BC69" s="10"/>
      <c r="BD69" s="10"/>
      <c r="BE69" s="10"/>
      <c r="BF69" s="11"/>
      <c r="BG69" s="12"/>
      <c r="BH69" s="17"/>
      <c r="BI69" s="13"/>
      <c r="BJ69" s="13"/>
      <c r="BK69" s="13"/>
      <c r="BL69" s="14"/>
      <c r="BM69" s="9"/>
      <c r="BN69" s="16"/>
      <c r="BO69" s="10"/>
      <c r="BP69" s="10"/>
      <c r="BQ69" s="10"/>
      <c r="BR69" s="11"/>
      <c r="BS69" s="12"/>
      <c r="BT69" s="17"/>
      <c r="BU69" s="13"/>
      <c r="BV69" s="13"/>
      <c r="BW69" s="13"/>
      <c r="BX69" s="14"/>
      <c r="BY69" s="9"/>
      <c r="BZ69" s="16"/>
      <c r="CA69" s="10"/>
      <c r="CB69" s="10"/>
      <c r="CC69" s="10"/>
      <c r="CD69" s="11"/>
      <c r="CE69" s="12"/>
      <c r="CF69" s="17"/>
      <c r="CG69" s="13"/>
      <c r="CH69" s="13"/>
      <c r="CI69" s="13"/>
      <c r="CJ69" s="14"/>
      <c r="CK69" s="9"/>
      <c r="CL69" s="16"/>
      <c r="CM69" s="10"/>
      <c r="CN69" s="10"/>
      <c r="CO69" s="10"/>
      <c r="CP69" s="11"/>
      <c r="CQ69" s="12"/>
      <c r="CR69" s="17"/>
      <c r="CS69" s="13"/>
      <c r="CT69" s="13"/>
      <c r="CU69" s="13"/>
      <c r="CV69" s="14"/>
      <c r="CW69" s="9"/>
      <c r="CX69" s="16"/>
      <c r="CY69" s="10"/>
      <c r="CZ69" s="10"/>
      <c r="DA69" s="10"/>
      <c r="DB69" s="11"/>
      <c r="DC69" s="12"/>
      <c r="DD69" s="17"/>
      <c r="DE69" s="13"/>
      <c r="DF69" s="13"/>
      <c r="DG69" s="13"/>
      <c r="DH69" s="14"/>
      <c r="DI69" s="8">
        <f t="shared" si="18"/>
        <v>202</v>
      </c>
      <c r="DJ69" s="8">
        <f t="shared" si="19"/>
        <v>211</v>
      </c>
      <c r="DK69" s="8">
        <f t="shared" si="20"/>
        <v>157</v>
      </c>
      <c r="DL69" s="8">
        <f t="shared" si="21"/>
        <v>64</v>
      </c>
      <c r="DM69" s="8">
        <f t="shared" si="22"/>
        <v>211</v>
      </c>
      <c r="DN69" s="8">
        <f t="shared" si="23"/>
        <v>157</v>
      </c>
      <c r="DO69" s="15">
        <f t="shared" si="24"/>
        <v>15.824535793191533</v>
      </c>
      <c r="DP69" s="15" t="str">
        <f t="shared" si="25"/>
        <v>OK - No Upgrade</v>
      </c>
      <c r="DQ69" s="15" t="str">
        <f t="shared" si="26"/>
        <v>Need to Balance</v>
      </c>
    </row>
    <row r="70" spans="1:121" ht="15.75" customHeight="1" x14ac:dyDescent="0.25">
      <c r="A70" s="8" t="s">
        <v>1459</v>
      </c>
      <c r="B70" s="8" t="s">
        <v>2786</v>
      </c>
      <c r="C70" s="8" t="s">
        <v>2948</v>
      </c>
      <c r="D70" s="8" t="s">
        <v>2977</v>
      </c>
      <c r="E70" s="8" t="s">
        <v>2773</v>
      </c>
      <c r="F70" s="8" t="s">
        <v>43</v>
      </c>
      <c r="G70" s="8" t="s">
        <v>44</v>
      </c>
      <c r="H70" s="8">
        <v>315</v>
      </c>
      <c r="I70" s="8" t="s">
        <v>2978</v>
      </c>
      <c r="J70" s="8">
        <v>1</v>
      </c>
      <c r="K70" s="8">
        <v>242</v>
      </c>
      <c r="L70" s="8">
        <v>241</v>
      </c>
      <c r="M70" s="8">
        <v>243</v>
      </c>
      <c r="N70" s="8">
        <v>424</v>
      </c>
      <c r="O70" s="8">
        <v>425</v>
      </c>
      <c r="P70" s="8">
        <v>423</v>
      </c>
      <c r="Q70" s="9" t="s">
        <v>47</v>
      </c>
      <c r="R70" s="16"/>
      <c r="S70" s="10">
        <v>0</v>
      </c>
      <c r="T70" s="10"/>
      <c r="U70" s="10"/>
      <c r="V70" s="11"/>
      <c r="W70" s="12" t="s">
        <v>47</v>
      </c>
      <c r="X70" s="17"/>
      <c r="Y70" s="13">
        <v>155</v>
      </c>
      <c r="Z70" s="13">
        <v>61</v>
      </c>
      <c r="AA70" s="13">
        <v>96</v>
      </c>
      <c r="AB70" s="14">
        <v>77</v>
      </c>
      <c r="AC70" s="9"/>
      <c r="AD70" s="16"/>
      <c r="AE70" s="10"/>
      <c r="AF70" s="10"/>
      <c r="AG70" s="10"/>
      <c r="AH70" s="11"/>
      <c r="AI70" s="12"/>
      <c r="AJ70" s="17"/>
      <c r="AK70" s="13"/>
      <c r="AL70" s="13"/>
      <c r="AM70" s="13"/>
      <c r="AN70" s="14"/>
      <c r="AO70" s="9"/>
      <c r="AP70" s="16"/>
      <c r="AQ70" s="10"/>
      <c r="AR70" s="10"/>
      <c r="AS70" s="10"/>
      <c r="AT70" s="11"/>
      <c r="AU70" s="12"/>
      <c r="AV70" s="17"/>
      <c r="AW70" s="13"/>
      <c r="AX70" s="13"/>
      <c r="AY70" s="13"/>
      <c r="AZ70" s="14"/>
      <c r="BA70" s="9"/>
      <c r="BB70" s="16"/>
      <c r="BC70" s="10"/>
      <c r="BD70" s="10"/>
      <c r="BE70" s="10"/>
      <c r="BF70" s="11"/>
      <c r="BG70" s="12"/>
      <c r="BH70" s="17"/>
      <c r="BI70" s="13"/>
      <c r="BJ70" s="13"/>
      <c r="BK70" s="13"/>
      <c r="BL70" s="14"/>
      <c r="BM70" s="9"/>
      <c r="BN70" s="16"/>
      <c r="BO70" s="10"/>
      <c r="BP70" s="10"/>
      <c r="BQ70" s="10"/>
      <c r="BR70" s="11"/>
      <c r="BS70" s="12"/>
      <c r="BT70" s="17"/>
      <c r="BU70" s="13"/>
      <c r="BV70" s="13"/>
      <c r="BW70" s="13"/>
      <c r="BX70" s="14"/>
      <c r="BY70" s="9"/>
      <c r="BZ70" s="16"/>
      <c r="CA70" s="10"/>
      <c r="CB70" s="10"/>
      <c r="CC70" s="10"/>
      <c r="CD70" s="11"/>
      <c r="CE70" s="12"/>
      <c r="CF70" s="17"/>
      <c r="CG70" s="13"/>
      <c r="CH70" s="13"/>
      <c r="CI70" s="13"/>
      <c r="CJ70" s="14"/>
      <c r="CK70" s="9"/>
      <c r="CL70" s="16"/>
      <c r="CM70" s="10"/>
      <c r="CN70" s="10"/>
      <c r="CO70" s="10"/>
      <c r="CP70" s="11"/>
      <c r="CQ70" s="12"/>
      <c r="CR70" s="17"/>
      <c r="CS70" s="13"/>
      <c r="CT70" s="13"/>
      <c r="CU70" s="13"/>
      <c r="CV70" s="14"/>
      <c r="CW70" s="9"/>
      <c r="CX70" s="16"/>
      <c r="CY70" s="10"/>
      <c r="CZ70" s="10"/>
      <c r="DA70" s="10"/>
      <c r="DB70" s="11"/>
      <c r="DC70" s="12"/>
      <c r="DD70" s="17"/>
      <c r="DE70" s="13"/>
      <c r="DF70" s="13"/>
      <c r="DG70" s="13"/>
      <c r="DH70" s="14"/>
      <c r="DI70" s="8">
        <f t="shared" si="18"/>
        <v>155</v>
      </c>
      <c r="DJ70" s="8">
        <f t="shared" si="19"/>
        <v>61</v>
      </c>
      <c r="DK70" s="8">
        <f t="shared" si="20"/>
        <v>96</v>
      </c>
      <c r="DL70" s="8">
        <f t="shared" si="21"/>
        <v>77</v>
      </c>
      <c r="DM70" s="8">
        <f t="shared" si="22"/>
        <v>155</v>
      </c>
      <c r="DN70" s="8">
        <f t="shared" si="23"/>
        <v>61</v>
      </c>
      <c r="DO70" s="15">
        <f t="shared" si="24"/>
        <v>36.136628277278291</v>
      </c>
      <c r="DP70" s="15" t="str">
        <f t="shared" si="25"/>
        <v>OK - No Upgrade</v>
      </c>
      <c r="DQ70" s="15" t="str">
        <f t="shared" si="26"/>
        <v>Need to Balance</v>
      </c>
    </row>
    <row r="71" spans="1:121" ht="15.75" customHeight="1" x14ac:dyDescent="0.25">
      <c r="A71" s="8" t="s">
        <v>1459</v>
      </c>
      <c r="B71" s="8" t="s">
        <v>2786</v>
      </c>
      <c r="C71" s="8" t="s">
        <v>2948</v>
      </c>
      <c r="D71" s="8" t="s">
        <v>2979</v>
      </c>
      <c r="E71" s="8" t="s">
        <v>2980</v>
      </c>
      <c r="F71" s="8" t="s">
        <v>43</v>
      </c>
      <c r="G71" s="8" t="s">
        <v>44</v>
      </c>
      <c r="H71" s="8">
        <v>200</v>
      </c>
      <c r="I71" s="8" t="s">
        <v>2981</v>
      </c>
      <c r="J71" s="8">
        <v>1</v>
      </c>
      <c r="K71" s="8">
        <v>250</v>
      </c>
      <c r="L71" s="8">
        <v>248</v>
      </c>
      <c r="M71" s="8">
        <v>249</v>
      </c>
      <c r="N71" s="8">
        <v>431</v>
      </c>
      <c r="O71" s="8">
        <v>434</v>
      </c>
      <c r="P71" s="8">
        <v>433</v>
      </c>
      <c r="Q71" s="9" t="s">
        <v>46</v>
      </c>
      <c r="R71" s="16"/>
      <c r="S71" s="10">
        <v>32</v>
      </c>
      <c r="T71" s="10">
        <v>64</v>
      </c>
      <c r="U71" s="10">
        <v>33</v>
      </c>
      <c r="V71" s="11">
        <v>28</v>
      </c>
      <c r="W71" s="12" t="s">
        <v>46</v>
      </c>
      <c r="X71" s="17"/>
      <c r="Y71" s="13">
        <v>77</v>
      </c>
      <c r="Z71" s="13">
        <v>121</v>
      </c>
      <c r="AA71" s="13">
        <v>97</v>
      </c>
      <c r="AB71" s="14">
        <v>24</v>
      </c>
      <c r="AC71" s="9"/>
      <c r="AD71" s="16"/>
      <c r="AE71" s="10"/>
      <c r="AF71" s="10"/>
      <c r="AG71" s="10"/>
      <c r="AH71" s="11"/>
      <c r="AI71" s="12"/>
      <c r="AJ71" s="17"/>
      <c r="AK71" s="13"/>
      <c r="AL71" s="13"/>
      <c r="AM71" s="13"/>
      <c r="AN71" s="14"/>
      <c r="AO71" s="9"/>
      <c r="AP71" s="16"/>
      <c r="AQ71" s="10"/>
      <c r="AR71" s="10"/>
      <c r="AS71" s="10"/>
      <c r="AT71" s="11"/>
      <c r="AU71" s="12"/>
      <c r="AV71" s="17"/>
      <c r="AW71" s="13"/>
      <c r="AX71" s="13"/>
      <c r="AY71" s="13"/>
      <c r="AZ71" s="14"/>
      <c r="BA71" s="9"/>
      <c r="BB71" s="16"/>
      <c r="BC71" s="10"/>
      <c r="BD71" s="10"/>
      <c r="BE71" s="10"/>
      <c r="BF71" s="11"/>
      <c r="BG71" s="12"/>
      <c r="BH71" s="17"/>
      <c r="BI71" s="13"/>
      <c r="BJ71" s="13"/>
      <c r="BK71" s="13"/>
      <c r="BL71" s="14"/>
      <c r="BM71" s="9"/>
      <c r="BN71" s="16"/>
      <c r="BO71" s="10"/>
      <c r="BP71" s="10"/>
      <c r="BQ71" s="10"/>
      <c r="BR71" s="11"/>
      <c r="BS71" s="12"/>
      <c r="BT71" s="17"/>
      <c r="BU71" s="13"/>
      <c r="BV71" s="13"/>
      <c r="BW71" s="13"/>
      <c r="BX71" s="14"/>
      <c r="BY71" s="9"/>
      <c r="BZ71" s="16"/>
      <c r="CA71" s="10"/>
      <c r="CB71" s="10"/>
      <c r="CC71" s="10"/>
      <c r="CD71" s="11"/>
      <c r="CE71" s="12"/>
      <c r="CF71" s="17"/>
      <c r="CG71" s="13"/>
      <c r="CH71" s="13"/>
      <c r="CI71" s="13"/>
      <c r="CJ71" s="14"/>
      <c r="CK71" s="9"/>
      <c r="CL71" s="16"/>
      <c r="CM71" s="10"/>
      <c r="CN71" s="10"/>
      <c r="CO71" s="10"/>
      <c r="CP71" s="11"/>
      <c r="CQ71" s="12"/>
      <c r="CR71" s="17"/>
      <c r="CS71" s="13"/>
      <c r="CT71" s="13"/>
      <c r="CU71" s="13"/>
      <c r="CV71" s="14"/>
      <c r="CW71" s="9"/>
      <c r="CX71" s="16"/>
      <c r="CY71" s="10"/>
      <c r="CZ71" s="10"/>
      <c r="DA71" s="10"/>
      <c r="DB71" s="11"/>
      <c r="DC71" s="12"/>
      <c r="DD71" s="17"/>
      <c r="DE71" s="13"/>
      <c r="DF71" s="13"/>
      <c r="DG71" s="13"/>
      <c r="DH71" s="14"/>
      <c r="DI71" s="8">
        <f t="shared" si="18"/>
        <v>109</v>
      </c>
      <c r="DJ71" s="8">
        <f t="shared" si="19"/>
        <v>185</v>
      </c>
      <c r="DK71" s="8">
        <f t="shared" si="20"/>
        <v>130</v>
      </c>
      <c r="DL71" s="8">
        <f t="shared" si="21"/>
        <v>52</v>
      </c>
      <c r="DM71" s="8">
        <f t="shared" si="22"/>
        <v>185</v>
      </c>
      <c r="DN71" s="8">
        <f t="shared" si="23"/>
        <v>109</v>
      </c>
      <c r="DO71" s="15">
        <f t="shared" si="24"/>
        <v>69.052535570752198</v>
      </c>
      <c r="DP71" s="15" t="str">
        <f t="shared" si="25"/>
        <v>OK - No Upgrade</v>
      </c>
      <c r="DQ71" s="15" t="str">
        <f t="shared" si="26"/>
        <v>Need to Balance</v>
      </c>
    </row>
    <row r="72" spans="1:121" ht="15.75" customHeight="1" x14ac:dyDescent="0.25">
      <c r="A72" s="8" t="s">
        <v>1459</v>
      </c>
      <c r="B72" s="8" t="s">
        <v>2786</v>
      </c>
      <c r="C72" s="8" t="s">
        <v>2948</v>
      </c>
      <c r="D72" s="8" t="s">
        <v>2982</v>
      </c>
      <c r="E72" s="8" t="s">
        <v>2983</v>
      </c>
      <c r="F72" s="8" t="s">
        <v>43</v>
      </c>
      <c r="G72" s="8" t="s">
        <v>44</v>
      </c>
      <c r="H72" s="8">
        <v>100</v>
      </c>
      <c r="I72" s="8" t="s">
        <v>2984</v>
      </c>
      <c r="J72" s="8">
        <v>1</v>
      </c>
      <c r="K72" s="8">
        <v>247</v>
      </c>
      <c r="L72" s="8">
        <v>248</v>
      </c>
      <c r="M72" s="8">
        <v>247</v>
      </c>
      <c r="N72" s="8">
        <v>432</v>
      </c>
      <c r="O72" s="8">
        <v>435</v>
      </c>
      <c r="P72" s="8">
        <v>431</v>
      </c>
      <c r="Q72" s="9" t="s">
        <v>47</v>
      </c>
      <c r="R72" s="16"/>
      <c r="S72" s="10">
        <v>36</v>
      </c>
      <c r="T72" s="10">
        <v>46</v>
      </c>
      <c r="U72" s="10">
        <v>45</v>
      </c>
      <c r="V72" s="11">
        <v>11</v>
      </c>
      <c r="W72" s="12" t="s">
        <v>47</v>
      </c>
      <c r="X72" s="17"/>
      <c r="Y72" s="13">
        <v>40</v>
      </c>
      <c r="Z72" s="13">
        <v>18</v>
      </c>
      <c r="AA72" s="13">
        <v>26</v>
      </c>
      <c r="AB72" s="14">
        <v>17</v>
      </c>
      <c r="AC72" s="9"/>
      <c r="AD72" s="16"/>
      <c r="AE72" s="10"/>
      <c r="AF72" s="10"/>
      <c r="AG72" s="10"/>
      <c r="AH72" s="11"/>
      <c r="AI72" s="12"/>
      <c r="AJ72" s="17"/>
      <c r="AK72" s="13"/>
      <c r="AL72" s="13"/>
      <c r="AM72" s="13"/>
      <c r="AN72" s="14"/>
      <c r="AO72" s="9"/>
      <c r="AP72" s="16"/>
      <c r="AQ72" s="10"/>
      <c r="AR72" s="10"/>
      <c r="AS72" s="10"/>
      <c r="AT72" s="11"/>
      <c r="AU72" s="12"/>
      <c r="AV72" s="17"/>
      <c r="AW72" s="13"/>
      <c r="AX72" s="13"/>
      <c r="AY72" s="13"/>
      <c r="AZ72" s="14"/>
      <c r="BA72" s="9"/>
      <c r="BB72" s="16"/>
      <c r="BC72" s="10"/>
      <c r="BD72" s="10"/>
      <c r="BE72" s="10"/>
      <c r="BF72" s="11"/>
      <c r="BG72" s="12"/>
      <c r="BH72" s="17"/>
      <c r="BI72" s="13"/>
      <c r="BJ72" s="13"/>
      <c r="BK72" s="13"/>
      <c r="BL72" s="14"/>
      <c r="BM72" s="9"/>
      <c r="BN72" s="16"/>
      <c r="BO72" s="10"/>
      <c r="BP72" s="10"/>
      <c r="BQ72" s="10"/>
      <c r="BR72" s="11"/>
      <c r="BS72" s="12"/>
      <c r="BT72" s="17"/>
      <c r="BU72" s="13"/>
      <c r="BV72" s="13"/>
      <c r="BW72" s="13"/>
      <c r="BX72" s="14"/>
      <c r="BY72" s="9"/>
      <c r="BZ72" s="16"/>
      <c r="CA72" s="10"/>
      <c r="CB72" s="10"/>
      <c r="CC72" s="10"/>
      <c r="CD72" s="11"/>
      <c r="CE72" s="12"/>
      <c r="CF72" s="17"/>
      <c r="CG72" s="13"/>
      <c r="CH72" s="13"/>
      <c r="CI72" s="13"/>
      <c r="CJ72" s="14"/>
      <c r="CK72" s="9"/>
      <c r="CL72" s="16"/>
      <c r="CM72" s="10"/>
      <c r="CN72" s="10"/>
      <c r="CO72" s="10"/>
      <c r="CP72" s="11"/>
      <c r="CQ72" s="12"/>
      <c r="CR72" s="17"/>
      <c r="CS72" s="13"/>
      <c r="CT72" s="13"/>
      <c r="CU72" s="13"/>
      <c r="CV72" s="14"/>
      <c r="CW72" s="9"/>
      <c r="CX72" s="16"/>
      <c r="CY72" s="10"/>
      <c r="CZ72" s="10"/>
      <c r="DA72" s="10"/>
      <c r="DB72" s="11"/>
      <c r="DC72" s="12"/>
      <c r="DD72" s="17"/>
      <c r="DE72" s="13"/>
      <c r="DF72" s="13"/>
      <c r="DG72" s="13"/>
      <c r="DH72" s="14"/>
      <c r="DI72" s="8">
        <f t="shared" si="18"/>
        <v>76</v>
      </c>
      <c r="DJ72" s="8">
        <f t="shared" si="19"/>
        <v>64</v>
      </c>
      <c r="DK72" s="8">
        <f t="shared" si="20"/>
        <v>71</v>
      </c>
      <c r="DL72" s="8">
        <f t="shared" si="21"/>
        <v>28</v>
      </c>
      <c r="DM72" s="8">
        <f t="shared" si="22"/>
        <v>76</v>
      </c>
      <c r="DN72" s="8">
        <f t="shared" si="23"/>
        <v>64</v>
      </c>
      <c r="DO72" s="15">
        <f t="shared" si="24"/>
        <v>56.866692114101369</v>
      </c>
      <c r="DP72" s="15" t="str">
        <f t="shared" si="25"/>
        <v>OK - No Upgrade</v>
      </c>
      <c r="DQ72" s="15" t="str">
        <f t="shared" si="26"/>
        <v>OK - Balanced</v>
      </c>
    </row>
    <row r="73" spans="1:121" ht="15.75" customHeight="1" x14ac:dyDescent="0.25">
      <c r="A73" s="8" t="s">
        <v>1459</v>
      </c>
      <c r="B73" s="8" t="s">
        <v>2786</v>
      </c>
      <c r="C73" s="8" t="s">
        <v>2948</v>
      </c>
      <c r="D73" s="8" t="s">
        <v>2985</v>
      </c>
      <c r="E73" s="8" t="s">
        <v>2986</v>
      </c>
      <c r="F73" s="8" t="s">
        <v>43</v>
      </c>
      <c r="G73" s="8" t="s">
        <v>44</v>
      </c>
      <c r="H73" s="8">
        <v>315</v>
      </c>
      <c r="I73" s="8" t="s">
        <v>2987</v>
      </c>
      <c r="J73" s="8">
        <v>1</v>
      </c>
      <c r="K73" s="8">
        <v>252</v>
      </c>
      <c r="L73" s="8">
        <v>252</v>
      </c>
      <c r="M73" s="8">
        <v>253</v>
      </c>
      <c r="N73" s="8">
        <v>440</v>
      </c>
      <c r="O73" s="8">
        <v>441</v>
      </c>
      <c r="P73" s="8">
        <v>442</v>
      </c>
      <c r="Q73" s="9" t="s">
        <v>46</v>
      </c>
      <c r="R73" s="16"/>
      <c r="S73" s="10">
        <v>18</v>
      </c>
      <c r="T73" s="10">
        <v>15</v>
      </c>
      <c r="U73" s="10">
        <v>22</v>
      </c>
      <c r="V73" s="11">
        <v>12</v>
      </c>
      <c r="W73" s="12" t="s">
        <v>46</v>
      </c>
      <c r="X73" s="17"/>
      <c r="Y73" s="13">
        <v>30</v>
      </c>
      <c r="Z73" s="13">
        <v>39</v>
      </c>
      <c r="AA73" s="13">
        <v>39</v>
      </c>
      <c r="AB73" s="14">
        <v>11</v>
      </c>
      <c r="AC73" s="9"/>
      <c r="AD73" s="16"/>
      <c r="AE73" s="10"/>
      <c r="AF73" s="10"/>
      <c r="AG73" s="10"/>
      <c r="AH73" s="11"/>
      <c r="AI73" s="12"/>
      <c r="AJ73" s="17"/>
      <c r="AK73" s="13"/>
      <c r="AL73" s="13"/>
      <c r="AM73" s="13"/>
      <c r="AN73" s="14"/>
      <c r="AO73" s="9"/>
      <c r="AP73" s="16"/>
      <c r="AQ73" s="10"/>
      <c r="AR73" s="10"/>
      <c r="AS73" s="10"/>
      <c r="AT73" s="11"/>
      <c r="AU73" s="12"/>
      <c r="AV73" s="17"/>
      <c r="AW73" s="13"/>
      <c r="AX73" s="13"/>
      <c r="AY73" s="13"/>
      <c r="AZ73" s="14"/>
      <c r="BA73" s="9"/>
      <c r="BB73" s="16"/>
      <c r="BC73" s="10"/>
      <c r="BD73" s="10"/>
      <c r="BE73" s="10"/>
      <c r="BF73" s="11"/>
      <c r="BG73" s="12"/>
      <c r="BH73" s="17"/>
      <c r="BI73" s="13"/>
      <c r="BJ73" s="13"/>
      <c r="BK73" s="13"/>
      <c r="BL73" s="14"/>
      <c r="BM73" s="9"/>
      <c r="BN73" s="16"/>
      <c r="BO73" s="10"/>
      <c r="BP73" s="10"/>
      <c r="BQ73" s="10"/>
      <c r="BR73" s="11"/>
      <c r="BS73" s="12"/>
      <c r="BT73" s="17"/>
      <c r="BU73" s="13"/>
      <c r="BV73" s="13"/>
      <c r="BW73" s="13"/>
      <c r="BX73" s="14"/>
      <c r="BY73" s="9"/>
      <c r="BZ73" s="16"/>
      <c r="CA73" s="10"/>
      <c r="CB73" s="10"/>
      <c r="CC73" s="10"/>
      <c r="CD73" s="11"/>
      <c r="CE73" s="12"/>
      <c r="CF73" s="17"/>
      <c r="CG73" s="13"/>
      <c r="CH73" s="13"/>
      <c r="CI73" s="13"/>
      <c r="CJ73" s="14"/>
      <c r="CK73" s="9"/>
      <c r="CL73" s="16"/>
      <c r="CM73" s="10"/>
      <c r="CN73" s="10"/>
      <c r="CO73" s="10"/>
      <c r="CP73" s="11"/>
      <c r="CQ73" s="12"/>
      <c r="CR73" s="17"/>
      <c r="CS73" s="13"/>
      <c r="CT73" s="13"/>
      <c r="CU73" s="13"/>
      <c r="CV73" s="14"/>
      <c r="CW73" s="9"/>
      <c r="CX73" s="16"/>
      <c r="CY73" s="10"/>
      <c r="CZ73" s="10"/>
      <c r="DA73" s="10"/>
      <c r="DB73" s="11"/>
      <c r="DC73" s="12"/>
      <c r="DD73" s="17"/>
      <c r="DE73" s="13"/>
      <c r="DF73" s="13"/>
      <c r="DG73" s="13"/>
      <c r="DH73" s="14"/>
      <c r="DI73" s="8">
        <f t="shared" si="18"/>
        <v>48</v>
      </c>
      <c r="DJ73" s="8">
        <f t="shared" si="19"/>
        <v>54</v>
      </c>
      <c r="DK73" s="8">
        <f t="shared" si="20"/>
        <v>61</v>
      </c>
      <c r="DL73" s="8">
        <f t="shared" si="21"/>
        <v>23</v>
      </c>
      <c r="DM73" s="8">
        <f t="shared" si="22"/>
        <v>61</v>
      </c>
      <c r="DN73" s="8">
        <f t="shared" si="23"/>
        <v>48</v>
      </c>
      <c r="DO73" s="15">
        <f t="shared" si="24"/>
        <v>14.758172595285288</v>
      </c>
      <c r="DP73" s="15" t="str">
        <f t="shared" si="25"/>
        <v>OK - No Upgrade</v>
      </c>
      <c r="DQ73" s="15" t="str">
        <f t="shared" si="26"/>
        <v>Need to Balance</v>
      </c>
    </row>
    <row r="74" spans="1:121" ht="15.75" customHeight="1" x14ac:dyDescent="0.25">
      <c r="A74" s="8" t="s">
        <v>1459</v>
      </c>
      <c r="B74" s="8" t="s">
        <v>2786</v>
      </c>
      <c r="C74" s="8" t="s">
        <v>2948</v>
      </c>
      <c r="D74" s="8" t="s">
        <v>2988</v>
      </c>
      <c r="E74" s="8" t="s">
        <v>2989</v>
      </c>
      <c r="F74" s="8" t="s">
        <v>43</v>
      </c>
      <c r="G74" s="8" t="s">
        <v>44</v>
      </c>
      <c r="H74" s="8">
        <v>315</v>
      </c>
      <c r="I74" s="8" t="s">
        <v>2990</v>
      </c>
      <c r="J74" s="8">
        <v>1</v>
      </c>
      <c r="K74" s="8">
        <v>251</v>
      </c>
      <c r="L74" s="8">
        <v>252</v>
      </c>
      <c r="M74" s="8">
        <v>251</v>
      </c>
      <c r="N74" s="8">
        <v>437</v>
      </c>
      <c r="O74" s="8">
        <v>439</v>
      </c>
      <c r="P74" s="8">
        <v>438</v>
      </c>
      <c r="Q74" s="9" t="s">
        <v>46</v>
      </c>
      <c r="R74" s="16"/>
      <c r="S74" s="10">
        <v>50</v>
      </c>
      <c r="T74" s="10">
        <v>65</v>
      </c>
      <c r="U74" s="10">
        <v>52</v>
      </c>
      <c r="V74" s="11">
        <v>13</v>
      </c>
      <c r="W74" s="12" t="s">
        <v>46</v>
      </c>
      <c r="X74" s="17"/>
      <c r="Y74" s="13">
        <v>84</v>
      </c>
      <c r="Z74" s="13">
        <v>55</v>
      </c>
      <c r="AA74" s="13">
        <v>111</v>
      </c>
      <c r="AB74" s="14">
        <v>65</v>
      </c>
      <c r="AC74" s="9" t="s">
        <v>47</v>
      </c>
      <c r="AD74" s="16"/>
      <c r="AE74" s="10">
        <v>42</v>
      </c>
      <c r="AF74" s="10">
        <v>51</v>
      </c>
      <c r="AG74" s="10">
        <v>35</v>
      </c>
      <c r="AH74" s="11">
        <v>23</v>
      </c>
      <c r="AI74" s="12"/>
      <c r="AJ74" s="17"/>
      <c r="AK74" s="13"/>
      <c r="AL74" s="13"/>
      <c r="AM74" s="13"/>
      <c r="AN74" s="14"/>
      <c r="AO74" s="9"/>
      <c r="AP74" s="16"/>
      <c r="AQ74" s="10"/>
      <c r="AR74" s="10"/>
      <c r="AS74" s="10"/>
      <c r="AT74" s="11"/>
      <c r="AU74" s="12"/>
      <c r="AV74" s="17"/>
      <c r="AW74" s="13"/>
      <c r="AX74" s="13"/>
      <c r="AY74" s="13"/>
      <c r="AZ74" s="14"/>
      <c r="BA74" s="9"/>
      <c r="BB74" s="16"/>
      <c r="BC74" s="10"/>
      <c r="BD74" s="10"/>
      <c r="BE74" s="10"/>
      <c r="BF74" s="11"/>
      <c r="BG74" s="12"/>
      <c r="BH74" s="17"/>
      <c r="BI74" s="13"/>
      <c r="BJ74" s="13"/>
      <c r="BK74" s="13"/>
      <c r="BL74" s="14"/>
      <c r="BM74" s="9"/>
      <c r="BN74" s="16"/>
      <c r="BO74" s="10"/>
      <c r="BP74" s="10"/>
      <c r="BQ74" s="10"/>
      <c r="BR74" s="11"/>
      <c r="BS74" s="12"/>
      <c r="BT74" s="17"/>
      <c r="BU74" s="13"/>
      <c r="BV74" s="13"/>
      <c r="BW74" s="13"/>
      <c r="BX74" s="14"/>
      <c r="BY74" s="9"/>
      <c r="BZ74" s="16"/>
      <c r="CA74" s="10"/>
      <c r="CB74" s="10"/>
      <c r="CC74" s="10"/>
      <c r="CD74" s="11"/>
      <c r="CE74" s="12"/>
      <c r="CF74" s="17"/>
      <c r="CG74" s="13"/>
      <c r="CH74" s="13"/>
      <c r="CI74" s="13"/>
      <c r="CJ74" s="14"/>
      <c r="CK74" s="9"/>
      <c r="CL74" s="16"/>
      <c r="CM74" s="10"/>
      <c r="CN74" s="10"/>
      <c r="CO74" s="10"/>
      <c r="CP74" s="11"/>
      <c r="CQ74" s="12"/>
      <c r="CR74" s="17"/>
      <c r="CS74" s="13"/>
      <c r="CT74" s="13"/>
      <c r="CU74" s="13"/>
      <c r="CV74" s="14"/>
      <c r="CW74" s="9"/>
      <c r="CX74" s="16"/>
      <c r="CY74" s="10"/>
      <c r="CZ74" s="10"/>
      <c r="DA74" s="10"/>
      <c r="DB74" s="11"/>
      <c r="DC74" s="12"/>
      <c r="DD74" s="17"/>
      <c r="DE74" s="13"/>
      <c r="DF74" s="13"/>
      <c r="DG74" s="13"/>
      <c r="DH74" s="14"/>
      <c r="DI74" s="8">
        <f t="shared" si="18"/>
        <v>176</v>
      </c>
      <c r="DJ74" s="8">
        <f t="shared" si="19"/>
        <v>171</v>
      </c>
      <c r="DK74" s="8">
        <f t="shared" si="20"/>
        <v>198</v>
      </c>
      <c r="DL74" s="8">
        <f t="shared" si="21"/>
        <v>101</v>
      </c>
      <c r="DM74" s="8">
        <f t="shared" si="22"/>
        <v>198</v>
      </c>
      <c r="DN74" s="8">
        <f t="shared" si="23"/>
        <v>171</v>
      </c>
      <c r="DO74" s="15">
        <f t="shared" si="24"/>
        <v>47.57696132562053</v>
      </c>
      <c r="DP74" s="15" t="str">
        <f t="shared" si="25"/>
        <v>OK - No Upgrade</v>
      </c>
      <c r="DQ74" s="15" t="str">
        <f t="shared" si="26"/>
        <v>OK - Balanced</v>
      </c>
    </row>
    <row r="75" spans="1:121" ht="15.75" customHeight="1" x14ac:dyDescent="0.25">
      <c r="A75" s="8" t="s">
        <v>1459</v>
      </c>
      <c r="B75" s="8" t="s">
        <v>2786</v>
      </c>
      <c r="C75" s="8" t="s">
        <v>2948</v>
      </c>
      <c r="D75" s="8" t="s">
        <v>2991</v>
      </c>
      <c r="E75" s="8" t="s">
        <v>2992</v>
      </c>
      <c r="F75" s="8" t="s">
        <v>56</v>
      </c>
      <c r="G75" s="8" t="s">
        <v>44</v>
      </c>
      <c r="H75" s="8">
        <v>1000</v>
      </c>
      <c r="I75" s="8" t="s">
        <v>1767</v>
      </c>
      <c r="J75" s="8">
        <v>1</v>
      </c>
      <c r="K75" s="8">
        <v>254</v>
      </c>
      <c r="L75" s="8">
        <v>254</v>
      </c>
      <c r="M75" s="8">
        <v>255</v>
      </c>
      <c r="N75" s="8">
        <v>442</v>
      </c>
      <c r="O75" s="8">
        <v>441</v>
      </c>
      <c r="P75" s="8">
        <v>443</v>
      </c>
      <c r="Q75" s="9"/>
      <c r="R75" s="16"/>
      <c r="S75" s="10"/>
      <c r="T75" s="10"/>
      <c r="U75" s="10"/>
      <c r="V75" s="11"/>
      <c r="W75" s="12"/>
      <c r="X75" s="17"/>
      <c r="Y75" s="13"/>
      <c r="Z75" s="13"/>
      <c r="AA75" s="13"/>
      <c r="AB75" s="14"/>
      <c r="AC75" s="9"/>
      <c r="AD75" s="16"/>
      <c r="AE75" s="10"/>
      <c r="AF75" s="10"/>
      <c r="AG75" s="10"/>
      <c r="AH75" s="11"/>
      <c r="AI75" s="12"/>
      <c r="AJ75" s="17"/>
      <c r="AK75" s="13"/>
      <c r="AL75" s="13"/>
      <c r="AM75" s="13"/>
      <c r="AN75" s="14"/>
      <c r="AO75" s="9"/>
      <c r="AP75" s="16"/>
      <c r="AQ75" s="10"/>
      <c r="AR75" s="10"/>
      <c r="AS75" s="10"/>
      <c r="AT75" s="11"/>
      <c r="AU75" s="12" t="s">
        <v>47</v>
      </c>
      <c r="AV75" s="17"/>
      <c r="AW75" s="13">
        <v>61</v>
      </c>
      <c r="AX75" s="13">
        <v>83</v>
      </c>
      <c r="AY75" s="13">
        <v>93</v>
      </c>
      <c r="AZ75" s="14">
        <v>29</v>
      </c>
      <c r="BA75" s="9" t="s">
        <v>47</v>
      </c>
      <c r="BB75" s="16"/>
      <c r="BC75" s="10">
        <v>122</v>
      </c>
      <c r="BD75" s="10">
        <v>90</v>
      </c>
      <c r="BE75" s="10">
        <v>93</v>
      </c>
      <c r="BF75" s="11">
        <v>31</v>
      </c>
      <c r="BG75" s="12" t="s">
        <v>47</v>
      </c>
      <c r="BH75" s="17"/>
      <c r="BI75" s="13">
        <v>60</v>
      </c>
      <c r="BJ75" s="13">
        <v>20</v>
      </c>
      <c r="BK75" s="13">
        <v>97</v>
      </c>
      <c r="BL75" s="14">
        <v>57</v>
      </c>
      <c r="BM75" s="9"/>
      <c r="BN75" s="16"/>
      <c r="BO75" s="10"/>
      <c r="BP75" s="10"/>
      <c r="BQ75" s="10"/>
      <c r="BR75" s="11"/>
      <c r="BS75" s="12"/>
      <c r="BT75" s="17"/>
      <c r="BU75" s="13"/>
      <c r="BV75" s="13"/>
      <c r="BW75" s="13"/>
      <c r="BX75" s="14"/>
      <c r="BY75" s="9"/>
      <c r="BZ75" s="16"/>
      <c r="CA75" s="10"/>
      <c r="CB75" s="10"/>
      <c r="CC75" s="10"/>
      <c r="CD75" s="11"/>
      <c r="CE75" s="12"/>
      <c r="CF75" s="17"/>
      <c r="CG75" s="13"/>
      <c r="CH75" s="13"/>
      <c r="CI75" s="13"/>
      <c r="CJ75" s="14"/>
      <c r="CK75" s="9"/>
      <c r="CL75" s="16"/>
      <c r="CM75" s="10"/>
      <c r="CN75" s="10"/>
      <c r="CO75" s="10"/>
      <c r="CP75" s="11"/>
      <c r="CQ75" s="12"/>
      <c r="CR75" s="17"/>
      <c r="CS75" s="13"/>
      <c r="CT75" s="13"/>
      <c r="CU75" s="13"/>
      <c r="CV75" s="14"/>
      <c r="CW75" s="9"/>
      <c r="CX75" s="16"/>
      <c r="CY75" s="10"/>
      <c r="CZ75" s="10"/>
      <c r="DA75" s="10"/>
      <c r="DB75" s="11"/>
      <c r="DC75" s="12"/>
      <c r="DD75" s="17"/>
      <c r="DE75" s="13"/>
      <c r="DF75" s="13"/>
      <c r="DG75" s="13"/>
      <c r="DH75" s="14"/>
      <c r="DI75" s="8">
        <f t="shared" si="18"/>
        <v>243</v>
      </c>
      <c r="DJ75" s="8">
        <f t="shared" si="19"/>
        <v>193</v>
      </c>
      <c r="DK75" s="8">
        <f t="shared" si="20"/>
        <v>283</v>
      </c>
      <c r="DL75" s="8">
        <f t="shared" si="21"/>
        <v>117</v>
      </c>
      <c r="DM75" s="8">
        <f t="shared" si="22"/>
        <v>283</v>
      </c>
      <c r="DN75" s="8">
        <f t="shared" si="23"/>
        <v>193</v>
      </c>
      <c r="DO75" s="15">
        <f t="shared" si="24"/>
        <v>21.665530731556057</v>
      </c>
      <c r="DP75" s="15" t="str">
        <f t="shared" si="25"/>
        <v>OK - No Upgrade</v>
      </c>
      <c r="DQ75" s="15" t="str">
        <f t="shared" si="26"/>
        <v>Need to Balance</v>
      </c>
    </row>
    <row r="76" spans="1:121" ht="15.75" customHeight="1" x14ac:dyDescent="0.25">
      <c r="A76" s="8" t="s">
        <v>1459</v>
      </c>
      <c r="B76" s="8" t="s">
        <v>2786</v>
      </c>
      <c r="C76" s="8" t="s">
        <v>2948</v>
      </c>
      <c r="D76" s="8" t="s">
        <v>2993</v>
      </c>
      <c r="E76" s="8" t="s">
        <v>2994</v>
      </c>
      <c r="F76" s="8" t="s">
        <v>43</v>
      </c>
      <c r="G76" s="8" t="s">
        <v>44</v>
      </c>
      <c r="H76" s="8">
        <v>100</v>
      </c>
      <c r="I76" s="8" t="s">
        <v>2995</v>
      </c>
      <c r="J76" s="8">
        <v>1</v>
      </c>
      <c r="K76" s="8">
        <v>240</v>
      </c>
      <c r="L76" s="8">
        <v>242</v>
      </c>
      <c r="M76" s="8">
        <v>243</v>
      </c>
      <c r="N76" s="8">
        <v>440</v>
      </c>
      <c r="O76" s="8">
        <v>442</v>
      </c>
      <c r="P76" s="8">
        <v>441</v>
      </c>
      <c r="Q76" s="9" t="s">
        <v>46</v>
      </c>
      <c r="R76" s="16"/>
      <c r="S76" s="10">
        <v>8</v>
      </c>
      <c r="T76" s="10">
        <v>9</v>
      </c>
      <c r="U76" s="10">
        <v>5</v>
      </c>
      <c r="V76" s="11">
        <v>3</v>
      </c>
      <c r="W76" s="12"/>
      <c r="X76" s="17"/>
      <c r="Y76" s="13"/>
      <c r="Z76" s="13"/>
      <c r="AA76" s="13"/>
      <c r="AB76" s="14"/>
      <c r="AC76" s="9"/>
      <c r="AD76" s="16"/>
      <c r="AE76" s="10"/>
      <c r="AF76" s="10"/>
      <c r="AG76" s="10"/>
      <c r="AH76" s="11"/>
      <c r="AI76" s="12"/>
      <c r="AJ76" s="17"/>
      <c r="AK76" s="13"/>
      <c r="AL76" s="13"/>
      <c r="AM76" s="13"/>
      <c r="AN76" s="14"/>
      <c r="AO76" s="9"/>
      <c r="AP76" s="16"/>
      <c r="AQ76" s="10"/>
      <c r="AR76" s="10"/>
      <c r="AS76" s="10"/>
      <c r="AT76" s="11"/>
      <c r="AU76" s="12"/>
      <c r="AV76" s="17"/>
      <c r="AW76" s="13"/>
      <c r="AX76" s="13"/>
      <c r="AY76" s="13"/>
      <c r="AZ76" s="14"/>
      <c r="BA76" s="9"/>
      <c r="BB76" s="16"/>
      <c r="BC76" s="10"/>
      <c r="BD76" s="10"/>
      <c r="BE76" s="10"/>
      <c r="BF76" s="11"/>
      <c r="BG76" s="12"/>
      <c r="BH76" s="17"/>
      <c r="BI76" s="13"/>
      <c r="BJ76" s="13"/>
      <c r="BK76" s="13"/>
      <c r="BL76" s="14"/>
      <c r="BM76" s="9"/>
      <c r="BN76" s="16"/>
      <c r="BO76" s="10"/>
      <c r="BP76" s="10"/>
      <c r="BQ76" s="10"/>
      <c r="BR76" s="11"/>
      <c r="BS76" s="12"/>
      <c r="BT76" s="17"/>
      <c r="BU76" s="13"/>
      <c r="BV76" s="13"/>
      <c r="BW76" s="13"/>
      <c r="BX76" s="14"/>
      <c r="BY76" s="9"/>
      <c r="BZ76" s="16"/>
      <c r="CA76" s="10"/>
      <c r="CB76" s="10"/>
      <c r="CC76" s="10"/>
      <c r="CD76" s="11"/>
      <c r="CE76" s="12"/>
      <c r="CF76" s="17"/>
      <c r="CG76" s="13"/>
      <c r="CH76" s="13"/>
      <c r="CI76" s="13"/>
      <c r="CJ76" s="14"/>
      <c r="CK76" s="9"/>
      <c r="CL76" s="16"/>
      <c r="CM76" s="10"/>
      <c r="CN76" s="10"/>
      <c r="CO76" s="10"/>
      <c r="CP76" s="11"/>
      <c r="CQ76" s="12"/>
      <c r="CR76" s="17"/>
      <c r="CS76" s="13"/>
      <c r="CT76" s="13"/>
      <c r="CU76" s="13"/>
      <c r="CV76" s="14"/>
      <c r="CW76" s="9"/>
      <c r="CX76" s="16"/>
      <c r="CY76" s="10"/>
      <c r="CZ76" s="10"/>
      <c r="DA76" s="10"/>
      <c r="DB76" s="11"/>
      <c r="DC76" s="12"/>
      <c r="DD76" s="17"/>
      <c r="DE76" s="13"/>
      <c r="DF76" s="13"/>
      <c r="DG76" s="13"/>
      <c r="DH76" s="14"/>
      <c r="DI76" s="8">
        <f t="shared" si="18"/>
        <v>8</v>
      </c>
      <c r="DJ76" s="8">
        <f t="shared" si="19"/>
        <v>9</v>
      </c>
      <c r="DK76" s="8">
        <f t="shared" si="20"/>
        <v>5</v>
      </c>
      <c r="DL76" s="8">
        <f t="shared" si="21"/>
        <v>3</v>
      </c>
      <c r="DM76" s="8">
        <f t="shared" si="22"/>
        <v>9</v>
      </c>
      <c r="DN76" s="8">
        <f t="shared" si="23"/>
        <v>5</v>
      </c>
      <c r="DO76" s="15">
        <f t="shared" si="24"/>
        <v>6.8589211979727533</v>
      </c>
      <c r="DP76" s="15" t="str">
        <f t="shared" si="25"/>
        <v>OK - No Upgrade</v>
      </c>
      <c r="DQ76" s="15" t="str">
        <f t="shared" si="26"/>
        <v>Need to Balance</v>
      </c>
    </row>
    <row r="77" spans="1:121" ht="15.75" customHeight="1" x14ac:dyDescent="0.25">
      <c r="A77" s="8" t="s">
        <v>1459</v>
      </c>
      <c r="B77" s="8" t="s">
        <v>2786</v>
      </c>
      <c r="C77" s="8" t="s">
        <v>2948</v>
      </c>
      <c r="D77" s="8" t="s">
        <v>2996</v>
      </c>
      <c r="E77" s="8" t="s">
        <v>2997</v>
      </c>
      <c r="F77" s="8" t="s">
        <v>43</v>
      </c>
      <c r="G77" s="8" t="s">
        <v>44</v>
      </c>
      <c r="H77" s="8">
        <v>315</v>
      </c>
      <c r="I77" s="8" t="s">
        <v>2998</v>
      </c>
      <c r="J77" s="8">
        <v>1</v>
      </c>
      <c r="K77" s="8">
        <v>253</v>
      </c>
      <c r="L77" s="8">
        <v>254</v>
      </c>
      <c r="M77" s="8">
        <v>253</v>
      </c>
      <c r="N77" s="8">
        <v>440</v>
      </c>
      <c r="O77" s="8">
        <v>441</v>
      </c>
      <c r="P77" s="8">
        <v>440</v>
      </c>
      <c r="Q77" s="9" t="s">
        <v>46</v>
      </c>
      <c r="R77" s="16"/>
      <c r="S77" s="10">
        <v>84</v>
      </c>
      <c r="T77" s="10">
        <v>96</v>
      </c>
      <c r="U77" s="10">
        <v>61</v>
      </c>
      <c r="V77" s="11">
        <v>23</v>
      </c>
      <c r="W77" s="12" t="s">
        <v>46</v>
      </c>
      <c r="X77" s="17"/>
      <c r="Y77" s="13">
        <v>109</v>
      </c>
      <c r="Z77" s="13">
        <v>124</v>
      </c>
      <c r="AA77" s="13">
        <v>112</v>
      </c>
      <c r="AB77" s="14">
        <v>24</v>
      </c>
      <c r="AC77" s="9"/>
      <c r="AD77" s="16"/>
      <c r="AE77" s="10"/>
      <c r="AF77" s="10"/>
      <c r="AG77" s="10"/>
      <c r="AH77" s="11"/>
      <c r="AI77" s="12"/>
      <c r="AJ77" s="17"/>
      <c r="AK77" s="13"/>
      <c r="AL77" s="13"/>
      <c r="AM77" s="13"/>
      <c r="AN77" s="14"/>
      <c r="AO77" s="9"/>
      <c r="AP77" s="16"/>
      <c r="AQ77" s="10"/>
      <c r="AR77" s="10"/>
      <c r="AS77" s="10"/>
      <c r="AT77" s="11"/>
      <c r="AU77" s="12"/>
      <c r="AV77" s="17"/>
      <c r="AW77" s="13"/>
      <c r="AX77" s="13"/>
      <c r="AY77" s="13"/>
      <c r="AZ77" s="14"/>
      <c r="BA77" s="9"/>
      <c r="BB77" s="16"/>
      <c r="BC77" s="10"/>
      <c r="BD77" s="10"/>
      <c r="BE77" s="10"/>
      <c r="BF77" s="11"/>
      <c r="BG77" s="12"/>
      <c r="BH77" s="17"/>
      <c r="BI77" s="13"/>
      <c r="BJ77" s="13"/>
      <c r="BK77" s="13"/>
      <c r="BL77" s="14"/>
      <c r="BM77" s="9"/>
      <c r="BN77" s="16"/>
      <c r="BO77" s="10"/>
      <c r="BP77" s="10"/>
      <c r="BQ77" s="10"/>
      <c r="BR77" s="11"/>
      <c r="BS77" s="12"/>
      <c r="BT77" s="17"/>
      <c r="BU77" s="13"/>
      <c r="BV77" s="13"/>
      <c r="BW77" s="13"/>
      <c r="BX77" s="14"/>
      <c r="BY77" s="9"/>
      <c r="BZ77" s="16"/>
      <c r="CA77" s="10"/>
      <c r="CB77" s="10"/>
      <c r="CC77" s="10"/>
      <c r="CD77" s="11"/>
      <c r="CE77" s="12"/>
      <c r="CF77" s="17"/>
      <c r="CG77" s="13"/>
      <c r="CH77" s="13"/>
      <c r="CI77" s="13"/>
      <c r="CJ77" s="14"/>
      <c r="CK77" s="9"/>
      <c r="CL77" s="16"/>
      <c r="CM77" s="10"/>
      <c r="CN77" s="10"/>
      <c r="CO77" s="10"/>
      <c r="CP77" s="11"/>
      <c r="CQ77" s="12"/>
      <c r="CR77" s="17"/>
      <c r="CS77" s="13"/>
      <c r="CT77" s="13"/>
      <c r="CU77" s="13"/>
      <c r="CV77" s="14"/>
      <c r="CW77" s="9"/>
      <c r="CX77" s="16"/>
      <c r="CY77" s="10"/>
      <c r="CZ77" s="10"/>
      <c r="DA77" s="10"/>
      <c r="DB77" s="11"/>
      <c r="DC77" s="12"/>
      <c r="DD77" s="17"/>
      <c r="DE77" s="13"/>
      <c r="DF77" s="13"/>
      <c r="DG77" s="13"/>
      <c r="DH77" s="14"/>
      <c r="DI77" s="8">
        <f t="shared" si="18"/>
        <v>193</v>
      </c>
      <c r="DJ77" s="8">
        <f t="shared" si="19"/>
        <v>220</v>
      </c>
      <c r="DK77" s="8">
        <f t="shared" si="20"/>
        <v>173</v>
      </c>
      <c r="DL77" s="8">
        <f t="shared" si="21"/>
        <v>47</v>
      </c>
      <c r="DM77" s="8">
        <f t="shared" si="22"/>
        <v>220</v>
      </c>
      <c r="DN77" s="8">
        <f t="shared" si="23"/>
        <v>173</v>
      </c>
      <c r="DO77" s="15">
        <f t="shared" si="24"/>
        <v>53.226196245291213</v>
      </c>
      <c r="DP77" s="15" t="str">
        <f t="shared" si="25"/>
        <v>OK - No Upgrade</v>
      </c>
      <c r="DQ77" s="15" t="str">
        <f t="shared" si="26"/>
        <v>Need to Balance</v>
      </c>
    </row>
    <row r="78" spans="1:121" ht="15.75" customHeight="1" x14ac:dyDescent="0.25">
      <c r="A78" s="8" t="s">
        <v>1459</v>
      </c>
      <c r="B78" s="8" t="s">
        <v>2786</v>
      </c>
      <c r="C78" s="8" t="s">
        <v>2948</v>
      </c>
      <c r="D78" s="8" t="s">
        <v>2999</v>
      </c>
      <c r="E78" s="8" t="s">
        <v>3000</v>
      </c>
      <c r="F78" s="8" t="s">
        <v>43</v>
      </c>
      <c r="G78" s="8" t="s">
        <v>44</v>
      </c>
      <c r="H78" s="8">
        <v>315</v>
      </c>
      <c r="I78" s="8" t="s">
        <v>3001</v>
      </c>
      <c r="J78" s="8">
        <v>1</v>
      </c>
      <c r="K78" s="8">
        <v>254</v>
      </c>
      <c r="L78" s="8">
        <v>254</v>
      </c>
      <c r="M78" s="8">
        <v>255</v>
      </c>
      <c r="N78" s="8">
        <v>443</v>
      </c>
      <c r="O78" s="8">
        <v>444</v>
      </c>
      <c r="P78" s="8">
        <v>442</v>
      </c>
      <c r="Q78" s="9" t="s">
        <v>46</v>
      </c>
      <c r="R78" s="16"/>
      <c r="S78" s="10"/>
      <c r="T78" s="10"/>
      <c r="U78" s="10"/>
      <c r="V78" s="11"/>
      <c r="W78" s="12" t="s">
        <v>46</v>
      </c>
      <c r="X78" s="17"/>
      <c r="Y78" s="13">
        <v>154</v>
      </c>
      <c r="Z78" s="13">
        <v>157</v>
      </c>
      <c r="AA78" s="13">
        <v>150</v>
      </c>
      <c r="AB78" s="14">
        <v>13</v>
      </c>
      <c r="AC78" s="9"/>
      <c r="AD78" s="16"/>
      <c r="AE78" s="10"/>
      <c r="AF78" s="10"/>
      <c r="AG78" s="10"/>
      <c r="AH78" s="11"/>
      <c r="AI78" s="12"/>
      <c r="AJ78" s="17"/>
      <c r="AK78" s="13"/>
      <c r="AL78" s="13"/>
      <c r="AM78" s="13"/>
      <c r="AN78" s="14"/>
      <c r="AO78" s="9"/>
      <c r="AP78" s="16"/>
      <c r="AQ78" s="10"/>
      <c r="AR78" s="10"/>
      <c r="AS78" s="10"/>
      <c r="AT78" s="11"/>
      <c r="AU78" s="12"/>
      <c r="AV78" s="17"/>
      <c r="AW78" s="13"/>
      <c r="AX78" s="13"/>
      <c r="AY78" s="13"/>
      <c r="AZ78" s="14"/>
      <c r="BA78" s="9"/>
      <c r="BB78" s="16"/>
      <c r="BC78" s="10"/>
      <c r="BD78" s="10"/>
      <c r="BE78" s="10"/>
      <c r="BF78" s="11"/>
      <c r="BG78" s="12"/>
      <c r="BH78" s="17"/>
      <c r="BI78" s="13"/>
      <c r="BJ78" s="13"/>
      <c r="BK78" s="13"/>
      <c r="BL78" s="14"/>
      <c r="BM78" s="9"/>
      <c r="BN78" s="16"/>
      <c r="BO78" s="10"/>
      <c r="BP78" s="10"/>
      <c r="BQ78" s="10"/>
      <c r="BR78" s="11"/>
      <c r="BS78" s="12"/>
      <c r="BT78" s="17"/>
      <c r="BU78" s="13"/>
      <c r="BV78" s="13"/>
      <c r="BW78" s="13"/>
      <c r="BX78" s="14"/>
      <c r="BY78" s="9"/>
      <c r="BZ78" s="16"/>
      <c r="CA78" s="10"/>
      <c r="CB78" s="10"/>
      <c r="CC78" s="10"/>
      <c r="CD78" s="11"/>
      <c r="CE78" s="12"/>
      <c r="CF78" s="17"/>
      <c r="CG78" s="13"/>
      <c r="CH78" s="13"/>
      <c r="CI78" s="13"/>
      <c r="CJ78" s="14"/>
      <c r="CK78" s="9"/>
      <c r="CL78" s="16"/>
      <c r="CM78" s="10"/>
      <c r="CN78" s="10"/>
      <c r="CO78" s="10"/>
      <c r="CP78" s="11"/>
      <c r="CQ78" s="12"/>
      <c r="CR78" s="17"/>
      <c r="CS78" s="13"/>
      <c r="CT78" s="13"/>
      <c r="CU78" s="13"/>
      <c r="CV78" s="14"/>
      <c r="CW78" s="9"/>
      <c r="CX78" s="16"/>
      <c r="CY78" s="10"/>
      <c r="CZ78" s="10"/>
      <c r="DA78" s="10"/>
      <c r="DB78" s="11"/>
      <c r="DC78" s="12"/>
      <c r="DD78" s="17"/>
      <c r="DE78" s="13"/>
      <c r="DF78" s="13"/>
      <c r="DG78" s="13"/>
      <c r="DH78" s="14"/>
      <c r="DI78" s="8">
        <f t="shared" si="18"/>
        <v>154</v>
      </c>
      <c r="DJ78" s="8">
        <f t="shared" si="19"/>
        <v>157</v>
      </c>
      <c r="DK78" s="8">
        <f t="shared" si="20"/>
        <v>150</v>
      </c>
      <c r="DL78" s="8">
        <f t="shared" si="21"/>
        <v>13</v>
      </c>
      <c r="DM78" s="8">
        <f t="shared" si="22"/>
        <v>157</v>
      </c>
      <c r="DN78" s="8">
        <f t="shared" si="23"/>
        <v>150</v>
      </c>
      <c r="DO78" s="15">
        <f t="shared" si="24"/>
        <v>38.243131973721574</v>
      </c>
      <c r="DP78" s="15" t="str">
        <f t="shared" si="25"/>
        <v>OK - No Upgrade</v>
      </c>
      <c r="DQ78" s="15" t="str">
        <f t="shared" si="26"/>
        <v>OK - Balanced</v>
      </c>
    </row>
    <row r="79" spans="1:121" ht="15.75" customHeight="1" x14ac:dyDescent="0.25">
      <c r="A79" s="8" t="s">
        <v>1459</v>
      </c>
      <c r="B79" s="8" t="s">
        <v>2786</v>
      </c>
      <c r="C79" s="8" t="s">
        <v>40</v>
      </c>
      <c r="D79" s="8" t="s">
        <v>3002</v>
      </c>
      <c r="E79" s="8" t="s">
        <v>3003</v>
      </c>
      <c r="F79" s="8" t="s">
        <v>43</v>
      </c>
      <c r="G79" s="8"/>
      <c r="H79" s="8">
        <v>315</v>
      </c>
      <c r="I79" s="8" t="s">
        <v>3004</v>
      </c>
      <c r="J79" s="8">
        <v>1</v>
      </c>
      <c r="K79" s="8">
        <v>238</v>
      </c>
      <c r="L79" s="8">
        <v>237</v>
      </c>
      <c r="M79" s="8">
        <v>236</v>
      </c>
      <c r="N79" s="8">
        <v>410</v>
      </c>
      <c r="O79" s="8">
        <v>412</v>
      </c>
      <c r="P79" s="8">
        <v>410</v>
      </c>
      <c r="Q79" s="9" t="s">
        <v>46</v>
      </c>
      <c r="R79" s="16"/>
      <c r="S79" s="10">
        <v>38</v>
      </c>
      <c r="T79" s="10">
        <v>48</v>
      </c>
      <c r="U79" s="10">
        <v>57</v>
      </c>
      <c r="V79" s="11">
        <v>15</v>
      </c>
      <c r="W79" s="12"/>
      <c r="X79" s="17"/>
      <c r="Y79" s="13"/>
      <c r="Z79" s="13"/>
      <c r="AA79" s="13"/>
      <c r="AB79" s="14"/>
      <c r="AC79" s="9"/>
      <c r="AD79" s="16"/>
      <c r="AE79" s="10"/>
      <c r="AF79" s="10"/>
      <c r="AG79" s="10"/>
      <c r="AH79" s="11"/>
      <c r="AI79" s="12"/>
      <c r="AJ79" s="17"/>
      <c r="AK79" s="13"/>
      <c r="AL79" s="13"/>
      <c r="AM79" s="13"/>
      <c r="AN79" s="14"/>
      <c r="AO79" s="9"/>
      <c r="AP79" s="16"/>
      <c r="AQ79" s="10"/>
      <c r="AR79" s="10"/>
      <c r="AS79" s="10"/>
      <c r="AT79" s="11"/>
      <c r="AU79" s="12"/>
      <c r="AV79" s="17"/>
      <c r="AW79" s="13"/>
      <c r="AX79" s="13"/>
      <c r="AY79" s="13"/>
      <c r="AZ79" s="14"/>
      <c r="BA79" s="9"/>
      <c r="BB79" s="16"/>
      <c r="BC79" s="10"/>
      <c r="BD79" s="10"/>
      <c r="BE79" s="10"/>
      <c r="BF79" s="11"/>
      <c r="BG79" s="12"/>
      <c r="BH79" s="17"/>
      <c r="BI79" s="13"/>
      <c r="BJ79" s="13"/>
      <c r="BK79" s="13"/>
      <c r="BL79" s="14"/>
      <c r="BM79" s="9"/>
      <c r="BN79" s="16"/>
      <c r="BO79" s="10"/>
      <c r="BP79" s="10"/>
      <c r="BQ79" s="10"/>
      <c r="BR79" s="11"/>
      <c r="BS79" s="12"/>
      <c r="BT79" s="17"/>
      <c r="BU79" s="13"/>
      <c r="BV79" s="13"/>
      <c r="BW79" s="13"/>
      <c r="BX79" s="14"/>
      <c r="BY79" s="9"/>
      <c r="BZ79" s="16"/>
      <c r="CA79" s="10"/>
      <c r="CB79" s="10"/>
      <c r="CC79" s="10"/>
      <c r="CD79" s="11"/>
      <c r="CE79" s="12"/>
      <c r="CF79" s="17"/>
      <c r="CG79" s="13"/>
      <c r="CH79" s="13"/>
      <c r="CI79" s="13"/>
      <c r="CJ79" s="14"/>
      <c r="CK79" s="9"/>
      <c r="CL79" s="16"/>
      <c r="CM79" s="10"/>
      <c r="CN79" s="10"/>
      <c r="CO79" s="10"/>
      <c r="CP79" s="11"/>
      <c r="CQ79" s="12"/>
      <c r="CR79" s="17"/>
      <c r="CS79" s="13"/>
      <c r="CT79" s="13"/>
      <c r="CU79" s="13"/>
      <c r="CV79" s="14"/>
      <c r="CW79" s="9"/>
      <c r="CX79" s="16"/>
      <c r="CY79" s="10"/>
      <c r="CZ79" s="10"/>
      <c r="DA79" s="10"/>
      <c r="DB79" s="11"/>
      <c r="DC79" s="12"/>
      <c r="DD79" s="17"/>
      <c r="DE79" s="13"/>
      <c r="DF79" s="13"/>
      <c r="DG79" s="13"/>
      <c r="DH79" s="14"/>
      <c r="DI79" s="8">
        <f t="shared" si="18"/>
        <v>38</v>
      </c>
      <c r="DJ79" s="8">
        <f t="shared" si="19"/>
        <v>48</v>
      </c>
      <c r="DK79" s="8">
        <f t="shared" si="20"/>
        <v>57</v>
      </c>
      <c r="DL79" s="8">
        <f t="shared" si="21"/>
        <v>15</v>
      </c>
      <c r="DM79" s="8">
        <f t="shared" si="22"/>
        <v>57</v>
      </c>
      <c r="DN79" s="8">
        <f t="shared" si="23"/>
        <v>38</v>
      </c>
      <c r="DO79" s="15">
        <f t="shared" si="24"/>
        <v>12.850167419963384</v>
      </c>
      <c r="DP79" s="15" t="str">
        <f t="shared" si="25"/>
        <v>OK - No Upgrade</v>
      </c>
      <c r="DQ79" s="15" t="str">
        <f t="shared" si="26"/>
        <v>Need to Balance</v>
      </c>
    </row>
  </sheetData>
  <mergeCells count="135">
    <mergeCell ref="DD2:DD3"/>
    <mergeCell ref="DO1:DO3"/>
    <mergeCell ref="AJ2:AJ3"/>
    <mergeCell ref="AY2:AY3"/>
    <mergeCell ref="DQ1:DQ3"/>
    <mergeCell ref="J1:J3"/>
    <mergeCell ref="DA2:DA3"/>
    <mergeCell ref="BK2:BK3"/>
    <mergeCell ref="DC1:DH1"/>
    <mergeCell ref="BY1:CD1"/>
    <mergeCell ref="CY2:CY3"/>
    <mergeCell ref="R2:R3"/>
    <mergeCell ref="AZ2:AZ3"/>
    <mergeCell ref="BB2:BB3"/>
    <mergeCell ref="BL2:BL3"/>
    <mergeCell ref="BN2:BN3"/>
    <mergeCell ref="AU1:AZ1"/>
    <mergeCell ref="CW1:DB1"/>
    <mergeCell ref="CO2:CO3"/>
    <mergeCell ref="BR2:BR3"/>
    <mergeCell ref="AL2:AL3"/>
    <mergeCell ref="A1:A3"/>
    <mergeCell ref="BA1:BF1"/>
    <mergeCell ref="CP2:CP3"/>
    <mergeCell ref="H1:H3"/>
    <mergeCell ref="AR2:AR3"/>
    <mergeCell ref="AT2:AT3"/>
    <mergeCell ref="E1:E3"/>
    <mergeCell ref="DK2:DK3"/>
    <mergeCell ref="BF2:BF3"/>
    <mergeCell ref="BZ2:BZ3"/>
    <mergeCell ref="BI2:BI3"/>
    <mergeCell ref="AE2:AE3"/>
    <mergeCell ref="AG2:AG3"/>
    <mergeCell ref="CX2:CX3"/>
    <mergeCell ref="CG2:CG3"/>
    <mergeCell ref="Y2:Y3"/>
    <mergeCell ref="AQ2:AQ3"/>
    <mergeCell ref="CI2:CI3"/>
    <mergeCell ref="AS2:AS3"/>
    <mergeCell ref="CA2:CA3"/>
    <mergeCell ref="K2:M2"/>
    <mergeCell ref="F1:F3"/>
    <mergeCell ref="CU2:CU3"/>
    <mergeCell ref="CW2:CW3"/>
    <mergeCell ref="DN1:DN3"/>
    <mergeCell ref="CV2:CV3"/>
    <mergeCell ref="Q2:Q3"/>
    <mergeCell ref="CH2:CH3"/>
    <mergeCell ref="AI2:AI3"/>
    <mergeCell ref="AK2:AK3"/>
    <mergeCell ref="DB2:DB3"/>
    <mergeCell ref="AU2:AU3"/>
    <mergeCell ref="AW2:AW3"/>
    <mergeCell ref="CE2:CE3"/>
    <mergeCell ref="DF2:DF3"/>
    <mergeCell ref="DH2:DH3"/>
    <mergeCell ref="S2:S3"/>
    <mergeCell ref="BA2:BA3"/>
    <mergeCell ref="BC2:BC3"/>
    <mergeCell ref="BU2:BU3"/>
    <mergeCell ref="DM1:DM3"/>
    <mergeCell ref="BW2:BW3"/>
    <mergeCell ref="BM2:BM3"/>
    <mergeCell ref="DE2:DE3"/>
    <mergeCell ref="BO2:BO3"/>
    <mergeCell ref="BM1:BR1"/>
    <mergeCell ref="W1:AB1"/>
    <mergeCell ref="Q1:V1"/>
    <mergeCell ref="DC2:DC3"/>
    <mergeCell ref="AV2:AV3"/>
    <mergeCell ref="AX2:AX3"/>
    <mergeCell ref="I1:I3"/>
    <mergeCell ref="BH2:BH3"/>
    <mergeCell ref="BJ2:BJ3"/>
    <mergeCell ref="CD2:CD3"/>
    <mergeCell ref="DL2:DL3"/>
    <mergeCell ref="AF2:AF3"/>
    <mergeCell ref="AH2:AH3"/>
    <mergeCell ref="CJ2:CJ3"/>
    <mergeCell ref="K1:P1"/>
    <mergeCell ref="BP2:BP3"/>
    <mergeCell ref="AC1:AH1"/>
    <mergeCell ref="CE1:CJ1"/>
    <mergeCell ref="AO1:AT1"/>
    <mergeCell ref="BY2:BY3"/>
    <mergeCell ref="Z2:Z3"/>
    <mergeCell ref="CQ1:CV1"/>
    <mergeCell ref="AB2:AB3"/>
    <mergeCell ref="AD2:AD3"/>
    <mergeCell ref="T2:T3"/>
    <mergeCell ref="CS2:CS3"/>
    <mergeCell ref="CK2:CK3"/>
    <mergeCell ref="B1:B3"/>
    <mergeCell ref="CQ2:CQ3"/>
    <mergeCell ref="AI1:AN1"/>
    <mergeCell ref="CK1:CP1"/>
    <mergeCell ref="CC2:CC3"/>
    <mergeCell ref="V2:V3"/>
    <mergeCell ref="X2:X3"/>
    <mergeCell ref="CB2:CB3"/>
    <mergeCell ref="BG1:BL1"/>
    <mergeCell ref="BD2:BD3"/>
    <mergeCell ref="BS1:BX1"/>
    <mergeCell ref="C1:C3"/>
    <mergeCell ref="D1:D2"/>
    <mergeCell ref="AN2:AN3"/>
    <mergeCell ref="CM2:CM3"/>
    <mergeCell ref="BV2:BV3"/>
    <mergeCell ref="AP2:AP3"/>
    <mergeCell ref="BX2:BX3"/>
    <mergeCell ref="CL2:CL3"/>
    <mergeCell ref="CN2:CN3"/>
    <mergeCell ref="N2:P2"/>
    <mergeCell ref="G1:G3"/>
    <mergeCell ref="DP1:DP3"/>
    <mergeCell ref="CF2:CF3"/>
    <mergeCell ref="CZ2:CZ3"/>
    <mergeCell ref="U2:U3"/>
    <mergeCell ref="CR2:CR3"/>
    <mergeCell ref="DJ2:DJ3"/>
    <mergeCell ref="BT2:BT3"/>
    <mergeCell ref="BE2:BE3"/>
    <mergeCell ref="W2:W3"/>
    <mergeCell ref="BG2:BG3"/>
    <mergeCell ref="DG2:DG3"/>
    <mergeCell ref="BQ2:BQ3"/>
    <mergeCell ref="DI2:DI3"/>
    <mergeCell ref="BS2:BS3"/>
    <mergeCell ref="AA2:AA3"/>
    <mergeCell ref="AC2:AC3"/>
    <mergeCell ref="CT2:CT3"/>
    <mergeCell ref="AM2:AM3"/>
    <mergeCell ref="AO2:AO3"/>
    <mergeCell ref="DI1:DL1"/>
  </mergeCells>
  <dataValidations count="1">
    <dataValidation type="list" allowBlank="1" errorTitle="Invalid value" error="Please choose Cu or Al" promptTitle="Cable Type" prompt="Choose cable material" sqref="R4:R79 DD4:DD79 CX4:CX79 CR4:CR79 CL4:CL79 CF4:CF79 BZ4:BZ79 BT4:BT79 BN4:BN79 BH4:BH79 BB4:BB79 AV4:AV79 AP4:AP79 AJ4:AJ79 AD4:AD79 X4:X79" xr:uid="{00000000-0002-0000-0F00-000000000000}">
      <formula1>"Cu,Al"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U90"/>
  <sheetViews>
    <sheetView workbookViewId="0"/>
  </sheetViews>
  <sheetFormatPr defaultRowHeight="15" x14ac:dyDescent="0.25"/>
  <cols>
    <col min="1" max="1" width="12.85546875" customWidth="1"/>
    <col min="2" max="2" width="14.85546875" customWidth="1"/>
    <col min="3" max="3" width="9.85546875" customWidth="1"/>
    <col min="4" max="4" width="20.85546875" customWidth="1"/>
    <col min="5" max="5" width="8.85546875" customWidth="1"/>
    <col min="6" max="6" width="10.85546875" customWidth="1"/>
    <col min="7" max="7" width="5.85546875" customWidth="1"/>
    <col min="8" max="8" width="9.85546875" customWidth="1"/>
    <col min="9" max="9" width="10.85546875" customWidth="1"/>
    <col min="10" max="10" width="5.85546875" customWidth="1"/>
    <col min="11" max="11" width="7.85546875" customWidth="1"/>
    <col min="12" max="16" width="6.85546875" customWidth="1"/>
    <col min="17" max="17" width="8.85546875" customWidth="1"/>
    <col min="18" max="21" width="6.85546875" customWidth="1"/>
    <col min="22" max="22" width="8.85546875" customWidth="1"/>
    <col min="23" max="26" width="6.85546875" customWidth="1"/>
    <col min="27" max="27" width="8.85546875" customWidth="1"/>
    <col min="28" max="31" width="6.85546875" customWidth="1"/>
    <col min="32" max="32" width="8.85546875" customWidth="1"/>
    <col min="33" max="36" width="6.85546875" customWidth="1"/>
    <col min="37" max="37" width="8.85546875" customWidth="1"/>
    <col min="38" max="41" width="6.85546875" customWidth="1"/>
    <col min="42" max="42" width="8.85546875" customWidth="1"/>
    <col min="43" max="46" width="6.85546875" customWidth="1"/>
    <col min="47" max="47" width="8.85546875" customWidth="1"/>
    <col min="48" max="51" width="6.85546875" customWidth="1"/>
    <col min="52" max="52" width="8.85546875" customWidth="1"/>
    <col min="53" max="60" width="6.85546875" customWidth="1"/>
    <col min="61" max="62" width="7.85546875" customWidth="1"/>
    <col min="63" max="63" width="9.85546875" customWidth="1"/>
    <col min="64" max="65" width="24.85546875" customWidth="1"/>
  </cols>
  <sheetData>
    <row r="1" spans="1:73" ht="19.5" customHeight="1" x14ac:dyDescent="0.25">
      <c r="A1" s="21" t="s">
        <v>0</v>
      </c>
      <c r="B1" s="21" t="s">
        <v>1</v>
      </c>
      <c r="C1" s="21" t="s">
        <v>2</v>
      </c>
      <c r="D1" s="38" t="s">
        <v>3</v>
      </c>
      <c r="E1" s="21" t="s">
        <v>4</v>
      </c>
      <c r="F1" s="40" t="s">
        <v>5</v>
      </c>
      <c r="G1" s="21" t="s">
        <v>6</v>
      </c>
      <c r="H1" s="21" t="s">
        <v>7</v>
      </c>
      <c r="I1" s="21" t="s">
        <v>8</v>
      </c>
      <c r="J1" s="41" t="s">
        <v>9</v>
      </c>
      <c r="K1" s="18" t="s">
        <v>10</v>
      </c>
      <c r="L1" s="19"/>
      <c r="M1" s="19"/>
      <c r="N1" s="19"/>
      <c r="O1" s="19"/>
      <c r="P1" s="20"/>
      <c r="Q1" s="29" t="s">
        <v>11</v>
      </c>
      <c r="R1" s="30"/>
      <c r="S1" s="30"/>
      <c r="T1" s="30"/>
      <c r="U1" s="30"/>
      <c r="V1" s="31"/>
      <c r="W1" s="29" t="s">
        <v>12</v>
      </c>
      <c r="X1" s="30"/>
      <c r="Y1" s="30"/>
      <c r="Z1" s="30"/>
      <c r="AA1" s="30"/>
      <c r="AB1" s="31"/>
      <c r="AC1" s="29" t="s">
        <v>13</v>
      </c>
      <c r="AD1" s="30"/>
      <c r="AE1" s="30"/>
      <c r="AF1" s="30"/>
      <c r="AG1" s="30"/>
      <c r="AH1" s="31"/>
      <c r="AI1" s="29" t="s">
        <v>14</v>
      </c>
      <c r="AJ1" s="30"/>
      <c r="AK1" s="30"/>
      <c r="AL1" s="30"/>
      <c r="AM1" s="30"/>
      <c r="AN1" s="31"/>
      <c r="AO1" s="29" t="s">
        <v>15</v>
      </c>
      <c r="AP1" s="30"/>
      <c r="AQ1" s="30"/>
      <c r="AR1" s="30"/>
      <c r="AS1" s="30"/>
      <c r="AT1" s="31"/>
      <c r="AU1" s="29" t="s">
        <v>16</v>
      </c>
      <c r="AV1" s="30"/>
      <c r="AW1" s="30"/>
      <c r="AX1" s="30"/>
      <c r="AY1" s="30"/>
      <c r="AZ1" s="31"/>
      <c r="BA1" s="29" t="s">
        <v>17</v>
      </c>
      <c r="BB1" s="30"/>
      <c r="BC1" s="30"/>
      <c r="BD1" s="30"/>
      <c r="BE1" s="30"/>
      <c r="BF1" s="31"/>
      <c r="BG1" s="29" t="s">
        <v>18</v>
      </c>
      <c r="BH1" s="30"/>
      <c r="BI1" s="30"/>
      <c r="BJ1" s="30"/>
      <c r="BK1" s="30"/>
      <c r="BL1" s="31"/>
      <c r="BM1" s="37" t="s">
        <v>19</v>
      </c>
      <c r="BN1" s="19"/>
      <c r="BO1" s="19"/>
      <c r="BP1" s="20"/>
      <c r="BQ1" s="18" t="s">
        <v>20</v>
      </c>
      <c r="BR1" s="18" t="s">
        <v>21</v>
      </c>
      <c r="BS1" s="39" t="s">
        <v>22</v>
      </c>
      <c r="BT1" s="26" t="s">
        <v>23</v>
      </c>
      <c r="BU1" s="26" t="s">
        <v>24</v>
      </c>
    </row>
    <row r="2" spans="1:73" ht="19.5" customHeight="1" x14ac:dyDescent="0.25">
      <c r="A2" s="22"/>
      <c r="B2" s="22"/>
      <c r="C2" s="22"/>
      <c r="D2" s="23"/>
      <c r="E2" s="22"/>
      <c r="F2" s="22"/>
      <c r="G2" s="22"/>
      <c r="H2" s="22"/>
      <c r="I2" s="22"/>
      <c r="J2" s="22"/>
      <c r="K2" s="18" t="s">
        <v>25</v>
      </c>
      <c r="L2" s="19"/>
      <c r="M2" s="20"/>
      <c r="N2" s="18" t="s">
        <v>26</v>
      </c>
      <c r="O2" s="19"/>
      <c r="P2" s="20"/>
      <c r="Q2" s="27" t="s">
        <v>27</v>
      </c>
      <c r="R2" s="34" t="s">
        <v>5</v>
      </c>
      <c r="S2" s="36" t="s">
        <v>28</v>
      </c>
      <c r="T2" s="35" t="s">
        <v>29</v>
      </c>
      <c r="U2" s="24" t="s">
        <v>30</v>
      </c>
      <c r="V2" s="32" t="s">
        <v>31</v>
      </c>
      <c r="W2" s="27" t="s">
        <v>27</v>
      </c>
      <c r="X2" s="34" t="s">
        <v>5</v>
      </c>
      <c r="Y2" s="36" t="s">
        <v>28</v>
      </c>
      <c r="Z2" s="35" t="s">
        <v>29</v>
      </c>
      <c r="AA2" s="24" t="s">
        <v>30</v>
      </c>
      <c r="AB2" s="32" t="s">
        <v>31</v>
      </c>
      <c r="AC2" s="27" t="s">
        <v>27</v>
      </c>
      <c r="AD2" s="34" t="s">
        <v>5</v>
      </c>
      <c r="AE2" s="36" t="s">
        <v>28</v>
      </c>
      <c r="AF2" s="35" t="s">
        <v>29</v>
      </c>
      <c r="AG2" s="24" t="s">
        <v>30</v>
      </c>
      <c r="AH2" s="32" t="s">
        <v>31</v>
      </c>
      <c r="AI2" s="27" t="s">
        <v>27</v>
      </c>
      <c r="AJ2" s="34" t="s">
        <v>5</v>
      </c>
      <c r="AK2" s="36" t="s">
        <v>28</v>
      </c>
      <c r="AL2" s="35" t="s">
        <v>29</v>
      </c>
      <c r="AM2" s="24" t="s">
        <v>30</v>
      </c>
      <c r="AN2" s="32" t="s">
        <v>31</v>
      </c>
      <c r="AO2" s="27" t="s">
        <v>27</v>
      </c>
      <c r="AP2" s="34" t="s">
        <v>5</v>
      </c>
      <c r="AQ2" s="36" t="s">
        <v>28</v>
      </c>
      <c r="AR2" s="35" t="s">
        <v>29</v>
      </c>
      <c r="AS2" s="24" t="s">
        <v>30</v>
      </c>
      <c r="AT2" s="32" t="s">
        <v>31</v>
      </c>
      <c r="AU2" s="27" t="s">
        <v>27</v>
      </c>
      <c r="AV2" s="34" t="s">
        <v>5</v>
      </c>
      <c r="AW2" s="36" t="s">
        <v>28</v>
      </c>
      <c r="AX2" s="35" t="s">
        <v>29</v>
      </c>
      <c r="AY2" s="24" t="s">
        <v>30</v>
      </c>
      <c r="AZ2" s="32" t="s">
        <v>31</v>
      </c>
      <c r="BA2" s="27" t="s">
        <v>27</v>
      </c>
      <c r="BB2" s="34" t="s">
        <v>5</v>
      </c>
      <c r="BC2" s="36" t="s">
        <v>28</v>
      </c>
      <c r="BD2" s="35" t="s">
        <v>29</v>
      </c>
      <c r="BE2" s="24" t="s">
        <v>30</v>
      </c>
      <c r="BF2" s="32" t="s">
        <v>31</v>
      </c>
      <c r="BG2" s="27" t="s">
        <v>27</v>
      </c>
      <c r="BH2" s="34" t="s">
        <v>5</v>
      </c>
      <c r="BI2" s="36" t="s">
        <v>28</v>
      </c>
      <c r="BJ2" s="35" t="s">
        <v>29</v>
      </c>
      <c r="BK2" s="24" t="s">
        <v>30</v>
      </c>
      <c r="BL2" s="32" t="s">
        <v>31</v>
      </c>
      <c r="BM2" s="37" t="s">
        <v>28</v>
      </c>
      <c r="BN2" s="37" t="s">
        <v>29</v>
      </c>
      <c r="BO2" s="37" t="s">
        <v>30</v>
      </c>
      <c r="BP2" s="37" t="s">
        <v>31</v>
      </c>
      <c r="BQ2" s="22"/>
      <c r="BR2" s="22"/>
      <c r="BS2" s="22"/>
      <c r="BT2" s="22"/>
      <c r="BU2" s="22"/>
    </row>
    <row r="3" spans="1:73" ht="19.5" customHeight="1" x14ac:dyDescent="0.25">
      <c r="A3" s="23"/>
      <c r="B3" s="23"/>
      <c r="C3" s="23"/>
      <c r="D3" s="1"/>
      <c r="E3" s="23"/>
      <c r="F3" s="23"/>
      <c r="G3" s="23"/>
      <c r="H3" s="23"/>
      <c r="I3" s="23"/>
      <c r="J3" s="23"/>
      <c r="K3" s="2" t="s">
        <v>32</v>
      </c>
      <c r="L3" s="3" t="s">
        <v>33</v>
      </c>
      <c r="M3" s="4" t="s">
        <v>34</v>
      </c>
      <c r="N3" s="5" t="s">
        <v>35</v>
      </c>
      <c r="O3" s="6" t="s">
        <v>36</v>
      </c>
      <c r="P3" s="7" t="s">
        <v>37</v>
      </c>
      <c r="Q3" s="28"/>
      <c r="R3" s="25"/>
      <c r="S3" s="25"/>
      <c r="T3" s="25"/>
      <c r="U3" s="25"/>
      <c r="V3" s="33"/>
      <c r="W3" s="28"/>
      <c r="X3" s="25"/>
      <c r="Y3" s="25"/>
      <c r="Z3" s="25"/>
      <c r="AA3" s="25"/>
      <c r="AB3" s="33"/>
      <c r="AC3" s="28"/>
      <c r="AD3" s="25"/>
      <c r="AE3" s="25"/>
      <c r="AF3" s="25"/>
      <c r="AG3" s="25"/>
      <c r="AH3" s="33"/>
      <c r="AI3" s="28"/>
      <c r="AJ3" s="25"/>
      <c r="AK3" s="25"/>
      <c r="AL3" s="25"/>
      <c r="AM3" s="25"/>
      <c r="AN3" s="33"/>
      <c r="AO3" s="28"/>
      <c r="AP3" s="25"/>
      <c r="AQ3" s="25"/>
      <c r="AR3" s="25"/>
      <c r="AS3" s="25"/>
      <c r="AT3" s="33"/>
      <c r="AU3" s="28"/>
      <c r="AV3" s="25"/>
      <c r="AW3" s="25"/>
      <c r="AX3" s="25"/>
      <c r="AY3" s="25"/>
      <c r="AZ3" s="33"/>
      <c r="BA3" s="28"/>
      <c r="BB3" s="25"/>
      <c r="BC3" s="25"/>
      <c r="BD3" s="25"/>
      <c r="BE3" s="25"/>
      <c r="BF3" s="33"/>
      <c r="BG3" s="28"/>
      <c r="BH3" s="25"/>
      <c r="BI3" s="25"/>
      <c r="BJ3" s="25"/>
      <c r="BK3" s="25"/>
      <c r="BL3" s="33"/>
      <c r="BM3" s="23"/>
      <c r="BN3" s="23"/>
      <c r="BO3" s="23"/>
      <c r="BP3" s="23"/>
      <c r="BQ3" s="23"/>
      <c r="BR3" s="23"/>
      <c r="BS3" s="23"/>
      <c r="BT3" s="23"/>
      <c r="BU3" s="23"/>
    </row>
    <row r="4" spans="1:73" ht="15.75" customHeight="1" x14ac:dyDescent="0.25">
      <c r="A4" s="8" t="s">
        <v>3005</v>
      </c>
      <c r="B4" s="8" t="s">
        <v>3006</v>
      </c>
      <c r="C4" s="8" t="s">
        <v>40</v>
      </c>
      <c r="D4" s="8" t="s">
        <v>3007</v>
      </c>
      <c r="E4" s="8" t="s">
        <v>3008</v>
      </c>
      <c r="F4" s="8" t="s">
        <v>43</v>
      </c>
      <c r="G4" s="8" t="s">
        <v>44</v>
      </c>
      <c r="H4" s="8">
        <v>315</v>
      </c>
      <c r="I4" s="8" t="s">
        <v>3009</v>
      </c>
      <c r="J4" s="8">
        <v>1</v>
      </c>
      <c r="K4" s="8">
        <v>229</v>
      </c>
      <c r="L4" s="8">
        <v>232</v>
      </c>
      <c r="M4" s="8">
        <v>230</v>
      </c>
      <c r="N4" s="8">
        <v>401</v>
      </c>
      <c r="O4" s="8">
        <v>397</v>
      </c>
      <c r="P4" s="8">
        <v>402</v>
      </c>
      <c r="Q4" s="9" t="s">
        <v>47</v>
      </c>
      <c r="R4" s="16"/>
      <c r="S4" s="10">
        <v>20</v>
      </c>
      <c r="T4" s="10">
        <v>15</v>
      </c>
      <c r="U4" s="10">
        <v>21</v>
      </c>
      <c r="V4" s="11">
        <v>11</v>
      </c>
      <c r="W4" s="12" t="s">
        <v>47</v>
      </c>
      <c r="X4" s="17"/>
      <c r="Y4" s="13">
        <v>0</v>
      </c>
      <c r="Z4" s="13">
        <v>0</v>
      </c>
      <c r="AA4" s="13">
        <v>0</v>
      </c>
      <c r="AB4" s="14">
        <v>0</v>
      </c>
      <c r="AC4" s="9"/>
      <c r="AD4" s="16"/>
      <c r="AE4" s="10"/>
      <c r="AF4" s="10"/>
      <c r="AG4" s="10"/>
      <c r="AH4" s="11"/>
      <c r="AI4" s="12"/>
      <c r="AJ4" s="17"/>
      <c r="AK4" s="13"/>
      <c r="AL4" s="13"/>
      <c r="AM4" s="13"/>
      <c r="AN4" s="14"/>
      <c r="AO4" s="9"/>
      <c r="AP4" s="16"/>
      <c r="AQ4" s="10"/>
      <c r="AR4" s="10"/>
      <c r="AS4" s="10"/>
      <c r="AT4" s="11"/>
      <c r="AU4" s="12"/>
      <c r="AV4" s="17"/>
      <c r="AW4" s="13"/>
      <c r="AX4" s="13"/>
      <c r="AY4" s="13"/>
      <c r="AZ4" s="14"/>
      <c r="BA4" s="9"/>
      <c r="BB4" s="16"/>
      <c r="BC4" s="10"/>
      <c r="BD4" s="10"/>
      <c r="BE4" s="10"/>
      <c r="BF4" s="11"/>
      <c r="BG4" s="12"/>
      <c r="BH4" s="17"/>
      <c r="BI4" s="13"/>
      <c r="BJ4" s="13"/>
      <c r="BK4" s="13"/>
      <c r="BL4" s="14"/>
      <c r="BM4" s="8">
        <f t="shared" ref="BM4:BM35" si="0">SUM(S4,Y4,AE4,AK4,AQ4,AW4,BC4,BI4)</f>
        <v>20</v>
      </c>
      <c r="BN4" s="8">
        <f t="shared" ref="BN4:BN35" si="1">SUM(T4,Z4,AF4,AL4,AR4,AX4,BD4,BJ4)</f>
        <v>15</v>
      </c>
      <c r="BO4" s="8">
        <f t="shared" ref="BO4:BO35" si="2">SUM(U4,AA4,AG4,AM4,AS4,AY4,BE4,BK4)</f>
        <v>21</v>
      </c>
      <c r="BP4" s="8">
        <f t="shared" ref="BP4:BP35" si="3">SUM(V4,AB4,AH4,AN4,AT4,AZ4,BF4,BL4)</f>
        <v>11</v>
      </c>
      <c r="BQ4" s="8">
        <f t="shared" ref="BQ4:BQ35" si="4">MAX(BM4:BO4)</f>
        <v>21</v>
      </c>
      <c r="BR4" s="8">
        <f t="shared" ref="BR4:BR35" si="5">MIN(BM4:BO4)</f>
        <v>15</v>
      </c>
      <c r="BS4" s="15">
        <f t="shared" ref="BS4:BS35" si="6">IF(H4&gt;0,(BQ4*SQRT(3)*IF(N4&gt;0,N4,IF(O4&gt;0,O4,IF(P4&gt;0,P4,415)))/(H4*1000))*100,0)</f>
        <v>4.6303491589007981</v>
      </c>
      <c r="BT4" s="15" t="str">
        <f t="shared" ref="BT4:BT35" si="7">IF(BS4&gt;70,"Upgrade","OK - No Upgrade")</f>
        <v>OK - No Upgrade</v>
      </c>
      <c r="BU4" s="15" t="str">
        <f t="shared" ref="BU4:BU35" si="8">IF(IF(AVERAGE(BM4:BO4)&gt;0,((BQ4-AVERAGE(BM4:BO4))/AVERAGE(BM4:BO4))*100,0)&gt;10,"Need to Balance","OK - Balanced")</f>
        <v>Need to Balance</v>
      </c>
    </row>
    <row r="5" spans="1:73" ht="15.75" customHeight="1" x14ac:dyDescent="0.25">
      <c r="A5" s="8" t="s">
        <v>3005</v>
      </c>
      <c r="B5" s="8" t="s">
        <v>3006</v>
      </c>
      <c r="C5" s="8" t="s">
        <v>40</v>
      </c>
      <c r="D5" s="8" t="s">
        <v>3010</v>
      </c>
      <c r="E5" s="8" t="s">
        <v>3011</v>
      </c>
      <c r="F5" s="8" t="s">
        <v>56</v>
      </c>
      <c r="G5" s="8" t="s">
        <v>44</v>
      </c>
      <c r="H5" s="8">
        <v>1000</v>
      </c>
      <c r="I5" s="8" t="s">
        <v>3012</v>
      </c>
      <c r="J5" s="8">
        <v>1</v>
      </c>
      <c r="K5" s="8">
        <v>229</v>
      </c>
      <c r="L5" s="8">
        <v>230</v>
      </c>
      <c r="M5" s="8">
        <v>228</v>
      </c>
      <c r="N5" s="8">
        <v>400</v>
      </c>
      <c r="O5" s="8">
        <v>396</v>
      </c>
      <c r="P5" s="8">
        <v>402</v>
      </c>
      <c r="Q5" s="9"/>
      <c r="R5" s="16"/>
      <c r="S5" s="10"/>
      <c r="T5" s="10"/>
      <c r="U5" s="10"/>
      <c r="V5" s="11"/>
      <c r="W5" s="12"/>
      <c r="X5" s="17"/>
      <c r="Y5" s="13"/>
      <c r="Z5" s="13"/>
      <c r="AA5" s="13"/>
      <c r="AB5" s="14"/>
      <c r="AC5" s="9"/>
      <c r="AD5" s="16"/>
      <c r="AE5" s="10"/>
      <c r="AF5" s="10"/>
      <c r="AG5" s="10"/>
      <c r="AH5" s="11"/>
      <c r="AI5" s="12"/>
      <c r="AJ5" s="17"/>
      <c r="AK5" s="13"/>
      <c r="AL5" s="13"/>
      <c r="AM5" s="13"/>
      <c r="AN5" s="14"/>
      <c r="AO5" s="9"/>
      <c r="AP5" s="16"/>
      <c r="AQ5" s="10"/>
      <c r="AR5" s="10"/>
      <c r="AS5" s="10"/>
      <c r="AT5" s="11"/>
      <c r="AU5" s="12"/>
      <c r="AV5" s="17"/>
      <c r="AW5" s="13"/>
      <c r="AX5" s="13"/>
      <c r="AY5" s="13"/>
      <c r="AZ5" s="14"/>
      <c r="BA5" s="9" t="s">
        <v>47</v>
      </c>
      <c r="BB5" s="16"/>
      <c r="BC5" s="10">
        <v>40</v>
      </c>
      <c r="BD5" s="10">
        <v>80</v>
      </c>
      <c r="BE5" s="10">
        <v>67</v>
      </c>
      <c r="BF5" s="11">
        <v>33</v>
      </c>
      <c r="BG5" s="12" t="s">
        <v>47</v>
      </c>
      <c r="BH5" s="17"/>
      <c r="BI5" s="13">
        <v>67</v>
      </c>
      <c r="BJ5" s="13">
        <v>62</v>
      </c>
      <c r="BK5" s="13">
        <v>53</v>
      </c>
      <c r="BL5" s="14">
        <v>11</v>
      </c>
      <c r="BM5" s="8">
        <f t="shared" si="0"/>
        <v>107</v>
      </c>
      <c r="BN5" s="8">
        <f t="shared" si="1"/>
        <v>142</v>
      </c>
      <c r="BO5" s="8">
        <f t="shared" si="2"/>
        <v>120</v>
      </c>
      <c r="BP5" s="8">
        <f t="shared" si="3"/>
        <v>44</v>
      </c>
      <c r="BQ5" s="8">
        <f t="shared" si="4"/>
        <v>142</v>
      </c>
      <c r="BR5" s="8">
        <f t="shared" si="5"/>
        <v>107</v>
      </c>
      <c r="BS5" s="15">
        <f t="shared" si="6"/>
        <v>9.8380485869912224</v>
      </c>
      <c r="BT5" s="15" t="str">
        <f t="shared" si="7"/>
        <v>OK - No Upgrade</v>
      </c>
      <c r="BU5" s="15" t="str">
        <f t="shared" si="8"/>
        <v>Need to Balance</v>
      </c>
    </row>
    <row r="6" spans="1:73" ht="15.75" customHeight="1" x14ac:dyDescent="0.25">
      <c r="A6" s="8" t="s">
        <v>3005</v>
      </c>
      <c r="B6" s="8" t="s">
        <v>3006</v>
      </c>
      <c r="C6" s="8" t="s">
        <v>40</v>
      </c>
      <c r="D6" s="8" t="s">
        <v>3013</v>
      </c>
      <c r="E6" s="8" t="s">
        <v>3014</v>
      </c>
      <c r="F6" s="8" t="s">
        <v>56</v>
      </c>
      <c r="G6" s="8" t="s">
        <v>44</v>
      </c>
      <c r="H6" s="8">
        <v>500</v>
      </c>
      <c r="I6" s="8" t="s">
        <v>3015</v>
      </c>
      <c r="J6" s="8">
        <v>1</v>
      </c>
      <c r="K6" s="8">
        <v>232</v>
      </c>
      <c r="L6" s="8">
        <v>228</v>
      </c>
      <c r="M6" s="8">
        <v>229</v>
      </c>
      <c r="N6" s="8">
        <v>399</v>
      </c>
      <c r="O6" s="8">
        <v>401</v>
      </c>
      <c r="P6" s="8">
        <v>395</v>
      </c>
      <c r="Q6" s="9"/>
      <c r="R6" s="16"/>
      <c r="S6" s="10"/>
      <c r="T6" s="10"/>
      <c r="U6" s="10"/>
      <c r="V6" s="11"/>
      <c r="W6" s="12"/>
      <c r="X6" s="17"/>
      <c r="Y6" s="13"/>
      <c r="Z6" s="13"/>
      <c r="AA6" s="13"/>
      <c r="AB6" s="14"/>
      <c r="AC6" s="9" t="s">
        <v>47</v>
      </c>
      <c r="AD6" s="16"/>
      <c r="AE6" s="10">
        <v>0</v>
      </c>
      <c r="AF6" s="10">
        <v>18</v>
      </c>
      <c r="AG6" s="10">
        <v>0</v>
      </c>
      <c r="AH6" s="11">
        <v>14</v>
      </c>
      <c r="AI6" s="12" t="s">
        <v>47</v>
      </c>
      <c r="AJ6" s="17"/>
      <c r="AK6" s="13">
        <v>26</v>
      </c>
      <c r="AL6" s="13">
        <v>22</v>
      </c>
      <c r="AM6" s="13">
        <v>28</v>
      </c>
      <c r="AN6" s="14">
        <v>20</v>
      </c>
      <c r="AO6" s="9" t="s">
        <v>47</v>
      </c>
      <c r="AP6" s="16"/>
      <c r="AQ6" s="10">
        <v>69</v>
      </c>
      <c r="AR6" s="10">
        <v>80</v>
      </c>
      <c r="AS6" s="10">
        <v>126</v>
      </c>
      <c r="AT6" s="11">
        <v>37</v>
      </c>
      <c r="AU6" s="12" t="s">
        <v>47</v>
      </c>
      <c r="AV6" s="17"/>
      <c r="AW6" s="13">
        <v>27</v>
      </c>
      <c r="AX6" s="13">
        <v>22</v>
      </c>
      <c r="AY6" s="13">
        <v>20</v>
      </c>
      <c r="AZ6" s="14">
        <v>24</v>
      </c>
      <c r="BA6" s="9"/>
      <c r="BB6" s="16"/>
      <c r="BC6" s="10"/>
      <c r="BD6" s="10"/>
      <c r="BE6" s="10"/>
      <c r="BF6" s="11"/>
      <c r="BG6" s="12"/>
      <c r="BH6" s="17"/>
      <c r="BI6" s="13"/>
      <c r="BJ6" s="13"/>
      <c r="BK6" s="13"/>
      <c r="BL6" s="14"/>
      <c r="BM6" s="8">
        <f t="shared" si="0"/>
        <v>122</v>
      </c>
      <c r="BN6" s="8">
        <f t="shared" si="1"/>
        <v>142</v>
      </c>
      <c r="BO6" s="8">
        <f t="shared" si="2"/>
        <v>174</v>
      </c>
      <c r="BP6" s="8">
        <f t="shared" si="3"/>
        <v>95</v>
      </c>
      <c r="BQ6" s="8">
        <f t="shared" si="4"/>
        <v>174</v>
      </c>
      <c r="BR6" s="8">
        <f t="shared" si="5"/>
        <v>122</v>
      </c>
      <c r="BS6" s="15">
        <f t="shared" si="6"/>
        <v>24.049871873255377</v>
      </c>
      <c r="BT6" s="15" t="str">
        <f t="shared" si="7"/>
        <v>OK - No Upgrade</v>
      </c>
      <c r="BU6" s="15" t="str">
        <f t="shared" si="8"/>
        <v>Need to Balance</v>
      </c>
    </row>
    <row r="7" spans="1:73" ht="15.75" customHeight="1" x14ac:dyDescent="0.25">
      <c r="A7" s="8" t="s">
        <v>3005</v>
      </c>
      <c r="B7" s="8" t="s">
        <v>3006</v>
      </c>
      <c r="C7" s="8" t="s">
        <v>40</v>
      </c>
      <c r="D7" s="8" t="s">
        <v>3016</v>
      </c>
      <c r="E7" s="8" t="s">
        <v>3017</v>
      </c>
      <c r="F7" s="8" t="s">
        <v>43</v>
      </c>
      <c r="G7" s="8" t="s">
        <v>44</v>
      </c>
      <c r="H7" s="8">
        <v>315</v>
      </c>
      <c r="I7" s="8" t="s">
        <v>3018</v>
      </c>
      <c r="J7" s="8">
        <v>1</v>
      </c>
      <c r="K7" s="8">
        <v>229</v>
      </c>
      <c r="L7" s="8">
        <v>232</v>
      </c>
      <c r="M7" s="8">
        <v>230</v>
      </c>
      <c r="N7" s="8">
        <v>401</v>
      </c>
      <c r="O7" s="8">
        <v>395</v>
      </c>
      <c r="P7" s="8">
        <v>401</v>
      </c>
      <c r="Q7" s="9" t="s">
        <v>47</v>
      </c>
      <c r="R7" s="16"/>
      <c r="S7" s="10">
        <v>36</v>
      </c>
      <c r="T7" s="10">
        <v>12</v>
      </c>
      <c r="U7" s="10">
        <v>18</v>
      </c>
      <c r="V7" s="11">
        <v>22</v>
      </c>
      <c r="W7" s="12" t="s">
        <v>47</v>
      </c>
      <c r="X7" s="17"/>
      <c r="Y7" s="13">
        <v>0</v>
      </c>
      <c r="Z7" s="13">
        <v>0</v>
      </c>
      <c r="AA7" s="13">
        <v>0</v>
      </c>
      <c r="AB7" s="14">
        <v>0</v>
      </c>
      <c r="AC7" s="9"/>
      <c r="AD7" s="16"/>
      <c r="AE7" s="10"/>
      <c r="AF7" s="10"/>
      <c r="AG7" s="10"/>
      <c r="AH7" s="11"/>
      <c r="AI7" s="12"/>
      <c r="AJ7" s="17"/>
      <c r="AK7" s="13"/>
      <c r="AL7" s="13"/>
      <c r="AM7" s="13"/>
      <c r="AN7" s="14"/>
      <c r="AO7" s="9"/>
      <c r="AP7" s="16"/>
      <c r="AQ7" s="10"/>
      <c r="AR7" s="10"/>
      <c r="AS7" s="10"/>
      <c r="AT7" s="11"/>
      <c r="AU7" s="12"/>
      <c r="AV7" s="17"/>
      <c r="AW7" s="13"/>
      <c r="AX7" s="13"/>
      <c r="AY7" s="13"/>
      <c r="AZ7" s="14"/>
      <c r="BA7" s="9"/>
      <c r="BB7" s="16"/>
      <c r="BC7" s="10"/>
      <c r="BD7" s="10"/>
      <c r="BE7" s="10"/>
      <c r="BF7" s="11"/>
      <c r="BG7" s="12"/>
      <c r="BH7" s="17"/>
      <c r="BI7" s="13"/>
      <c r="BJ7" s="13"/>
      <c r="BK7" s="13"/>
      <c r="BL7" s="14"/>
      <c r="BM7" s="8">
        <f t="shared" si="0"/>
        <v>36</v>
      </c>
      <c r="BN7" s="8">
        <f t="shared" si="1"/>
        <v>12</v>
      </c>
      <c r="BO7" s="8">
        <f t="shared" si="2"/>
        <v>18</v>
      </c>
      <c r="BP7" s="8">
        <f t="shared" si="3"/>
        <v>22</v>
      </c>
      <c r="BQ7" s="8">
        <f t="shared" si="4"/>
        <v>36</v>
      </c>
      <c r="BR7" s="8">
        <f t="shared" si="5"/>
        <v>12</v>
      </c>
      <c r="BS7" s="15">
        <f t="shared" si="6"/>
        <v>7.9377414152585102</v>
      </c>
      <c r="BT7" s="15" t="str">
        <f t="shared" si="7"/>
        <v>OK - No Upgrade</v>
      </c>
      <c r="BU7" s="15" t="str">
        <f t="shared" si="8"/>
        <v>Need to Balance</v>
      </c>
    </row>
    <row r="8" spans="1:73" ht="15.75" customHeight="1" x14ac:dyDescent="0.25">
      <c r="A8" s="8" t="s">
        <v>3005</v>
      </c>
      <c r="B8" s="8" t="s">
        <v>3006</v>
      </c>
      <c r="C8" s="8" t="s">
        <v>40</v>
      </c>
      <c r="D8" s="8" t="s">
        <v>3019</v>
      </c>
      <c r="E8" s="8" t="s">
        <v>3020</v>
      </c>
      <c r="F8" s="8" t="s">
        <v>56</v>
      </c>
      <c r="G8" s="8" t="s">
        <v>44</v>
      </c>
      <c r="H8" s="8">
        <v>500</v>
      </c>
      <c r="I8" s="8" t="s">
        <v>247</v>
      </c>
      <c r="J8" s="8">
        <v>1</v>
      </c>
      <c r="K8" s="8">
        <v>230</v>
      </c>
      <c r="L8" s="8">
        <v>232</v>
      </c>
      <c r="M8" s="8">
        <v>230</v>
      </c>
      <c r="N8" s="8">
        <v>402</v>
      </c>
      <c r="O8" s="8">
        <v>396</v>
      </c>
      <c r="P8" s="8">
        <v>401</v>
      </c>
      <c r="Q8" s="9"/>
      <c r="R8" s="16"/>
      <c r="S8" s="10"/>
      <c r="T8" s="10"/>
      <c r="U8" s="10"/>
      <c r="V8" s="11"/>
      <c r="W8" s="12"/>
      <c r="X8" s="17"/>
      <c r="Y8" s="13"/>
      <c r="Z8" s="13"/>
      <c r="AA8" s="13"/>
      <c r="AB8" s="14"/>
      <c r="AC8" s="9" t="s">
        <v>47</v>
      </c>
      <c r="AD8" s="16"/>
      <c r="AE8" s="10">
        <v>9</v>
      </c>
      <c r="AF8" s="10">
        <v>8</v>
      </c>
      <c r="AG8" s="10">
        <v>23</v>
      </c>
      <c r="AH8" s="11">
        <v>9</v>
      </c>
      <c r="AI8" s="12" t="s">
        <v>47</v>
      </c>
      <c r="AJ8" s="17"/>
      <c r="AK8" s="13">
        <v>35</v>
      </c>
      <c r="AL8" s="13">
        <v>37</v>
      </c>
      <c r="AM8" s="13">
        <v>42</v>
      </c>
      <c r="AN8" s="14">
        <v>11</v>
      </c>
      <c r="AO8" s="9" t="s">
        <v>47</v>
      </c>
      <c r="AP8" s="16"/>
      <c r="AQ8" s="10">
        <v>15</v>
      </c>
      <c r="AR8" s="10">
        <v>70</v>
      </c>
      <c r="AS8" s="10">
        <v>35</v>
      </c>
      <c r="AT8" s="11">
        <v>18</v>
      </c>
      <c r="AU8" s="12" t="s">
        <v>47</v>
      </c>
      <c r="AV8" s="17"/>
      <c r="AW8" s="13">
        <v>19</v>
      </c>
      <c r="AX8" s="13">
        <v>23</v>
      </c>
      <c r="AY8" s="13">
        <v>21</v>
      </c>
      <c r="AZ8" s="14">
        <v>10</v>
      </c>
      <c r="BA8" s="9"/>
      <c r="BB8" s="16"/>
      <c r="BC8" s="10"/>
      <c r="BD8" s="10"/>
      <c r="BE8" s="10"/>
      <c r="BF8" s="11"/>
      <c r="BG8" s="12"/>
      <c r="BH8" s="17"/>
      <c r="BI8" s="13"/>
      <c r="BJ8" s="13"/>
      <c r="BK8" s="13"/>
      <c r="BL8" s="14"/>
      <c r="BM8" s="8">
        <f t="shared" si="0"/>
        <v>78</v>
      </c>
      <c r="BN8" s="8">
        <f t="shared" si="1"/>
        <v>138</v>
      </c>
      <c r="BO8" s="8">
        <f t="shared" si="2"/>
        <v>121</v>
      </c>
      <c r="BP8" s="8">
        <f t="shared" si="3"/>
        <v>48</v>
      </c>
      <c r="BQ8" s="8">
        <f t="shared" si="4"/>
        <v>138</v>
      </c>
      <c r="BR8" s="8">
        <f t="shared" si="5"/>
        <v>78</v>
      </c>
      <c r="BS8" s="15">
        <f t="shared" si="6"/>
        <v>19.217450120138206</v>
      </c>
      <c r="BT8" s="15" t="str">
        <f t="shared" si="7"/>
        <v>OK - No Upgrade</v>
      </c>
      <c r="BU8" s="15" t="str">
        <f t="shared" si="8"/>
        <v>Need to Balance</v>
      </c>
    </row>
    <row r="9" spans="1:73" ht="15.75" customHeight="1" x14ac:dyDescent="0.25">
      <c r="A9" s="8" t="s">
        <v>3005</v>
      </c>
      <c r="B9" s="8" t="s">
        <v>3006</v>
      </c>
      <c r="C9" s="8" t="s">
        <v>40</v>
      </c>
      <c r="D9" s="8" t="s">
        <v>3021</v>
      </c>
      <c r="E9" s="8" t="s">
        <v>3022</v>
      </c>
      <c r="F9" s="8" t="s">
        <v>43</v>
      </c>
      <c r="G9" s="8" t="s">
        <v>44</v>
      </c>
      <c r="H9" s="8">
        <v>100</v>
      </c>
      <c r="I9" s="8" t="s">
        <v>253</v>
      </c>
      <c r="J9" s="8">
        <v>1</v>
      </c>
      <c r="K9" s="8">
        <v>230</v>
      </c>
      <c r="L9" s="8">
        <v>233</v>
      </c>
      <c r="M9" s="8">
        <v>230</v>
      </c>
      <c r="N9" s="8">
        <v>402</v>
      </c>
      <c r="O9" s="8">
        <v>397</v>
      </c>
      <c r="P9" s="8">
        <v>404</v>
      </c>
      <c r="Q9" s="9" t="s">
        <v>47</v>
      </c>
      <c r="R9" s="16"/>
      <c r="S9" s="10">
        <v>15</v>
      </c>
      <c r="T9" s="10">
        <v>0</v>
      </c>
      <c r="U9" s="10">
        <v>9</v>
      </c>
      <c r="V9" s="11">
        <v>8</v>
      </c>
      <c r="W9" s="12"/>
      <c r="X9" s="17"/>
      <c r="Y9" s="13"/>
      <c r="Z9" s="13"/>
      <c r="AA9" s="13"/>
      <c r="AB9" s="14"/>
      <c r="AC9" s="9"/>
      <c r="AD9" s="16"/>
      <c r="AE9" s="10"/>
      <c r="AF9" s="10"/>
      <c r="AG9" s="10"/>
      <c r="AH9" s="11"/>
      <c r="AI9" s="12"/>
      <c r="AJ9" s="17"/>
      <c r="AK9" s="13"/>
      <c r="AL9" s="13"/>
      <c r="AM9" s="13"/>
      <c r="AN9" s="14"/>
      <c r="AO9" s="9"/>
      <c r="AP9" s="16"/>
      <c r="AQ9" s="10"/>
      <c r="AR9" s="10"/>
      <c r="AS9" s="10"/>
      <c r="AT9" s="11"/>
      <c r="AU9" s="12"/>
      <c r="AV9" s="17"/>
      <c r="AW9" s="13"/>
      <c r="AX9" s="13"/>
      <c r="AY9" s="13"/>
      <c r="AZ9" s="14"/>
      <c r="BA9" s="9"/>
      <c r="BB9" s="16"/>
      <c r="BC9" s="10"/>
      <c r="BD9" s="10"/>
      <c r="BE9" s="10"/>
      <c r="BF9" s="11"/>
      <c r="BG9" s="12"/>
      <c r="BH9" s="17"/>
      <c r="BI9" s="13"/>
      <c r="BJ9" s="13"/>
      <c r="BK9" s="13"/>
      <c r="BL9" s="14"/>
      <c r="BM9" s="8">
        <f t="shared" si="0"/>
        <v>15</v>
      </c>
      <c r="BN9" s="8">
        <f t="shared" si="1"/>
        <v>0</v>
      </c>
      <c r="BO9" s="8">
        <f t="shared" si="2"/>
        <v>9</v>
      </c>
      <c r="BP9" s="8">
        <f t="shared" si="3"/>
        <v>8</v>
      </c>
      <c r="BQ9" s="8">
        <f t="shared" si="4"/>
        <v>15</v>
      </c>
      <c r="BR9" s="8">
        <f t="shared" si="5"/>
        <v>0</v>
      </c>
      <c r="BS9" s="15">
        <f t="shared" si="6"/>
        <v>10.444266369640328</v>
      </c>
      <c r="BT9" s="15" t="str">
        <f t="shared" si="7"/>
        <v>OK - No Upgrade</v>
      </c>
      <c r="BU9" s="15" t="str">
        <f t="shared" si="8"/>
        <v>Need to Balance</v>
      </c>
    </row>
    <row r="10" spans="1:73" ht="15.75" customHeight="1" x14ac:dyDescent="0.25">
      <c r="A10" s="8" t="s">
        <v>3005</v>
      </c>
      <c r="B10" s="8" t="s">
        <v>3006</v>
      </c>
      <c r="C10" s="8" t="s">
        <v>40</v>
      </c>
      <c r="D10" s="8" t="s">
        <v>3023</v>
      </c>
      <c r="E10" s="8" t="s">
        <v>3024</v>
      </c>
      <c r="F10" s="8" t="s">
        <v>43</v>
      </c>
      <c r="G10" s="8" t="s">
        <v>44</v>
      </c>
      <c r="H10" s="8">
        <v>315</v>
      </c>
      <c r="I10" s="8" t="s">
        <v>259</v>
      </c>
      <c r="J10" s="8">
        <v>1</v>
      </c>
      <c r="K10" s="8">
        <v>230</v>
      </c>
      <c r="L10" s="8">
        <v>233</v>
      </c>
      <c r="M10" s="8">
        <v>232</v>
      </c>
      <c r="N10" s="8">
        <v>402</v>
      </c>
      <c r="O10" s="8">
        <v>398</v>
      </c>
      <c r="P10" s="8">
        <v>404</v>
      </c>
      <c r="Q10" s="9" t="s">
        <v>46</v>
      </c>
      <c r="R10" s="16"/>
      <c r="S10" s="10">
        <v>82</v>
      </c>
      <c r="T10" s="10">
        <v>66</v>
      </c>
      <c r="U10" s="10">
        <v>57</v>
      </c>
      <c r="V10" s="11">
        <v>19</v>
      </c>
      <c r="W10" s="12" t="s">
        <v>47</v>
      </c>
      <c r="X10" s="17"/>
      <c r="Y10" s="13">
        <v>83</v>
      </c>
      <c r="Z10" s="13">
        <v>43</v>
      </c>
      <c r="AA10" s="13">
        <v>72</v>
      </c>
      <c r="AB10" s="14">
        <v>27</v>
      </c>
      <c r="AC10" s="9"/>
      <c r="AD10" s="16"/>
      <c r="AE10" s="10"/>
      <c r="AF10" s="10"/>
      <c r="AG10" s="10"/>
      <c r="AH10" s="11"/>
      <c r="AI10" s="12"/>
      <c r="AJ10" s="17"/>
      <c r="AK10" s="13"/>
      <c r="AL10" s="13"/>
      <c r="AM10" s="13"/>
      <c r="AN10" s="14"/>
      <c r="AO10" s="9"/>
      <c r="AP10" s="16"/>
      <c r="AQ10" s="10"/>
      <c r="AR10" s="10"/>
      <c r="AS10" s="10"/>
      <c r="AT10" s="11"/>
      <c r="AU10" s="12"/>
      <c r="AV10" s="17"/>
      <c r="AW10" s="13"/>
      <c r="AX10" s="13"/>
      <c r="AY10" s="13"/>
      <c r="AZ10" s="14"/>
      <c r="BA10" s="9"/>
      <c r="BB10" s="16"/>
      <c r="BC10" s="10"/>
      <c r="BD10" s="10"/>
      <c r="BE10" s="10"/>
      <c r="BF10" s="11"/>
      <c r="BG10" s="12"/>
      <c r="BH10" s="17"/>
      <c r="BI10" s="13"/>
      <c r="BJ10" s="13"/>
      <c r="BK10" s="13"/>
      <c r="BL10" s="14"/>
      <c r="BM10" s="8">
        <f t="shared" si="0"/>
        <v>165</v>
      </c>
      <c r="BN10" s="8">
        <f t="shared" si="1"/>
        <v>109</v>
      </c>
      <c r="BO10" s="8">
        <f t="shared" si="2"/>
        <v>129</v>
      </c>
      <c r="BP10" s="8">
        <f t="shared" si="3"/>
        <v>46</v>
      </c>
      <c r="BQ10" s="8">
        <f t="shared" si="4"/>
        <v>165</v>
      </c>
      <c r="BR10" s="8">
        <f t="shared" si="5"/>
        <v>109</v>
      </c>
      <c r="BS10" s="15">
        <f t="shared" si="6"/>
        <v>36.472041290807496</v>
      </c>
      <c r="BT10" s="15" t="str">
        <f t="shared" si="7"/>
        <v>OK - No Upgrade</v>
      </c>
      <c r="BU10" s="15" t="str">
        <f t="shared" si="8"/>
        <v>Need to Balance</v>
      </c>
    </row>
    <row r="11" spans="1:73" ht="15.75" customHeight="1" x14ac:dyDescent="0.25">
      <c r="A11" s="8" t="s">
        <v>3005</v>
      </c>
      <c r="B11" s="8" t="s">
        <v>3006</v>
      </c>
      <c r="C11" s="8" t="s">
        <v>40</v>
      </c>
      <c r="D11" s="8" t="s">
        <v>3025</v>
      </c>
      <c r="E11" s="8" t="s">
        <v>3026</v>
      </c>
      <c r="F11" s="8" t="s">
        <v>43</v>
      </c>
      <c r="G11" s="8" t="s">
        <v>44</v>
      </c>
      <c r="H11" s="8">
        <v>50</v>
      </c>
      <c r="I11" s="8" t="s">
        <v>3027</v>
      </c>
      <c r="J11" s="8">
        <v>1</v>
      </c>
      <c r="K11" s="8">
        <v>230</v>
      </c>
      <c r="L11" s="8">
        <v>233</v>
      </c>
      <c r="M11" s="8">
        <v>228</v>
      </c>
      <c r="N11" s="8">
        <v>401</v>
      </c>
      <c r="O11" s="8">
        <v>394</v>
      </c>
      <c r="P11" s="8">
        <v>403</v>
      </c>
      <c r="Q11" s="9" t="s">
        <v>46</v>
      </c>
      <c r="R11" s="16"/>
      <c r="S11" s="10">
        <v>16</v>
      </c>
      <c r="T11" s="10">
        <v>14</v>
      </c>
      <c r="U11" s="10">
        <v>36</v>
      </c>
      <c r="V11" s="11">
        <v>24</v>
      </c>
      <c r="W11" s="12"/>
      <c r="X11" s="17"/>
      <c r="Y11" s="13"/>
      <c r="Z11" s="13"/>
      <c r="AA11" s="13"/>
      <c r="AB11" s="14"/>
      <c r="AC11" s="9"/>
      <c r="AD11" s="16"/>
      <c r="AE11" s="10"/>
      <c r="AF11" s="10"/>
      <c r="AG11" s="10"/>
      <c r="AH11" s="11"/>
      <c r="AI11" s="12"/>
      <c r="AJ11" s="17"/>
      <c r="AK11" s="13"/>
      <c r="AL11" s="13"/>
      <c r="AM11" s="13"/>
      <c r="AN11" s="14"/>
      <c r="AO11" s="9"/>
      <c r="AP11" s="16"/>
      <c r="AQ11" s="10"/>
      <c r="AR11" s="10"/>
      <c r="AS11" s="10"/>
      <c r="AT11" s="11"/>
      <c r="AU11" s="12"/>
      <c r="AV11" s="17"/>
      <c r="AW11" s="13"/>
      <c r="AX11" s="13"/>
      <c r="AY11" s="13"/>
      <c r="AZ11" s="14"/>
      <c r="BA11" s="9"/>
      <c r="BB11" s="16"/>
      <c r="BC11" s="10"/>
      <c r="BD11" s="10"/>
      <c r="BE11" s="10"/>
      <c r="BF11" s="11"/>
      <c r="BG11" s="12"/>
      <c r="BH11" s="17"/>
      <c r="BI11" s="13"/>
      <c r="BJ11" s="13"/>
      <c r="BK11" s="13"/>
      <c r="BL11" s="14"/>
      <c r="BM11" s="8">
        <f t="shared" si="0"/>
        <v>16</v>
      </c>
      <c r="BN11" s="8">
        <f t="shared" si="1"/>
        <v>14</v>
      </c>
      <c r="BO11" s="8">
        <f t="shared" si="2"/>
        <v>36</v>
      </c>
      <c r="BP11" s="8">
        <f t="shared" si="3"/>
        <v>24</v>
      </c>
      <c r="BQ11" s="8">
        <f t="shared" si="4"/>
        <v>36</v>
      </c>
      <c r="BR11" s="8">
        <f t="shared" si="5"/>
        <v>14</v>
      </c>
      <c r="BS11" s="15">
        <f t="shared" si="6"/>
        <v>50.007770916128614</v>
      </c>
      <c r="BT11" s="15" t="str">
        <f t="shared" si="7"/>
        <v>OK - No Upgrade</v>
      </c>
      <c r="BU11" s="15" t="str">
        <f t="shared" si="8"/>
        <v>Need to Balance</v>
      </c>
    </row>
    <row r="12" spans="1:73" ht="15.75" customHeight="1" x14ac:dyDescent="0.25">
      <c r="A12" s="8" t="s">
        <v>3005</v>
      </c>
      <c r="B12" s="8" t="s">
        <v>3006</v>
      </c>
      <c r="C12" s="8" t="s">
        <v>40</v>
      </c>
      <c r="D12" s="8" t="s">
        <v>3028</v>
      </c>
      <c r="E12" s="8" t="s">
        <v>3029</v>
      </c>
      <c r="F12" s="8" t="s">
        <v>43</v>
      </c>
      <c r="G12" s="8" t="s">
        <v>44</v>
      </c>
      <c r="H12" s="8">
        <v>50</v>
      </c>
      <c r="I12" s="8" t="s">
        <v>3030</v>
      </c>
      <c r="J12" s="8">
        <v>1</v>
      </c>
      <c r="K12" s="8">
        <v>233</v>
      </c>
      <c r="L12" s="8">
        <v>236</v>
      </c>
      <c r="M12" s="8">
        <v>235</v>
      </c>
      <c r="N12" s="8">
        <v>408</v>
      </c>
      <c r="O12" s="8">
        <v>406</v>
      </c>
      <c r="P12" s="8">
        <v>410</v>
      </c>
      <c r="Q12" s="9" t="s">
        <v>46</v>
      </c>
      <c r="R12" s="16"/>
      <c r="S12" s="10">
        <v>0</v>
      </c>
      <c r="T12" s="10">
        <v>0</v>
      </c>
      <c r="U12" s="10">
        <v>0</v>
      </c>
      <c r="V12" s="11">
        <v>0</v>
      </c>
      <c r="W12" s="12"/>
      <c r="X12" s="17"/>
      <c r="Y12" s="13"/>
      <c r="Z12" s="13"/>
      <c r="AA12" s="13"/>
      <c r="AB12" s="14"/>
      <c r="AC12" s="9"/>
      <c r="AD12" s="16"/>
      <c r="AE12" s="10"/>
      <c r="AF12" s="10"/>
      <c r="AG12" s="10"/>
      <c r="AH12" s="11"/>
      <c r="AI12" s="12"/>
      <c r="AJ12" s="17"/>
      <c r="AK12" s="13"/>
      <c r="AL12" s="13"/>
      <c r="AM12" s="13"/>
      <c r="AN12" s="14"/>
      <c r="AO12" s="9"/>
      <c r="AP12" s="16"/>
      <c r="AQ12" s="10"/>
      <c r="AR12" s="10"/>
      <c r="AS12" s="10"/>
      <c r="AT12" s="11"/>
      <c r="AU12" s="12"/>
      <c r="AV12" s="17"/>
      <c r="AW12" s="13"/>
      <c r="AX12" s="13"/>
      <c r="AY12" s="13"/>
      <c r="AZ12" s="14"/>
      <c r="BA12" s="9"/>
      <c r="BB12" s="16"/>
      <c r="BC12" s="10"/>
      <c r="BD12" s="10"/>
      <c r="BE12" s="10"/>
      <c r="BF12" s="11"/>
      <c r="BG12" s="12"/>
      <c r="BH12" s="17"/>
      <c r="BI12" s="13"/>
      <c r="BJ12" s="13"/>
      <c r="BK12" s="13"/>
      <c r="BL12" s="14"/>
      <c r="BM12" s="8">
        <f t="shared" si="0"/>
        <v>0</v>
      </c>
      <c r="BN12" s="8">
        <f t="shared" si="1"/>
        <v>0</v>
      </c>
      <c r="BO12" s="8">
        <f t="shared" si="2"/>
        <v>0</v>
      </c>
      <c r="BP12" s="8">
        <f t="shared" si="3"/>
        <v>0</v>
      </c>
      <c r="BQ12" s="8">
        <f t="shared" si="4"/>
        <v>0</v>
      </c>
      <c r="BR12" s="8">
        <f t="shared" si="5"/>
        <v>0</v>
      </c>
      <c r="BS12" s="15">
        <f t="shared" si="6"/>
        <v>0</v>
      </c>
      <c r="BT12" s="15" t="str">
        <f t="shared" si="7"/>
        <v>OK - No Upgrade</v>
      </c>
      <c r="BU12" s="15" t="str">
        <f t="shared" si="8"/>
        <v>OK - Balanced</v>
      </c>
    </row>
    <row r="13" spans="1:73" ht="15.75" customHeight="1" x14ac:dyDescent="0.25">
      <c r="A13" s="8" t="s">
        <v>3005</v>
      </c>
      <c r="B13" s="8" t="s">
        <v>3006</v>
      </c>
      <c r="C13" s="8" t="s">
        <v>40</v>
      </c>
      <c r="D13" s="8" t="s">
        <v>3031</v>
      </c>
      <c r="E13" s="8" t="s">
        <v>3032</v>
      </c>
      <c r="F13" s="8" t="s">
        <v>43</v>
      </c>
      <c r="G13" s="8" t="s">
        <v>44</v>
      </c>
      <c r="H13" s="8">
        <v>100</v>
      </c>
      <c r="I13" s="8" t="s">
        <v>3033</v>
      </c>
      <c r="J13" s="8">
        <v>1</v>
      </c>
      <c r="K13" s="8">
        <v>234</v>
      </c>
      <c r="L13" s="8">
        <v>237</v>
      </c>
      <c r="M13" s="8">
        <v>236</v>
      </c>
      <c r="N13" s="8">
        <v>410</v>
      </c>
      <c r="O13" s="8">
        <v>407</v>
      </c>
      <c r="P13" s="8">
        <v>413</v>
      </c>
      <c r="Q13" s="9" t="s">
        <v>47</v>
      </c>
      <c r="R13" s="16"/>
      <c r="S13" s="10">
        <v>0</v>
      </c>
      <c r="T13" s="10">
        <v>0</v>
      </c>
      <c r="U13" s="10">
        <v>0</v>
      </c>
      <c r="V13" s="11">
        <v>0</v>
      </c>
      <c r="W13" s="12"/>
      <c r="X13" s="17"/>
      <c r="Y13" s="13"/>
      <c r="Z13" s="13"/>
      <c r="AA13" s="13"/>
      <c r="AB13" s="14"/>
      <c r="AC13" s="9"/>
      <c r="AD13" s="16"/>
      <c r="AE13" s="10"/>
      <c r="AF13" s="10"/>
      <c r="AG13" s="10"/>
      <c r="AH13" s="11"/>
      <c r="AI13" s="12"/>
      <c r="AJ13" s="17"/>
      <c r="AK13" s="13"/>
      <c r="AL13" s="13"/>
      <c r="AM13" s="13"/>
      <c r="AN13" s="14"/>
      <c r="AO13" s="9"/>
      <c r="AP13" s="16"/>
      <c r="AQ13" s="10"/>
      <c r="AR13" s="10"/>
      <c r="AS13" s="10"/>
      <c r="AT13" s="11"/>
      <c r="AU13" s="12"/>
      <c r="AV13" s="17"/>
      <c r="AW13" s="13"/>
      <c r="AX13" s="13"/>
      <c r="AY13" s="13"/>
      <c r="AZ13" s="14"/>
      <c r="BA13" s="9"/>
      <c r="BB13" s="16"/>
      <c r="BC13" s="10"/>
      <c r="BD13" s="10"/>
      <c r="BE13" s="10"/>
      <c r="BF13" s="11"/>
      <c r="BG13" s="12"/>
      <c r="BH13" s="17"/>
      <c r="BI13" s="13"/>
      <c r="BJ13" s="13"/>
      <c r="BK13" s="13"/>
      <c r="BL13" s="14"/>
      <c r="BM13" s="8">
        <f t="shared" si="0"/>
        <v>0</v>
      </c>
      <c r="BN13" s="8">
        <f t="shared" si="1"/>
        <v>0</v>
      </c>
      <c r="BO13" s="8">
        <f t="shared" si="2"/>
        <v>0</v>
      </c>
      <c r="BP13" s="8">
        <f t="shared" si="3"/>
        <v>0</v>
      </c>
      <c r="BQ13" s="8">
        <f t="shared" si="4"/>
        <v>0</v>
      </c>
      <c r="BR13" s="8">
        <f t="shared" si="5"/>
        <v>0</v>
      </c>
      <c r="BS13" s="15">
        <f t="shared" si="6"/>
        <v>0</v>
      </c>
      <c r="BT13" s="15" t="str">
        <f t="shared" si="7"/>
        <v>OK - No Upgrade</v>
      </c>
      <c r="BU13" s="15" t="str">
        <f t="shared" si="8"/>
        <v>OK - Balanced</v>
      </c>
    </row>
    <row r="14" spans="1:73" ht="15.75" customHeight="1" x14ac:dyDescent="0.25">
      <c r="A14" s="8" t="s">
        <v>3005</v>
      </c>
      <c r="B14" s="8" t="s">
        <v>3006</v>
      </c>
      <c r="C14" s="8" t="s">
        <v>40</v>
      </c>
      <c r="D14" s="8" t="s">
        <v>3034</v>
      </c>
      <c r="E14" s="8" t="s">
        <v>3035</v>
      </c>
      <c r="F14" s="8" t="s">
        <v>43</v>
      </c>
      <c r="G14" s="8" t="s">
        <v>44</v>
      </c>
      <c r="H14" s="8">
        <v>200</v>
      </c>
      <c r="I14" s="8" t="s">
        <v>3036</v>
      </c>
      <c r="J14" s="8">
        <v>1</v>
      </c>
      <c r="K14" s="8">
        <v>251</v>
      </c>
      <c r="L14" s="8">
        <v>249</v>
      </c>
      <c r="M14" s="8">
        <v>250</v>
      </c>
      <c r="N14" s="8">
        <v>435</v>
      </c>
      <c r="O14" s="8">
        <v>438</v>
      </c>
      <c r="P14" s="8">
        <v>431</v>
      </c>
      <c r="Q14" s="9" t="s">
        <v>334</v>
      </c>
      <c r="R14" s="16"/>
      <c r="S14" s="10">
        <v>0</v>
      </c>
      <c r="T14" s="10">
        <v>0</v>
      </c>
      <c r="U14" s="10">
        <v>0</v>
      </c>
      <c r="V14" s="11">
        <v>0</v>
      </c>
      <c r="W14" s="12"/>
      <c r="X14" s="17"/>
      <c r="Y14" s="13"/>
      <c r="Z14" s="13"/>
      <c r="AA14" s="13"/>
      <c r="AB14" s="14"/>
      <c r="AC14" s="9"/>
      <c r="AD14" s="16"/>
      <c r="AE14" s="10"/>
      <c r="AF14" s="10"/>
      <c r="AG14" s="10"/>
      <c r="AH14" s="11"/>
      <c r="AI14" s="12"/>
      <c r="AJ14" s="17"/>
      <c r="AK14" s="13"/>
      <c r="AL14" s="13"/>
      <c r="AM14" s="13"/>
      <c r="AN14" s="14"/>
      <c r="AO14" s="9"/>
      <c r="AP14" s="16"/>
      <c r="AQ14" s="10"/>
      <c r="AR14" s="10"/>
      <c r="AS14" s="10"/>
      <c r="AT14" s="11"/>
      <c r="AU14" s="12"/>
      <c r="AV14" s="17"/>
      <c r="AW14" s="13"/>
      <c r="AX14" s="13"/>
      <c r="AY14" s="13"/>
      <c r="AZ14" s="14"/>
      <c r="BA14" s="9"/>
      <c r="BB14" s="16"/>
      <c r="BC14" s="10"/>
      <c r="BD14" s="10"/>
      <c r="BE14" s="10"/>
      <c r="BF14" s="11"/>
      <c r="BG14" s="12"/>
      <c r="BH14" s="17"/>
      <c r="BI14" s="13"/>
      <c r="BJ14" s="13"/>
      <c r="BK14" s="13"/>
      <c r="BL14" s="14"/>
      <c r="BM14" s="8">
        <f t="shared" si="0"/>
        <v>0</v>
      </c>
      <c r="BN14" s="8">
        <f t="shared" si="1"/>
        <v>0</v>
      </c>
      <c r="BO14" s="8">
        <f t="shared" si="2"/>
        <v>0</v>
      </c>
      <c r="BP14" s="8">
        <f t="shared" si="3"/>
        <v>0</v>
      </c>
      <c r="BQ14" s="8">
        <f t="shared" si="4"/>
        <v>0</v>
      </c>
      <c r="BR14" s="8">
        <f t="shared" si="5"/>
        <v>0</v>
      </c>
      <c r="BS14" s="15">
        <f t="shared" si="6"/>
        <v>0</v>
      </c>
      <c r="BT14" s="15" t="str">
        <f t="shared" si="7"/>
        <v>OK - No Upgrade</v>
      </c>
      <c r="BU14" s="15" t="str">
        <f t="shared" si="8"/>
        <v>OK - Balanced</v>
      </c>
    </row>
    <row r="15" spans="1:73" ht="15.75" customHeight="1" x14ac:dyDescent="0.25">
      <c r="A15" s="8" t="s">
        <v>3005</v>
      </c>
      <c r="B15" s="8" t="s">
        <v>3006</v>
      </c>
      <c r="C15" s="8" t="s">
        <v>40</v>
      </c>
      <c r="D15" s="8" t="s">
        <v>3037</v>
      </c>
      <c r="E15" s="8" t="s">
        <v>3038</v>
      </c>
      <c r="F15" s="8" t="s">
        <v>43</v>
      </c>
      <c r="G15" s="8" t="s">
        <v>44</v>
      </c>
      <c r="H15" s="8">
        <v>315</v>
      </c>
      <c r="I15" s="8" t="s">
        <v>271</v>
      </c>
      <c r="J15" s="8">
        <v>1</v>
      </c>
      <c r="K15" s="8">
        <v>237</v>
      </c>
      <c r="L15" s="8">
        <v>240</v>
      </c>
      <c r="M15" s="8">
        <v>238</v>
      </c>
      <c r="N15" s="8">
        <v>416</v>
      </c>
      <c r="O15" s="8">
        <v>412</v>
      </c>
      <c r="P15" s="8">
        <v>416</v>
      </c>
      <c r="Q15" s="9" t="s">
        <v>47</v>
      </c>
      <c r="R15" s="16"/>
      <c r="S15" s="10">
        <v>30</v>
      </c>
      <c r="T15" s="10">
        <v>18</v>
      </c>
      <c r="U15" s="10">
        <v>44</v>
      </c>
      <c r="V15" s="11">
        <v>18</v>
      </c>
      <c r="W15" s="12"/>
      <c r="X15" s="17"/>
      <c r="Y15" s="13"/>
      <c r="Z15" s="13"/>
      <c r="AA15" s="13"/>
      <c r="AB15" s="14"/>
      <c r="AC15" s="9"/>
      <c r="AD15" s="16"/>
      <c r="AE15" s="10"/>
      <c r="AF15" s="10"/>
      <c r="AG15" s="10"/>
      <c r="AH15" s="11"/>
      <c r="AI15" s="12"/>
      <c r="AJ15" s="17"/>
      <c r="AK15" s="13"/>
      <c r="AL15" s="13"/>
      <c r="AM15" s="13"/>
      <c r="AN15" s="14"/>
      <c r="AO15" s="9"/>
      <c r="AP15" s="16"/>
      <c r="AQ15" s="10"/>
      <c r="AR15" s="10"/>
      <c r="AS15" s="10"/>
      <c r="AT15" s="11"/>
      <c r="AU15" s="12"/>
      <c r="AV15" s="17"/>
      <c r="AW15" s="13"/>
      <c r="AX15" s="13"/>
      <c r="AY15" s="13"/>
      <c r="AZ15" s="14"/>
      <c r="BA15" s="9"/>
      <c r="BB15" s="16"/>
      <c r="BC15" s="10"/>
      <c r="BD15" s="10"/>
      <c r="BE15" s="10"/>
      <c r="BF15" s="11"/>
      <c r="BG15" s="12"/>
      <c r="BH15" s="17"/>
      <c r="BI15" s="13"/>
      <c r="BJ15" s="13"/>
      <c r="BK15" s="13"/>
      <c r="BL15" s="14"/>
      <c r="BM15" s="8">
        <f t="shared" si="0"/>
        <v>30</v>
      </c>
      <c r="BN15" s="8">
        <f t="shared" si="1"/>
        <v>18</v>
      </c>
      <c r="BO15" s="8">
        <f t="shared" si="2"/>
        <v>44</v>
      </c>
      <c r="BP15" s="8">
        <f t="shared" si="3"/>
        <v>18</v>
      </c>
      <c r="BQ15" s="8">
        <f t="shared" si="4"/>
        <v>44</v>
      </c>
      <c r="BR15" s="8">
        <f t="shared" si="5"/>
        <v>18</v>
      </c>
      <c r="BS15" s="15">
        <f t="shared" si="6"/>
        <v>10.064589835473248</v>
      </c>
      <c r="BT15" s="15" t="str">
        <f t="shared" si="7"/>
        <v>OK - No Upgrade</v>
      </c>
      <c r="BU15" s="15" t="str">
        <f t="shared" si="8"/>
        <v>Need to Balance</v>
      </c>
    </row>
    <row r="16" spans="1:73" ht="15.75" customHeight="1" x14ac:dyDescent="0.25">
      <c r="A16" s="8" t="s">
        <v>3005</v>
      </c>
      <c r="B16" s="8" t="s">
        <v>3006</v>
      </c>
      <c r="C16" s="8" t="s">
        <v>40</v>
      </c>
      <c r="D16" s="8" t="s">
        <v>3039</v>
      </c>
      <c r="E16" s="8" t="s">
        <v>3040</v>
      </c>
      <c r="F16" s="8" t="s">
        <v>56</v>
      </c>
      <c r="G16" s="8" t="s">
        <v>469</v>
      </c>
      <c r="H16" s="8">
        <v>1000</v>
      </c>
      <c r="I16" s="8" t="s">
        <v>274</v>
      </c>
      <c r="J16" s="8">
        <v>1</v>
      </c>
      <c r="K16" s="8">
        <v>238</v>
      </c>
      <c r="L16" s="8">
        <v>240</v>
      </c>
      <c r="M16" s="8">
        <v>239</v>
      </c>
      <c r="N16" s="8">
        <v>416</v>
      </c>
      <c r="O16" s="8">
        <v>412</v>
      </c>
      <c r="P16" s="8">
        <v>417</v>
      </c>
      <c r="Q16" s="9"/>
      <c r="R16" s="16"/>
      <c r="S16" s="10"/>
      <c r="T16" s="10"/>
      <c r="U16" s="10"/>
      <c r="V16" s="11"/>
      <c r="W16" s="12" t="s">
        <v>47</v>
      </c>
      <c r="X16" s="17"/>
      <c r="Y16" s="13">
        <v>84</v>
      </c>
      <c r="Z16" s="13">
        <v>101</v>
      </c>
      <c r="AA16" s="13">
        <v>139</v>
      </c>
      <c r="AB16" s="14">
        <v>41</v>
      </c>
      <c r="AC16" s="9" t="s">
        <v>47</v>
      </c>
      <c r="AD16" s="16"/>
      <c r="AE16" s="10">
        <v>33</v>
      </c>
      <c r="AF16" s="10">
        <v>53</v>
      </c>
      <c r="AG16" s="10">
        <v>55</v>
      </c>
      <c r="AH16" s="11">
        <v>19</v>
      </c>
      <c r="AI16" s="12" t="s">
        <v>47</v>
      </c>
      <c r="AJ16" s="17"/>
      <c r="AK16" s="13">
        <v>20</v>
      </c>
      <c r="AL16" s="13">
        <v>33</v>
      </c>
      <c r="AM16" s="13">
        <v>22</v>
      </c>
      <c r="AN16" s="14">
        <v>29</v>
      </c>
      <c r="AO16" s="9" t="s">
        <v>47</v>
      </c>
      <c r="AP16" s="16"/>
      <c r="AQ16" s="10">
        <v>25</v>
      </c>
      <c r="AR16" s="10">
        <v>35</v>
      </c>
      <c r="AS16" s="10">
        <v>41</v>
      </c>
      <c r="AT16" s="11">
        <v>28</v>
      </c>
      <c r="AU16" s="12"/>
      <c r="AV16" s="17"/>
      <c r="AW16" s="13"/>
      <c r="AX16" s="13"/>
      <c r="AY16" s="13"/>
      <c r="AZ16" s="14"/>
      <c r="BA16" s="9"/>
      <c r="BB16" s="16"/>
      <c r="BC16" s="10"/>
      <c r="BD16" s="10"/>
      <c r="BE16" s="10"/>
      <c r="BF16" s="11"/>
      <c r="BG16" s="12"/>
      <c r="BH16" s="17"/>
      <c r="BI16" s="13"/>
      <c r="BJ16" s="13"/>
      <c r="BK16" s="13"/>
      <c r="BL16" s="14"/>
      <c r="BM16" s="8">
        <f t="shared" si="0"/>
        <v>162</v>
      </c>
      <c r="BN16" s="8">
        <f t="shared" si="1"/>
        <v>222</v>
      </c>
      <c r="BO16" s="8">
        <f t="shared" si="2"/>
        <v>257</v>
      </c>
      <c r="BP16" s="8">
        <f t="shared" si="3"/>
        <v>117</v>
      </c>
      <c r="BQ16" s="8">
        <f t="shared" si="4"/>
        <v>257</v>
      </c>
      <c r="BR16" s="8">
        <f t="shared" si="5"/>
        <v>162</v>
      </c>
      <c r="BS16" s="15">
        <f t="shared" si="6"/>
        <v>18.517701593880382</v>
      </c>
      <c r="BT16" s="15" t="str">
        <f t="shared" si="7"/>
        <v>OK - No Upgrade</v>
      </c>
      <c r="BU16" s="15" t="str">
        <f t="shared" si="8"/>
        <v>Need to Balance</v>
      </c>
    </row>
    <row r="17" spans="1:73" ht="15.75" customHeight="1" x14ac:dyDescent="0.25">
      <c r="A17" s="8" t="s">
        <v>3005</v>
      </c>
      <c r="B17" s="8" t="s">
        <v>3006</v>
      </c>
      <c r="C17" s="8" t="s">
        <v>40</v>
      </c>
      <c r="D17" s="8" t="s">
        <v>3041</v>
      </c>
      <c r="E17" s="8" t="s">
        <v>3042</v>
      </c>
      <c r="F17" s="8" t="s">
        <v>43</v>
      </c>
      <c r="G17" s="8" t="s">
        <v>44</v>
      </c>
      <c r="H17" s="8">
        <v>100</v>
      </c>
      <c r="I17" s="8" t="s">
        <v>3043</v>
      </c>
      <c r="J17" s="8">
        <v>1</v>
      </c>
      <c r="K17" s="8">
        <v>234</v>
      </c>
      <c r="L17" s="8">
        <v>233</v>
      </c>
      <c r="M17" s="8">
        <v>233</v>
      </c>
      <c r="N17" s="8">
        <v>406</v>
      </c>
      <c r="O17" s="8">
        <v>403</v>
      </c>
      <c r="P17" s="8">
        <v>404</v>
      </c>
      <c r="Q17" s="9" t="s">
        <v>47</v>
      </c>
      <c r="R17" s="16"/>
      <c r="S17" s="10">
        <v>48</v>
      </c>
      <c r="T17" s="10">
        <v>71</v>
      </c>
      <c r="U17" s="10">
        <v>96</v>
      </c>
      <c r="V17" s="11">
        <v>57</v>
      </c>
      <c r="W17" s="12"/>
      <c r="X17" s="17"/>
      <c r="Y17" s="13"/>
      <c r="Z17" s="13"/>
      <c r="AA17" s="13"/>
      <c r="AB17" s="14"/>
      <c r="AC17" s="9"/>
      <c r="AD17" s="16"/>
      <c r="AE17" s="10"/>
      <c r="AF17" s="10"/>
      <c r="AG17" s="10"/>
      <c r="AH17" s="11"/>
      <c r="AI17" s="12"/>
      <c r="AJ17" s="17"/>
      <c r="AK17" s="13"/>
      <c r="AL17" s="13"/>
      <c r="AM17" s="13"/>
      <c r="AN17" s="14"/>
      <c r="AO17" s="9"/>
      <c r="AP17" s="16"/>
      <c r="AQ17" s="10"/>
      <c r="AR17" s="10"/>
      <c r="AS17" s="10"/>
      <c r="AT17" s="11"/>
      <c r="AU17" s="12"/>
      <c r="AV17" s="17"/>
      <c r="AW17" s="13"/>
      <c r="AX17" s="13"/>
      <c r="AY17" s="13"/>
      <c r="AZ17" s="14"/>
      <c r="BA17" s="9"/>
      <c r="BB17" s="16"/>
      <c r="BC17" s="10"/>
      <c r="BD17" s="10"/>
      <c r="BE17" s="10"/>
      <c r="BF17" s="11"/>
      <c r="BG17" s="12"/>
      <c r="BH17" s="17"/>
      <c r="BI17" s="13"/>
      <c r="BJ17" s="13"/>
      <c r="BK17" s="13"/>
      <c r="BL17" s="14"/>
      <c r="BM17" s="8">
        <f t="shared" si="0"/>
        <v>48</v>
      </c>
      <c r="BN17" s="8">
        <f t="shared" si="1"/>
        <v>71</v>
      </c>
      <c r="BO17" s="8">
        <f t="shared" si="2"/>
        <v>96</v>
      </c>
      <c r="BP17" s="8">
        <f t="shared" si="3"/>
        <v>57</v>
      </c>
      <c r="BQ17" s="8">
        <f t="shared" si="4"/>
        <v>96</v>
      </c>
      <c r="BR17" s="8">
        <f t="shared" si="5"/>
        <v>48</v>
      </c>
      <c r="BS17" s="15">
        <f t="shared" si="6"/>
        <v>67.508412275804545</v>
      </c>
      <c r="BT17" s="15" t="str">
        <f t="shared" si="7"/>
        <v>OK - No Upgrade</v>
      </c>
      <c r="BU17" s="15" t="str">
        <f t="shared" si="8"/>
        <v>Need to Balance</v>
      </c>
    </row>
    <row r="18" spans="1:73" ht="15.75" customHeight="1" x14ac:dyDescent="0.25">
      <c r="A18" s="8" t="s">
        <v>3005</v>
      </c>
      <c r="B18" s="8" t="s">
        <v>3006</v>
      </c>
      <c r="C18" s="8" t="s">
        <v>40</v>
      </c>
      <c r="D18" s="8" t="s">
        <v>3044</v>
      </c>
      <c r="E18" s="8" t="s">
        <v>3045</v>
      </c>
      <c r="F18" s="8" t="s">
        <v>43</v>
      </c>
      <c r="G18" s="8" t="s">
        <v>44</v>
      </c>
      <c r="H18" s="8">
        <v>315</v>
      </c>
      <c r="I18" s="8" t="s">
        <v>3046</v>
      </c>
      <c r="J18" s="8">
        <v>1</v>
      </c>
      <c r="K18" s="8">
        <v>250</v>
      </c>
      <c r="L18" s="8">
        <v>249</v>
      </c>
      <c r="M18" s="8">
        <v>250</v>
      </c>
      <c r="N18" s="8">
        <v>434</v>
      </c>
      <c r="O18" s="8">
        <v>435</v>
      </c>
      <c r="P18" s="8">
        <v>433</v>
      </c>
      <c r="Q18" s="9" t="s">
        <v>46</v>
      </c>
      <c r="R18" s="16"/>
      <c r="S18" s="10"/>
      <c r="T18" s="10"/>
      <c r="U18" s="10"/>
      <c r="V18" s="11"/>
      <c r="W18" s="12" t="s">
        <v>46</v>
      </c>
      <c r="X18" s="17"/>
      <c r="Y18" s="13">
        <v>100</v>
      </c>
      <c r="Z18" s="13">
        <v>109</v>
      </c>
      <c r="AA18" s="13">
        <v>115</v>
      </c>
      <c r="AB18" s="14">
        <v>20</v>
      </c>
      <c r="AC18" s="9"/>
      <c r="AD18" s="16"/>
      <c r="AE18" s="10"/>
      <c r="AF18" s="10"/>
      <c r="AG18" s="10"/>
      <c r="AH18" s="11"/>
      <c r="AI18" s="12"/>
      <c r="AJ18" s="17"/>
      <c r="AK18" s="13"/>
      <c r="AL18" s="13"/>
      <c r="AM18" s="13"/>
      <c r="AN18" s="14"/>
      <c r="AO18" s="9"/>
      <c r="AP18" s="16"/>
      <c r="AQ18" s="10"/>
      <c r="AR18" s="10"/>
      <c r="AS18" s="10"/>
      <c r="AT18" s="11"/>
      <c r="AU18" s="12"/>
      <c r="AV18" s="17"/>
      <c r="AW18" s="13"/>
      <c r="AX18" s="13"/>
      <c r="AY18" s="13"/>
      <c r="AZ18" s="14"/>
      <c r="BA18" s="9"/>
      <c r="BB18" s="16"/>
      <c r="BC18" s="10"/>
      <c r="BD18" s="10"/>
      <c r="BE18" s="10"/>
      <c r="BF18" s="11"/>
      <c r="BG18" s="12"/>
      <c r="BH18" s="17"/>
      <c r="BI18" s="13"/>
      <c r="BJ18" s="13"/>
      <c r="BK18" s="13"/>
      <c r="BL18" s="14"/>
      <c r="BM18" s="8">
        <f t="shared" si="0"/>
        <v>100</v>
      </c>
      <c r="BN18" s="8">
        <f t="shared" si="1"/>
        <v>109</v>
      </c>
      <c r="BO18" s="8">
        <f t="shared" si="2"/>
        <v>115</v>
      </c>
      <c r="BP18" s="8">
        <f t="shared" si="3"/>
        <v>20</v>
      </c>
      <c r="BQ18" s="8">
        <f t="shared" si="4"/>
        <v>115</v>
      </c>
      <c r="BR18" s="8">
        <f t="shared" si="5"/>
        <v>100</v>
      </c>
      <c r="BS18" s="15">
        <f t="shared" si="6"/>
        <v>27.443382795480215</v>
      </c>
      <c r="BT18" s="15" t="str">
        <f t="shared" si="7"/>
        <v>OK - No Upgrade</v>
      </c>
      <c r="BU18" s="15" t="str">
        <f t="shared" si="8"/>
        <v>OK - Balanced</v>
      </c>
    </row>
    <row r="19" spans="1:73" ht="15.75" customHeight="1" x14ac:dyDescent="0.25">
      <c r="A19" s="8" t="s">
        <v>3005</v>
      </c>
      <c r="B19" s="8" t="s">
        <v>3006</v>
      </c>
      <c r="C19" s="8" t="s">
        <v>40</v>
      </c>
      <c r="D19" s="8" t="s">
        <v>3047</v>
      </c>
      <c r="E19" s="8" t="s">
        <v>3048</v>
      </c>
      <c r="F19" s="8" t="s">
        <v>43</v>
      </c>
      <c r="G19" s="8" t="s">
        <v>44</v>
      </c>
      <c r="H19" s="8">
        <v>315</v>
      </c>
      <c r="I19" s="8" t="s">
        <v>3049</v>
      </c>
      <c r="J19" s="8">
        <v>1</v>
      </c>
      <c r="K19" s="8">
        <v>252</v>
      </c>
      <c r="L19" s="8">
        <v>252</v>
      </c>
      <c r="M19" s="8">
        <v>253</v>
      </c>
      <c r="N19" s="8">
        <v>437</v>
      </c>
      <c r="O19" s="8">
        <v>440</v>
      </c>
      <c r="P19" s="8">
        <v>438</v>
      </c>
      <c r="Q19" s="9" t="s">
        <v>47</v>
      </c>
      <c r="R19" s="16"/>
      <c r="S19" s="10">
        <v>18</v>
      </c>
      <c r="T19" s="10">
        <v>20</v>
      </c>
      <c r="U19" s="10">
        <v>11</v>
      </c>
      <c r="V19" s="11">
        <v>24</v>
      </c>
      <c r="W19" s="12"/>
      <c r="X19" s="17"/>
      <c r="Y19" s="13"/>
      <c r="Z19" s="13"/>
      <c r="AA19" s="13"/>
      <c r="AB19" s="14"/>
      <c r="AC19" s="9"/>
      <c r="AD19" s="16"/>
      <c r="AE19" s="10"/>
      <c r="AF19" s="10"/>
      <c r="AG19" s="10"/>
      <c r="AH19" s="11"/>
      <c r="AI19" s="12"/>
      <c r="AJ19" s="17"/>
      <c r="AK19" s="13"/>
      <c r="AL19" s="13"/>
      <c r="AM19" s="13"/>
      <c r="AN19" s="14"/>
      <c r="AO19" s="9"/>
      <c r="AP19" s="16"/>
      <c r="AQ19" s="10"/>
      <c r="AR19" s="10"/>
      <c r="AS19" s="10"/>
      <c r="AT19" s="11"/>
      <c r="AU19" s="12"/>
      <c r="AV19" s="17"/>
      <c r="AW19" s="13"/>
      <c r="AX19" s="13"/>
      <c r="AY19" s="13"/>
      <c r="AZ19" s="14"/>
      <c r="BA19" s="9"/>
      <c r="BB19" s="16"/>
      <c r="BC19" s="10"/>
      <c r="BD19" s="10"/>
      <c r="BE19" s="10"/>
      <c r="BF19" s="11"/>
      <c r="BG19" s="12"/>
      <c r="BH19" s="17"/>
      <c r="BI19" s="13"/>
      <c r="BJ19" s="13"/>
      <c r="BK19" s="13"/>
      <c r="BL19" s="14"/>
      <c r="BM19" s="8">
        <f t="shared" si="0"/>
        <v>18</v>
      </c>
      <c r="BN19" s="8">
        <f t="shared" si="1"/>
        <v>20</v>
      </c>
      <c r="BO19" s="8">
        <f t="shared" si="2"/>
        <v>11</v>
      </c>
      <c r="BP19" s="8">
        <f t="shared" si="3"/>
        <v>24</v>
      </c>
      <c r="BQ19" s="8">
        <f t="shared" si="4"/>
        <v>20</v>
      </c>
      <c r="BR19" s="8">
        <f t="shared" si="5"/>
        <v>11</v>
      </c>
      <c r="BS19" s="15">
        <f t="shared" si="6"/>
        <v>4.8057536692545986</v>
      </c>
      <c r="BT19" s="15" t="str">
        <f t="shared" si="7"/>
        <v>OK - No Upgrade</v>
      </c>
      <c r="BU19" s="15" t="str">
        <f t="shared" si="8"/>
        <v>Need to Balance</v>
      </c>
    </row>
    <row r="20" spans="1:73" ht="15.75" customHeight="1" x14ac:dyDescent="0.25">
      <c r="A20" s="8" t="s">
        <v>3005</v>
      </c>
      <c r="B20" s="8" t="s">
        <v>3006</v>
      </c>
      <c r="C20" s="8" t="s">
        <v>40</v>
      </c>
      <c r="D20" s="8"/>
      <c r="E20" s="8" t="s">
        <v>3050</v>
      </c>
      <c r="F20" s="8" t="s">
        <v>43</v>
      </c>
      <c r="G20" s="8" t="s">
        <v>44</v>
      </c>
      <c r="H20" s="8">
        <v>315</v>
      </c>
      <c r="I20" s="8" t="s">
        <v>3051</v>
      </c>
      <c r="J20" s="8">
        <v>1</v>
      </c>
      <c r="K20" s="8">
        <v>250</v>
      </c>
      <c r="L20" s="8">
        <v>251</v>
      </c>
      <c r="M20" s="8">
        <v>252</v>
      </c>
      <c r="N20" s="8">
        <v>436</v>
      </c>
      <c r="O20" s="8">
        <v>437</v>
      </c>
      <c r="P20" s="8">
        <v>438</v>
      </c>
      <c r="Q20" s="9" t="s">
        <v>46</v>
      </c>
      <c r="R20" s="16"/>
      <c r="S20" s="10">
        <v>181</v>
      </c>
      <c r="T20" s="10">
        <v>120</v>
      </c>
      <c r="U20" s="10">
        <v>136</v>
      </c>
      <c r="V20" s="11">
        <v>44</v>
      </c>
      <c r="W20" s="12"/>
      <c r="X20" s="17"/>
      <c r="Y20" s="13"/>
      <c r="Z20" s="13"/>
      <c r="AA20" s="13"/>
      <c r="AB20" s="14"/>
      <c r="AC20" s="9"/>
      <c r="AD20" s="16"/>
      <c r="AE20" s="10"/>
      <c r="AF20" s="10"/>
      <c r="AG20" s="10"/>
      <c r="AH20" s="11"/>
      <c r="AI20" s="12"/>
      <c r="AJ20" s="17"/>
      <c r="AK20" s="13"/>
      <c r="AL20" s="13"/>
      <c r="AM20" s="13"/>
      <c r="AN20" s="14"/>
      <c r="AO20" s="9"/>
      <c r="AP20" s="16"/>
      <c r="AQ20" s="10"/>
      <c r="AR20" s="10"/>
      <c r="AS20" s="10"/>
      <c r="AT20" s="11"/>
      <c r="AU20" s="12"/>
      <c r="AV20" s="17"/>
      <c r="AW20" s="13"/>
      <c r="AX20" s="13"/>
      <c r="AY20" s="13"/>
      <c r="AZ20" s="14"/>
      <c r="BA20" s="9"/>
      <c r="BB20" s="16"/>
      <c r="BC20" s="10"/>
      <c r="BD20" s="10"/>
      <c r="BE20" s="10"/>
      <c r="BF20" s="11"/>
      <c r="BG20" s="12"/>
      <c r="BH20" s="17"/>
      <c r="BI20" s="13"/>
      <c r="BJ20" s="13"/>
      <c r="BK20" s="13"/>
      <c r="BL20" s="14"/>
      <c r="BM20" s="8">
        <f t="shared" si="0"/>
        <v>181</v>
      </c>
      <c r="BN20" s="8">
        <f t="shared" si="1"/>
        <v>120</v>
      </c>
      <c r="BO20" s="8">
        <f t="shared" si="2"/>
        <v>136</v>
      </c>
      <c r="BP20" s="8">
        <f t="shared" si="3"/>
        <v>44</v>
      </c>
      <c r="BQ20" s="8">
        <f t="shared" si="4"/>
        <v>181</v>
      </c>
      <c r="BR20" s="8">
        <f t="shared" si="5"/>
        <v>120</v>
      </c>
      <c r="BS20" s="15">
        <f t="shared" si="6"/>
        <v>43.392546517493805</v>
      </c>
      <c r="BT20" s="15" t="str">
        <f t="shared" si="7"/>
        <v>OK - No Upgrade</v>
      </c>
      <c r="BU20" s="15" t="str">
        <f t="shared" si="8"/>
        <v>Need to Balance</v>
      </c>
    </row>
    <row r="21" spans="1:73" ht="15.75" customHeight="1" x14ac:dyDescent="0.25">
      <c r="A21" s="8" t="s">
        <v>3005</v>
      </c>
      <c r="B21" s="8" t="s">
        <v>3006</v>
      </c>
      <c r="C21" s="8" t="s">
        <v>124</v>
      </c>
      <c r="D21" s="8" t="s">
        <v>3052</v>
      </c>
      <c r="E21" s="8" t="s">
        <v>3053</v>
      </c>
      <c r="F21" s="8" t="s">
        <v>43</v>
      </c>
      <c r="G21" s="8" t="s">
        <v>44</v>
      </c>
      <c r="H21" s="8">
        <v>200</v>
      </c>
      <c r="I21" s="8" t="s">
        <v>3054</v>
      </c>
      <c r="J21" s="8">
        <v>1</v>
      </c>
      <c r="K21" s="8">
        <v>248</v>
      </c>
      <c r="L21" s="8">
        <v>247</v>
      </c>
      <c r="M21" s="8">
        <v>246</v>
      </c>
      <c r="N21" s="8">
        <v>431</v>
      </c>
      <c r="O21" s="8">
        <v>428</v>
      </c>
      <c r="P21" s="8">
        <v>429</v>
      </c>
      <c r="Q21" s="9" t="s">
        <v>47</v>
      </c>
      <c r="R21" s="16"/>
      <c r="S21" s="10">
        <v>102</v>
      </c>
      <c r="T21" s="10">
        <v>116</v>
      </c>
      <c r="U21" s="10">
        <v>130</v>
      </c>
      <c r="V21" s="11">
        <v>21</v>
      </c>
      <c r="W21" s="12"/>
      <c r="X21" s="17"/>
      <c r="Y21" s="13"/>
      <c r="Z21" s="13"/>
      <c r="AA21" s="13"/>
      <c r="AB21" s="14"/>
      <c r="AC21" s="9"/>
      <c r="AD21" s="16"/>
      <c r="AE21" s="10"/>
      <c r="AF21" s="10"/>
      <c r="AG21" s="10"/>
      <c r="AH21" s="11"/>
      <c r="AI21" s="12"/>
      <c r="AJ21" s="17"/>
      <c r="AK21" s="13"/>
      <c r="AL21" s="13"/>
      <c r="AM21" s="13"/>
      <c r="AN21" s="14"/>
      <c r="AO21" s="9"/>
      <c r="AP21" s="16"/>
      <c r="AQ21" s="10"/>
      <c r="AR21" s="10"/>
      <c r="AS21" s="10"/>
      <c r="AT21" s="11"/>
      <c r="AU21" s="12"/>
      <c r="AV21" s="17"/>
      <c r="AW21" s="13"/>
      <c r="AX21" s="13"/>
      <c r="AY21" s="13"/>
      <c r="AZ21" s="14"/>
      <c r="BA21" s="9"/>
      <c r="BB21" s="16"/>
      <c r="BC21" s="10"/>
      <c r="BD21" s="10"/>
      <c r="BE21" s="10"/>
      <c r="BF21" s="11"/>
      <c r="BG21" s="12"/>
      <c r="BH21" s="17"/>
      <c r="BI21" s="13"/>
      <c r="BJ21" s="13"/>
      <c r="BK21" s="13"/>
      <c r="BL21" s="14"/>
      <c r="BM21" s="8">
        <f t="shared" si="0"/>
        <v>102</v>
      </c>
      <c r="BN21" s="8">
        <f t="shared" si="1"/>
        <v>116</v>
      </c>
      <c r="BO21" s="8">
        <f t="shared" si="2"/>
        <v>130</v>
      </c>
      <c r="BP21" s="8">
        <f t="shared" si="3"/>
        <v>21</v>
      </c>
      <c r="BQ21" s="8">
        <f t="shared" si="4"/>
        <v>130</v>
      </c>
      <c r="BR21" s="8">
        <f t="shared" si="5"/>
        <v>102</v>
      </c>
      <c r="BS21" s="15">
        <f t="shared" si="6"/>
        <v>48.523403374042104</v>
      </c>
      <c r="BT21" s="15" t="str">
        <f t="shared" si="7"/>
        <v>OK - No Upgrade</v>
      </c>
      <c r="BU21" s="15" t="str">
        <f t="shared" si="8"/>
        <v>Need to Balance</v>
      </c>
    </row>
    <row r="22" spans="1:73" ht="15.75" customHeight="1" x14ac:dyDescent="0.25">
      <c r="A22" s="8" t="s">
        <v>3005</v>
      </c>
      <c r="B22" s="8" t="s">
        <v>3006</v>
      </c>
      <c r="C22" s="8" t="s">
        <v>124</v>
      </c>
      <c r="D22" s="8" t="s">
        <v>3055</v>
      </c>
      <c r="E22" s="8" t="s">
        <v>3056</v>
      </c>
      <c r="F22" s="8" t="s">
        <v>43</v>
      </c>
      <c r="G22" s="8" t="s">
        <v>44</v>
      </c>
      <c r="H22" s="8">
        <v>100</v>
      </c>
      <c r="I22" s="8" t="s">
        <v>3057</v>
      </c>
      <c r="J22" s="8">
        <v>1</v>
      </c>
      <c r="K22" s="8">
        <v>242</v>
      </c>
      <c r="L22" s="8">
        <v>243</v>
      </c>
      <c r="M22" s="8">
        <v>243</v>
      </c>
      <c r="N22" s="8">
        <v>422</v>
      </c>
      <c r="O22" s="8">
        <v>420</v>
      </c>
      <c r="P22" s="8">
        <v>422</v>
      </c>
      <c r="Q22" s="9" t="s">
        <v>46</v>
      </c>
      <c r="R22" s="16"/>
      <c r="S22" s="10">
        <v>12</v>
      </c>
      <c r="T22" s="10">
        <v>18</v>
      </c>
      <c r="U22" s="10">
        <v>9</v>
      </c>
      <c r="V22" s="11">
        <v>10</v>
      </c>
      <c r="W22" s="12" t="s">
        <v>46</v>
      </c>
      <c r="X22" s="17"/>
      <c r="Y22" s="13">
        <v>160</v>
      </c>
      <c r="Z22" s="13">
        <v>155</v>
      </c>
      <c r="AA22" s="13">
        <v>194</v>
      </c>
      <c r="AB22" s="14">
        <v>32</v>
      </c>
      <c r="AC22" s="9"/>
      <c r="AD22" s="16"/>
      <c r="AE22" s="10"/>
      <c r="AF22" s="10"/>
      <c r="AG22" s="10"/>
      <c r="AH22" s="11"/>
      <c r="AI22" s="12"/>
      <c r="AJ22" s="17"/>
      <c r="AK22" s="13"/>
      <c r="AL22" s="13"/>
      <c r="AM22" s="13"/>
      <c r="AN22" s="14"/>
      <c r="AO22" s="9"/>
      <c r="AP22" s="16"/>
      <c r="AQ22" s="10"/>
      <c r="AR22" s="10"/>
      <c r="AS22" s="10"/>
      <c r="AT22" s="11"/>
      <c r="AU22" s="12"/>
      <c r="AV22" s="17"/>
      <c r="AW22" s="13"/>
      <c r="AX22" s="13"/>
      <c r="AY22" s="13"/>
      <c r="AZ22" s="14"/>
      <c r="BA22" s="9"/>
      <c r="BB22" s="16"/>
      <c r="BC22" s="10"/>
      <c r="BD22" s="10"/>
      <c r="BE22" s="10"/>
      <c r="BF22" s="11"/>
      <c r="BG22" s="12"/>
      <c r="BH22" s="17"/>
      <c r="BI22" s="13"/>
      <c r="BJ22" s="13"/>
      <c r="BK22" s="13"/>
      <c r="BL22" s="14"/>
      <c r="BM22" s="8">
        <f t="shared" si="0"/>
        <v>172</v>
      </c>
      <c r="BN22" s="8">
        <f t="shared" si="1"/>
        <v>173</v>
      </c>
      <c r="BO22" s="8">
        <f t="shared" si="2"/>
        <v>203</v>
      </c>
      <c r="BP22" s="8">
        <f t="shared" si="3"/>
        <v>42</v>
      </c>
      <c r="BQ22" s="8">
        <f t="shared" si="4"/>
        <v>203</v>
      </c>
      <c r="BR22" s="8">
        <f t="shared" si="5"/>
        <v>172</v>
      </c>
      <c r="BS22" s="15">
        <f t="shared" si="6"/>
        <v>148.37786448119545</v>
      </c>
      <c r="BT22" s="15" t="str">
        <f t="shared" si="7"/>
        <v>Upgrade</v>
      </c>
      <c r="BU22" s="15" t="str">
        <f t="shared" si="8"/>
        <v>Need to Balance</v>
      </c>
    </row>
    <row r="23" spans="1:73" ht="15.75" customHeight="1" x14ac:dyDescent="0.25">
      <c r="A23" s="8" t="s">
        <v>3005</v>
      </c>
      <c r="B23" s="8" t="s">
        <v>3006</v>
      </c>
      <c r="C23" s="8" t="s">
        <v>124</v>
      </c>
      <c r="D23" s="8" t="s">
        <v>3058</v>
      </c>
      <c r="E23" s="8" t="s">
        <v>3059</v>
      </c>
      <c r="F23" s="8" t="s">
        <v>43</v>
      </c>
      <c r="G23" s="8" t="s">
        <v>44</v>
      </c>
      <c r="H23" s="8">
        <v>315</v>
      </c>
      <c r="I23" s="8" t="s">
        <v>3060</v>
      </c>
      <c r="J23" s="8">
        <v>1</v>
      </c>
      <c r="K23" s="8">
        <v>243</v>
      </c>
      <c r="L23" s="8">
        <v>243</v>
      </c>
      <c r="M23" s="8">
        <v>244</v>
      </c>
      <c r="N23" s="8">
        <v>423</v>
      </c>
      <c r="O23" s="8">
        <v>424</v>
      </c>
      <c r="P23" s="8">
        <v>421</v>
      </c>
      <c r="Q23" s="9" t="s">
        <v>70</v>
      </c>
      <c r="R23" s="16"/>
      <c r="S23" s="10">
        <v>126</v>
      </c>
      <c r="T23" s="10">
        <v>141</v>
      </c>
      <c r="U23" s="10">
        <v>74</v>
      </c>
      <c r="V23" s="11">
        <v>71</v>
      </c>
      <c r="W23" s="12"/>
      <c r="X23" s="17"/>
      <c r="Y23" s="13"/>
      <c r="Z23" s="13"/>
      <c r="AA23" s="13"/>
      <c r="AB23" s="14"/>
      <c r="AC23" s="9"/>
      <c r="AD23" s="16"/>
      <c r="AE23" s="10"/>
      <c r="AF23" s="10"/>
      <c r="AG23" s="10"/>
      <c r="AH23" s="11"/>
      <c r="AI23" s="12"/>
      <c r="AJ23" s="17"/>
      <c r="AK23" s="13"/>
      <c r="AL23" s="13"/>
      <c r="AM23" s="13"/>
      <c r="AN23" s="14"/>
      <c r="AO23" s="9"/>
      <c r="AP23" s="16"/>
      <c r="AQ23" s="10"/>
      <c r="AR23" s="10"/>
      <c r="AS23" s="10"/>
      <c r="AT23" s="11"/>
      <c r="AU23" s="12"/>
      <c r="AV23" s="17"/>
      <c r="AW23" s="13"/>
      <c r="AX23" s="13"/>
      <c r="AY23" s="13"/>
      <c r="AZ23" s="14"/>
      <c r="BA23" s="9"/>
      <c r="BB23" s="16"/>
      <c r="BC23" s="10"/>
      <c r="BD23" s="10"/>
      <c r="BE23" s="10"/>
      <c r="BF23" s="11"/>
      <c r="BG23" s="12"/>
      <c r="BH23" s="17"/>
      <c r="BI23" s="13"/>
      <c r="BJ23" s="13"/>
      <c r="BK23" s="13"/>
      <c r="BL23" s="14"/>
      <c r="BM23" s="8">
        <f t="shared" si="0"/>
        <v>126</v>
      </c>
      <c r="BN23" s="8">
        <f t="shared" si="1"/>
        <v>141</v>
      </c>
      <c r="BO23" s="8">
        <f t="shared" si="2"/>
        <v>74</v>
      </c>
      <c r="BP23" s="8">
        <f t="shared" si="3"/>
        <v>71</v>
      </c>
      <c r="BQ23" s="8">
        <f t="shared" si="4"/>
        <v>141</v>
      </c>
      <c r="BR23" s="8">
        <f t="shared" si="5"/>
        <v>74</v>
      </c>
      <c r="BS23" s="15">
        <f t="shared" si="6"/>
        <v>32.795144862168421</v>
      </c>
      <c r="BT23" s="15" t="str">
        <f t="shared" si="7"/>
        <v>OK - No Upgrade</v>
      </c>
      <c r="BU23" s="15" t="str">
        <f t="shared" si="8"/>
        <v>Need to Balance</v>
      </c>
    </row>
    <row r="24" spans="1:73" ht="15.75" customHeight="1" x14ac:dyDescent="0.25">
      <c r="A24" s="8" t="s">
        <v>3005</v>
      </c>
      <c r="B24" s="8" t="s">
        <v>3006</v>
      </c>
      <c r="C24" s="8" t="s">
        <v>124</v>
      </c>
      <c r="D24" s="8" t="s">
        <v>3061</v>
      </c>
      <c r="E24" s="8" t="s">
        <v>3062</v>
      </c>
      <c r="F24" s="8" t="s">
        <v>43</v>
      </c>
      <c r="G24" s="8" t="s">
        <v>44</v>
      </c>
      <c r="H24" s="8">
        <v>315</v>
      </c>
      <c r="I24" s="8" t="s">
        <v>3063</v>
      </c>
      <c r="J24" s="8">
        <v>1</v>
      </c>
      <c r="K24" s="8">
        <v>250</v>
      </c>
      <c r="L24" s="8">
        <v>252</v>
      </c>
      <c r="M24" s="8">
        <v>251</v>
      </c>
      <c r="N24" s="8">
        <v>436</v>
      </c>
      <c r="O24" s="8">
        <v>437</v>
      </c>
      <c r="P24" s="8">
        <v>437</v>
      </c>
      <c r="Q24" s="9" t="s">
        <v>47</v>
      </c>
      <c r="R24" s="16"/>
      <c r="S24" s="10">
        <v>54</v>
      </c>
      <c r="T24" s="10">
        <v>8</v>
      </c>
      <c r="U24" s="10">
        <v>7</v>
      </c>
      <c r="V24" s="11">
        <v>45</v>
      </c>
      <c r="W24" s="12"/>
      <c r="X24" s="17"/>
      <c r="Y24" s="13"/>
      <c r="Z24" s="13"/>
      <c r="AA24" s="13"/>
      <c r="AB24" s="14"/>
      <c r="AC24" s="9"/>
      <c r="AD24" s="16"/>
      <c r="AE24" s="10"/>
      <c r="AF24" s="10"/>
      <c r="AG24" s="10"/>
      <c r="AH24" s="11"/>
      <c r="AI24" s="12"/>
      <c r="AJ24" s="17"/>
      <c r="AK24" s="13"/>
      <c r="AL24" s="13"/>
      <c r="AM24" s="13"/>
      <c r="AN24" s="14"/>
      <c r="AO24" s="9"/>
      <c r="AP24" s="16"/>
      <c r="AQ24" s="10"/>
      <c r="AR24" s="10"/>
      <c r="AS24" s="10"/>
      <c r="AT24" s="11"/>
      <c r="AU24" s="12"/>
      <c r="AV24" s="17"/>
      <c r="AW24" s="13"/>
      <c r="AX24" s="13"/>
      <c r="AY24" s="13"/>
      <c r="AZ24" s="14"/>
      <c r="BA24" s="9"/>
      <c r="BB24" s="16"/>
      <c r="BC24" s="10"/>
      <c r="BD24" s="10"/>
      <c r="BE24" s="10"/>
      <c r="BF24" s="11"/>
      <c r="BG24" s="12"/>
      <c r="BH24" s="17"/>
      <c r="BI24" s="13"/>
      <c r="BJ24" s="13"/>
      <c r="BK24" s="13"/>
      <c r="BL24" s="14"/>
      <c r="BM24" s="8">
        <f t="shared" si="0"/>
        <v>54</v>
      </c>
      <c r="BN24" s="8">
        <f t="shared" si="1"/>
        <v>8</v>
      </c>
      <c r="BO24" s="8">
        <f t="shared" si="2"/>
        <v>7</v>
      </c>
      <c r="BP24" s="8">
        <f t="shared" si="3"/>
        <v>45</v>
      </c>
      <c r="BQ24" s="8">
        <f t="shared" si="4"/>
        <v>54</v>
      </c>
      <c r="BR24" s="8">
        <f t="shared" si="5"/>
        <v>7</v>
      </c>
      <c r="BS24" s="15">
        <f t="shared" si="6"/>
        <v>12.945842607429093</v>
      </c>
      <c r="BT24" s="15" t="str">
        <f t="shared" si="7"/>
        <v>OK - No Upgrade</v>
      </c>
      <c r="BU24" s="15" t="str">
        <f t="shared" si="8"/>
        <v>Need to Balance</v>
      </c>
    </row>
    <row r="25" spans="1:73" ht="15.75" customHeight="1" x14ac:dyDescent="0.25">
      <c r="A25" s="8" t="s">
        <v>3005</v>
      </c>
      <c r="B25" s="8" t="s">
        <v>3006</v>
      </c>
      <c r="C25" s="8" t="s">
        <v>124</v>
      </c>
      <c r="D25" s="8" t="s">
        <v>3064</v>
      </c>
      <c r="E25" s="8" t="s">
        <v>3065</v>
      </c>
      <c r="F25" s="8" t="s">
        <v>43</v>
      </c>
      <c r="G25" s="8" t="s">
        <v>44</v>
      </c>
      <c r="H25" s="8">
        <v>100</v>
      </c>
      <c r="I25" s="8" t="s">
        <v>3066</v>
      </c>
      <c r="J25" s="8">
        <v>1</v>
      </c>
      <c r="K25" s="8">
        <v>252</v>
      </c>
      <c r="L25" s="8">
        <v>253</v>
      </c>
      <c r="M25" s="8">
        <v>251</v>
      </c>
      <c r="N25" s="8">
        <v>440</v>
      </c>
      <c r="O25" s="8">
        <v>437</v>
      </c>
      <c r="P25" s="8">
        <v>437</v>
      </c>
      <c r="Q25" s="9" t="s">
        <v>46</v>
      </c>
      <c r="R25" s="16"/>
      <c r="S25" s="10">
        <v>1</v>
      </c>
      <c r="T25" s="10">
        <v>1</v>
      </c>
      <c r="U25" s="10">
        <v>3</v>
      </c>
      <c r="V25" s="11">
        <v>1</v>
      </c>
      <c r="W25" s="12" t="s">
        <v>47</v>
      </c>
      <c r="X25" s="17"/>
      <c r="Y25" s="13">
        <v>1</v>
      </c>
      <c r="Z25" s="13">
        <v>1</v>
      </c>
      <c r="AA25" s="13">
        <v>3</v>
      </c>
      <c r="AB25" s="14">
        <v>1</v>
      </c>
      <c r="AC25" s="9"/>
      <c r="AD25" s="16"/>
      <c r="AE25" s="10"/>
      <c r="AF25" s="10"/>
      <c r="AG25" s="10"/>
      <c r="AH25" s="11"/>
      <c r="AI25" s="12"/>
      <c r="AJ25" s="17"/>
      <c r="AK25" s="13"/>
      <c r="AL25" s="13"/>
      <c r="AM25" s="13"/>
      <c r="AN25" s="14"/>
      <c r="AO25" s="9"/>
      <c r="AP25" s="16"/>
      <c r="AQ25" s="10"/>
      <c r="AR25" s="10"/>
      <c r="AS25" s="10"/>
      <c r="AT25" s="11"/>
      <c r="AU25" s="12"/>
      <c r="AV25" s="17"/>
      <c r="AW25" s="13"/>
      <c r="AX25" s="13"/>
      <c r="AY25" s="13"/>
      <c r="AZ25" s="14"/>
      <c r="BA25" s="9"/>
      <c r="BB25" s="16"/>
      <c r="BC25" s="10"/>
      <c r="BD25" s="10"/>
      <c r="BE25" s="10"/>
      <c r="BF25" s="11"/>
      <c r="BG25" s="12"/>
      <c r="BH25" s="17"/>
      <c r="BI25" s="13"/>
      <c r="BJ25" s="13"/>
      <c r="BK25" s="13"/>
      <c r="BL25" s="14"/>
      <c r="BM25" s="8">
        <f t="shared" si="0"/>
        <v>2</v>
      </c>
      <c r="BN25" s="8">
        <f t="shared" si="1"/>
        <v>2</v>
      </c>
      <c r="BO25" s="8">
        <f t="shared" si="2"/>
        <v>6</v>
      </c>
      <c r="BP25" s="8">
        <f t="shared" si="3"/>
        <v>2</v>
      </c>
      <c r="BQ25" s="8">
        <f t="shared" si="4"/>
        <v>6</v>
      </c>
      <c r="BR25" s="8">
        <f t="shared" si="5"/>
        <v>2</v>
      </c>
      <c r="BS25" s="15">
        <f t="shared" si="6"/>
        <v>4.5726141319818367</v>
      </c>
      <c r="BT25" s="15" t="str">
        <f t="shared" si="7"/>
        <v>OK - No Upgrade</v>
      </c>
      <c r="BU25" s="15" t="str">
        <f t="shared" si="8"/>
        <v>Need to Balance</v>
      </c>
    </row>
    <row r="26" spans="1:73" ht="15.75" customHeight="1" x14ac:dyDescent="0.25">
      <c r="A26" s="8" t="s">
        <v>3005</v>
      </c>
      <c r="B26" s="8" t="s">
        <v>3006</v>
      </c>
      <c r="C26" s="8" t="s">
        <v>124</v>
      </c>
      <c r="D26" s="8" t="s">
        <v>3067</v>
      </c>
      <c r="E26" s="8" t="s">
        <v>3068</v>
      </c>
      <c r="F26" s="8" t="s">
        <v>43</v>
      </c>
      <c r="G26" s="8" t="s">
        <v>44</v>
      </c>
      <c r="H26" s="8">
        <v>100</v>
      </c>
      <c r="I26" s="8" t="s">
        <v>3069</v>
      </c>
      <c r="J26" s="8">
        <v>1</v>
      </c>
      <c r="K26" s="8">
        <v>250</v>
      </c>
      <c r="L26" s="8">
        <v>252</v>
      </c>
      <c r="M26" s="8">
        <v>251</v>
      </c>
      <c r="N26" s="8">
        <v>436</v>
      </c>
      <c r="O26" s="8">
        <v>435</v>
      </c>
      <c r="P26" s="8">
        <v>436</v>
      </c>
      <c r="Q26" s="9" t="s">
        <v>47</v>
      </c>
      <c r="R26" s="16"/>
      <c r="S26" s="10">
        <v>26</v>
      </c>
      <c r="T26" s="10">
        <v>9</v>
      </c>
      <c r="U26" s="10">
        <v>22</v>
      </c>
      <c r="V26" s="11">
        <v>13</v>
      </c>
      <c r="W26" s="12"/>
      <c r="X26" s="17"/>
      <c r="Y26" s="13"/>
      <c r="Z26" s="13"/>
      <c r="AA26" s="13"/>
      <c r="AB26" s="14"/>
      <c r="AC26" s="9"/>
      <c r="AD26" s="16"/>
      <c r="AE26" s="10"/>
      <c r="AF26" s="10"/>
      <c r="AG26" s="10"/>
      <c r="AH26" s="11"/>
      <c r="AI26" s="12"/>
      <c r="AJ26" s="17"/>
      <c r="AK26" s="13"/>
      <c r="AL26" s="13"/>
      <c r="AM26" s="13"/>
      <c r="AN26" s="14"/>
      <c r="AO26" s="9"/>
      <c r="AP26" s="16"/>
      <c r="AQ26" s="10"/>
      <c r="AR26" s="10"/>
      <c r="AS26" s="10"/>
      <c r="AT26" s="11"/>
      <c r="AU26" s="12"/>
      <c r="AV26" s="17"/>
      <c r="AW26" s="13"/>
      <c r="AX26" s="13"/>
      <c r="AY26" s="13"/>
      <c r="AZ26" s="14"/>
      <c r="BA26" s="9"/>
      <c r="BB26" s="16"/>
      <c r="BC26" s="10"/>
      <c r="BD26" s="10"/>
      <c r="BE26" s="10"/>
      <c r="BF26" s="11"/>
      <c r="BG26" s="12"/>
      <c r="BH26" s="17"/>
      <c r="BI26" s="13"/>
      <c r="BJ26" s="13"/>
      <c r="BK26" s="13"/>
      <c r="BL26" s="14"/>
      <c r="BM26" s="8">
        <f t="shared" si="0"/>
        <v>26</v>
      </c>
      <c r="BN26" s="8">
        <f t="shared" si="1"/>
        <v>9</v>
      </c>
      <c r="BO26" s="8">
        <f t="shared" si="2"/>
        <v>22</v>
      </c>
      <c r="BP26" s="8">
        <f t="shared" si="3"/>
        <v>13</v>
      </c>
      <c r="BQ26" s="8">
        <f t="shared" si="4"/>
        <v>26</v>
      </c>
      <c r="BR26" s="8">
        <f t="shared" si="5"/>
        <v>9</v>
      </c>
      <c r="BS26" s="15">
        <f t="shared" si="6"/>
        <v>19.634527954600792</v>
      </c>
      <c r="BT26" s="15" t="str">
        <f t="shared" si="7"/>
        <v>OK - No Upgrade</v>
      </c>
      <c r="BU26" s="15" t="str">
        <f t="shared" si="8"/>
        <v>Need to Balance</v>
      </c>
    </row>
    <row r="27" spans="1:73" ht="15.75" customHeight="1" x14ac:dyDescent="0.25">
      <c r="A27" s="8" t="s">
        <v>3005</v>
      </c>
      <c r="B27" s="8" t="s">
        <v>3006</v>
      </c>
      <c r="C27" s="8" t="s">
        <v>124</v>
      </c>
      <c r="D27" s="8" t="s">
        <v>3067</v>
      </c>
      <c r="E27" s="8" t="s">
        <v>3070</v>
      </c>
      <c r="F27" s="8" t="s">
        <v>43</v>
      </c>
      <c r="G27" s="8" t="s">
        <v>44</v>
      </c>
      <c r="H27" s="8">
        <v>100</v>
      </c>
      <c r="I27" s="8" t="s">
        <v>3071</v>
      </c>
      <c r="J27" s="8">
        <v>1</v>
      </c>
      <c r="K27" s="8">
        <v>250</v>
      </c>
      <c r="L27" s="8">
        <v>254</v>
      </c>
      <c r="M27" s="8">
        <v>253</v>
      </c>
      <c r="N27" s="8">
        <v>440</v>
      </c>
      <c r="O27" s="8">
        <v>437</v>
      </c>
      <c r="P27" s="8">
        <v>439</v>
      </c>
      <c r="Q27" s="9" t="s">
        <v>46</v>
      </c>
      <c r="R27" s="16"/>
      <c r="S27" s="10">
        <v>107</v>
      </c>
      <c r="T27" s="10">
        <v>85</v>
      </c>
      <c r="U27" s="10">
        <v>88</v>
      </c>
      <c r="V27" s="11">
        <v>23</v>
      </c>
      <c r="W27" s="12" t="s">
        <v>47</v>
      </c>
      <c r="X27" s="17"/>
      <c r="Y27" s="13">
        <v>2</v>
      </c>
      <c r="Z27" s="13">
        <v>19</v>
      </c>
      <c r="AA27" s="13">
        <v>17</v>
      </c>
      <c r="AB27" s="14">
        <v>13</v>
      </c>
      <c r="AC27" s="9"/>
      <c r="AD27" s="16"/>
      <c r="AE27" s="10"/>
      <c r="AF27" s="10"/>
      <c r="AG27" s="10"/>
      <c r="AH27" s="11"/>
      <c r="AI27" s="12"/>
      <c r="AJ27" s="17"/>
      <c r="AK27" s="13"/>
      <c r="AL27" s="13"/>
      <c r="AM27" s="13"/>
      <c r="AN27" s="14"/>
      <c r="AO27" s="9"/>
      <c r="AP27" s="16"/>
      <c r="AQ27" s="10"/>
      <c r="AR27" s="10"/>
      <c r="AS27" s="10"/>
      <c r="AT27" s="11"/>
      <c r="AU27" s="12"/>
      <c r="AV27" s="17"/>
      <c r="AW27" s="13"/>
      <c r="AX27" s="13"/>
      <c r="AY27" s="13"/>
      <c r="AZ27" s="14"/>
      <c r="BA27" s="9"/>
      <c r="BB27" s="16"/>
      <c r="BC27" s="10"/>
      <c r="BD27" s="10"/>
      <c r="BE27" s="10"/>
      <c r="BF27" s="11"/>
      <c r="BG27" s="12"/>
      <c r="BH27" s="17"/>
      <c r="BI27" s="13"/>
      <c r="BJ27" s="13"/>
      <c r="BK27" s="13"/>
      <c r="BL27" s="14"/>
      <c r="BM27" s="8">
        <f t="shared" si="0"/>
        <v>109</v>
      </c>
      <c r="BN27" s="8">
        <f t="shared" si="1"/>
        <v>104</v>
      </c>
      <c r="BO27" s="8">
        <f t="shared" si="2"/>
        <v>105</v>
      </c>
      <c r="BP27" s="8">
        <f t="shared" si="3"/>
        <v>36</v>
      </c>
      <c r="BQ27" s="8">
        <f t="shared" si="4"/>
        <v>109</v>
      </c>
      <c r="BR27" s="8">
        <f t="shared" si="5"/>
        <v>104</v>
      </c>
      <c r="BS27" s="15">
        <f t="shared" si="6"/>
        <v>83.069156731003361</v>
      </c>
      <c r="BT27" s="15" t="str">
        <f t="shared" si="7"/>
        <v>Upgrade</v>
      </c>
      <c r="BU27" s="15" t="str">
        <f t="shared" si="8"/>
        <v>OK - Balanced</v>
      </c>
    </row>
    <row r="28" spans="1:73" ht="15.75" customHeight="1" x14ac:dyDescent="0.25">
      <c r="A28" s="8" t="s">
        <v>3005</v>
      </c>
      <c r="B28" s="8" t="s">
        <v>3006</v>
      </c>
      <c r="C28" s="8" t="s">
        <v>124</v>
      </c>
      <c r="D28" s="8" t="s">
        <v>3072</v>
      </c>
      <c r="E28" s="8" t="s">
        <v>3073</v>
      </c>
      <c r="F28" s="8" t="s">
        <v>56</v>
      </c>
      <c r="G28" s="8" t="s">
        <v>44</v>
      </c>
      <c r="H28" s="8">
        <v>1000</v>
      </c>
      <c r="I28" s="8" t="s">
        <v>3074</v>
      </c>
      <c r="J28" s="8">
        <v>1</v>
      </c>
      <c r="K28" s="8">
        <v>250</v>
      </c>
      <c r="L28" s="8">
        <v>251</v>
      </c>
      <c r="M28" s="8">
        <v>251</v>
      </c>
      <c r="N28" s="8">
        <v>435</v>
      </c>
      <c r="O28" s="8">
        <v>434</v>
      </c>
      <c r="P28" s="8">
        <v>436</v>
      </c>
      <c r="Q28" s="9"/>
      <c r="R28" s="16"/>
      <c r="S28" s="10"/>
      <c r="T28" s="10"/>
      <c r="U28" s="10"/>
      <c r="V28" s="11"/>
      <c r="W28" s="12"/>
      <c r="X28" s="17"/>
      <c r="Y28" s="13"/>
      <c r="Z28" s="13"/>
      <c r="AA28" s="13"/>
      <c r="AB28" s="14"/>
      <c r="AC28" s="9" t="s">
        <v>47</v>
      </c>
      <c r="AD28" s="16"/>
      <c r="AE28" s="10">
        <v>52</v>
      </c>
      <c r="AF28" s="10">
        <v>25</v>
      </c>
      <c r="AG28" s="10">
        <v>16</v>
      </c>
      <c r="AH28" s="11">
        <v>23</v>
      </c>
      <c r="AI28" s="12" t="s">
        <v>47</v>
      </c>
      <c r="AJ28" s="17"/>
      <c r="AK28" s="13">
        <v>202</v>
      </c>
      <c r="AL28" s="13">
        <v>134</v>
      </c>
      <c r="AM28" s="13">
        <v>192</v>
      </c>
      <c r="AN28" s="14">
        <v>52</v>
      </c>
      <c r="AO28" s="9" t="s">
        <v>47</v>
      </c>
      <c r="AP28" s="16"/>
      <c r="AQ28" s="10">
        <v>147</v>
      </c>
      <c r="AR28" s="10">
        <v>210</v>
      </c>
      <c r="AS28" s="10">
        <v>193</v>
      </c>
      <c r="AT28" s="11">
        <v>43</v>
      </c>
      <c r="AU28" s="12"/>
      <c r="AV28" s="17"/>
      <c r="AW28" s="13"/>
      <c r="AX28" s="13"/>
      <c r="AY28" s="13"/>
      <c r="AZ28" s="14"/>
      <c r="BA28" s="9"/>
      <c r="BB28" s="16"/>
      <c r="BC28" s="10"/>
      <c r="BD28" s="10"/>
      <c r="BE28" s="10"/>
      <c r="BF28" s="11"/>
      <c r="BG28" s="12"/>
      <c r="BH28" s="17"/>
      <c r="BI28" s="13"/>
      <c r="BJ28" s="13"/>
      <c r="BK28" s="13"/>
      <c r="BL28" s="14"/>
      <c r="BM28" s="8">
        <f t="shared" si="0"/>
        <v>401</v>
      </c>
      <c r="BN28" s="8">
        <f t="shared" si="1"/>
        <v>369</v>
      </c>
      <c r="BO28" s="8">
        <f t="shared" si="2"/>
        <v>401</v>
      </c>
      <c r="BP28" s="8">
        <f t="shared" si="3"/>
        <v>118</v>
      </c>
      <c r="BQ28" s="8">
        <f t="shared" si="4"/>
        <v>401</v>
      </c>
      <c r="BR28" s="8">
        <f t="shared" si="5"/>
        <v>369</v>
      </c>
      <c r="BS28" s="15">
        <f t="shared" si="6"/>
        <v>30.213028261827706</v>
      </c>
      <c r="BT28" s="15" t="str">
        <f t="shared" si="7"/>
        <v>OK - No Upgrade</v>
      </c>
      <c r="BU28" s="15" t="str">
        <f t="shared" si="8"/>
        <v>OK - Balanced</v>
      </c>
    </row>
    <row r="29" spans="1:73" ht="15.75" customHeight="1" x14ac:dyDescent="0.25">
      <c r="A29" s="8" t="s">
        <v>3005</v>
      </c>
      <c r="B29" s="8" t="s">
        <v>3006</v>
      </c>
      <c r="C29" s="8" t="s">
        <v>124</v>
      </c>
      <c r="D29" s="8" t="s">
        <v>3075</v>
      </c>
      <c r="E29" s="8" t="s">
        <v>3076</v>
      </c>
      <c r="F29" s="8" t="s">
        <v>43</v>
      </c>
      <c r="G29" s="8" t="s">
        <v>44</v>
      </c>
      <c r="H29" s="8">
        <v>200</v>
      </c>
      <c r="I29" s="8" t="s">
        <v>3077</v>
      </c>
      <c r="J29" s="8">
        <v>1</v>
      </c>
      <c r="K29" s="8">
        <v>249</v>
      </c>
      <c r="L29" s="8">
        <v>249</v>
      </c>
      <c r="M29" s="8">
        <v>250</v>
      </c>
      <c r="N29" s="8">
        <v>434</v>
      </c>
      <c r="O29" s="8">
        <v>435</v>
      </c>
      <c r="P29" s="8">
        <v>432</v>
      </c>
      <c r="Q29" s="9" t="s">
        <v>46</v>
      </c>
      <c r="R29" s="16"/>
      <c r="S29" s="10">
        <v>113</v>
      </c>
      <c r="T29" s="10">
        <v>73</v>
      </c>
      <c r="U29" s="10">
        <v>45</v>
      </c>
      <c r="V29" s="11">
        <v>48</v>
      </c>
      <c r="W29" s="12" t="s">
        <v>46</v>
      </c>
      <c r="X29" s="17"/>
      <c r="Y29" s="13">
        <v>12</v>
      </c>
      <c r="Z29" s="13">
        <v>47</v>
      </c>
      <c r="AA29" s="13">
        <v>24</v>
      </c>
      <c r="AB29" s="14">
        <v>21</v>
      </c>
      <c r="AC29" s="9"/>
      <c r="AD29" s="16"/>
      <c r="AE29" s="10"/>
      <c r="AF29" s="10"/>
      <c r="AG29" s="10"/>
      <c r="AH29" s="11"/>
      <c r="AI29" s="12"/>
      <c r="AJ29" s="17"/>
      <c r="AK29" s="13"/>
      <c r="AL29" s="13"/>
      <c r="AM29" s="13"/>
      <c r="AN29" s="14"/>
      <c r="AO29" s="9"/>
      <c r="AP29" s="16"/>
      <c r="AQ29" s="10"/>
      <c r="AR29" s="10"/>
      <c r="AS29" s="10"/>
      <c r="AT29" s="11"/>
      <c r="AU29" s="12"/>
      <c r="AV29" s="17"/>
      <c r="AW29" s="13"/>
      <c r="AX29" s="13"/>
      <c r="AY29" s="13"/>
      <c r="AZ29" s="14"/>
      <c r="BA29" s="9"/>
      <c r="BB29" s="16"/>
      <c r="BC29" s="10"/>
      <c r="BD29" s="10"/>
      <c r="BE29" s="10"/>
      <c r="BF29" s="11"/>
      <c r="BG29" s="12"/>
      <c r="BH29" s="17"/>
      <c r="BI29" s="13"/>
      <c r="BJ29" s="13"/>
      <c r="BK29" s="13"/>
      <c r="BL29" s="14"/>
      <c r="BM29" s="8">
        <f t="shared" si="0"/>
        <v>125</v>
      </c>
      <c r="BN29" s="8">
        <f t="shared" si="1"/>
        <v>120</v>
      </c>
      <c r="BO29" s="8">
        <f t="shared" si="2"/>
        <v>69</v>
      </c>
      <c r="BP29" s="8">
        <f t="shared" si="3"/>
        <v>69</v>
      </c>
      <c r="BQ29" s="8">
        <f t="shared" si="4"/>
        <v>125</v>
      </c>
      <c r="BR29" s="8">
        <f t="shared" si="5"/>
        <v>69</v>
      </c>
      <c r="BS29" s="15">
        <f t="shared" si="6"/>
        <v>46.981878155305793</v>
      </c>
      <c r="BT29" s="15" t="str">
        <f t="shared" si="7"/>
        <v>OK - No Upgrade</v>
      </c>
      <c r="BU29" s="15" t="str">
        <f t="shared" si="8"/>
        <v>Need to Balance</v>
      </c>
    </row>
    <row r="30" spans="1:73" ht="15.75" customHeight="1" x14ac:dyDescent="0.25">
      <c r="A30" s="8" t="s">
        <v>3005</v>
      </c>
      <c r="B30" s="8" t="s">
        <v>3006</v>
      </c>
      <c r="C30" s="8" t="s">
        <v>124</v>
      </c>
      <c r="D30" s="8" t="s">
        <v>3075</v>
      </c>
      <c r="E30" s="8" t="s">
        <v>3078</v>
      </c>
      <c r="F30" s="8" t="s">
        <v>43</v>
      </c>
      <c r="G30" s="8" t="s">
        <v>44</v>
      </c>
      <c r="H30" s="8">
        <v>315</v>
      </c>
      <c r="I30" s="8" t="s">
        <v>3079</v>
      </c>
      <c r="J30" s="8">
        <v>1</v>
      </c>
      <c r="K30" s="8">
        <v>252</v>
      </c>
      <c r="L30" s="8">
        <v>251</v>
      </c>
      <c r="M30" s="8">
        <v>252</v>
      </c>
      <c r="N30" s="8">
        <v>438</v>
      </c>
      <c r="O30" s="8">
        <v>439</v>
      </c>
      <c r="P30" s="8">
        <v>437</v>
      </c>
      <c r="Q30" s="9" t="s">
        <v>47</v>
      </c>
      <c r="R30" s="16"/>
      <c r="S30" s="10">
        <v>77</v>
      </c>
      <c r="T30" s="10">
        <v>85</v>
      </c>
      <c r="U30" s="10">
        <v>71</v>
      </c>
      <c r="V30" s="11">
        <v>18</v>
      </c>
      <c r="W30" s="12"/>
      <c r="X30" s="17"/>
      <c r="Y30" s="13"/>
      <c r="Z30" s="13"/>
      <c r="AA30" s="13"/>
      <c r="AB30" s="14"/>
      <c r="AC30" s="9"/>
      <c r="AD30" s="16"/>
      <c r="AE30" s="10"/>
      <c r="AF30" s="10"/>
      <c r="AG30" s="10"/>
      <c r="AH30" s="11"/>
      <c r="AI30" s="12"/>
      <c r="AJ30" s="17"/>
      <c r="AK30" s="13"/>
      <c r="AL30" s="13"/>
      <c r="AM30" s="13"/>
      <c r="AN30" s="14"/>
      <c r="AO30" s="9"/>
      <c r="AP30" s="16"/>
      <c r="AQ30" s="10"/>
      <c r="AR30" s="10"/>
      <c r="AS30" s="10"/>
      <c r="AT30" s="11"/>
      <c r="AU30" s="12"/>
      <c r="AV30" s="17"/>
      <c r="AW30" s="13"/>
      <c r="AX30" s="13"/>
      <c r="AY30" s="13"/>
      <c r="AZ30" s="14"/>
      <c r="BA30" s="9"/>
      <c r="BB30" s="16"/>
      <c r="BC30" s="10"/>
      <c r="BD30" s="10"/>
      <c r="BE30" s="10"/>
      <c r="BF30" s="11"/>
      <c r="BG30" s="12"/>
      <c r="BH30" s="17"/>
      <c r="BI30" s="13"/>
      <c r="BJ30" s="13"/>
      <c r="BK30" s="13"/>
      <c r="BL30" s="14"/>
      <c r="BM30" s="8">
        <f t="shared" si="0"/>
        <v>77</v>
      </c>
      <c r="BN30" s="8">
        <f t="shared" si="1"/>
        <v>85</v>
      </c>
      <c r="BO30" s="8">
        <f t="shared" si="2"/>
        <v>71</v>
      </c>
      <c r="BP30" s="8">
        <f t="shared" si="3"/>
        <v>18</v>
      </c>
      <c r="BQ30" s="8">
        <f t="shared" si="4"/>
        <v>85</v>
      </c>
      <c r="BR30" s="8">
        <f t="shared" si="5"/>
        <v>71</v>
      </c>
      <c r="BS30" s="15">
        <f t="shared" si="6"/>
        <v>20.471190973266445</v>
      </c>
      <c r="BT30" s="15" t="str">
        <f t="shared" si="7"/>
        <v>OK - No Upgrade</v>
      </c>
      <c r="BU30" s="15" t="str">
        <f t="shared" si="8"/>
        <v>OK - Balanced</v>
      </c>
    </row>
    <row r="31" spans="1:73" ht="15.75" customHeight="1" x14ac:dyDescent="0.25">
      <c r="A31" s="8" t="s">
        <v>3005</v>
      </c>
      <c r="B31" s="8" t="s">
        <v>3006</v>
      </c>
      <c r="C31" s="8" t="s">
        <v>124</v>
      </c>
      <c r="D31" s="8" t="s">
        <v>3080</v>
      </c>
      <c r="E31" s="8" t="s">
        <v>3081</v>
      </c>
      <c r="F31" s="8" t="s">
        <v>43</v>
      </c>
      <c r="G31" s="8" t="s">
        <v>44</v>
      </c>
      <c r="H31" s="8">
        <v>100</v>
      </c>
      <c r="I31" s="8" t="s">
        <v>3082</v>
      </c>
      <c r="J31" s="8">
        <v>1</v>
      </c>
      <c r="K31" s="8">
        <v>246</v>
      </c>
      <c r="L31" s="8">
        <v>246</v>
      </c>
      <c r="M31" s="8">
        <v>247</v>
      </c>
      <c r="N31" s="8">
        <v>428</v>
      </c>
      <c r="O31" s="8">
        <v>430</v>
      </c>
      <c r="P31" s="8">
        <v>429</v>
      </c>
      <c r="Q31" s="9" t="s">
        <v>46</v>
      </c>
      <c r="R31" s="16"/>
      <c r="S31" s="10">
        <v>3</v>
      </c>
      <c r="T31" s="10">
        <v>3</v>
      </c>
      <c r="U31" s="10">
        <v>3</v>
      </c>
      <c r="V31" s="11">
        <v>2</v>
      </c>
      <c r="W31" s="12" t="s">
        <v>47</v>
      </c>
      <c r="X31" s="17"/>
      <c r="Y31" s="13">
        <v>11</v>
      </c>
      <c r="Z31" s="13">
        <v>9</v>
      </c>
      <c r="AA31" s="13">
        <v>8</v>
      </c>
      <c r="AB31" s="14">
        <v>4</v>
      </c>
      <c r="AC31" s="9"/>
      <c r="AD31" s="16"/>
      <c r="AE31" s="10"/>
      <c r="AF31" s="10"/>
      <c r="AG31" s="10"/>
      <c r="AH31" s="11"/>
      <c r="AI31" s="12"/>
      <c r="AJ31" s="17"/>
      <c r="AK31" s="13"/>
      <c r="AL31" s="13"/>
      <c r="AM31" s="13"/>
      <c r="AN31" s="14"/>
      <c r="AO31" s="9"/>
      <c r="AP31" s="16"/>
      <c r="AQ31" s="10"/>
      <c r="AR31" s="10"/>
      <c r="AS31" s="10"/>
      <c r="AT31" s="11"/>
      <c r="AU31" s="12"/>
      <c r="AV31" s="17"/>
      <c r="AW31" s="13"/>
      <c r="AX31" s="13"/>
      <c r="AY31" s="13"/>
      <c r="AZ31" s="14"/>
      <c r="BA31" s="9"/>
      <c r="BB31" s="16"/>
      <c r="BC31" s="10"/>
      <c r="BD31" s="10"/>
      <c r="BE31" s="10"/>
      <c r="BF31" s="11"/>
      <c r="BG31" s="12"/>
      <c r="BH31" s="17"/>
      <c r="BI31" s="13"/>
      <c r="BJ31" s="13"/>
      <c r="BK31" s="13"/>
      <c r="BL31" s="14"/>
      <c r="BM31" s="8">
        <f t="shared" si="0"/>
        <v>14</v>
      </c>
      <c r="BN31" s="8">
        <f t="shared" si="1"/>
        <v>12</v>
      </c>
      <c r="BO31" s="8">
        <f t="shared" si="2"/>
        <v>11</v>
      </c>
      <c r="BP31" s="8">
        <f t="shared" si="3"/>
        <v>6</v>
      </c>
      <c r="BQ31" s="8">
        <f t="shared" si="4"/>
        <v>14</v>
      </c>
      <c r="BR31" s="8">
        <f t="shared" si="5"/>
        <v>11</v>
      </c>
      <c r="BS31" s="15">
        <f t="shared" si="6"/>
        <v>10.378448438952713</v>
      </c>
      <c r="BT31" s="15" t="str">
        <f t="shared" si="7"/>
        <v>OK - No Upgrade</v>
      </c>
      <c r="BU31" s="15" t="str">
        <f t="shared" si="8"/>
        <v>Need to Balance</v>
      </c>
    </row>
    <row r="32" spans="1:73" ht="15.75" customHeight="1" x14ac:dyDescent="0.25">
      <c r="A32" s="8" t="s">
        <v>3005</v>
      </c>
      <c r="B32" s="8" t="s">
        <v>3006</v>
      </c>
      <c r="C32" s="8" t="s">
        <v>124</v>
      </c>
      <c r="D32" s="8" t="s">
        <v>3080</v>
      </c>
      <c r="E32" s="8" t="s">
        <v>3083</v>
      </c>
      <c r="F32" s="8" t="s">
        <v>43</v>
      </c>
      <c r="G32" s="8" t="s">
        <v>44</v>
      </c>
      <c r="H32" s="8">
        <v>100</v>
      </c>
      <c r="I32" s="8" t="s">
        <v>3084</v>
      </c>
      <c r="J32" s="8">
        <v>1</v>
      </c>
      <c r="K32" s="8">
        <v>242</v>
      </c>
      <c r="L32" s="8">
        <v>241</v>
      </c>
      <c r="M32" s="8">
        <v>242</v>
      </c>
      <c r="N32" s="8">
        <v>420</v>
      </c>
      <c r="O32" s="8">
        <v>420</v>
      </c>
      <c r="P32" s="8">
        <v>419</v>
      </c>
      <c r="Q32" s="9" t="s">
        <v>334</v>
      </c>
      <c r="R32" s="16"/>
      <c r="S32" s="10">
        <v>10</v>
      </c>
      <c r="T32" s="10">
        <v>9</v>
      </c>
      <c r="U32" s="10">
        <v>11</v>
      </c>
      <c r="V32" s="11">
        <v>5</v>
      </c>
      <c r="W32" s="12"/>
      <c r="X32" s="17"/>
      <c r="Y32" s="13"/>
      <c r="Z32" s="13"/>
      <c r="AA32" s="13"/>
      <c r="AB32" s="14"/>
      <c r="AC32" s="9"/>
      <c r="AD32" s="16"/>
      <c r="AE32" s="10"/>
      <c r="AF32" s="10"/>
      <c r="AG32" s="10"/>
      <c r="AH32" s="11"/>
      <c r="AI32" s="12"/>
      <c r="AJ32" s="17"/>
      <c r="AK32" s="13"/>
      <c r="AL32" s="13"/>
      <c r="AM32" s="13"/>
      <c r="AN32" s="14"/>
      <c r="AO32" s="9"/>
      <c r="AP32" s="16"/>
      <c r="AQ32" s="10"/>
      <c r="AR32" s="10"/>
      <c r="AS32" s="10"/>
      <c r="AT32" s="11"/>
      <c r="AU32" s="12"/>
      <c r="AV32" s="17"/>
      <c r="AW32" s="13"/>
      <c r="AX32" s="13"/>
      <c r="AY32" s="13"/>
      <c r="AZ32" s="14"/>
      <c r="BA32" s="9"/>
      <c r="BB32" s="16"/>
      <c r="BC32" s="10"/>
      <c r="BD32" s="10"/>
      <c r="BE32" s="10"/>
      <c r="BF32" s="11"/>
      <c r="BG32" s="12"/>
      <c r="BH32" s="17"/>
      <c r="BI32" s="13"/>
      <c r="BJ32" s="13"/>
      <c r="BK32" s="13"/>
      <c r="BL32" s="14"/>
      <c r="BM32" s="8">
        <f t="shared" si="0"/>
        <v>10</v>
      </c>
      <c r="BN32" s="8">
        <f t="shared" si="1"/>
        <v>9</v>
      </c>
      <c r="BO32" s="8">
        <f t="shared" si="2"/>
        <v>11</v>
      </c>
      <c r="BP32" s="8">
        <f t="shared" si="3"/>
        <v>5</v>
      </c>
      <c r="BQ32" s="8">
        <f t="shared" si="4"/>
        <v>11</v>
      </c>
      <c r="BR32" s="8">
        <f t="shared" si="5"/>
        <v>9</v>
      </c>
      <c r="BS32" s="15">
        <f t="shared" si="6"/>
        <v>8.0020747309682125</v>
      </c>
      <c r="BT32" s="15" t="str">
        <f t="shared" si="7"/>
        <v>OK - No Upgrade</v>
      </c>
      <c r="BU32" s="15" t="str">
        <f t="shared" si="8"/>
        <v>OK - Balanced</v>
      </c>
    </row>
    <row r="33" spans="1:73" ht="15.75" customHeight="1" x14ac:dyDescent="0.25">
      <c r="A33" s="8" t="s">
        <v>3005</v>
      </c>
      <c r="B33" s="8" t="s">
        <v>3006</v>
      </c>
      <c r="C33" s="8" t="s">
        <v>124</v>
      </c>
      <c r="D33" s="8" t="s">
        <v>3080</v>
      </c>
      <c r="E33" s="8" t="s">
        <v>3085</v>
      </c>
      <c r="F33" s="8" t="s">
        <v>43</v>
      </c>
      <c r="G33" s="8" t="s">
        <v>44</v>
      </c>
      <c r="H33" s="8">
        <v>315</v>
      </c>
      <c r="I33" s="8" t="s">
        <v>3086</v>
      </c>
      <c r="J33" s="8">
        <v>1</v>
      </c>
      <c r="K33" s="8">
        <v>253</v>
      </c>
      <c r="L33" s="8">
        <v>253</v>
      </c>
      <c r="M33" s="8">
        <v>254</v>
      </c>
      <c r="N33" s="8">
        <v>441</v>
      </c>
      <c r="O33" s="8">
        <v>442</v>
      </c>
      <c r="P33" s="8">
        <v>441</v>
      </c>
      <c r="Q33" s="9" t="s">
        <v>47</v>
      </c>
      <c r="R33" s="16"/>
      <c r="S33" s="10">
        <v>18</v>
      </c>
      <c r="T33" s="10">
        <v>30</v>
      </c>
      <c r="U33" s="10">
        <v>9</v>
      </c>
      <c r="V33" s="11">
        <v>22</v>
      </c>
      <c r="W33" s="12"/>
      <c r="X33" s="17"/>
      <c r="Y33" s="13"/>
      <c r="Z33" s="13"/>
      <c r="AA33" s="13"/>
      <c r="AB33" s="14"/>
      <c r="AC33" s="9"/>
      <c r="AD33" s="16"/>
      <c r="AE33" s="10"/>
      <c r="AF33" s="10"/>
      <c r="AG33" s="10"/>
      <c r="AH33" s="11"/>
      <c r="AI33" s="12"/>
      <c r="AJ33" s="17"/>
      <c r="AK33" s="13"/>
      <c r="AL33" s="13"/>
      <c r="AM33" s="13"/>
      <c r="AN33" s="14"/>
      <c r="AO33" s="9"/>
      <c r="AP33" s="16"/>
      <c r="AQ33" s="10"/>
      <c r="AR33" s="10"/>
      <c r="AS33" s="10"/>
      <c r="AT33" s="11"/>
      <c r="AU33" s="12"/>
      <c r="AV33" s="17"/>
      <c r="AW33" s="13"/>
      <c r="AX33" s="13"/>
      <c r="AY33" s="13"/>
      <c r="AZ33" s="14"/>
      <c r="BA33" s="9"/>
      <c r="BB33" s="16"/>
      <c r="BC33" s="10"/>
      <c r="BD33" s="10"/>
      <c r="BE33" s="10"/>
      <c r="BF33" s="11"/>
      <c r="BG33" s="12"/>
      <c r="BH33" s="17"/>
      <c r="BI33" s="13"/>
      <c r="BJ33" s="13"/>
      <c r="BK33" s="13"/>
      <c r="BL33" s="14"/>
      <c r="BM33" s="8">
        <f t="shared" si="0"/>
        <v>18</v>
      </c>
      <c r="BN33" s="8">
        <f t="shared" si="1"/>
        <v>30</v>
      </c>
      <c r="BO33" s="8">
        <f t="shared" si="2"/>
        <v>9</v>
      </c>
      <c r="BP33" s="8">
        <f t="shared" si="3"/>
        <v>22</v>
      </c>
      <c r="BQ33" s="8">
        <f t="shared" si="4"/>
        <v>30</v>
      </c>
      <c r="BR33" s="8">
        <f t="shared" si="5"/>
        <v>9</v>
      </c>
      <c r="BS33" s="15">
        <f t="shared" si="6"/>
        <v>7.274613391789285</v>
      </c>
      <c r="BT33" s="15" t="str">
        <f t="shared" si="7"/>
        <v>OK - No Upgrade</v>
      </c>
      <c r="BU33" s="15" t="str">
        <f t="shared" si="8"/>
        <v>Need to Balance</v>
      </c>
    </row>
    <row r="34" spans="1:73" ht="15.75" customHeight="1" x14ac:dyDescent="0.25">
      <c r="A34" s="8" t="s">
        <v>3005</v>
      </c>
      <c r="B34" s="8" t="s">
        <v>3006</v>
      </c>
      <c r="C34" s="8" t="s">
        <v>124</v>
      </c>
      <c r="D34" s="8" t="s">
        <v>3080</v>
      </c>
      <c r="E34" s="8" t="s">
        <v>3087</v>
      </c>
      <c r="F34" s="8" t="s">
        <v>56</v>
      </c>
      <c r="G34" s="8" t="s">
        <v>44</v>
      </c>
      <c r="H34" s="8">
        <v>1000</v>
      </c>
      <c r="I34" s="8" t="s">
        <v>3088</v>
      </c>
      <c r="J34" s="8">
        <v>1</v>
      </c>
      <c r="K34" s="8">
        <v>251</v>
      </c>
      <c r="L34" s="8">
        <v>251</v>
      </c>
      <c r="M34" s="8">
        <v>252</v>
      </c>
      <c r="N34" s="8">
        <v>437</v>
      </c>
      <c r="O34" s="8">
        <v>436</v>
      </c>
      <c r="P34" s="8">
        <v>436</v>
      </c>
      <c r="Q34" s="9"/>
      <c r="R34" s="16"/>
      <c r="S34" s="10"/>
      <c r="T34" s="10"/>
      <c r="U34" s="10"/>
      <c r="V34" s="11"/>
      <c r="W34" s="12"/>
      <c r="X34" s="17"/>
      <c r="Y34" s="13"/>
      <c r="Z34" s="13"/>
      <c r="AA34" s="13"/>
      <c r="AB34" s="14"/>
      <c r="AC34" s="9"/>
      <c r="AD34" s="16"/>
      <c r="AE34" s="10"/>
      <c r="AF34" s="10"/>
      <c r="AG34" s="10"/>
      <c r="AH34" s="11"/>
      <c r="AI34" s="12"/>
      <c r="AJ34" s="17"/>
      <c r="AK34" s="13"/>
      <c r="AL34" s="13"/>
      <c r="AM34" s="13"/>
      <c r="AN34" s="14"/>
      <c r="AO34" s="9"/>
      <c r="AP34" s="16"/>
      <c r="AQ34" s="10"/>
      <c r="AR34" s="10"/>
      <c r="AS34" s="10"/>
      <c r="AT34" s="11"/>
      <c r="AU34" s="12" t="s">
        <v>47</v>
      </c>
      <c r="AV34" s="17"/>
      <c r="AW34" s="13">
        <v>20</v>
      </c>
      <c r="AX34" s="13">
        <v>38</v>
      </c>
      <c r="AY34" s="13">
        <v>80</v>
      </c>
      <c r="AZ34" s="14">
        <v>58</v>
      </c>
      <c r="BA34" s="9" t="s">
        <v>47</v>
      </c>
      <c r="BB34" s="16"/>
      <c r="BC34" s="10">
        <v>41</v>
      </c>
      <c r="BD34" s="10">
        <v>36</v>
      </c>
      <c r="BE34" s="10">
        <v>33</v>
      </c>
      <c r="BF34" s="11">
        <v>11</v>
      </c>
      <c r="BG34" s="12" t="s">
        <v>47</v>
      </c>
      <c r="BH34" s="17"/>
      <c r="BI34" s="13">
        <v>75</v>
      </c>
      <c r="BJ34" s="13">
        <v>88</v>
      </c>
      <c r="BK34" s="13">
        <v>63</v>
      </c>
      <c r="BL34" s="14">
        <v>36</v>
      </c>
      <c r="BM34" s="8">
        <f t="shared" si="0"/>
        <v>136</v>
      </c>
      <c r="BN34" s="8">
        <f t="shared" si="1"/>
        <v>162</v>
      </c>
      <c r="BO34" s="8">
        <f t="shared" si="2"/>
        <v>176</v>
      </c>
      <c r="BP34" s="8">
        <f t="shared" si="3"/>
        <v>105</v>
      </c>
      <c r="BQ34" s="8">
        <f t="shared" si="4"/>
        <v>176</v>
      </c>
      <c r="BR34" s="8">
        <f t="shared" si="5"/>
        <v>136</v>
      </c>
      <c r="BS34" s="15">
        <f t="shared" si="6"/>
        <v>13.321549171173746</v>
      </c>
      <c r="BT34" s="15" t="str">
        <f t="shared" si="7"/>
        <v>OK - No Upgrade</v>
      </c>
      <c r="BU34" s="15" t="str">
        <f t="shared" si="8"/>
        <v>Need to Balance</v>
      </c>
    </row>
    <row r="35" spans="1:73" ht="15.75" customHeight="1" x14ac:dyDescent="0.25">
      <c r="A35" s="8" t="s">
        <v>3005</v>
      </c>
      <c r="B35" s="8" t="s">
        <v>3006</v>
      </c>
      <c r="C35" s="8" t="s">
        <v>124</v>
      </c>
      <c r="D35" s="8" t="s">
        <v>3089</v>
      </c>
      <c r="E35" s="8" t="s">
        <v>3090</v>
      </c>
      <c r="F35" s="8" t="s">
        <v>43</v>
      </c>
      <c r="G35" s="8" t="s">
        <v>44</v>
      </c>
      <c r="H35" s="8">
        <v>100</v>
      </c>
      <c r="I35" s="8" t="s">
        <v>3091</v>
      </c>
      <c r="J35" s="8">
        <v>1</v>
      </c>
      <c r="K35" s="8">
        <v>248</v>
      </c>
      <c r="L35" s="8">
        <v>248</v>
      </c>
      <c r="M35" s="8">
        <v>251</v>
      </c>
      <c r="N35" s="8">
        <v>431</v>
      </c>
      <c r="O35" s="8">
        <v>435</v>
      </c>
      <c r="P35" s="8">
        <v>432</v>
      </c>
      <c r="Q35" s="9" t="s">
        <v>47</v>
      </c>
      <c r="R35" s="16"/>
      <c r="S35" s="10">
        <v>73</v>
      </c>
      <c r="T35" s="10">
        <v>72</v>
      </c>
      <c r="U35" s="10">
        <v>28</v>
      </c>
      <c r="V35" s="11">
        <v>53</v>
      </c>
      <c r="W35" s="12"/>
      <c r="X35" s="17"/>
      <c r="Y35" s="13"/>
      <c r="Z35" s="13"/>
      <c r="AA35" s="13"/>
      <c r="AB35" s="14"/>
      <c r="AC35" s="9"/>
      <c r="AD35" s="16"/>
      <c r="AE35" s="10"/>
      <c r="AF35" s="10"/>
      <c r="AG35" s="10"/>
      <c r="AH35" s="11"/>
      <c r="AI35" s="12"/>
      <c r="AJ35" s="17"/>
      <c r="AK35" s="13"/>
      <c r="AL35" s="13"/>
      <c r="AM35" s="13"/>
      <c r="AN35" s="14"/>
      <c r="AO35" s="9"/>
      <c r="AP35" s="16"/>
      <c r="AQ35" s="10"/>
      <c r="AR35" s="10"/>
      <c r="AS35" s="10"/>
      <c r="AT35" s="11"/>
      <c r="AU35" s="12"/>
      <c r="AV35" s="17"/>
      <c r="AW35" s="13"/>
      <c r="AX35" s="13"/>
      <c r="AY35" s="13"/>
      <c r="AZ35" s="14"/>
      <c r="BA35" s="9"/>
      <c r="BB35" s="16"/>
      <c r="BC35" s="10"/>
      <c r="BD35" s="10"/>
      <c r="BE35" s="10"/>
      <c r="BF35" s="11"/>
      <c r="BG35" s="12"/>
      <c r="BH35" s="17"/>
      <c r="BI35" s="13"/>
      <c r="BJ35" s="13"/>
      <c r="BK35" s="13"/>
      <c r="BL35" s="14"/>
      <c r="BM35" s="8">
        <f t="shared" si="0"/>
        <v>73</v>
      </c>
      <c r="BN35" s="8">
        <f t="shared" si="1"/>
        <v>72</v>
      </c>
      <c r="BO35" s="8">
        <f t="shared" si="2"/>
        <v>28</v>
      </c>
      <c r="BP35" s="8">
        <f t="shared" si="3"/>
        <v>53</v>
      </c>
      <c r="BQ35" s="8">
        <f t="shared" si="4"/>
        <v>73</v>
      </c>
      <c r="BR35" s="8">
        <f t="shared" si="5"/>
        <v>28</v>
      </c>
      <c r="BS35" s="15">
        <f t="shared" si="6"/>
        <v>54.495514558539583</v>
      </c>
      <c r="BT35" s="15" t="str">
        <f t="shared" si="7"/>
        <v>OK - No Upgrade</v>
      </c>
      <c r="BU35" s="15" t="str">
        <f t="shared" si="8"/>
        <v>Need to Balance</v>
      </c>
    </row>
    <row r="36" spans="1:73" ht="15.75" customHeight="1" x14ac:dyDescent="0.25">
      <c r="A36" s="8" t="s">
        <v>3005</v>
      </c>
      <c r="B36" s="8" t="s">
        <v>3006</v>
      </c>
      <c r="C36" s="8" t="s">
        <v>124</v>
      </c>
      <c r="D36" s="8" t="s">
        <v>3089</v>
      </c>
      <c r="E36" s="8" t="s">
        <v>3092</v>
      </c>
      <c r="F36" s="8" t="s">
        <v>43</v>
      </c>
      <c r="G36" s="8" t="s">
        <v>44</v>
      </c>
      <c r="H36" s="8">
        <v>315</v>
      </c>
      <c r="I36" s="8" t="s">
        <v>3093</v>
      </c>
      <c r="J36" s="8">
        <v>1</v>
      </c>
      <c r="K36" s="8">
        <v>251</v>
      </c>
      <c r="L36" s="8">
        <v>252</v>
      </c>
      <c r="M36" s="8">
        <v>252</v>
      </c>
      <c r="N36" s="8">
        <v>434</v>
      </c>
      <c r="O36" s="8">
        <v>436</v>
      </c>
      <c r="P36" s="8">
        <v>437</v>
      </c>
      <c r="Q36" s="9" t="s">
        <v>46</v>
      </c>
      <c r="R36" s="16"/>
      <c r="S36" s="10">
        <v>94</v>
      </c>
      <c r="T36" s="10">
        <v>76</v>
      </c>
      <c r="U36" s="10">
        <v>62</v>
      </c>
      <c r="V36" s="11">
        <v>31</v>
      </c>
      <c r="W36" s="12" t="s">
        <v>46</v>
      </c>
      <c r="X36" s="17"/>
      <c r="Y36" s="13">
        <v>47</v>
      </c>
      <c r="Z36" s="13">
        <v>38</v>
      </c>
      <c r="AA36" s="13">
        <v>55</v>
      </c>
      <c r="AB36" s="14">
        <v>18</v>
      </c>
      <c r="AC36" s="9"/>
      <c r="AD36" s="16"/>
      <c r="AE36" s="10"/>
      <c r="AF36" s="10"/>
      <c r="AG36" s="10"/>
      <c r="AH36" s="11"/>
      <c r="AI36" s="12"/>
      <c r="AJ36" s="17"/>
      <c r="AK36" s="13"/>
      <c r="AL36" s="13"/>
      <c r="AM36" s="13"/>
      <c r="AN36" s="14"/>
      <c r="AO36" s="9"/>
      <c r="AP36" s="16"/>
      <c r="AQ36" s="10"/>
      <c r="AR36" s="10"/>
      <c r="AS36" s="10"/>
      <c r="AT36" s="11"/>
      <c r="AU36" s="12"/>
      <c r="AV36" s="17"/>
      <c r="AW36" s="13"/>
      <c r="AX36" s="13"/>
      <c r="AY36" s="13"/>
      <c r="AZ36" s="14"/>
      <c r="BA36" s="9"/>
      <c r="BB36" s="16"/>
      <c r="BC36" s="10"/>
      <c r="BD36" s="10"/>
      <c r="BE36" s="10"/>
      <c r="BF36" s="11"/>
      <c r="BG36" s="12"/>
      <c r="BH36" s="17"/>
      <c r="BI36" s="13"/>
      <c r="BJ36" s="13"/>
      <c r="BK36" s="13"/>
      <c r="BL36" s="14"/>
      <c r="BM36" s="8">
        <f t="shared" ref="BM36:BM67" si="9">SUM(S36,Y36,AE36,AK36,AQ36,AW36,BC36,BI36)</f>
        <v>141</v>
      </c>
      <c r="BN36" s="8">
        <f t="shared" ref="BN36:BN67" si="10">SUM(T36,Z36,AF36,AL36,AR36,AX36,BD36,BJ36)</f>
        <v>114</v>
      </c>
      <c r="BO36" s="8">
        <f t="shared" ref="BO36:BO67" si="11">SUM(U36,AA36,AG36,AM36,AS36,AY36,BE36,BK36)</f>
        <v>117</v>
      </c>
      <c r="BP36" s="8">
        <f t="shared" ref="BP36:BP67" si="12">SUM(V36,AB36,AH36,AN36,AT36,AZ36,BF36,BL36)</f>
        <v>49</v>
      </c>
      <c r="BQ36" s="8">
        <f t="shared" ref="BQ36:BQ67" si="13">MAX(BM36:BO36)</f>
        <v>141</v>
      </c>
      <c r="BR36" s="8">
        <f t="shared" ref="BR36:BR67" si="14">MIN(BM36:BO36)</f>
        <v>114</v>
      </c>
      <c r="BS36" s="15">
        <f t="shared" ref="BS36:BS67" si="15">IF(H36&gt;0,(BQ36*SQRT(3)*IF(N36&gt;0,N36,IF(O36&gt;0,O36,IF(P36&gt;0,P36,415)))/(H36*1000))*100,0)</f>
        <v>33.647973688371387</v>
      </c>
      <c r="BT36" s="15" t="str">
        <f t="shared" ref="BT36:BT67" si="16">IF(BS36&gt;70,"Upgrade","OK - No Upgrade")</f>
        <v>OK - No Upgrade</v>
      </c>
      <c r="BU36" s="15" t="str">
        <f t="shared" ref="BU36:BU67" si="17">IF(IF(AVERAGE(BM36:BO36)&gt;0,((BQ36-AVERAGE(BM36:BO36))/AVERAGE(BM36:BO36))*100,0)&gt;10,"Need to Balance","OK - Balanced")</f>
        <v>Need to Balance</v>
      </c>
    </row>
    <row r="37" spans="1:73" ht="15.75" customHeight="1" x14ac:dyDescent="0.25">
      <c r="A37" s="8" t="s">
        <v>3005</v>
      </c>
      <c r="B37" s="8" t="s">
        <v>3006</v>
      </c>
      <c r="C37" s="8" t="s">
        <v>124</v>
      </c>
      <c r="D37" s="8" t="s">
        <v>3094</v>
      </c>
      <c r="E37" s="8" t="s">
        <v>3095</v>
      </c>
      <c r="F37" s="8" t="s">
        <v>43</v>
      </c>
      <c r="G37" s="8" t="s">
        <v>44</v>
      </c>
      <c r="H37" s="8">
        <v>100</v>
      </c>
      <c r="I37" s="8" t="s">
        <v>3096</v>
      </c>
      <c r="J37" s="8">
        <v>1</v>
      </c>
      <c r="K37" s="8">
        <v>252</v>
      </c>
      <c r="L37" s="8">
        <v>251</v>
      </c>
      <c r="M37" s="8">
        <v>252</v>
      </c>
      <c r="N37" s="8">
        <v>444</v>
      </c>
      <c r="O37" s="8">
        <v>445</v>
      </c>
      <c r="P37" s="8">
        <v>445</v>
      </c>
      <c r="Q37" s="9" t="s">
        <v>46</v>
      </c>
      <c r="R37" s="16"/>
      <c r="S37" s="10">
        <v>1</v>
      </c>
      <c r="T37" s="10">
        <v>1</v>
      </c>
      <c r="U37" s="10">
        <v>3</v>
      </c>
      <c r="V37" s="11">
        <v>1</v>
      </c>
      <c r="W37" s="12"/>
      <c r="X37" s="17"/>
      <c r="Y37" s="13"/>
      <c r="Z37" s="13"/>
      <c r="AA37" s="13"/>
      <c r="AB37" s="14"/>
      <c r="AC37" s="9"/>
      <c r="AD37" s="16"/>
      <c r="AE37" s="10"/>
      <c r="AF37" s="10"/>
      <c r="AG37" s="10"/>
      <c r="AH37" s="11"/>
      <c r="AI37" s="12"/>
      <c r="AJ37" s="17"/>
      <c r="AK37" s="13"/>
      <c r="AL37" s="13"/>
      <c r="AM37" s="13"/>
      <c r="AN37" s="14"/>
      <c r="AO37" s="9"/>
      <c r="AP37" s="16"/>
      <c r="AQ37" s="10"/>
      <c r="AR37" s="10"/>
      <c r="AS37" s="10"/>
      <c r="AT37" s="11"/>
      <c r="AU37" s="12"/>
      <c r="AV37" s="17"/>
      <c r="AW37" s="13"/>
      <c r="AX37" s="13"/>
      <c r="AY37" s="13"/>
      <c r="AZ37" s="14"/>
      <c r="BA37" s="9"/>
      <c r="BB37" s="16"/>
      <c r="BC37" s="10"/>
      <c r="BD37" s="10"/>
      <c r="BE37" s="10"/>
      <c r="BF37" s="11"/>
      <c r="BG37" s="12"/>
      <c r="BH37" s="17"/>
      <c r="BI37" s="13"/>
      <c r="BJ37" s="13"/>
      <c r="BK37" s="13"/>
      <c r="BL37" s="14"/>
      <c r="BM37" s="8">
        <f t="shared" si="9"/>
        <v>1</v>
      </c>
      <c r="BN37" s="8">
        <f t="shared" si="10"/>
        <v>1</v>
      </c>
      <c r="BO37" s="8">
        <f t="shared" si="11"/>
        <v>3</v>
      </c>
      <c r="BP37" s="8">
        <f t="shared" si="12"/>
        <v>1</v>
      </c>
      <c r="BQ37" s="8">
        <f t="shared" si="13"/>
        <v>3</v>
      </c>
      <c r="BR37" s="8">
        <f t="shared" si="14"/>
        <v>1</v>
      </c>
      <c r="BS37" s="15">
        <f t="shared" si="15"/>
        <v>2.3070916756817446</v>
      </c>
      <c r="BT37" s="15" t="str">
        <f t="shared" si="16"/>
        <v>OK - No Upgrade</v>
      </c>
      <c r="BU37" s="15" t="str">
        <f t="shared" si="17"/>
        <v>Need to Balance</v>
      </c>
    </row>
    <row r="38" spans="1:73" ht="15.75" customHeight="1" x14ac:dyDescent="0.25">
      <c r="A38" s="8" t="s">
        <v>3005</v>
      </c>
      <c r="B38" s="8" t="s">
        <v>3006</v>
      </c>
      <c r="C38" s="8" t="s">
        <v>124</v>
      </c>
      <c r="D38" s="8" t="s">
        <v>3097</v>
      </c>
      <c r="E38" s="8" t="s">
        <v>2136</v>
      </c>
      <c r="F38" s="8" t="s">
        <v>43</v>
      </c>
      <c r="G38" s="8" t="s">
        <v>44</v>
      </c>
      <c r="H38" s="8">
        <v>100</v>
      </c>
      <c r="I38" s="8" t="s">
        <v>3098</v>
      </c>
      <c r="J38" s="8">
        <v>1</v>
      </c>
      <c r="K38" s="8">
        <v>252</v>
      </c>
      <c r="L38" s="8">
        <v>253</v>
      </c>
      <c r="M38" s="8">
        <v>252</v>
      </c>
      <c r="N38" s="8">
        <v>439</v>
      </c>
      <c r="O38" s="8">
        <v>438</v>
      </c>
      <c r="P38" s="8">
        <v>440</v>
      </c>
      <c r="Q38" s="9" t="s">
        <v>46</v>
      </c>
      <c r="R38" s="16"/>
      <c r="S38" s="10">
        <v>1</v>
      </c>
      <c r="T38" s="10">
        <v>2</v>
      </c>
      <c r="U38" s="10">
        <v>9</v>
      </c>
      <c r="V38" s="11">
        <v>9</v>
      </c>
      <c r="W38" s="12"/>
      <c r="X38" s="17"/>
      <c r="Y38" s="13"/>
      <c r="Z38" s="13"/>
      <c r="AA38" s="13"/>
      <c r="AB38" s="14"/>
      <c r="AC38" s="9"/>
      <c r="AD38" s="16"/>
      <c r="AE38" s="10"/>
      <c r="AF38" s="10"/>
      <c r="AG38" s="10"/>
      <c r="AH38" s="11"/>
      <c r="AI38" s="12"/>
      <c r="AJ38" s="17"/>
      <c r="AK38" s="13"/>
      <c r="AL38" s="13"/>
      <c r="AM38" s="13"/>
      <c r="AN38" s="14"/>
      <c r="AO38" s="9"/>
      <c r="AP38" s="16"/>
      <c r="AQ38" s="10"/>
      <c r="AR38" s="10"/>
      <c r="AS38" s="10"/>
      <c r="AT38" s="11"/>
      <c r="AU38" s="12"/>
      <c r="AV38" s="17"/>
      <c r="AW38" s="13"/>
      <c r="AX38" s="13"/>
      <c r="AY38" s="13"/>
      <c r="AZ38" s="14"/>
      <c r="BA38" s="9"/>
      <c r="BB38" s="16"/>
      <c r="BC38" s="10"/>
      <c r="BD38" s="10"/>
      <c r="BE38" s="10"/>
      <c r="BF38" s="11"/>
      <c r="BG38" s="12"/>
      <c r="BH38" s="17"/>
      <c r="BI38" s="13"/>
      <c r="BJ38" s="13"/>
      <c r="BK38" s="13"/>
      <c r="BL38" s="14"/>
      <c r="BM38" s="8">
        <f t="shared" si="9"/>
        <v>1</v>
      </c>
      <c r="BN38" s="8">
        <f t="shared" si="10"/>
        <v>2</v>
      </c>
      <c r="BO38" s="8">
        <f t="shared" si="11"/>
        <v>9</v>
      </c>
      <c r="BP38" s="8">
        <f t="shared" si="12"/>
        <v>9</v>
      </c>
      <c r="BQ38" s="8">
        <f t="shared" si="13"/>
        <v>9</v>
      </c>
      <c r="BR38" s="8">
        <f t="shared" si="14"/>
        <v>1</v>
      </c>
      <c r="BS38" s="15">
        <f t="shared" si="15"/>
        <v>6.8433327407046329</v>
      </c>
      <c r="BT38" s="15" t="str">
        <f t="shared" si="16"/>
        <v>OK - No Upgrade</v>
      </c>
      <c r="BU38" s="15" t="str">
        <f t="shared" si="17"/>
        <v>Need to Balance</v>
      </c>
    </row>
    <row r="39" spans="1:73" ht="15.75" customHeight="1" x14ac:dyDescent="0.25">
      <c r="A39" s="8" t="s">
        <v>3005</v>
      </c>
      <c r="B39" s="8" t="s">
        <v>3006</v>
      </c>
      <c r="C39" s="8" t="s">
        <v>124</v>
      </c>
      <c r="D39" s="8" t="s">
        <v>3099</v>
      </c>
      <c r="E39" s="8" t="s">
        <v>3100</v>
      </c>
      <c r="F39" s="8" t="s">
        <v>43</v>
      </c>
      <c r="G39" s="8" t="s">
        <v>44</v>
      </c>
      <c r="H39" s="8">
        <v>100</v>
      </c>
      <c r="I39" s="8" t="s">
        <v>3101</v>
      </c>
      <c r="J39" s="8">
        <v>1</v>
      </c>
      <c r="K39" s="8">
        <v>253</v>
      </c>
      <c r="L39" s="8">
        <v>254</v>
      </c>
      <c r="M39" s="8">
        <v>254</v>
      </c>
      <c r="N39" s="8">
        <v>440</v>
      </c>
      <c r="O39" s="8">
        <v>441</v>
      </c>
      <c r="P39" s="8">
        <v>441</v>
      </c>
      <c r="Q39" s="9" t="s">
        <v>47</v>
      </c>
      <c r="R39" s="16"/>
      <c r="S39" s="10">
        <v>3</v>
      </c>
      <c r="T39" s="10">
        <v>5</v>
      </c>
      <c r="U39" s="10">
        <v>5</v>
      </c>
      <c r="V39" s="11">
        <v>1</v>
      </c>
      <c r="W39" s="12"/>
      <c r="X39" s="17"/>
      <c r="Y39" s="13"/>
      <c r="Z39" s="13"/>
      <c r="AA39" s="13"/>
      <c r="AB39" s="14"/>
      <c r="AC39" s="9"/>
      <c r="AD39" s="16"/>
      <c r="AE39" s="10"/>
      <c r="AF39" s="10"/>
      <c r="AG39" s="10"/>
      <c r="AH39" s="11"/>
      <c r="AI39" s="12"/>
      <c r="AJ39" s="17"/>
      <c r="AK39" s="13"/>
      <c r="AL39" s="13"/>
      <c r="AM39" s="13"/>
      <c r="AN39" s="14"/>
      <c r="AO39" s="9"/>
      <c r="AP39" s="16"/>
      <c r="AQ39" s="10"/>
      <c r="AR39" s="10"/>
      <c r="AS39" s="10"/>
      <c r="AT39" s="11"/>
      <c r="AU39" s="12"/>
      <c r="AV39" s="17"/>
      <c r="AW39" s="13"/>
      <c r="AX39" s="13"/>
      <c r="AY39" s="13"/>
      <c r="AZ39" s="14"/>
      <c r="BA39" s="9"/>
      <c r="BB39" s="16"/>
      <c r="BC39" s="10"/>
      <c r="BD39" s="10"/>
      <c r="BE39" s="10"/>
      <c r="BF39" s="11"/>
      <c r="BG39" s="12"/>
      <c r="BH39" s="17"/>
      <c r="BI39" s="13"/>
      <c r="BJ39" s="13"/>
      <c r="BK39" s="13"/>
      <c r="BL39" s="14"/>
      <c r="BM39" s="8">
        <f t="shared" si="9"/>
        <v>3</v>
      </c>
      <c r="BN39" s="8">
        <f t="shared" si="10"/>
        <v>5</v>
      </c>
      <c r="BO39" s="8">
        <f t="shared" si="11"/>
        <v>5</v>
      </c>
      <c r="BP39" s="8">
        <f t="shared" si="12"/>
        <v>1</v>
      </c>
      <c r="BQ39" s="8">
        <f t="shared" si="13"/>
        <v>5</v>
      </c>
      <c r="BR39" s="8">
        <f t="shared" si="14"/>
        <v>3</v>
      </c>
      <c r="BS39" s="15">
        <f t="shared" si="15"/>
        <v>3.8105117766515297</v>
      </c>
      <c r="BT39" s="15" t="str">
        <f t="shared" si="16"/>
        <v>OK - No Upgrade</v>
      </c>
      <c r="BU39" s="15" t="str">
        <f t="shared" si="17"/>
        <v>Need to Balance</v>
      </c>
    </row>
    <row r="40" spans="1:73" ht="15.75" customHeight="1" x14ac:dyDescent="0.25">
      <c r="A40" s="8" t="s">
        <v>3005</v>
      </c>
      <c r="B40" s="8" t="s">
        <v>3006</v>
      </c>
      <c r="C40" s="8" t="s">
        <v>124</v>
      </c>
      <c r="D40" s="8" t="s">
        <v>3102</v>
      </c>
      <c r="E40" s="8" t="s">
        <v>3103</v>
      </c>
      <c r="F40" s="8" t="s">
        <v>43</v>
      </c>
      <c r="G40" s="8" t="s">
        <v>44</v>
      </c>
      <c r="H40" s="8">
        <v>100</v>
      </c>
      <c r="I40" s="8" t="s">
        <v>3104</v>
      </c>
      <c r="J40" s="8">
        <v>1</v>
      </c>
      <c r="K40" s="8">
        <v>253</v>
      </c>
      <c r="L40" s="8">
        <v>254</v>
      </c>
      <c r="M40" s="8">
        <v>254</v>
      </c>
      <c r="N40" s="8">
        <v>440</v>
      </c>
      <c r="O40" s="8">
        <v>441</v>
      </c>
      <c r="P40" s="8">
        <v>443</v>
      </c>
      <c r="Q40" s="9" t="s">
        <v>46</v>
      </c>
      <c r="R40" s="16"/>
      <c r="S40" s="10">
        <v>6</v>
      </c>
      <c r="T40" s="10">
        <v>10</v>
      </c>
      <c r="U40" s="10">
        <v>9</v>
      </c>
      <c r="V40" s="11">
        <v>6</v>
      </c>
      <c r="W40" s="12"/>
      <c r="X40" s="17"/>
      <c r="Y40" s="13"/>
      <c r="Z40" s="13"/>
      <c r="AA40" s="13"/>
      <c r="AB40" s="14"/>
      <c r="AC40" s="9"/>
      <c r="AD40" s="16"/>
      <c r="AE40" s="10"/>
      <c r="AF40" s="10"/>
      <c r="AG40" s="10"/>
      <c r="AH40" s="11"/>
      <c r="AI40" s="12"/>
      <c r="AJ40" s="17"/>
      <c r="AK40" s="13"/>
      <c r="AL40" s="13"/>
      <c r="AM40" s="13"/>
      <c r="AN40" s="14"/>
      <c r="AO40" s="9"/>
      <c r="AP40" s="16"/>
      <c r="AQ40" s="10"/>
      <c r="AR40" s="10"/>
      <c r="AS40" s="10"/>
      <c r="AT40" s="11"/>
      <c r="AU40" s="12"/>
      <c r="AV40" s="17"/>
      <c r="AW40" s="13"/>
      <c r="AX40" s="13"/>
      <c r="AY40" s="13"/>
      <c r="AZ40" s="14"/>
      <c r="BA40" s="9"/>
      <c r="BB40" s="16"/>
      <c r="BC40" s="10"/>
      <c r="BD40" s="10"/>
      <c r="BE40" s="10"/>
      <c r="BF40" s="11"/>
      <c r="BG40" s="12"/>
      <c r="BH40" s="17"/>
      <c r="BI40" s="13"/>
      <c r="BJ40" s="13"/>
      <c r="BK40" s="13"/>
      <c r="BL40" s="14"/>
      <c r="BM40" s="8">
        <f t="shared" si="9"/>
        <v>6</v>
      </c>
      <c r="BN40" s="8">
        <f t="shared" si="10"/>
        <v>10</v>
      </c>
      <c r="BO40" s="8">
        <f t="shared" si="11"/>
        <v>9</v>
      </c>
      <c r="BP40" s="8">
        <f t="shared" si="12"/>
        <v>6</v>
      </c>
      <c r="BQ40" s="8">
        <f t="shared" si="13"/>
        <v>10</v>
      </c>
      <c r="BR40" s="8">
        <f t="shared" si="14"/>
        <v>6</v>
      </c>
      <c r="BS40" s="15">
        <f t="shared" si="15"/>
        <v>7.6210235533030595</v>
      </c>
      <c r="BT40" s="15" t="str">
        <f t="shared" si="16"/>
        <v>OK - No Upgrade</v>
      </c>
      <c r="BU40" s="15" t="str">
        <f t="shared" si="17"/>
        <v>Need to Balance</v>
      </c>
    </row>
    <row r="41" spans="1:73" ht="15.75" customHeight="1" x14ac:dyDescent="0.25">
      <c r="A41" s="8" t="s">
        <v>3005</v>
      </c>
      <c r="B41" s="8" t="s">
        <v>3006</v>
      </c>
      <c r="C41" s="8" t="s">
        <v>124</v>
      </c>
      <c r="D41" s="8" t="s">
        <v>3102</v>
      </c>
      <c r="E41" s="8" t="s">
        <v>3105</v>
      </c>
      <c r="F41" s="8" t="s">
        <v>56</v>
      </c>
      <c r="G41" s="8" t="s">
        <v>44</v>
      </c>
      <c r="H41" s="8">
        <v>500</v>
      </c>
      <c r="I41" s="8" t="s">
        <v>3106</v>
      </c>
      <c r="J41" s="8">
        <v>1</v>
      </c>
      <c r="K41" s="8">
        <v>253</v>
      </c>
      <c r="L41" s="8">
        <v>254</v>
      </c>
      <c r="M41" s="8">
        <v>254</v>
      </c>
      <c r="N41" s="8">
        <v>441</v>
      </c>
      <c r="O41" s="8">
        <v>442</v>
      </c>
      <c r="P41" s="8">
        <v>442</v>
      </c>
      <c r="Q41" s="9" t="s">
        <v>47</v>
      </c>
      <c r="R41" s="16"/>
      <c r="S41" s="10">
        <v>46</v>
      </c>
      <c r="T41" s="10">
        <v>59</v>
      </c>
      <c r="U41" s="10">
        <v>37</v>
      </c>
      <c r="V41" s="11">
        <v>25</v>
      </c>
      <c r="W41" s="12" t="s">
        <v>47</v>
      </c>
      <c r="X41" s="17"/>
      <c r="Y41" s="13">
        <v>25</v>
      </c>
      <c r="Z41" s="13">
        <v>27</v>
      </c>
      <c r="AA41" s="13">
        <v>68</v>
      </c>
      <c r="AB41" s="14">
        <v>33</v>
      </c>
      <c r="AC41" s="9"/>
      <c r="AD41" s="16"/>
      <c r="AE41" s="10"/>
      <c r="AF41" s="10"/>
      <c r="AG41" s="10"/>
      <c r="AH41" s="11"/>
      <c r="AI41" s="12"/>
      <c r="AJ41" s="17"/>
      <c r="AK41" s="13"/>
      <c r="AL41" s="13"/>
      <c r="AM41" s="13"/>
      <c r="AN41" s="14"/>
      <c r="AO41" s="9"/>
      <c r="AP41" s="16"/>
      <c r="AQ41" s="10"/>
      <c r="AR41" s="10"/>
      <c r="AS41" s="10"/>
      <c r="AT41" s="11"/>
      <c r="AU41" s="12"/>
      <c r="AV41" s="17"/>
      <c r="AW41" s="13"/>
      <c r="AX41" s="13"/>
      <c r="AY41" s="13"/>
      <c r="AZ41" s="14"/>
      <c r="BA41" s="9"/>
      <c r="BB41" s="16"/>
      <c r="BC41" s="10"/>
      <c r="BD41" s="10"/>
      <c r="BE41" s="10"/>
      <c r="BF41" s="11"/>
      <c r="BG41" s="12"/>
      <c r="BH41" s="17"/>
      <c r="BI41" s="13"/>
      <c r="BJ41" s="13"/>
      <c r="BK41" s="13"/>
      <c r="BL41" s="14"/>
      <c r="BM41" s="8">
        <f t="shared" si="9"/>
        <v>71</v>
      </c>
      <c r="BN41" s="8">
        <f t="shared" si="10"/>
        <v>86</v>
      </c>
      <c r="BO41" s="8">
        <f t="shared" si="11"/>
        <v>105</v>
      </c>
      <c r="BP41" s="8">
        <f t="shared" si="12"/>
        <v>58</v>
      </c>
      <c r="BQ41" s="8">
        <f t="shared" si="13"/>
        <v>105</v>
      </c>
      <c r="BR41" s="8">
        <f t="shared" si="14"/>
        <v>71</v>
      </c>
      <c r="BS41" s="15">
        <f t="shared" si="15"/>
        <v>16.040522528895369</v>
      </c>
      <c r="BT41" s="15" t="str">
        <f t="shared" si="16"/>
        <v>OK - No Upgrade</v>
      </c>
      <c r="BU41" s="15" t="str">
        <f t="shared" si="17"/>
        <v>Need to Balance</v>
      </c>
    </row>
    <row r="42" spans="1:73" ht="15.75" customHeight="1" x14ac:dyDescent="0.25">
      <c r="A42" s="8" t="s">
        <v>3005</v>
      </c>
      <c r="B42" s="8" t="s">
        <v>3006</v>
      </c>
      <c r="C42" s="8" t="s">
        <v>124</v>
      </c>
      <c r="D42" s="8" t="s">
        <v>3107</v>
      </c>
      <c r="E42" s="8" t="s">
        <v>3108</v>
      </c>
      <c r="F42" s="8" t="s">
        <v>43</v>
      </c>
      <c r="G42" s="8" t="s">
        <v>469</v>
      </c>
      <c r="H42" s="8">
        <v>100</v>
      </c>
      <c r="I42" s="8" t="s">
        <v>3109</v>
      </c>
      <c r="J42" s="8">
        <v>1</v>
      </c>
      <c r="K42" s="8">
        <v>242</v>
      </c>
      <c r="L42" s="8">
        <v>256</v>
      </c>
      <c r="M42" s="8">
        <v>257</v>
      </c>
      <c r="N42" s="8">
        <v>443</v>
      </c>
      <c r="O42" s="8">
        <v>444</v>
      </c>
      <c r="P42" s="8">
        <v>446</v>
      </c>
      <c r="Q42" s="9" t="s">
        <v>46</v>
      </c>
      <c r="R42" s="16"/>
      <c r="S42" s="10">
        <v>9</v>
      </c>
      <c r="T42" s="10">
        <v>12</v>
      </c>
      <c r="U42" s="10">
        <v>9</v>
      </c>
      <c r="V42" s="11">
        <v>13</v>
      </c>
      <c r="W42" s="12" t="s">
        <v>46</v>
      </c>
      <c r="X42" s="17"/>
      <c r="Y42" s="13">
        <v>22</v>
      </c>
      <c r="Z42" s="13">
        <v>7</v>
      </c>
      <c r="AA42" s="13">
        <v>18</v>
      </c>
      <c r="AB42" s="14">
        <v>8</v>
      </c>
      <c r="AC42" s="9"/>
      <c r="AD42" s="16"/>
      <c r="AE42" s="10"/>
      <c r="AF42" s="10"/>
      <c r="AG42" s="10"/>
      <c r="AH42" s="11"/>
      <c r="AI42" s="12"/>
      <c r="AJ42" s="17"/>
      <c r="AK42" s="13"/>
      <c r="AL42" s="13"/>
      <c r="AM42" s="13"/>
      <c r="AN42" s="14"/>
      <c r="AO42" s="9"/>
      <c r="AP42" s="16"/>
      <c r="AQ42" s="10"/>
      <c r="AR42" s="10"/>
      <c r="AS42" s="10"/>
      <c r="AT42" s="11"/>
      <c r="AU42" s="12"/>
      <c r="AV42" s="17"/>
      <c r="AW42" s="13"/>
      <c r="AX42" s="13"/>
      <c r="AY42" s="13"/>
      <c r="AZ42" s="14"/>
      <c r="BA42" s="9"/>
      <c r="BB42" s="16"/>
      <c r="BC42" s="10"/>
      <c r="BD42" s="10"/>
      <c r="BE42" s="10"/>
      <c r="BF42" s="11"/>
      <c r="BG42" s="12"/>
      <c r="BH42" s="17"/>
      <c r="BI42" s="13"/>
      <c r="BJ42" s="13"/>
      <c r="BK42" s="13"/>
      <c r="BL42" s="14"/>
      <c r="BM42" s="8">
        <f t="shared" si="9"/>
        <v>31</v>
      </c>
      <c r="BN42" s="8">
        <f t="shared" si="10"/>
        <v>19</v>
      </c>
      <c r="BO42" s="8">
        <f t="shared" si="11"/>
        <v>27</v>
      </c>
      <c r="BP42" s="8">
        <f t="shared" si="12"/>
        <v>21</v>
      </c>
      <c r="BQ42" s="8">
        <f t="shared" si="13"/>
        <v>31</v>
      </c>
      <c r="BR42" s="8">
        <f t="shared" si="14"/>
        <v>19</v>
      </c>
      <c r="BS42" s="15">
        <f t="shared" si="15"/>
        <v>23.786253740343394</v>
      </c>
      <c r="BT42" s="15" t="str">
        <f t="shared" si="16"/>
        <v>OK - No Upgrade</v>
      </c>
      <c r="BU42" s="15" t="str">
        <f t="shared" si="17"/>
        <v>Need to Balance</v>
      </c>
    </row>
    <row r="43" spans="1:73" ht="15.75" customHeight="1" x14ac:dyDescent="0.25">
      <c r="A43" s="8" t="s">
        <v>3005</v>
      </c>
      <c r="B43" s="8" t="s">
        <v>3006</v>
      </c>
      <c r="C43" s="8" t="s">
        <v>389</v>
      </c>
      <c r="D43" s="8" t="s">
        <v>3110</v>
      </c>
      <c r="E43" s="8" t="s">
        <v>3111</v>
      </c>
      <c r="F43" s="8" t="s">
        <v>43</v>
      </c>
      <c r="G43" s="8" t="s">
        <v>1381</v>
      </c>
      <c r="H43" s="8">
        <v>100</v>
      </c>
      <c r="I43" s="8" t="s">
        <v>3112</v>
      </c>
      <c r="J43" s="8">
        <v>1</v>
      </c>
      <c r="K43" s="8">
        <v>236</v>
      </c>
      <c r="L43" s="8">
        <v>238</v>
      </c>
      <c r="M43" s="8">
        <v>238</v>
      </c>
      <c r="N43" s="8">
        <v>412</v>
      </c>
      <c r="O43" s="8">
        <v>411</v>
      </c>
      <c r="P43" s="8">
        <v>410</v>
      </c>
      <c r="Q43" s="9" t="s">
        <v>46</v>
      </c>
      <c r="R43" s="16"/>
      <c r="S43" s="10">
        <v>145</v>
      </c>
      <c r="T43" s="10">
        <v>120</v>
      </c>
      <c r="U43" s="10">
        <v>112</v>
      </c>
      <c r="V43" s="11">
        <v>29</v>
      </c>
      <c r="W43" s="12"/>
      <c r="X43" s="17"/>
      <c r="Y43" s="13"/>
      <c r="Z43" s="13"/>
      <c r="AA43" s="13"/>
      <c r="AB43" s="14"/>
      <c r="AC43" s="9"/>
      <c r="AD43" s="16"/>
      <c r="AE43" s="10"/>
      <c r="AF43" s="10"/>
      <c r="AG43" s="10"/>
      <c r="AH43" s="11"/>
      <c r="AI43" s="12"/>
      <c r="AJ43" s="17"/>
      <c r="AK43" s="13"/>
      <c r="AL43" s="13"/>
      <c r="AM43" s="13"/>
      <c r="AN43" s="14"/>
      <c r="AO43" s="9"/>
      <c r="AP43" s="16"/>
      <c r="AQ43" s="10"/>
      <c r="AR43" s="10"/>
      <c r="AS43" s="10"/>
      <c r="AT43" s="11"/>
      <c r="AU43" s="12"/>
      <c r="AV43" s="17"/>
      <c r="AW43" s="13"/>
      <c r="AX43" s="13"/>
      <c r="AY43" s="13"/>
      <c r="AZ43" s="14"/>
      <c r="BA43" s="9"/>
      <c r="BB43" s="16"/>
      <c r="BC43" s="10"/>
      <c r="BD43" s="10"/>
      <c r="BE43" s="10"/>
      <c r="BF43" s="11"/>
      <c r="BG43" s="12"/>
      <c r="BH43" s="17"/>
      <c r="BI43" s="13"/>
      <c r="BJ43" s="13"/>
      <c r="BK43" s="13"/>
      <c r="BL43" s="14"/>
      <c r="BM43" s="8">
        <f t="shared" si="9"/>
        <v>145</v>
      </c>
      <c r="BN43" s="8">
        <f t="shared" si="10"/>
        <v>120</v>
      </c>
      <c r="BO43" s="8">
        <f t="shared" si="11"/>
        <v>112</v>
      </c>
      <c r="BP43" s="8">
        <f t="shared" si="12"/>
        <v>29</v>
      </c>
      <c r="BQ43" s="8">
        <f t="shared" si="13"/>
        <v>145</v>
      </c>
      <c r="BR43" s="8">
        <f t="shared" si="14"/>
        <v>112</v>
      </c>
      <c r="BS43" s="15">
        <f t="shared" si="15"/>
        <v>103.47271524416473</v>
      </c>
      <c r="BT43" s="15" t="str">
        <f t="shared" si="16"/>
        <v>Upgrade</v>
      </c>
      <c r="BU43" s="15" t="str">
        <f t="shared" si="17"/>
        <v>Need to Balance</v>
      </c>
    </row>
    <row r="44" spans="1:73" ht="15.75" customHeight="1" x14ac:dyDescent="0.25">
      <c r="A44" s="8" t="s">
        <v>3005</v>
      </c>
      <c r="B44" s="8" t="s">
        <v>3006</v>
      </c>
      <c r="C44" s="8" t="s">
        <v>389</v>
      </c>
      <c r="D44" s="8" t="s">
        <v>3113</v>
      </c>
      <c r="E44" s="8" t="s">
        <v>3114</v>
      </c>
      <c r="F44" s="8" t="s">
        <v>43</v>
      </c>
      <c r="G44" s="8" t="s">
        <v>44</v>
      </c>
      <c r="H44" s="8">
        <v>315</v>
      </c>
      <c r="I44" s="8" t="s">
        <v>3115</v>
      </c>
      <c r="J44" s="8">
        <v>1</v>
      </c>
      <c r="K44" s="8">
        <v>240</v>
      </c>
      <c r="L44" s="8">
        <v>243</v>
      </c>
      <c r="M44" s="8">
        <v>242</v>
      </c>
      <c r="N44" s="8">
        <v>420</v>
      </c>
      <c r="O44" s="8">
        <v>421</v>
      </c>
      <c r="P44" s="8">
        <v>419</v>
      </c>
      <c r="Q44" s="9" t="s">
        <v>46</v>
      </c>
      <c r="R44" s="16"/>
      <c r="S44" s="10">
        <v>153</v>
      </c>
      <c r="T44" s="10">
        <v>74</v>
      </c>
      <c r="U44" s="10">
        <v>43</v>
      </c>
      <c r="V44" s="11">
        <v>112</v>
      </c>
      <c r="W44" s="12" t="s">
        <v>46</v>
      </c>
      <c r="X44" s="17"/>
      <c r="Y44" s="13">
        <v>73</v>
      </c>
      <c r="Z44" s="13">
        <v>30</v>
      </c>
      <c r="AA44" s="13">
        <v>70</v>
      </c>
      <c r="AB44" s="14">
        <v>36</v>
      </c>
      <c r="AC44" s="9"/>
      <c r="AD44" s="16"/>
      <c r="AE44" s="10"/>
      <c r="AF44" s="10"/>
      <c r="AG44" s="10"/>
      <c r="AH44" s="11"/>
      <c r="AI44" s="12"/>
      <c r="AJ44" s="17"/>
      <c r="AK44" s="13"/>
      <c r="AL44" s="13"/>
      <c r="AM44" s="13"/>
      <c r="AN44" s="14"/>
      <c r="AO44" s="9"/>
      <c r="AP44" s="16"/>
      <c r="AQ44" s="10"/>
      <c r="AR44" s="10"/>
      <c r="AS44" s="10"/>
      <c r="AT44" s="11"/>
      <c r="AU44" s="12"/>
      <c r="AV44" s="17"/>
      <c r="AW44" s="13"/>
      <c r="AX44" s="13"/>
      <c r="AY44" s="13"/>
      <c r="AZ44" s="14"/>
      <c r="BA44" s="9"/>
      <c r="BB44" s="16"/>
      <c r="BC44" s="10"/>
      <c r="BD44" s="10"/>
      <c r="BE44" s="10"/>
      <c r="BF44" s="11"/>
      <c r="BG44" s="12"/>
      <c r="BH44" s="17"/>
      <c r="BI44" s="13"/>
      <c r="BJ44" s="13"/>
      <c r="BK44" s="13"/>
      <c r="BL44" s="14"/>
      <c r="BM44" s="8">
        <f t="shared" si="9"/>
        <v>226</v>
      </c>
      <c r="BN44" s="8">
        <f t="shared" si="10"/>
        <v>104</v>
      </c>
      <c r="BO44" s="8">
        <f t="shared" si="11"/>
        <v>113</v>
      </c>
      <c r="BP44" s="8">
        <f t="shared" si="12"/>
        <v>148</v>
      </c>
      <c r="BQ44" s="8">
        <f t="shared" si="13"/>
        <v>226</v>
      </c>
      <c r="BR44" s="8">
        <f t="shared" si="14"/>
        <v>104</v>
      </c>
      <c r="BS44" s="15">
        <f t="shared" si="15"/>
        <v>52.192464334742169</v>
      </c>
      <c r="BT44" s="15" t="str">
        <f t="shared" si="16"/>
        <v>OK - No Upgrade</v>
      </c>
      <c r="BU44" s="15" t="str">
        <f t="shared" si="17"/>
        <v>Need to Balance</v>
      </c>
    </row>
    <row r="45" spans="1:73" ht="15.75" customHeight="1" x14ac:dyDescent="0.25">
      <c r="A45" s="8" t="s">
        <v>3005</v>
      </c>
      <c r="B45" s="8" t="s">
        <v>3006</v>
      </c>
      <c r="C45" s="8" t="s">
        <v>389</v>
      </c>
      <c r="D45" s="8" t="s">
        <v>3116</v>
      </c>
      <c r="E45" s="8" t="s">
        <v>3117</v>
      </c>
      <c r="F45" s="8" t="s">
        <v>43</v>
      </c>
      <c r="G45" s="8" t="s">
        <v>44</v>
      </c>
      <c r="H45" s="8">
        <v>315</v>
      </c>
      <c r="I45" s="8" t="s">
        <v>82</v>
      </c>
      <c r="J45" s="8">
        <v>1</v>
      </c>
      <c r="K45" s="8">
        <v>244</v>
      </c>
      <c r="L45" s="8">
        <v>246</v>
      </c>
      <c r="M45" s="8">
        <v>244</v>
      </c>
      <c r="N45" s="8">
        <v>426</v>
      </c>
      <c r="O45" s="8">
        <v>424</v>
      </c>
      <c r="P45" s="8">
        <v>423</v>
      </c>
      <c r="Q45" s="9" t="s">
        <v>47</v>
      </c>
      <c r="R45" s="16"/>
      <c r="S45" s="10">
        <v>14</v>
      </c>
      <c r="T45" s="10">
        <v>13</v>
      </c>
      <c r="U45" s="10">
        <v>14</v>
      </c>
      <c r="V45" s="11">
        <v>8</v>
      </c>
      <c r="W45" s="12" t="s">
        <v>47</v>
      </c>
      <c r="X45" s="17"/>
      <c r="Y45" s="13">
        <v>9</v>
      </c>
      <c r="Z45" s="13">
        <v>7</v>
      </c>
      <c r="AA45" s="13">
        <v>9</v>
      </c>
      <c r="AB45" s="14">
        <v>9</v>
      </c>
      <c r="AC45" s="9"/>
      <c r="AD45" s="16"/>
      <c r="AE45" s="10"/>
      <c r="AF45" s="10"/>
      <c r="AG45" s="10"/>
      <c r="AH45" s="11"/>
      <c r="AI45" s="12"/>
      <c r="AJ45" s="17"/>
      <c r="AK45" s="13"/>
      <c r="AL45" s="13"/>
      <c r="AM45" s="13"/>
      <c r="AN45" s="14"/>
      <c r="AO45" s="9"/>
      <c r="AP45" s="16"/>
      <c r="AQ45" s="10"/>
      <c r="AR45" s="10"/>
      <c r="AS45" s="10"/>
      <c r="AT45" s="11"/>
      <c r="AU45" s="12"/>
      <c r="AV45" s="17"/>
      <c r="AW45" s="13"/>
      <c r="AX45" s="13"/>
      <c r="AY45" s="13"/>
      <c r="AZ45" s="14"/>
      <c r="BA45" s="9"/>
      <c r="BB45" s="16"/>
      <c r="BC45" s="10"/>
      <c r="BD45" s="10"/>
      <c r="BE45" s="10"/>
      <c r="BF45" s="11"/>
      <c r="BG45" s="12"/>
      <c r="BH45" s="17"/>
      <c r="BI45" s="13"/>
      <c r="BJ45" s="13"/>
      <c r="BK45" s="13"/>
      <c r="BL45" s="14"/>
      <c r="BM45" s="8">
        <f t="shared" si="9"/>
        <v>23</v>
      </c>
      <c r="BN45" s="8">
        <f t="shared" si="10"/>
        <v>20</v>
      </c>
      <c r="BO45" s="8">
        <f t="shared" si="11"/>
        <v>23</v>
      </c>
      <c r="BP45" s="8">
        <f t="shared" si="12"/>
        <v>17</v>
      </c>
      <c r="BQ45" s="8">
        <f t="shared" si="13"/>
        <v>23</v>
      </c>
      <c r="BR45" s="8">
        <f t="shared" si="14"/>
        <v>20</v>
      </c>
      <c r="BS45" s="15">
        <f t="shared" si="15"/>
        <v>5.3875027976380503</v>
      </c>
      <c r="BT45" s="15" t="str">
        <f t="shared" si="16"/>
        <v>OK - No Upgrade</v>
      </c>
      <c r="BU45" s="15" t="str">
        <f t="shared" si="17"/>
        <v>OK - Balanced</v>
      </c>
    </row>
    <row r="46" spans="1:73" ht="15.75" customHeight="1" x14ac:dyDescent="0.25">
      <c r="A46" s="8" t="s">
        <v>3005</v>
      </c>
      <c r="B46" s="8" t="s">
        <v>3006</v>
      </c>
      <c r="C46" s="8" t="s">
        <v>389</v>
      </c>
      <c r="D46" s="8" t="s">
        <v>3118</v>
      </c>
      <c r="E46" s="8" t="s">
        <v>3119</v>
      </c>
      <c r="F46" s="8" t="s">
        <v>56</v>
      </c>
      <c r="G46" s="8" t="s">
        <v>44</v>
      </c>
      <c r="H46" s="8">
        <v>1000</v>
      </c>
      <c r="I46" s="8" t="s">
        <v>2933</v>
      </c>
      <c r="J46" s="8">
        <v>1</v>
      </c>
      <c r="K46" s="8">
        <v>243</v>
      </c>
      <c r="L46" s="8">
        <v>244</v>
      </c>
      <c r="M46" s="8">
        <v>243</v>
      </c>
      <c r="N46" s="8">
        <v>423</v>
      </c>
      <c r="O46" s="8">
        <v>420</v>
      </c>
      <c r="P46" s="8">
        <v>421</v>
      </c>
      <c r="Q46" s="9"/>
      <c r="R46" s="16"/>
      <c r="S46" s="10"/>
      <c r="T46" s="10"/>
      <c r="U46" s="10"/>
      <c r="V46" s="11"/>
      <c r="W46" s="12"/>
      <c r="X46" s="17"/>
      <c r="Y46" s="13"/>
      <c r="Z46" s="13"/>
      <c r="AA46" s="13"/>
      <c r="AB46" s="14"/>
      <c r="AC46" s="9"/>
      <c r="AD46" s="16"/>
      <c r="AE46" s="10"/>
      <c r="AF46" s="10"/>
      <c r="AG46" s="10"/>
      <c r="AH46" s="11"/>
      <c r="AI46" s="12"/>
      <c r="AJ46" s="17"/>
      <c r="AK46" s="13"/>
      <c r="AL46" s="13"/>
      <c r="AM46" s="13"/>
      <c r="AN46" s="14"/>
      <c r="AO46" s="9"/>
      <c r="AP46" s="16"/>
      <c r="AQ46" s="10"/>
      <c r="AR46" s="10"/>
      <c r="AS46" s="10"/>
      <c r="AT46" s="11"/>
      <c r="AU46" s="12" t="s">
        <v>47</v>
      </c>
      <c r="AV46" s="17"/>
      <c r="AW46" s="13">
        <v>106</v>
      </c>
      <c r="AX46" s="13">
        <v>105</v>
      </c>
      <c r="AY46" s="13">
        <v>84</v>
      </c>
      <c r="AZ46" s="14">
        <v>29</v>
      </c>
      <c r="BA46" s="9" t="s">
        <v>47</v>
      </c>
      <c r="BB46" s="16"/>
      <c r="BC46" s="10">
        <v>49</v>
      </c>
      <c r="BD46" s="10">
        <v>30</v>
      </c>
      <c r="BE46" s="10">
        <v>60</v>
      </c>
      <c r="BF46" s="11">
        <v>28</v>
      </c>
      <c r="BG46" s="12" t="s">
        <v>47</v>
      </c>
      <c r="BH46" s="17"/>
      <c r="BI46" s="13">
        <v>58</v>
      </c>
      <c r="BJ46" s="13">
        <v>66</v>
      </c>
      <c r="BK46" s="13">
        <v>93</v>
      </c>
      <c r="BL46" s="14">
        <v>28</v>
      </c>
      <c r="BM46" s="8">
        <f t="shared" si="9"/>
        <v>213</v>
      </c>
      <c r="BN46" s="8">
        <f t="shared" si="10"/>
        <v>201</v>
      </c>
      <c r="BO46" s="8">
        <f t="shared" si="11"/>
        <v>237</v>
      </c>
      <c r="BP46" s="8">
        <f t="shared" si="12"/>
        <v>85</v>
      </c>
      <c r="BQ46" s="8">
        <f t="shared" si="13"/>
        <v>237</v>
      </c>
      <c r="BR46" s="8">
        <f t="shared" si="14"/>
        <v>201</v>
      </c>
      <c r="BS46" s="15">
        <f t="shared" si="15"/>
        <v>17.363982550958752</v>
      </c>
      <c r="BT46" s="15" t="str">
        <f t="shared" si="16"/>
        <v>OK - No Upgrade</v>
      </c>
      <c r="BU46" s="15" t="str">
        <f t="shared" si="17"/>
        <v>OK - Balanced</v>
      </c>
    </row>
    <row r="47" spans="1:73" ht="15.75" customHeight="1" x14ac:dyDescent="0.25">
      <c r="A47" s="8" t="s">
        <v>3005</v>
      </c>
      <c r="B47" s="8" t="s">
        <v>3006</v>
      </c>
      <c r="C47" s="8" t="s">
        <v>389</v>
      </c>
      <c r="D47" s="8" t="s">
        <v>3120</v>
      </c>
      <c r="E47" s="8" t="s">
        <v>3121</v>
      </c>
      <c r="F47" s="8" t="s">
        <v>43</v>
      </c>
      <c r="G47" s="8" t="s">
        <v>1381</v>
      </c>
      <c r="H47" s="8">
        <v>100</v>
      </c>
      <c r="I47" s="8" t="s">
        <v>3122</v>
      </c>
      <c r="J47" s="8">
        <v>1</v>
      </c>
      <c r="K47" s="8">
        <v>232</v>
      </c>
      <c r="L47" s="8">
        <v>233</v>
      </c>
      <c r="M47" s="8">
        <v>232</v>
      </c>
      <c r="N47" s="8">
        <v>406</v>
      </c>
      <c r="O47" s="8">
        <v>404</v>
      </c>
      <c r="P47" s="8">
        <v>403</v>
      </c>
      <c r="Q47" s="9" t="s">
        <v>47</v>
      </c>
      <c r="R47" s="16"/>
      <c r="S47" s="10">
        <v>5</v>
      </c>
      <c r="T47" s="10">
        <v>2</v>
      </c>
      <c r="U47" s="10">
        <v>4</v>
      </c>
      <c r="V47" s="11">
        <v>4</v>
      </c>
      <c r="W47" s="12" t="s">
        <v>47</v>
      </c>
      <c r="X47" s="17"/>
      <c r="Y47" s="13">
        <v>0</v>
      </c>
      <c r="Z47" s="13">
        <v>0</v>
      </c>
      <c r="AA47" s="13">
        <v>0</v>
      </c>
      <c r="AB47" s="14">
        <v>0</v>
      </c>
      <c r="AC47" s="9"/>
      <c r="AD47" s="16"/>
      <c r="AE47" s="10"/>
      <c r="AF47" s="10"/>
      <c r="AG47" s="10"/>
      <c r="AH47" s="11"/>
      <c r="AI47" s="12"/>
      <c r="AJ47" s="17"/>
      <c r="AK47" s="13"/>
      <c r="AL47" s="13"/>
      <c r="AM47" s="13"/>
      <c r="AN47" s="14"/>
      <c r="AO47" s="9"/>
      <c r="AP47" s="16"/>
      <c r="AQ47" s="10"/>
      <c r="AR47" s="10"/>
      <c r="AS47" s="10"/>
      <c r="AT47" s="11"/>
      <c r="AU47" s="12"/>
      <c r="AV47" s="17"/>
      <c r="AW47" s="13"/>
      <c r="AX47" s="13"/>
      <c r="AY47" s="13"/>
      <c r="AZ47" s="14"/>
      <c r="BA47" s="9"/>
      <c r="BB47" s="16"/>
      <c r="BC47" s="10"/>
      <c r="BD47" s="10"/>
      <c r="BE47" s="10"/>
      <c r="BF47" s="11"/>
      <c r="BG47" s="12"/>
      <c r="BH47" s="17"/>
      <c r="BI47" s="13"/>
      <c r="BJ47" s="13"/>
      <c r="BK47" s="13"/>
      <c r="BL47" s="14"/>
      <c r="BM47" s="8">
        <f t="shared" si="9"/>
        <v>5</v>
      </c>
      <c r="BN47" s="8">
        <f t="shared" si="10"/>
        <v>2</v>
      </c>
      <c r="BO47" s="8">
        <f t="shared" si="11"/>
        <v>4</v>
      </c>
      <c r="BP47" s="8">
        <f t="shared" si="12"/>
        <v>4</v>
      </c>
      <c r="BQ47" s="8">
        <f t="shared" si="13"/>
        <v>5</v>
      </c>
      <c r="BR47" s="8">
        <f t="shared" si="14"/>
        <v>2</v>
      </c>
      <c r="BS47" s="15">
        <f t="shared" si="15"/>
        <v>3.5160631393648201</v>
      </c>
      <c r="BT47" s="15" t="str">
        <f t="shared" si="16"/>
        <v>OK - No Upgrade</v>
      </c>
      <c r="BU47" s="15" t="str">
        <f t="shared" si="17"/>
        <v>Need to Balance</v>
      </c>
    </row>
    <row r="48" spans="1:73" ht="15.75" customHeight="1" x14ac:dyDescent="0.25">
      <c r="A48" s="8" t="s">
        <v>3005</v>
      </c>
      <c r="B48" s="8" t="s">
        <v>3006</v>
      </c>
      <c r="C48" s="8" t="s">
        <v>389</v>
      </c>
      <c r="D48" s="8" t="s">
        <v>3123</v>
      </c>
      <c r="E48" s="8" t="s">
        <v>3124</v>
      </c>
      <c r="F48" s="8" t="s">
        <v>43</v>
      </c>
      <c r="G48" s="8" t="s">
        <v>44</v>
      </c>
      <c r="H48" s="8">
        <v>315</v>
      </c>
      <c r="I48" s="8" t="s">
        <v>3125</v>
      </c>
      <c r="J48" s="8">
        <v>1</v>
      </c>
      <c r="K48" s="8">
        <v>242</v>
      </c>
      <c r="L48" s="8">
        <v>244</v>
      </c>
      <c r="M48" s="8">
        <v>241</v>
      </c>
      <c r="N48" s="8">
        <v>422</v>
      </c>
      <c r="O48" s="8">
        <v>421</v>
      </c>
      <c r="P48" s="8">
        <v>417</v>
      </c>
      <c r="Q48" s="9" t="s">
        <v>46</v>
      </c>
      <c r="R48" s="16"/>
      <c r="S48" s="10">
        <v>64</v>
      </c>
      <c r="T48" s="10">
        <v>35</v>
      </c>
      <c r="U48" s="10">
        <v>87</v>
      </c>
      <c r="V48" s="11">
        <v>24</v>
      </c>
      <c r="W48" s="12"/>
      <c r="X48" s="17"/>
      <c r="Y48" s="13"/>
      <c r="Z48" s="13"/>
      <c r="AA48" s="13"/>
      <c r="AB48" s="14"/>
      <c r="AC48" s="9"/>
      <c r="AD48" s="16"/>
      <c r="AE48" s="10"/>
      <c r="AF48" s="10"/>
      <c r="AG48" s="10"/>
      <c r="AH48" s="11"/>
      <c r="AI48" s="12"/>
      <c r="AJ48" s="17"/>
      <c r="AK48" s="13"/>
      <c r="AL48" s="13"/>
      <c r="AM48" s="13"/>
      <c r="AN48" s="14"/>
      <c r="AO48" s="9"/>
      <c r="AP48" s="16"/>
      <c r="AQ48" s="10"/>
      <c r="AR48" s="10"/>
      <c r="AS48" s="10"/>
      <c r="AT48" s="11"/>
      <c r="AU48" s="12"/>
      <c r="AV48" s="17"/>
      <c r="AW48" s="13"/>
      <c r="AX48" s="13"/>
      <c r="AY48" s="13"/>
      <c r="AZ48" s="14"/>
      <c r="BA48" s="9"/>
      <c r="BB48" s="16"/>
      <c r="BC48" s="10"/>
      <c r="BD48" s="10"/>
      <c r="BE48" s="10"/>
      <c r="BF48" s="11"/>
      <c r="BG48" s="12"/>
      <c r="BH48" s="17"/>
      <c r="BI48" s="13"/>
      <c r="BJ48" s="13"/>
      <c r="BK48" s="13"/>
      <c r="BL48" s="14"/>
      <c r="BM48" s="8">
        <f t="shared" si="9"/>
        <v>64</v>
      </c>
      <c r="BN48" s="8">
        <f t="shared" si="10"/>
        <v>35</v>
      </c>
      <c r="BO48" s="8">
        <f t="shared" si="11"/>
        <v>87</v>
      </c>
      <c r="BP48" s="8">
        <f t="shared" si="12"/>
        <v>24</v>
      </c>
      <c r="BQ48" s="8">
        <f t="shared" si="13"/>
        <v>87</v>
      </c>
      <c r="BR48" s="8">
        <f t="shared" si="14"/>
        <v>35</v>
      </c>
      <c r="BS48" s="15">
        <f t="shared" si="15"/>
        <v>20.187464555264686</v>
      </c>
      <c r="BT48" s="15" t="str">
        <f t="shared" si="16"/>
        <v>OK - No Upgrade</v>
      </c>
      <c r="BU48" s="15" t="str">
        <f t="shared" si="17"/>
        <v>Need to Balance</v>
      </c>
    </row>
    <row r="49" spans="1:73" ht="15.75" customHeight="1" x14ac:dyDescent="0.25">
      <c r="A49" s="8" t="s">
        <v>3005</v>
      </c>
      <c r="B49" s="8" t="s">
        <v>3006</v>
      </c>
      <c r="C49" s="8" t="s">
        <v>389</v>
      </c>
      <c r="D49" s="8" t="s">
        <v>3126</v>
      </c>
      <c r="E49" s="8" t="s">
        <v>3127</v>
      </c>
      <c r="F49" s="8" t="s">
        <v>43</v>
      </c>
      <c r="G49" s="8" t="s">
        <v>44</v>
      </c>
      <c r="H49" s="8">
        <v>315</v>
      </c>
      <c r="I49" s="8" t="s">
        <v>1722</v>
      </c>
      <c r="J49" s="8">
        <v>1</v>
      </c>
      <c r="K49" s="8">
        <v>241</v>
      </c>
      <c r="L49" s="8">
        <v>242</v>
      </c>
      <c r="M49" s="8">
        <v>239</v>
      </c>
      <c r="N49" s="8">
        <v>415</v>
      </c>
      <c r="O49" s="8">
        <v>420</v>
      </c>
      <c r="P49" s="8">
        <v>417</v>
      </c>
      <c r="Q49" s="9" t="s">
        <v>46</v>
      </c>
      <c r="R49" s="16"/>
      <c r="S49" s="10">
        <v>92</v>
      </c>
      <c r="T49" s="10">
        <v>118</v>
      </c>
      <c r="U49" s="10">
        <v>150</v>
      </c>
      <c r="V49" s="11">
        <v>33</v>
      </c>
      <c r="W49" s="12" t="s">
        <v>46</v>
      </c>
      <c r="X49" s="17"/>
      <c r="Y49" s="13">
        <v>18</v>
      </c>
      <c r="Z49" s="13">
        <v>14</v>
      </c>
      <c r="AA49" s="13">
        <v>24</v>
      </c>
      <c r="AB49" s="14">
        <v>8</v>
      </c>
      <c r="AC49" s="9"/>
      <c r="AD49" s="16"/>
      <c r="AE49" s="10"/>
      <c r="AF49" s="10"/>
      <c r="AG49" s="10"/>
      <c r="AH49" s="11"/>
      <c r="AI49" s="12"/>
      <c r="AJ49" s="17"/>
      <c r="AK49" s="13"/>
      <c r="AL49" s="13"/>
      <c r="AM49" s="13"/>
      <c r="AN49" s="14"/>
      <c r="AO49" s="9"/>
      <c r="AP49" s="16"/>
      <c r="AQ49" s="10"/>
      <c r="AR49" s="10"/>
      <c r="AS49" s="10"/>
      <c r="AT49" s="11"/>
      <c r="AU49" s="12"/>
      <c r="AV49" s="17"/>
      <c r="AW49" s="13"/>
      <c r="AX49" s="13"/>
      <c r="AY49" s="13"/>
      <c r="AZ49" s="14"/>
      <c r="BA49" s="9"/>
      <c r="BB49" s="16"/>
      <c r="BC49" s="10"/>
      <c r="BD49" s="10"/>
      <c r="BE49" s="10"/>
      <c r="BF49" s="11"/>
      <c r="BG49" s="12"/>
      <c r="BH49" s="17"/>
      <c r="BI49" s="13"/>
      <c r="BJ49" s="13"/>
      <c r="BK49" s="13"/>
      <c r="BL49" s="14"/>
      <c r="BM49" s="8">
        <f t="shared" si="9"/>
        <v>110</v>
      </c>
      <c r="BN49" s="8">
        <f t="shared" si="10"/>
        <v>132</v>
      </c>
      <c r="BO49" s="8">
        <f t="shared" si="11"/>
        <v>174</v>
      </c>
      <c r="BP49" s="8">
        <f t="shared" si="12"/>
        <v>41</v>
      </c>
      <c r="BQ49" s="8">
        <f t="shared" si="13"/>
        <v>174</v>
      </c>
      <c r="BR49" s="8">
        <f t="shared" si="14"/>
        <v>110</v>
      </c>
      <c r="BS49" s="15">
        <f t="shared" si="15"/>
        <v>39.705202798269404</v>
      </c>
      <c r="BT49" s="15" t="str">
        <f t="shared" si="16"/>
        <v>OK - No Upgrade</v>
      </c>
      <c r="BU49" s="15" t="str">
        <f t="shared" si="17"/>
        <v>Need to Balance</v>
      </c>
    </row>
    <row r="50" spans="1:73" ht="15.75" customHeight="1" x14ac:dyDescent="0.25">
      <c r="A50" s="8" t="s">
        <v>3005</v>
      </c>
      <c r="B50" s="8" t="s">
        <v>3006</v>
      </c>
      <c r="C50" s="8" t="s">
        <v>389</v>
      </c>
      <c r="D50" s="8" t="s">
        <v>3128</v>
      </c>
      <c r="E50" s="8" t="s">
        <v>3129</v>
      </c>
      <c r="F50" s="8" t="s">
        <v>43</v>
      </c>
      <c r="G50" s="8" t="s">
        <v>1077</v>
      </c>
      <c r="H50" s="8">
        <v>200</v>
      </c>
      <c r="I50" s="8" t="s">
        <v>672</v>
      </c>
      <c r="J50" s="8">
        <v>1</v>
      </c>
      <c r="K50" s="8">
        <v>249</v>
      </c>
      <c r="L50" s="8">
        <v>251</v>
      </c>
      <c r="M50" s="8">
        <v>250</v>
      </c>
      <c r="N50" s="8">
        <v>434</v>
      </c>
      <c r="O50" s="8">
        <v>432</v>
      </c>
      <c r="P50" s="8">
        <v>434</v>
      </c>
      <c r="Q50" s="9" t="s">
        <v>47</v>
      </c>
      <c r="R50" s="16"/>
      <c r="S50" s="10">
        <v>248</v>
      </c>
      <c r="T50" s="10">
        <v>214</v>
      </c>
      <c r="U50" s="10">
        <v>167</v>
      </c>
      <c r="V50" s="11">
        <v>42</v>
      </c>
      <c r="W50" s="12"/>
      <c r="X50" s="17"/>
      <c r="Y50" s="13"/>
      <c r="Z50" s="13"/>
      <c r="AA50" s="13"/>
      <c r="AB50" s="14"/>
      <c r="AC50" s="9"/>
      <c r="AD50" s="16"/>
      <c r="AE50" s="10"/>
      <c r="AF50" s="10"/>
      <c r="AG50" s="10"/>
      <c r="AH50" s="11"/>
      <c r="AI50" s="12"/>
      <c r="AJ50" s="17"/>
      <c r="AK50" s="13"/>
      <c r="AL50" s="13"/>
      <c r="AM50" s="13"/>
      <c r="AN50" s="14"/>
      <c r="AO50" s="9"/>
      <c r="AP50" s="16"/>
      <c r="AQ50" s="10"/>
      <c r="AR50" s="10"/>
      <c r="AS50" s="10"/>
      <c r="AT50" s="11"/>
      <c r="AU50" s="12"/>
      <c r="AV50" s="17"/>
      <c r="AW50" s="13"/>
      <c r="AX50" s="13"/>
      <c r="AY50" s="13"/>
      <c r="AZ50" s="14"/>
      <c r="BA50" s="9"/>
      <c r="BB50" s="16"/>
      <c r="BC50" s="10"/>
      <c r="BD50" s="10"/>
      <c r="BE50" s="10"/>
      <c r="BF50" s="11"/>
      <c r="BG50" s="12"/>
      <c r="BH50" s="17"/>
      <c r="BI50" s="13"/>
      <c r="BJ50" s="13"/>
      <c r="BK50" s="13"/>
      <c r="BL50" s="14"/>
      <c r="BM50" s="8">
        <f t="shared" si="9"/>
        <v>248</v>
      </c>
      <c r="BN50" s="8">
        <f t="shared" si="10"/>
        <v>214</v>
      </c>
      <c r="BO50" s="8">
        <f t="shared" si="11"/>
        <v>167</v>
      </c>
      <c r="BP50" s="8">
        <f t="shared" si="12"/>
        <v>42</v>
      </c>
      <c r="BQ50" s="8">
        <f t="shared" si="13"/>
        <v>248</v>
      </c>
      <c r="BR50" s="8">
        <f t="shared" si="14"/>
        <v>167</v>
      </c>
      <c r="BS50" s="15">
        <f t="shared" si="15"/>
        <v>93.212046260126698</v>
      </c>
      <c r="BT50" s="15" t="str">
        <f t="shared" si="16"/>
        <v>Upgrade</v>
      </c>
      <c r="BU50" s="15" t="str">
        <f t="shared" si="17"/>
        <v>Need to Balance</v>
      </c>
    </row>
    <row r="51" spans="1:73" ht="15.75" customHeight="1" x14ac:dyDescent="0.25">
      <c r="A51" s="8" t="s">
        <v>3005</v>
      </c>
      <c r="B51" s="8" t="s">
        <v>3006</v>
      </c>
      <c r="C51" s="8" t="s">
        <v>389</v>
      </c>
      <c r="D51" s="8" t="s">
        <v>3130</v>
      </c>
      <c r="E51" s="8" t="s">
        <v>3131</v>
      </c>
      <c r="F51" s="8" t="s">
        <v>43</v>
      </c>
      <c r="G51" s="8" t="s">
        <v>1077</v>
      </c>
      <c r="H51" s="8">
        <v>315</v>
      </c>
      <c r="I51" s="8" t="s">
        <v>3132</v>
      </c>
      <c r="J51" s="8">
        <v>1</v>
      </c>
      <c r="K51" s="8">
        <v>252</v>
      </c>
      <c r="L51" s="8">
        <v>254</v>
      </c>
      <c r="M51" s="8">
        <v>252</v>
      </c>
      <c r="N51" s="8">
        <v>440</v>
      </c>
      <c r="O51" s="8">
        <v>439</v>
      </c>
      <c r="P51" s="8">
        <v>436</v>
      </c>
      <c r="Q51" s="9" t="s">
        <v>47</v>
      </c>
      <c r="R51" s="16"/>
      <c r="S51" s="10">
        <v>66</v>
      </c>
      <c r="T51" s="10">
        <v>62</v>
      </c>
      <c r="U51" s="10">
        <v>68</v>
      </c>
      <c r="V51" s="11">
        <v>12</v>
      </c>
      <c r="W51" s="12" t="s">
        <v>47</v>
      </c>
      <c r="X51" s="17"/>
      <c r="Y51" s="13">
        <v>131</v>
      </c>
      <c r="Z51" s="13">
        <v>125</v>
      </c>
      <c r="AA51" s="13">
        <v>126</v>
      </c>
      <c r="AB51" s="14">
        <v>18</v>
      </c>
      <c r="AC51" s="9"/>
      <c r="AD51" s="16"/>
      <c r="AE51" s="10"/>
      <c r="AF51" s="10"/>
      <c r="AG51" s="10"/>
      <c r="AH51" s="11"/>
      <c r="AI51" s="12"/>
      <c r="AJ51" s="17"/>
      <c r="AK51" s="13"/>
      <c r="AL51" s="13"/>
      <c r="AM51" s="13"/>
      <c r="AN51" s="14"/>
      <c r="AO51" s="9"/>
      <c r="AP51" s="16"/>
      <c r="AQ51" s="10"/>
      <c r="AR51" s="10"/>
      <c r="AS51" s="10"/>
      <c r="AT51" s="11"/>
      <c r="AU51" s="12"/>
      <c r="AV51" s="17"/>
      <c r="AW51" s="13"/>
      <c r="AX51" s="13"/>
      <c r="AY51" s="13"/>
      <c r="AZ51" s="14"/>
      <c r="BA51" s="9"/>
      <c r="BB51" s="16"/>
      <c r="BC51" s="10"/>
      <c r="BD51" s="10"/>
      <c r="BE51" s="10"/>
      <c r="BF51" s="11"/>
      <c r="BG51" s="12"/>
      <c r="BH51" s="17"/>
      <c r="BI51" s="13"/>
      <c r="BJ51" s="13"/>
      <c r="BK51" s="13"/>
      <c r="BL51" s="14"/>
      <c r="BM51" s="8">
        <f t="shared" si="9"/>
        <v>197</v>
      </c>
      <c r="BN51" s="8">
        <f t="shared" si="10"/>
        <v>187</v>
      </c>
      <c r="BO51" s="8">
        <f t="shared" si="11"/>
        <v>194</v>
      </c>
      <c r="BP51" s="8">
        <f t="shared" si="12"/>
        <v>30</v>
      </c>
      <c r="BQ51" s="8">
        <f t="shared" si="13"/>
        <v>197</v>
      </c>
      <c r="BR51" s="8">
        <f t="shared" si="14"/>
        <v>187</v>
      </c>
      <c r="BS51" s="15">
        <f t="shared" si="15"/>
        <v>47.661639365101678</v>
      </c>
      <c r="BT51" s="15" t="str">
        <f t="shared" si="16"/>
        <v>OK - No Upgrade</v>
      </c>
      <c r="BU51" s="15" t="str">
        <f t="shared" si="17"/>
        <v>OK - Balanced</v>
      </c>
    </row>
    <row r="52" spans="1:73" ht="15.75" customHeight="1" x14ac:dyDescent="0.25">
      <c r="A52" s="8" t="s">
        <v>3005</v>
      </c>
      <c r="B52" s="8" t="s">
        <v>3006</v>
      </c>
      <c r="C52" s="8" t="s">
        <v>389</v>
      </c>
      <c r="D52" s="8" t="s">
        <v>3133</v>
      </c>
      <c r="E52" s="8" t="s">
        <v>3134</v>
      </c>
      <c r="F52" s="8" t="s">
        <v>43</v>
      </c>
      <c r="G52" s="8" t="s">
        <v>44</v>
      </c>
      <c r="H52" s="8">
        <v>100</v>
      </c>
      <c r="I52" s="8" t="s">
        <v>3135</v>
      </c>
      <c r="J52" s="8">
        <v>1</v>
      </c>
      <c r="K52" s="8">
        <v>243</v>
      </c>
      <c r="L52" s="8">
        <v>245</v>
      </c>
      <c r="M52" s="8">
        <v>243</v>
      </c>
      <c r="N52" s="8">
        <v>425</v>
      </c>
      <c r="O52" s="8">
        <v>423</v>
      </c>
      <c r="P52" s="8">
        <v>421</v>
      </c>
      <c r="Q52" s="9" t="s">
        <v>46</v>
      </c>
      <c r="R52" s="16"/>
      <c r="S52" s="10">
        <v>10</v>
      </c>
      <c r="T52" s="10">
        <v>17</v>
      </c>
      <c r="U52" s="10">
        <v>5</v>
      </c>
      <c r="V52" s="11">
        <v>16</v>
      </c>
      <c r="W52" s="12"/>
      <c r="X52" s="17"/>
      <c r="Y52" s="13"/>
      <c r="Z52" s="13"/>
      <c r="AA52" s="13"/>
      <c r="AB52" s="14"/>
      <c r="AC52" s="9"/>
      <c r="AD52" s="16"/>
      <c r="AE52" s="10"/>
      <c r="AF52" s="10"/>
      <c r="AG52" s="10"/>
      <c r="AH52" s="11"/>
      <c r="AI52" s="12"/>
      <c r="AJ52" s="17"/>
      <c r="AK52" s="13"/>
      <c r="AL52" s="13"/>
      <c r="AM52" s="13"/>
      <c r="AN52" s="14"/>
      <c r="AO52" s="9"/>
      <c r="AP52" s="16"/>
      <c r="AQ52" s="10"/>
      <c r="AR52" s="10"/>
      <c r="AS52" s="10"/>
      <c r="AT52" s="11"/>
      <c r="AU52" s="12"/>
      <c r="AV52" s="17"/>
      <c r="AW52" s="13"/>
      <c r="AX52" s="13"/>
      <c r="AY52" s="13"/>
      <c r="AZ52" s="14"/>
      <c r="BA52" s="9"/>
      <c r="BB52" s="16"/>
      <c r="BC52" s="10"/>
      <c r="BD52" s="10"/>
      <c r="BE52" s="10"/>
      <c r="BF52" s="11"/>
      <c r="BG52" s="12"/>
      <c r="BH52" s="17"/>
      <c r="BI52" s="13"/>
      <c r="BJ52" s="13"/>
      <c r="BK52" s="13"/>
      <c r="BL52" s="14"/>
      <c r="BM52" s="8">
        <f t="shared" si="9"/>
        <v>10</v>
      </c>
      <c r="BN52" s="8">
        <f t="shared" si="10"/>
        <v>17</v>
      </c>
      <c r="BO52" s="8">
        <f t="shared" si="11"/>
        <v>5</v>
      </c>
      <c r="BP52" s="8">
        <f t="shared" si="12"/>
        <v>16</v>
      </c>
      <c r="BQ52" s="8">
        <f t="shared" si="13"/>
        <v>17</v>
      </c>
      <c r="BR52" s="8">
        <f t="shared" si="14"/>
        <v>5</v>
      </c>
      <c r="BS52" s="15">
        <f t="shared" si="15"/>
        <v>12.514067084685138</v>
      </c>
      <c r="BT52" s="15" t="str">
        <f t="shared" si="16"/>
        <v>OK - No Upgrade</v>
      </c>
      <c r="BU52" s="15" t="str">
        <f t="shared" si="17"/>
        <v>Need to Balance</v>
      </c>
    </row>
    <row r="53" spans="1:73" ht="15.75" customHeight="1" x14ac:dyDescent="0.25">
      <c r="A53" s="8" t="s">
        <v>3005</v>
      </c>
      <c r="B53" s="8" t="s">
        <v>3006</v>
      </c>
      <c r="C53" s="8" t="s">
        <v>389</v>
      </c>
      <c r="D53" s="8" t="s">
        <v>3136</v>
      </c>
      <c r="E53" s="8" t="s">
        <v>3137</v>
      </c>
      <c r="F53" s="8" t="s">
        <v>43</v>
      </c>
      <c r="G53" s="8" t="s">
        <v>44</v>
      </c>
      <c r="H53" s="8">
        <v>100</v>
      </c>
      <c r="I53" s="8" t="s">
        <v>678</v>
      </c>
      <c r="J53" s="8">
        <v>1</v>
      </c>
      <c r="K53" s="8">
        <v>241</v>
      </c>
      <c r="L53" s="8">
        <v>244</v>
      </c>
      <c r="M53" s="8">
        <v>243</v>
      </c>
      <c r="N53" s="8">
        <v>422</v>
      </c>
      <c r="O53" s="8">
        <v>423</v>
      </c>
      <c r="P53" s="8">
        <v>419</v>
      </c>
      <c r="Q53" s="9" t="s">
        <v>47</v>
      </c>
      <c r="R53" s="16"/>
      <c r="S53" s="10">
        <v>36</v>
      </c>
      <c r="T53" s="10">
        <v>8</v>
      </c>
      <c r="U53" s="10">
        <v>5</v>
      </c>
      <c r="V53" s="11">
        <v>28</v>
      </c>
      <c r="W53" s="12"/>
      <c r="X53" s="17"/>
      <c r="Y53" s="13"/>
      <c r="Z53" s="13"/>
      <c r="AA53" s="13"/>
      <c r="AB53" s="14"/>
      <c r="AC53" s="9"/>
      <c r="AD53" s="16"/>
      <c r="AE53" s="10"/>
      <c r="AF53" s="10"/>
      <c r="AG53" s="10"/>
      <c r="AH53" s="11"/>
      <c r="AI53" s="12"/>
      <c r="AJ53" s="17"/>
      <c r="AK53" s="13"/>
      <c r="AL53" s="13"/>
      <c r="AM53" s="13"/>
      <c r="AN53" s="14"/>
      <c r="AO53" s="9"/>
      <c r="AP53" s="16"/>
      <c r="AQ53" s="10"/>
      <c r="AR53" s="10"/>
      <c r="AS53" s="10"/>
      <c r="AT53" s="11"/>
      <c r="AU53" s="12"/>
      <c r="AV53" s="17"/>
      <c r="AW53" s="13"/>
      <c r="AX53" s="13"/>
      <c r="AY53" s="13"/>
      <c r="AZ53" s="14"/>
      <c r="BA53" s="9"/>
      <c r="BB53" s="16"/>
      <c r="BC53" s="10"/>
      <c r="BD53" s="10"/>
      <c r="BE53" s="10"/>
      <c r="BF53" s="11"/>
      <c r="BG53" s="12"/>
      <c r="BH53" s="17"/>
      <c r="BI53" s="13"/>
      <c r="BJ53" s="13"/>
      <c r="BK53" s="13"/>
      <c r="BL53" s="14"/>
      <c r="BM53" s="8">
        <f t="shared" si="9"/>
        <v>36</v>
      </c>
      <c r="BN53" s="8">
        <f t="shared" si="10"/>
        <v>8</v>
      </c>
      <c r="BO53" s="8">
        <f t="shared" si="11"/>
        <v>5</v>
      </c>
      <c r="BP53" s="8">
        <f t="shared" si="12"/>
        <v>28</v>
      </c>
      <c r="BQ53" s="8">
        <f t="shared" si="13"/>
        <v>36</v>
      </c>
      <c r="BR53" s="8">
        <f t="shared" si="14"/>
        <v>5</v>
      </c>
      <c r="BS53" s="15">
        <f t="shared" si="15"/>
        <v>26.313315868586386</v>
      </c>
      <c r="BT53" s="15" t="str">
        <f t="shared" si="16"/>
        <v>OK - No Upgrade</v>
      </c>
      <c r="BU53" s="15" t="str">
        <f t="shared" si="17"/>
        <v>Need to Balance</v>
      </c>
    </row>
    <row r="54" spans="1:73" ht="15.75" customHeight="1" x14ac:dyDescent="0.25">
      <c r="A54" s="8" t="s">
        <v>3005</v>
      </c>
      <c r="B54" s="8" t="s">
        <v>3006</v>
      </c>
      <c r="C54" s="8" t="s">
        <v>389</v>
      </c>
      <c r="D54" s="8" t="s">
        <v>3138</v>
      </c>
      <c r="E54" s="8" t="s">
        <v>3139</v>
      </c>
      <c r="F54" s="8" t="s">
        <v>43</v>
      </c>
      <c r="G54" s="8" t="s">
        <v>44</v>
      </c>
      <c r="H54" s="8">
        <v>315</v>
      </c>
      <c r="I54" s="8" t="s">
        <v>3140</v>
      </c>
      <c r="J54" s="8">
        <v>1</v>
      </c>
      <c r="K54" s="8">
        <v>241</v>
      </c>
      <c r="L54" s="8">
        <v>243</v>
      </c>
      <c r="M54" s="8">
        <v>240</v>
      </c>
      <c r="N54" s="8">
        <v>419</v>
      </c>
      <c r="O54" s="8">
        <v>420</v>
      </c>
      <c r="P54" s="8">
        <v>417</v>
      </c>
      <c r="Q54" s="9" t="s">
        <v>47</v>
      </c>
      <c r="R54" s="16"/>
      <c r="S54" s="10">
        <v>160</v>
      </c>
      <c r="T54" s="10">
        <v>82</v>
      </c>
      <c r="U54" s="10">
        <v>143</v>
      </c>
      <c r="V54" s="11">
        <v>96</v>
      </c>
      <c r="W54" s="12"/>
      <c r="X54" s="17"/>
      <c r="Y54" s="13"/>
      <c r="Z54" s="13"/>
      <c r="AA54" s="13"/>
      <c r="AB54" s="14"/>
      <c r="AC54" s="9"/>
      <c r="AD54" s="16"/>
      <c r="AE54" s="10"/>
      <c r="AF54" s="10"/>
      <c r="AG54" s="10"/>
      <c r="AH54" s="11"/>
      <c r="AI54" s="12"/>
      <c r="AJ54" s="17"/>
      <c r="AK54" s="13"/>
      <c r="AL54" s="13"/>
      <c r="AM54" s="13"/>
      <c r="AN54" s="14"/>
      <c r="AO54" s="9"/>
      <c r="AP54" s="16"/>
      <c r="AQ54" s="10"/>
      <c r="AR54" s="10"/>
      <c r="AS54" s="10"/>
      <c r="AT54" s="11"/>
      <c r="AU54" s="12"/>
      <c r="AV54" s="17"/>
      <c r="AW54" s="13"/>
      <c r="AX54" s="13"/>
      <c r="AY54" s="13"/>
      <c r="AZ54" s="14"/>
      <c r="BA54" s="9"/>
      <c r="BB54" s="16"/>
      <c r="BC54" s="10"/>
      <c r="BD54" s="10"/>
      <c r="BE54" s="10"/>
      <c r="BF54" s="11"/>
      <c r="BG54" s="12"/>
      <c r="BH54" s="17"/>
      <c r="BI54" s="13"/>
      <c r="BJ54" s="13"/>
      <c r="BK54" s="13"/>
      <c r="BL54" s="14"/>
      <c r="BM54" s="8">
        <f t="shared" si="9"/>
        <v>160</v>
      </c>
      <c r="BN54" s="8">
        <f t="shared" si="10"/>
        <v>82</v>
      </c>
      <c r="BO54" s="8">
        <f t="shared" si="11"/>
        <v>143</v>
      </c>
      <c r="BP54" s="8">
        <f t="shared" si="12"/>
        <v>96</v>
      </c>
      <c r="BQ54" s="8">
        <f t="shared" si="13"/>
        <v>160</v>
      </c>
      <c r="BR54" s="8">
        <f t="shared" si="14"/>
        <v>82</v>
      </c>
      <c r="BS54" s="15">
        <f t="shared" si="15"/>
        <v>36.862440044259529</v>
      </c>
      <c r="BT54" s="15" t="str">
        <f t="shared" si="16"/>
        <v>OK - No Upgrade</v>
      </c>
      <c r="BU54" s="15" t="str">
        <f t="shared" si="17"/>
        <v>Need to Balance</v>
      </c>
    </row>
    <row r="55" spans="1:73" ht="15.75" customHeight="1" x14ac:dyDescent="0.25">
      <c r="A55" s="8" t="s">
        <v>3005</v>
      </c>
      <c r="B55" s="8" t="s">
        <v>3006</v>
      </c>
      <c r="C55" s="8" t="s">
        <v>389</v>
      </c>
      <c r="D55" s="8" t="s">
        <v>3141</v>
      </c>
      <c r="E55" s="8" t="s">
        <v>3142</v>
      </c>
      <c r="F55" s="8" t="s">
        <v>43</v>
      </c>
      <c r="G55" s="8" t="s">
        <v>44</v>
      </c>
      <c r="H55" s="8">
        <v>200</v>
      </c>
      <c r="I55" s="8" t="s">
        <v>3143</v>
      </c>
      <c r="J55" s="8">
        <v>1</v>
      </c>
      <c r="K55" s="8">
        <v>240</v>
      </c>
      <c r="L55" s="8">
        <v>240</v>
      </c>
      <c r="M55" s="8">
        <v>239</v>
      </c>
      <c r="N55" s="8">
        <v>416</v>
      </c>
      <c r="O55" s="8">
        <v>414</v>
      </c>
      <c r="P55" s="8">
        <v>414</v>
      </c>
      <c r="Q55" s="9" t="s">
        <v>46</v>
      </c>
      <c r="R55" s="16"/>
      <c r="S55" s="10">
        <v>64</v>
      </c>
      <c r="T55" s="10">
        <v>75</v>
      </c>
      <c r="U55" s="10">
        <v>70</v>
      </c>
      <c r="V55" s="11">
        <v>15</v>
      </c>
      <c r="W55" s="12" t="s">
        <v>46</v>
      </c>
      <c r="X55" s="17"/>
      <c r="Y55" s="13">
        <v>73</v>
      </c>
      <c r="Z55" s="13">
        <v>109</v>
      </c>
      <c r="AA55" s="13">
        <v>77</v>
      </c>
      <c r="AB55" s="14">
        <v>29</v>
      </c>
      <c r="AC55" s="9"/>
      <c r="AD55" s="16"/>
      <c r="AE55" s="10"/>
      <c r="AF55" s="10"/>
      <c r="AG55" s="10"/>
      <c r="AH55" s="11"/>
      <c r="AI55" s="12"/>
      <c r="AJ55" s="17"/>
      <c r="AK55" s="13"/>
      <c r="AL55" s="13"/>
      <c r="AM55" s="13"/>
      <c r="AN55" s="14"/>
      <c r="AO55" s="9"/>
      <c r="AP55" s="16"/>
      <c r="AQ55" s="10"/>
      <c r="AR55" s="10"/>
      <c r="AS55" s="10"/>
      <c r="AT55" s="11"/>
      <c r="AU55" s="12"/>
      <c r="AV55" s="17"/>
      <c r="AW55" s="13"/>
      <c r="AX55" s="13"/>
      <c r="AY55" s="13"/>
      <c r="AZ55" s="14"/>
      <c r="BA55" s="9"/>
      <c r="BB55" s="16"/>
      <c r="BC55" s="10"/>
      <c r="BD55" s="10"/>
      <c r="BE55" s="10"/>
      <c r="BF55" s="11"/>
      <c r="BG55" s="12"/>
      <c r="BH55" s="17"/>
      <c r="BI55" s="13"/>
      <c r="BJ55" s="13"/>
      <c r="BK55" s="13"/>
      <c r="BL55" s="14"/>
      <c r="BM55" s="8">
        <f t="shared" si="9"/>
        <v>137</v>
      </c>
      <c r="BN55" s="8">
        <f t="shared" si="10"/>
        <v>184</v>
      </c>
      <c r="BO55" s="8">
        <f t="shared" si="11"/>
        <v>147</v>
      </c>
      <c r="BP55" s="8">
        <f t="shared" si="12"/>
        <v>44</v>
      </c>
      <c r="BQ55" s="8">
        <f t="shared" si="13"/>
        <v>184</v>
      </c>
      <c r="BR55" s="8">
        <f t="shared" si="14"/>
        <v>137</v>
      </c>
      <c r="BS55" s="15">
        <f t="shared" si="15"/>
        <v>66.289048507276064</v>
      </c>
      <c r="BT55" s="15" t="str">
        <f t="shared" si="16"/>
        <v>OK - No Upgrade</v>
      </c>
      <c r="BU55" s="15" t="str">
        <f t="shared" si="17"/>
        <v>Need to Balance</v>
      </c>
    </row>
    <row r="56" spans="1:73" ht="15.75" customHeight="1" x14ac:dyDescent="0.25">
      <c r="A56" s="8" t="s">
        <v>3005</v>
      </c>
      <c r="B56" s="8" t="s">
        <v>3006</v>
      </c>
      <c r="C56" s="8" t="s">
        <v>389</v>
      </c>
      <c r="D56" s="8" t="s">
        <v>3144</v>
      </c>
      <c r="E56" s="8" t="s">
        <v>3145</v>
      </c>
      <c r="F56" s="8" t="s">
        <v>43</v>
      </c>
      <c r="G56" s="8" t="s">
        <v>44</v>
      </c>
      <c r="H56" s="8">
        <v>100</v>
      </c>
      <c r="I56" s="8" t="s">
        <v>1732</v>
      </c>
      <c r="J56" s="8">
        <v>1</v>
      </c>
      <c r="K56" s="8">
        <v>239</v>
      </c>
      <c r="L56" s="8">
        <v>241</v>
      </c>
      <c r="M56" s="8">
        <v>238</v>
      </c>
      <c r="N56" s="8">
        <v>418</v>
      </c>
      <c r="O56" s="8">
        <v>417</v>
      </c>
      <c r="P56" s="8">
        <v>411</v>
      </c>
      <c r="Q56" s="9" t="s">
        <v>47</v>
      </c>
      <c r="R56" s="16"/>
      <c r="S56" s="10">
        <v>73</v>
      </c>
      <c r="T56" s="10">
        <v>68</v>
      </c>
      <c r="U56" s="10">
        <v>107</v>
      </c>
      <c r="V56" s="11">
        <v>25</v>
      </c>
      <c r="W56" s="12"/>
      <c r="X56" s="17"/>
      <c r="Y56" s="13"/>
      <c r="Z56" s="13"/>
      <c r="AA56" s="13"/>
      <c r="AB56" s="14"/>
      <c r="AC56" s="9"/>
      <c r="AD56" s="16"/>
      <c r="AE56" s="10"/>
      <c r="AF56" s="10"/>
      <c r="AG56" s="10"/>
      <c r="AH56" s="11"/>
      <c r="AI56" s="12"/>
      <c r="AJ56" s="17"/>
      <c r="AK56" s="13"/>
      <c r="AL56" s="13"/>
      <c r="AM56" s="13"/>
      <c r="AN56" s="14"/>
      <c r="AO56" s="9"/>
      <c r="AP56" s="16"/>
      <c r="AQ56" s="10"/>
      <c r="AR56" s="10"/>
      <c r="AS56" s="10"/>
      <c r="AT56" s="11"/>
      <c r="AU56" s="12"/>
      <c r="AV56" s="17"/>
      <c r="AW56" s="13"/>
      <c r="AX56" s="13"/>
      <c r="AY56" s="13"/>
      <c r="AZ56" s="14"/>
      <c r="BA56" s="9"/>
      <c r="BB56" s="16"/>
      <c r="BC56" s="10"/>
      <c r="BD56" s="10"/>
      <c r="BE56" s="10"/>
      <c r="BF56" s="11"/>
      <c r="BG56" s="12"/>
      <c r="BH56" s="17"/>
      <c r="BI56" s="13"/>
      <c r="BJ56" s="13"/>
      <c r="BK56" s="13"/>
      <c r="BL56" s="14"/>
      <c r="BM56" s="8">
        <f t="shared" si="9"/>
        <v>73</v>
      </c>
      <c r="BN56" s="8">
        <f t="shared" si="10"/>
        <v>68</v>
      </c>
      <c r="BO56" s="8">
        <f t="shared" si="11"/>
        <v>107</v>
      </c>
      <c r="BP56" s="8">
        <f t="shared" si="12"/>
        <v>25</v>
      </c>
      <c r="BQ56" s="8">
        <f t="shared" si="13"/>
        <v>107</v>
      </c>
      <c r="BR56" s="8">
        <f t="shared" si="14"/>
        <v>68</v>
      </c>
      <c r="BS56" s="15">
        <f t="shared" si="15"/>
        <v>77.467704419325599</v>
      </c>
      <c r="BT56" s="15" t="str">
        <f t="shared" si="16"/>
        <v>Upgrade</v>
      </c>
      <c r="BU56" s="15" t="str">
        <f t="shared" si="17"/>
        <v>Need to Balance</v>
      </c>
    </row>
    <row r="57" spans="1:73" ht="15.75" customHeight="1" x14ac:dyDescent="0.25">
      <c r="A57" s="8" t="s">
        <v>3005</v>
      </c>
      <c r="B57" s="8" t="s">
        <v>3006</v>
      </c>
      <c r="C57" s="8" t="s">
        <v>389</v>
      </c>
      <c r="D57" s="8" t="s">
        <v>3146</v>
      </c>
      <c r="E57" s="8" t="s">
        <v>3147</v>
      </c>
      <c r="F57" s="8" t="s">
        <v>43</v>
      </c>
      <c r="G57" s="8" t="s">
        <v>44</v>
      </c>
      <c r="H57" s="8">
        <v>315</v>
      </c>
      <c r="I57" s="8" t="s">
        <v>684</v>
      </c>
      <c r="J57" s="8">
        <v>1</v>
      </c>
      <c r="K57" s="8">
        <v>243</v>
      </c>
      <c r="L57" s="8">
        <v>245</v>
      </c>
      <c r="M57" s="8">
        <v>244</v>
      </c>
      <c r="N57" s="8">
        <v>425</v>
      </c>
      <c r="O57" s="8">
        <v>424</v>
      </c>
      <c r="P57" s="8">
        <v>422</v>
      </c>
      <c r="Q57" s="9" t="s">
        <v>47</v>
      </c>
      <c r="R57" s="16"/>
      <c r="S57" s="10">
        <v>13</v>
      </c>
      <c r="T57" s="10">
        <v>44</v>
      </c>
      <c r="U57" s="10">
        <v>10</v>
      </c>
      <c r="V57" s="11">
        <v>33</v>
      </c>
      <c r="W57" s="12"/>
      <c r="X57" s="17"/>
      <c r="Y57" s="13"/>
      <c r="Z57" s="13"/>
      <c r="AA57" s="13"/>
      <c r="AB57" s="14"/>
      <c r="AC57" s="9"/>
      <c r="AD57" s="16"/>
      <c r="AE57" s="10"/>
      <c r="AF57" s="10"/>
      <c r="AG57" s="10"/>
      <c r="AH57" s="11"/>
      <c r="AI57" s="12"/>
      <c r="AJ57" s="17"/>
      <c r="AK57" s="13"/>
      <c r="AL57" s="13"/>
      <c r="AM57" s="13"/>
      <c r="AN57" s="14"/>
      <c r="AO57" s="9"/>
      <c r="AP57" s="16"/>
      <c r="AQ57" s="10"/>
      <c r="AR57" s="10"/>
      <c r="AS57" s="10"/>
      <c r="AT57" s="11"/>
      <c r="AU57" s="12"/>
      <c r="AV57" s="17"/>
      <c r="AW57" s="13"/>
      <c r="AX57" s="13"/>
      <c r="AY57" s="13"/>
      <c r="AZ57" s="14"/>
      <c r="BA57" s="9"/>
      <c r="BB57" s="16"/>
      <c r="BC57" s="10"/>
      <c r="BD57" s="10"/>
      <c r="BE57" s="10"/>
      <c r="BF57" s="11"/>
      <c r="BG57" s="12"/>
      <c r="BH57" s="17"/>
      <c r="BI57" s="13"/>
      <c r="BJ57" s="13"/>
      <c r="BK57" s="13"/>
      <c r="BL57" s="14"/>
      <c r="BM57" s="8">
        <f t="shared" si="9"/>
        <v>13</v>
      </c>
      <c r="BN57" s="8">
        <f t="shared" si="10"/>
        <v>44</v>
      </c>
      <c r="BO57" s="8">
        <f t="shared" si="11"/>
        <v>10</v>
      </c>
      <c r="BP57" s="8">
        <f t="shared" si="12"/>
        <v>33</v>
      </c>
      <c r="BQ57" s="8">
        <f t="shared" si="13"/>
        <v>44</v>
      </c>
      <c r="BR57" s="8">
        <f t="shared" si="14"/>
        <v>10</v>
      </c>
      <c r="BS57" s="15">
        <f t="shared" si="15"/>
        <v>10.28233336556762</v>
      </c>
      <c r="BT57" s="15" t="str">
        <f t="shared" si="16"/>
        <v>OK - No Upgrade</v>
      </c>
      <c r="BU57" s="15" t="str">
        <f t="shared" si="17"/>
        <v>Need to Balance</v>
      </c>
    </row>
    <row r="58" spans="1:73" ht="15.75" customHeight="1" x14ac:dyDescent="0.25">
      <c r="A58" s="8" t="s">
        <v>3005</v>
      </c>
      <c r="B58" s="8" t="s">
        <v>3006</v>
      </c>
      <c r="C58" s="8" t="s">
        <v>389</v>
      </c>
      <c r="D58" s="8" t="s">
        <v>3148</v>
      </c>
      <c r="E58" s="8" t="s">
        <v>3149</v>
      </c>
      <c r="F58" s="8" t="s">
        <v>43</v>
      </c>
      <c r="G58" s="8" t="s">
        <v>469</v>
      </c>
      <c r="H58" s="8">
        <v>100</v>
      </c>
      <c r="I58" s="8" t="s">
        <v>2958</v>
      </c>
      <c r="J58" s="8">
        <v>1</v>
      </c>
      <c r="K58" s="8">
        <v>249</v>
      </c>
      <c r="L58" s="8">
        <v>251</v>
      </c>
      <c r="M58" s="8">
        <v>255</v>
      </c>
      <c r="N58" s="8">
        <v>431</v>
      </c>
      <c r="O58" s="8">
        <v>439</v>
      </c>
      <c r="P58" s="8">
        <v>441</v>
      </c>
      <c r="Q58" s="9" t="s">
        <v>46</v>
      </c>
      <c r="R58" s="16"/>
      <c r="S58" s="10">
        <v>51</v>
      </c>
      <c r="T58" s="10">
        <v>24</v>
      </c>
      <c r="U58" s="10">
        <v>10</v>
      </c>
      <c r="V58" s="11">
        <v>33</v>
      </c>
      <c r="W58" s="12" t="s">
        <v>47</v>
      </c>
      <c r="X58" s="17"/>
      <c r="Y58" s="13">
        <v>26</v>
      </c>
      <c r="Z58" s="13">
        <v>29</v>
      </c>
      <c r="AA58" s="13">
        <v>10</v>
      </c>
      <c r="AB58" s="14">
        <v>37</v>
      </c>
      <c r="AC58" s="9"/>
      <c r="AD58" s="16"/>
      <c r="AE58" s="10"/>
      <c r="AF58" s="10"/>
      <c r="AG58" s="10"/>
      <c r="AH58" s="11"/>
      <c r="AI58" s="12"/>
      <c r="AJ58" s="17"/>
      <c r="AK58" s="13"/>
      <c r="AL58" s="13"/>
      <c r="AM58" s="13"/>
      <c r="AN58" s="14"/>
      <c r="AO58" s="9"/>
      <c r="AP58" s="16"/>
      <c r="AQ58" s="10"/>
      <c r="AR58" s="10"/>
      <c r="AS58" s="10"/>
      <c r="AT58" s="11"/>
      <c r="AU58" s="12"/>
      <c r="AV58" s="17"/>
      <c r="AW58" s="13"/>
      <c r="AX58" s="13"/>
      <c r="AY58" s="13"/>
      <c r="AZ58" s="14"/>
      <c r="BA58" s="9"/>
      <c r="BB58" s="16"/>
      <c r="BC58" s="10"/>
      <c r="BD58" s="10"/>
      <c r="BE58" s="10"/>
      <c r="BF58" s="11"/>
      <c r="BG58" s="12"/>
      <c r="BH58" s="17"/>
      <c r="BI58" s="13"/>
      <c r="BJ58" s="13"/>
      <c r="BK58" s="13"/>
      <c r="BL58" s="14"/>
      <c r="BM58" s="8">
        <f t="shared" si="9"/>
        <v>77</v>
      </c>
      <c r="BN58" s="8">
        <f t="shared" si="10"/>
        <v>53</v>
      </c>
      <c r="BO58" s="8">
        <f t="shared" si="11"/>
        <v>20</v>
      </c>
      <c r="BP58" s="8">
        <f t="shared" si="12"/>
        <v>70</v>
      </c>
      <c r="BQ58" s="8">
        <f t="shared" si="13"/>
        <v>77</v>
      </c>
      <c r="BR58" s="8">
        <f t="shared" si="14"/>
        <v>20</v>
      </c>
      <c r="BS58" s="15">
        <f t="shared" si="15"/>
        <v>57.481570150788329</v>
      </c>
      <c r="BT58" s="15" t="str">
        <f t="shared" si="16"/>
        <v>OK - No Upgrade</v>
      </c>
      <c r="BU58" s="15" t="str">
        <f t="shared" si="17"/>
        <v>Need to Balance</v>
      </c>
    </row>
    <row r="59" spans="1:73" ht="15.75" customHeight="1" x14ac:dyDescent="0.25">
      <c r="A59" s="8" t="s">
        <v>3005</v>
      </c>
      <c r="B59" s="8" t="s">
        <v>3006</v>
      </c>
      <c r="C59" s="8" t="s">
        <v>389</v>
      </c>
      <c r="D59" s="8" t="s">
        <v>3150</v>
      </c>
      <c r="E59" s="8" t="s">
        <v>3151</v>
      </c>
      <c r="F59" s="8" t="s">
        <v>43</v>
      </c>
      <c r="G59" s="8" t="s">
        <v>44</v>
      </c>
      <c r="H59" s="8">
        <v>100</v>
      </c>
      <c r="I59" s="8" t="s">
        <v>690</v>
      </c>
      <c r="J59" s="8">
        <v>1</v>
      </c>
      <c r="K59" s="8">
        <v>242</v>
      </c>
      <c r="L59" s="8">
        <v>242</v>
      </c>
      <c r="M59" s="8">
        <v>242</v>
      </c>
      <c r="N59" s="8">
        <v>419</v>
      </c>
      <c r="O59" s="8">
        <v>421</v>
      </c>
      <c r="P59" s="8">
        <v>421</v>
      </c>
      <c r="Q59" s="9" t="s">
        <v>46</v>
      </c>
      <c r="R59" s="16"/>
      <c r="S59" s="10">
        <v>13</v>
      </c>
      <c r="T59" s="10">
        <v>11</v>
      </c>
      <c r="U59" s="10">
        <v>16</v>
      </c>
      <c r="V59" s="11">
        <v>5</v>
      </c>
      <c r="W59" s="12"/>
      <c r="X59" s="17"/>
      <c r="Y59" s="13"/>
      <c r="Z59" s="13"/>
      <c r="AA59" s="13"/>
      <c r="AB59" s="14"/>
      <c r="AC59" s="9"/>
      <c r="AD59" s="16"/>
      <c r="AE59" s="10"/>
      <c r="AF59" s="10"/>
      <c r="AG59" s="10"/>
      <c r="AH59" s="11"/>
      <c r="AI59" s="12"/>
      <c r="AJ59" s="17"/>
      <c r="AK59" s="13"/>
      <c r="AL59" s="13"/>
      <c r="AM59" s="13"/>
      <c r="AN59" s="14"/>
      <c r="AO59" s="9"/>
      <c r="AP59" s="16"/>
      <c r="AQ59" s="10"/>
      <c r="AR59" s="10"/>
      <c r="AS59" s="10"/>
      <c r="AT59" s="11"/>
      <c r="AU59" s="12"/>
      <c r="AV59" s="17"/>
      <c r="AW59" s="13"/>
      <c r="AX59" s="13"/>
      <c r="AY59" s="13"/>
      <c r="AZ59" s="14"/>
      <c r="BA59" s="9"/>
      <c r="BB59" s="16"/>
      <c r="BC59" s="10"/>
      <c r="BD59" s="10"/>
      <c r="BE59" s="10"/>
      <c r="BF59" s="11"/>
      <c r="BG59" s="12"/>
      <c r="BH59" s="17"/>
      <c r="BI59" s="13"/>
      <c r="BJ59" s="13"/>
      <c r="BK59" s="13"/>
      <c r="BL59" s="14"/>
      <c r="BM59" s="8">
        <f t="shared" si="9"/>
        <v>13</v>
      </c>
      <c r="BN59" s="8">
        <f t="shared" si="10"/>
        <v>11</v>
      </c>
      <c r="BO59" s="8">
        <f t="shared" si="11"/>
        <v>16</v>
      </c>
      <c r="BP59" s="8">
        <f t="shared" si="12"/>
        <v>5</v>
      </c>
      <c r="BQ59" s="8">
        <f t="shared" si="13"/>
        <v>16</v>
      </c>
      <c r="BR59" s="8">
        <f t="shared" si="14"/>
        <v>11</v>
      </c>
      <c r="BS59" s="15">
        <f t="shared" si="15"/>
        <v>11.611668613941752</v>
      </c>
      <c r="BT59" s="15" t="str">
        <f t="shared" si="16"/>
        <v>OK - No Upgrade</v>
      </c>
      <c r="BU59" s="15" t="str">
        <f t="shared" si="17"/>
        <v>Need to Balance</v>
      </c>
    </row>
    <row r="60" spans="1:73" ht="15.75" customHeight="1" x14ac:dyDescent="0.25">
      <c r="A60" s="8" t="s">
        <v>3005</v>
      </c>
      <c r="B60" s="8" t="s">
        <v>3006</v>
      </c>
      <c r="C60" s="8" t="s">
        <v>389</v>
      </c>
      <c r="D60" s="8" t="s">
        <v>3152</v>
      </c>
      <c r="E60" s="8" t="s">
        <v>3153</v>
      </c>
      <c r="F60" s="8" t="s">
        <v>43</v>
      </c>
      <c r="G60" s="8"/>
      <c r="H60" s="8">
        <v>315</v>
      </c>
      <c r="I60" s="8" t="s">
        <v>2961</v>
      </c>
      <c r="J60" s="8">
        <v>1</v>
      </c>
      <c r="K60" s="8">
        <v>254</v>
      </c>
      <c r="L60" s="8">
        <v>255</v>
      </c>
      <c r="M60" s="8">
        <v>254</v>
      </c>
      <c r="N60" s="8">
        <v>443</v>
      </c>
      <c r="O60" s="8">
        <v>443</v>
      </c>
      <c r="P60" s="8">
        <v>441</v>
      </c>
      <c r="Q60" s="9" t="s">
        <v>46</v>
      </c>
      <c r="R60" s="16"/>
      <c r="S60" s="10">
        <v>54</v>
      </c>
      <c r="T60" s="10">
        <v>105</v>
      </c>
      <c r="U60" s="10">
        <v>113</v>
      </c>
      <c r="V60" s="11">
        <v>44</v>
      </c>
      <c r="W60" s="12" t="s">
        <v>46</v>
      </c>
      <c r="X60" s="17"/>
      <c r="Y60" s="13">
        <v>33</v>
      </c>
      <c r="Z60" s="13">
        <v>10</v>
      </c>
      <c r="AA60" s="13">
        <v>44</v>
      </c>
      <c r="AB60" s="14">
        <v>25</v>
      </c>
      <c r="AC60" s="9"/>
      <c r="AD60" s="16"/>
      <c r="AE60" s="10"/>
      <c r="AF60" s="10"/>
      <c r="AG60" s="10"/>
      <c r="AH60" s="11"/>
      <c r="AI60" s="12"/>
      <c r="AJ60" s="17"/>
      <c r="AK60" s="13"/>
      <c r="AL60" s="13"/>
      <c r="AM60" s="13"/>
      <c r="AN60" s="14"/>
      <c r="AO60" s="9"/>
      <c r="AP60" s="16"/>
      <c r="AQ60" s="10"/>
      <c r="AR60" s="10"/>
      <c r="AS60" s="10"/>
      <c r="AT60" s="11"/>
      <c r="AU60" s="12"/>
      <c r="AV60" s="17"/>
      <c r="AW60" s="13"/>
      <c r="AX60" s="13"/>
      <c r="AY60" s="13"/>
      <c r="AZ60" s="14"/>
      <c r="BA60" s="9"/>
      <c r="BB60" s="16"/>
      <c r="BC60" s="10"/>
      <c r="BD60" s="10"/>
      <c r="BE60" s="10"/>
      <c r="BF60" s="11"/>
      <c r="BG60" s="12"/>
      <c r="BH60" s="17"/>
      <c r="BI60" s="13"/>
      <c r="BJ60" s="13"/>
      <c r="BK60" s="13"/>
      <c r="BL60" s="14"/>
      <c r="BM60" s="8">
        <f t="shared" si="9"/>
        <v>87</v>
      </c>
      <c r="BN60" s="8">
        <f t="shared" si="10"/>
        <v>115</v>
      </c>
      <c r="BO60" s="8">
        <f t="shared" si="11"/>
        <v>157</v>
      </c>
      <c r="BP60" s="8">
        <f t="shared" si="12"/>
        <v>69</v>
      </c>
      <c r="BQ60" s="8">
        <f t="shared" si="13"/>
        <v>157</v>
      </c>
      <c r="BR60" s="8">
        <f t="shared" si="14"/>
        <v>87</v>
      </c>
      <c r="BS60" s="15">
        <f t="shared" si="15"/>
        <v>38.243131973721574</v>
      </c>
      <c r="BT60" s="15" t="str">
        <f t="shared" si="16"/>
        <v>OK - No Upgrade</v>
      </c>
      <c r="BU60" s="15" t="str">
        <f t="shared" si="17"/>
        <v>Need to Balance</v>
      </c>
    </row>
    <row r="61" spans="1:73" ht="15.75" customHeight="1" x14ac:dyDescent="0.25">
      <c r="A61" s="8" t="s">
        <v>3005</v>
      </c>
      <c r="B61" s="8" t="s">
        <v>3006</v>
      </c>
      <c r="C61" s="8" t="s">
        <v>389</v>
      </c>
      <c r="D61" s="8" t="s">
        <v>3154</v>
      </c>
      <c r="E61" s="8" t="s">
        <v>3155</v>
      </c>
      <c r="F61" s="8" t="s">
        <v>43</v>
      </c>
      <c r="G61" s="8" t="s">
        <v>44</v>
      </c>
      <c r="H61" s="8">
        <v>100</v>
      </c>
      <c r="I61" s="8" t="s">
        <v>693</v>
      </c>
      <c r="J61" s="8">
        <v>1</v>
      </c>
      <c r="K61" s="8">
        <v>244</v>
      </c>
      <c r="L61" s="8">
        <v>244</v>
      </c>
      <c r="M61" s="8">
        <v>241</v>
      </c>
      <c r="N61" s="8">
        <v>423</v>
      </c>
      <c r="O61" s="8">
        <v>423</v>
      </c>
      <c r="P61" s="8">
        <v>421</v>
      </c>
      <c r="Q61" s="9" t="s">
        <v>46</v>
      </c>
      <c r="R61" s="16"/>
      <c r="S61" s="10">
        <v>0</v>
      </c>
      <c r="T61" s="10">
        <v>5</v>
      </c>
      <c r="U61" s="10">
        <v>0</v>
      </c>
      <c r="V61" s="11">
        <v>5</v>
      </c>
      <c r="W61" s="12"/>
      <c r="X61" s="17"/>
      <c r="Y61" s="13"/>
      <c r="Z61" s="13"/>
      <c r="AA61" s="13"/>
      <c r="AB61" s="14"/>
      <c r="AC61" s="9"/>
      <c r="AD61" s="16"/>
      <c r="AE61" s="10"/>
      <c r="AF61" s="10"/>
      <c r="AG61" s="10"/>
      <c r="AH61" s="11"/>
      <c r="AI61" s="12"/>
      <c r="AJ61" s="17"/>
      <c r="AK61" s="13"/>
      <c r="AL61" s="13"/>
      <c r="AM61" s="13"/>
      <c r="AN61" s="14"/>
      <c r="AO61" s="9"/>
      <c r="AP61" s="16"/>
      <c r="AQ61" s="10"/>
      <c r="AR61" s="10"/>
      <c r="AS61" s="10"/>
      <c r="AT61" s="11"/>
      <c r="AU61" s="12"/>
      <c r="AV61" s="17"/>
      <c r="AW61" s="13"/>
      <c r="AX61" s="13"/>
      <c r="AY61" s="13"/>
      <c r="AZ61" s="14"/>
      <c r="BA61" s="9"/>
      <c r="BB61" s="16"/>
      <c r="BC61" s="10"/>
      <c r="BD61" s="10"/>
      <c r="BE61" s="10"/>
      <c r="BF61" s="11"/>
      <c r="BG61" s="12"/>
      <c r="BH61" s="17"/>
      <c r="BI61" s="13"/>
      <c r="BJ61" s="13"/>
      <c r="BK61" s="13"/>
      <c r="BL61" s="14"/>
      <c r="BM61" s="8">
        <f t="shared" si="9"/>
        <v>0</v>
      </c>
      <c r="BN61" s="8">
        <f t="shared" si="10"/>
        <v>5</v>
      </c>
      <c r="BO61" s="8">
        <f t="shared" si="11"/>
        <v>0</v>
      </c>
      <c r="BP61" s="8">
        <f t="shared" si="12"/>
        <v>5</v>
      </c>
      <c r="BQ61" s="8">
        <f t="shared" si="13"/>
        <v>5</v>
      </c>
      <c r="BR61" s="8">
        <f t="shared" si="14"/>
        <v>0</v>
      </c>
      <c r="BS61" s="15">
        <f t="shared" si="15"/>
        <v>3.6632874580081749</v>
      </c>
      <c r="BT61" s="15" t="str">
        <f t="shared" si="16"/>
        <v>OK - No Upgrade</v>
      </c>
      <c r="BU61" s="15" t="str">
        <f t="shared" si="17"/>
        <v>Need to Balance</v>
      </c>
    </row>
    <row r="62" spans="1:73" ht="15.75" customHeight="1" x14ac:dyDescent="0.25">
      <c r="A62" s="8" t="s">
        <v>3005</v>
      </c>
      <c r="B62" s="8" t="s">
        <v>3006</v>
      </c>
      <c r="C62" s="8" t="s">
        <v>389</v>
      </c>
      <c r="D62" s="8" t="s">
        <v>3156</v>
      </c>
      <c r="E62" s="8" t="s">
        <v>3157</v>
      </c>
      <c r="F62" s="8" t="s">
        <v>43</v>
      </c>
      <c r="G62" s="8" t="s">
        <v>1077</v>
      </c>
      <c r="H62" s="8">
        <v>315</v>
      </c>
      <c r="I62" s="8" t="s">
        <v>2967</v>
      </c>
      <c r="J62" s="8">
        <v>1</v>
      </c>
      <c r="K62" s="8">
        <v>255</v>
      </c>
      <c r="L62" s="8">
        <v>256</v>
      </c>
      <c r="M62" s="8">
        <v>256</v>
      </c>
      <c r="N62" s="8">
        <v>444</v>
      </c>
      <c r="O62" s="8">
        <v>443</v>
      </c>
      <c r="P62" s="8">
        <v>442</v>
      </c>
      <c r="Q62" s="9" t="s">
        <v>46</v>
      </c>
      <c r="R62" s="16"/>
      <c r="S62" s="10">
        <v>110</v>
      </c>
      <c r="T62" s="10">
        <v>140</v>
      </c>
      <c r="U62" s="10">
        <v>113</v>
      </c>
      <c r="V62" s="11">
        <v>35</v>
      </c>
      <c r="W62" s="12"/>
      <c r="X62" s="17"/>
      <c r="Y62" s="13"/>
      <c r="Z62" s="13"/>
      <c r="AA62" s="13"/>
      <c r="AB62" s="14"/>
      <c r="AC62" s="9"/>
      <c r="AD62" s="16"/>
      <c r="AE62" s="10"/>
      <c r="AF62" s="10"/>
      <c r="AG62" s="10"/>
      <c r="AH62" s="11"/>
      <c r="AI62" s="12"/>
      <c r="AJ62" s="17"/>
      <c r="AK62" s="13"/>
      <c r="AL62" s="13"/>
      <c r="AM62" s="13"/>
      <c r="AN62" s="14"/>
      <c r="AO62" s="9"/>
      <c r="AP62" s="16"/>
      <c r="AQ62" s="10"/>
      <c r="AR62" s="10"/>
      <c r="AS62" s="10"/>
      <c r="AT62" s="11"/>
      <c r="AU62" s="12"/>
      <c r="AV62" s="17"/>
      <c r="AW62" s="13"/>
      <c r="AX62" s="13"/>
      <c r="AY62" s="13"/>
      <c r="AZ62" s="14"/>
      <c r="BA62" s="9"/>
      <c r="BB62" s="16"/>
      <c r="BC62" s="10"/>
      <c r="BD62" s="10"/>
      <c r="BE62" s="10"/>
      <c r="BF62" s="11"/>
      <c r="BG62" s="12"/>
      <c r="BH62" s="17"/>
      <c r="BI62" s="13"/>
      <c r="BJ62" s="13"/>
      <c r="BK62" s="13"/>
      <c r="BL62" s="14"/>
      <c r="BM62" s="8">
        <f t="shared" si="9"/>
        <v>110</v>
      </c>
      <c r="BN62" s="8">
        <f t="shared" si="10"/>
        <v>140</v>
      </c>
      <c r="BO62" s="8">
        <f t="shared" si="11"/>
        <v>113</v>
      </c>
      <c r="BP62" s="8">
        <f t="shared" si="12"/>
        <v>35</v>
      </c>
      <c r="BQ62" s="8">
        <f t="shared" si="13"/>
        <v>140</v>
      </c>
      <c r="BR62" s="8">
        <f t="shared" si="14"/>
        <v>110</v>
      </c>
      <c r="BS62" s="15">
        <f t="shared" si="15"/>
        <v>34.179135936025844</v>
      </c>
      <c r="BT62" s="15" t="str">
        <f t="shared" si="16"/>
        <v>OK - No Upgrade</v>
      </c>
      <c r="BU62" s="15" t="str">
        <f t="shared" si="17"/>
        <v>Need to Balance</v>
      </c>
    </row>
    <row r="63" spans="1:73" ht="15.75" customHeight="1" x14ac:dyDescent="0.25">
      <c r="A63" s="8" t="s">
        <v>3005</v>
      </c>
      <c r="B63" s="8" t="s">
        <v>3006</v>
      </c>
      <c r="C63" s="8" t="s">
        <v>389</v>
      </c>
      <c r="D63" s="8" t="s">
        <v>3158</v>
      </c>
      <c r="E63" s="8" t="s">
        <v>3159</v>
      </c>
      <c r="F63" s="8" t="s">
        <v>56</v>
      </c>
      <c r="G63" s="8" t="s">
        <v>44</v>
      </c>
      <c r="H63" s="8">
        <v>1000</v>
      </c>
      <c r="I63" s="8" t="s">
        <v>1746</v>
      </c>
      <c r="J63" s="8">
        <v>1</v>
      </c>
      <c r="K63" s="8">
        <v>245</v>
      </c>
      <c r="L63" s="8">
        <v>246</v>
      </c>
      <c r="M63" s="8">
        <v>246</v>
      </c>
      <c r="N63" s="8">
        <v>425</v>
      </c>
      <c r="O63" s="8">
        <v>428</v>
      </c>
      <c r="P63" s="8">
        <v>428</v>
      </c>
      <c r="Q63" s="9"/>
      <c r="R63" s="16"/>
      <c r="S63" s="10"/>
      <c r="T63" s="10"/>
      <c r="U63" s="10"/>
      <c r="V63" s="11"/>
      <c r="W63" s="12"/>
      <c r="X63" s="17"/>
      <c r="Y63" s="13"/>
      <c r="Z63" s="13"/>
      <c r="AA63" s="13"/>
      <c r="AB63" s="14"/>
      <c r="AC63" s="9"/>
      <c r="AD63" s="16"/>
      <c r="AE63" s="10"/>
      <c r="AF63" s="10"/>
      <c r="AG63" s="10"/>
      <c r="AH63" s="11"/>
      <c r="AI63" s="12"/>
      <c r="AJ63" s="17"/>
      <c r="AK63" s="13"/>
      <c r="AL63" s="13"/>
      <c r="AM63" s="13"/>
      <c r="AN63" s="14"/>
      <c r="AO63" s="9" t="s">
        <v>47</v>
      </c>
      <c r="AP63" s="16"/>
      <c r="AQ63" s="10">
        <v>23</v>
      </c>
      <c r="AR63" s="10">
        <v>13</v>
      </c>
      <c r="AS63" s="10">
        <v>49</v>
      </c>
      <c r="AT63" s="11">
        <v>30</v>
      </c>
      <c r="AU63" s="12" t="s">
        <v>47</v>
      </c>
      <c r="AV63" s="17"/>
      <c r="AW63" s="13">
        <v>69</v>
      </c>
      <c r="AX63" s="13">
        <v>52</v>
      </c>
      <c r="AY63" s="13">
        <v>69</v>
      </c>
      <c r="AZ63" s="14">
        <v>13</v>
      </c>
      <c r="BA63" s="9" t="s">
        <v>47</v>
      </c>
      <c r="BB63" s="16"/>
      <c r="BC63" s="10">
        <v>105</v>
      </c>
      <c r="BD63" s="10">
        <v>70</v>
      </c>
      <c r="BE63" s="10">
        <v>77</v>
      </c>
      <c r="BF63" s="11">
        <v>28</v>
      </c>
      <c r="BG63" s="12"/>
      <c r="BH63" s="17"/>
      <c r="BI63" s="13"/>
      <c r="BJ63" s="13"/>
      <c r="BK63" s="13"/>
      <c r="BL63" s="14"/>
      <c r="BM63" s="8">
        <f t="shared" si="9"/>
        <v>197</v>
      </c>
      <c r="BN63" s="8">
        <f t="shared" si="10"/>
        <v>135</v>
      </c>
      <c r="BO63" s="8">
        <f t="shared" si="11"/>
        <v>195</v>
      </c>
      <c r="BP63" s="8">
        <f t="shared" si="12"/>
        <v>71</v>
      </c>
      <c r="BQ63" s="8">
        <f t="shared" si="13"/>
        <v>197</v>
      </c>
      <c r="BR63" s="8">
        <f t="shared" si="14"/>
        <v>135</v>
      </c>
      <c r="BS63" s="15">
        <f t="shared" si="15"/>
        <v>14.501595386370425</v>
      </c>
      <c r="BT63" s="15" t="str">
        <f t="shared" si="16"/>
        <v>OK - No Upgrade</v>
      </c>
      <c r="BU63" s="15" t="str">
        <f t="shared" si="17"/>
        <v>Need to Balance</v>
      </c>
    </row>
    <row r="64" spans="1:73" ht="15.75" customHeight="1" x14ac:dyDescent="0.25">
      <c r="A64" s="8" t="s">
        <v>3005</v>
      </c>
      <c r="B64" s="8" t="s">
        <v>3006</v>
      </c>
      <c r="C64" s="8" t="s">
        <v>389</v>
      </c>
      <c r="D64" s="8" t="s">
        <v>3160</v>
      </c>
      <c r="E64" s="8" t="s">
        <v>3161</v>
      </c>
      <c r="F64" s="8" t="s">
        <v>56</v>
      </c>
      <c r="G64" s="8" t="s">
        <v>44</v>
      </c>
      <c r="H64" s="8">
        <v>500</v>
      </c>
      <c r="I64" s="8" t="s">
        <v>2976</v>
      </c>
      <c r="J64" s="8">
        <v>1</v>
      </c>
      <c r="K64" s="8">
        <v>244</v>
      </c>
      <c r="L64" s="8">
        <v>245</v>
      </c>
      <c r="M64" s="8">
        <v>245</v>
      </c>
      <c r="N64" s="8">
        <v>424</v>
      </c>
      <c r="O64" s="8">
        <v>425</v>
      </c>
      <c r="P64" s="8">
        <v>425</v>
      </c>
      <c r="Q64" s="9"/>
      <c r="R64" s="16"/>
      <c r="S64" s="10"/>
      <c r="T64" s="10"/>
      <c r="U64" s="10"/>
      <c r="V64" s="11"/>
      <c r="W64" s="12"/>
      <c r="X64" s="17"/>
      <c r="Y64" s="13"/>
      <c r="Z64" s="13"/>
      <c r="AA64" s="13"/>
      <c r="AB64" s="14"/>
      <c r="AC64" s="9"/>
      <c r="AD64" s="16"/>
      <c r="AE64" s="10"/>
      <c r="AF64" s="10"/>
      <c r="AG64" s="10"/>
      <c r="AH64" s="11"/>
      <c r="AI64" s="12"/>
      <c r="AJ64" s="17"/>
      <c r="AK64" s="13"/>
      <c r="AL64" s="13"/>
      <c r="AM64" s="13"/>
      <c r="AN64" s="14"/>
      <c r="AO64" s="9" t="s">
        <v>47</v>
      </c>
      <c r="AP64" s="16"/>
      <c r="AQ64" s="10">
        <v>17</v>
      </c>
      <c r="AR64" s="10">
        <v>10</v>
      </c>
      <c r="AS64" s="10">
        <v>9</v>
      </c>
      <c r="AT64" s="11">
        <v>5</v>
      </c>
      <c r="AU64" s="12" t="s">
        <v>47</v>
      </c>
      <c r="AV64" s="17"/>
      <c r="AW64" s="13">
        <v>4</v>
      </c>
      <c r="AX64" s="13">
        <v>25</v>
      </c>
      <c r="AY64" s="13">
        <v>38</v>
      </c>
      <c r="AZ64" s="14">
        <v>24</v>
      </c>
      <c r="BA64" s="9"/>
      <c r="BB64" s="16"/>
      <c r="BC64" s="10"/>
      <c r="BD64" s="10"/>
      <c r="BE64" s="10"/>
      <c r="BF64" s="11"/>
      <c r="BG64" s="12"/>
      <c r="BH64" s="17"/>
      <c r="BI64" s="13"/>
      <c r="BJ64" s="13"/>
      <c r="BK64" s="13"/>
      <c r="BL64" s="14"/>
      <c r="BM64" s="8">
        <f t="shared" si="9"/>
        <v>21</v>
      </c>
      <c r="BN64" s="8">
        <f t="shared" si="10"/>
        <v>35</v>
      </c>
      <c r="BO64" s="8">
        <f t="shared" si="11"/>
        <v>47</v>
      </c>
      <c r="BP64" s="8">
        <f t="shared" si="12"/>
        <v>29</v>
      </c>
      <c r="BQ64" s="8">
        <f t="shared" si="13"/>
        <v>47</v>
      </c>
      <c r="BR64" s="8">
        <f t="shared" si="14"/>
        <v>21</v>
      </c>
      <c r="BS64" s="15">
        <f t="shared" si="15"/>
        <v>6.9032616986465181</v>
      </c>
      <c r="BT64" s="15" t="str">
        <f t="shared" si="16"/>
        <v>OK - No Upgrade</v>
      </c>
      <c r="BU64" s="15" t="str">
        <f t="shared" si="17"/>
        <v>Need to Balance</v>
      </c>
    </row>
    <row r="65" spans="1:73" ht="15.75" customHeight="1" x14ac:dyDescent="0.25">
      <c r="A65" s="8" t="s">
        <v>3005</v>
      </c>
      <c r="B65" s="8" t="s">
        <v>3006</v>
      </c>
      <c r="C65" s="8" t="s">
        <v>389</v>
      </c>
      <c r="D65" s="8" t="s">
        <v>3162</v>
      </c>
      <c r="E65" s="8" t="s">
        <v>3163</v>
      </c>
      <c r="F65" s="8" t="s">
        <v>43</v>
      </c>
      <c r="G65" s="8" t="s">
        <v>44</v>
      </c>
      <c r="H65" s="8">
        <v>315</v>
      </c>
      <c r="I65" s="8" t="s">
        <v>3164</v>
      </c>
      <c r="J65" s="8">
        <v>1</v>
      </c>
      <c r="K65" s="8">
        <v>243</v>
      </c>
      <c r="L65" s="8">
        <v>245</v>
      </c>
      <c r="M65" s="8">
        <v>245</v>
      </c>
      <c r="N65" s="8">
        <v>423</v>
      </c>
      <c r="O65" s="8">
        <v>427</v>
      </c>
      <c r="P65" s="8">
        <v>423</v>
      </c>
      <c r="Q65" s="9" t="s">
        <v>46</v>
      </c>
      <c r="R65" s="16"/>
      <c r="S65" s="10">
        <v>119</v>
      </c>
      <c r="T65" s="10">
        <v>110</v>
      </c>
      <c r="U65" s="10">
        <v>89</v>
      </c>
      <c r="V65" s="11">
        <v>32</v>
      </c>
      <c r="W65" s="12" t="s">
        <v>46</v>
      </c>
      <c r="X65" s="17"/>
      <c r="Y65" s="13">
        <v>5</v>
      </c>
      <c r="Z65" s="13">
        <v>13</v>
      </c>
      <c r="AA65" s="13">
        <v>16</v>
      </c>
      <c r="AB65" s="14">
        <v>14</v>
      </c>
      <c r="AC65" s="9"/>
      <c r="AD65" s="16"/>
      <c r="AE65" s="10"/>
      <c r="AF65" s="10"/>
      <c r="AG65" s="10"/>
      <c r="AH65" s="11"/>
      <c r="AI65" s="12"/>
      <c r="AJ65" s="17"/>
      <c r="AK65" s="13"/>
      <c r="AL65" s="13"/>
      <c r="AM65" s="13"/>
      <c r="AN65" s="14"/>
      <c r="AO65" s="9"/>
      <c r="AP65" s="16"/>
      <c r="AQ65" s="10"/>
      <c r="AR65" s="10"/>
      <c r="AS65" s="10"/>
      <c r="AT65" s="11"/>
      <c r="AU65" s="12"/>
      <c r="AV65" s="17"/>
      <c r="AW65" s="13"/>
      <c r="AX65" s="13"/>
      <c r="AY65" s="13"/>
      <c r="AZ65" s="14"/>
      <c r="BA65" s="9"/>
      <c r="BB65" s="16"/>
      <c r="BC65" s="10"/>
      <c r="BD65" s="10"/>
      <c r="BE65" s="10"/>
      <c r="BF65" s="11"/>
      <c r="BG65" s="12"/>
      <c r="BH65" s="17"/>
      <c r="BI65" s="13"/>
      <c r="BJ65" s="13"/>
      <c r="BK65" s="13"/>
      <c r="BL65" s="14"/>
      <c r="BM65" s="8">
        <f t="shared" si="9"/>
        <v>124</v>
      </c>
      <c r="BN65" s="8">
        <f t="shared" si="10"/>
        <v>123</v>
      </c>
      <c r="BO65" s="8">
        <f t="shared" si="11"/>
        <v>105</v>
      </c>
      <c r="BP65" s="8">
        <f t="shared" si="12"/>
        <v>46</v>
      </c>
      <c r="BQ65" s="8">
        <f t="shared" si="13"/>
        <v>124</v>
      </c>
      <c r="BR65" s="8">
        <f t="shared" si="14"/>
        <v>105</v>
      </c>
      <c r="BS65" s="15">
        <f t="shared" si="15"/>
        <v>28.841120304318334</v>
      </c>
      <c r="BT65" s="15" t="str">
        <f t="shared" si="16"/>
        <v>OK - No Upgrade</v>
      </c>
      <c r="BU65" s="15" t="str">
        <f t="shared" si="17"/>
        <v>OK - Balanced</v>
      </c>
    </row>
    <row r="66" spans="1:73" ht="15.75" customHeight="1" x14ac:dyDescent="0.25">
      <c r="A66" s="8" t="s">
        <v>3005</v>
      </c>
      <c r="B66" s="8" t="s">
        <v>3006</v>
      </c>
      <c r="C66" s="8" t="s">
        <v>265</v>
      </c>
      <c r="D66" s="8" t="s">
        <v>3165</v>
      </c>
      <c r="E66" s="8" t="s">
        <v>3166</v>
      </c>
      <c r="F66" s="8" t="s">
        <v>43</v>
      </c>
      <c r="G66" s="8"/>
      <c r="H66" s="8">
        <v>100</v>
      </c>
      <c r="I66" s="8" t="s">
        <v>3167</v>
      </c>
      <c r="J66" s="8">
        <v>1</v>
      </c>
      <c r="K66" s="8">
        <v>246</v>
      </c>
      <c r="L66" s="8">
        <v>245</v>
      </c>
      <c r="M66" s="8">
        <v>245</v>
      </c>
      <c r="N66" s="8">
        <v>426</v>
      </c>
      <c r="O66" s="8">
        <v>428</v>
      </c>
      <c r="P66" s="8">
        <v>423</v>
      </c>
      <c r="Q66" s="9" t="s">
        <v>47</v>
      </c>
      <c r="R66" s="16"/>
      <c r="S66" s="10">
        <v>0</v>
      </c>
      <c r="T66" s="10">
        <v>0</v>
      </c>
      <c r="U66" s="10">
        <v>0</v>
      </c>
      <c r="V66" s="11">
        <v>0</v>
      </c>
      <c r="W66" s="12"/>
      <c r="X66" s="17"/>
      <c r="Y66" s="13"/>
      <c r="Z66" s="13"/>
      <c r="AA66" s="13"/>
      <c r="AB66" s="14"/>
      <c r="AC66" s="9"/>
      <c r="AD66" s="16"/>
      <c r="AE66" s="10"/>
      <c r="AF66" s="10"/>
      <c r="AG66" s="10"/>
      <c r="AH66" s="11"/>
      <c r="AI66" s="12"/>
      <c r="AJ66" s="17"/>
      <c r="AK66" s="13"/>
      <c r="AL66" s="13"/>
      <c r="AM66" s="13"/>
      <c r="AN66" s="14"/>
      <c r="AO66" s="9"/>
      <c r="AP66" s="16"/>
      <c r="AQ66" s="10"/>
      <c r="AR66" s="10"/>
      <c r="AS66" s="10"/>
      <c r="AT66" s="11"/>
      <c r="AU66" s="12"/>
      <c r="AV66" s="17"/>
      <c r="AW66" s="13"/>
      <c r="AX66" s="13"/>
      <c r="AY66" s="13"/>
      <c r="AZ66" s="14"/>
      <c r="BA66" s="9"/>
      <c r="BB66" s="16"/>
      <c r="BC66" s="10"/>
      <c r="BD66" s="10"/>
      <c r="BE66" s="10"/>
      <c r="BF66" s="11"/>
      <c r="BG66" s="12"/>
      <c r="BH66" s="17"/>
      <c r="BI66" s="13"/>
      <c r="BJ66" s="13"/>
      <c r="BK66" s="13"/>
      <c r="BL66" s="14"/>
      <c r="BM66" s="8">
        <f t="shared" si="9"/>
        <v>0</v>
      </c>
      <c r="BN66" s="8">
        <f t="shared" si="10"/>
        <v>0</v>
      </c>
      <c r="BO66" s="8">
        <f t="shared" si="11"/>
        <v>0</v>
      </c>
      <c r="BP66" s="8">
        <f t="shared" si="12"/>
        <v>0</v>
      </c>
      <c r="BQ66" s="8">
        <f t="shared" si="13"/>
        <v>0</v>
      </c>
      <c r="BR66" s="8">
        <f t="shared" si="14"/>
        <v>0</v>
      </c>
      <c r="BS66" s="15">
        <f t="shared" si="15"/>
        <v>0</v>
      </c>
      <c r="BT66" s="15" t="str">
        <f t="shared" si="16"/>
        <v>OK - No Upgrade</v>
      </c>
      <c r="BU66" s="15" t="str">
        <f t="shared" si="17"/>
        <v>OK - Balanced</v>
      </c>
    </row>
    <row r="67" spans="1:73" ht="15.75" customHeight="1" x14ac:dyDescent="0.25">
      <c r="A67" s="8" t="s">
        <v>3005</v>
      </c>
      <c r="B67" s="8" t="s">
        <v>3006</v>
      </c>
      <c r="C67" s="8" t="s">
        <v>265</v>
      </c>
      <c r="D67" s="8" t="s">
        <v>3168</v>
      </c>
      <c r="E67" s="8" t="s">
        <v>3169</v>
      </c>
      <c r="F67" s="8" t="s">
        <v>43</v>
      </c>
      <c r="G67" s="8"/>
      <c r="H67" s="8">
        <v>315</v>
      </c>
      <c r="I67" s="8" t="s">
        <v>3170</v>
      </c>
      <c r="J67" s="8">
        <v>1</v>
      </c>
      <c r="K67" s="8">
        <v>244</v>
      </c>
      <c r="L67" s="8">
        <v>243</v>
      </c>
      <c r="M67" s="8">
        <v>244</v>
      </c>
      <c r="N67" s="8">
        <v>422</v>
      </c>
      <c r="O67" s="8">
        <v>423</v>
      </c>
      <c r="P67" s="8">
        <v>420</v>
      </c>
      <c r="Q67" s="9" t="s">
        <v>46</v>
      </c>
      <c r="R67" s="16"/>
      <c r="S67" s="10">
        <v>80</v>
      </c>
      <c r="T67" s="10">
        <v>92</v>
      </c>
      <c r="U67" s="10">
        <v>73</v>
      </c>
      <c r="V67" s="11">
        <v>28</v>
      </c>
      <c r="W67" s="12" t="s">
        <v>46</v>
      </c>
      <c r="X67" s="17"/>
      <c r="Y67" s="13">
        <v>47</v>
      </c>
      <c r="Z67" s="13">
        <v>36</v>
      </c>
      <c r="AA67" s="13">
        <v>41</v>
      </c>
      <c r="AB67" s="14">
        <v>14</v>
      </c>
      <c r="AC67" s="9"/>
      <c r="AD67" s="16"/>
      <c r="AE67" s="10"/>
      <c r="AF67" s="10"/>
      <c r="AG67" s="10"/>
      <c r="AH67" s="11"/>
      <c r="AI67" s="12"/>
      <c r="AJ67" s="17"/>
      <c r="AK67" s="13"/>
      <c r="AL67" s="13"/>
      <c r="AM67" s="13"/>
      <c r="AN67" s="14"/>
      <c r="AO67" s="9"/>
      <c r="AP67" s="16"/>
      <c r="AQ67" s="10"/>
      <c r="AR67" s="10"/>
      <c r="AS67" s="10"/>
      <c r="AT67" s="11"/>
      <c r="AU67" s="12"/>
      <c r="AV67" s="17"/>
      <c r="AW67" s="13"/>
      <c r="AX67" s="13"/>
      <c r="AY67" s="13"/>
      <c r="AZ67" s="14"/>
      <c r="BA67" s="9"/>
      <c r="BB67" s="16"/>
      <c r="BC67" s="10"/>
      <c r="BD67" s="10"/>
      <c r="BE67" s="10"/>
      <c r="BF67" s="11"/>
      <c r="BG67" s="12"/>
      <c r="BH67" s="17"/>
      <c r="BI67" s="13"/>
      <c r="BJ67" s="13"/>
      <c r="BK67" s="13"/>
      <c r="BL67" s="14"/>
      <c r="BM67" s="8">
        <f t="shared" si="9"/>
        <v>127</v>
      </c>
      <c r="BN67" s="8">
        <f t="shared" si="10"/>
        <v>128</v>
      </c>
      <c r="BO67" s="8">
        <f t="shared" si="11"/>
        <v>114</v>
      </c>
      <c r="BP67" s="8">
        <f t="shared" si="12"/>
        <v>42</v>
      </c>
      <c r="BQ67" s="8">
        <f t="shared" si="13"/>
        <v>128</v>
      </c>
      <c r="BR67" s="8">
        <f t="shared" si="14"/>
        <v>114</v>
      </c>
      <c r="BS67" s="15">
        <f t="shared" si="15"/>
        <v>29.701097276711259</v>
      </c>
      <c r="BT67" s="15" t="str">
        <f t="shared" si="16"/>
        <v>OK - No Upgrade</v>
      </c>
      <c r="BU67" s="15" t="str">
        <f t="shared" si="17"/>
        <v>OK - Balanced</v>
      </c>
    </row>
    <row r="68" spans="1:73" ht="15.75" customHeight="1" x14ac:dyDescent="0.25">
      <c r="A68" s="8" t="s">
        <v>3005</v>
      </c>
      <c r="B68" s="8" t="s">
        <v>3006</v>
      </c>
      <c r="C68" s="8" t="s">
        <v>265</v>
      </c>
      <c r="D68" s="8" t="s">
        <v>3171</v>
      </c>
      <c r="E68" s="8" t="s">
        <v>3172</v>
      </c>
      <c r="F68" s="8" t="s">
        <v>43</v>
      </c>
      <c r="G68" s="8"/>
      <c r="H68" s="8">
        <v>315</v>
      </c>
      <c r="I68" s="8" t="s">
        <v>3173</v>
      </c>
      <c r="J68" s="8">
        <v>1</v>
      </c>
      <c r="K68" s="8">
        <v>247</v>
      </c>
      <c r="L68" s="8">
        <v>245</v>
      </c>
      <c r="M68" s="8">
        <v>246</v>
      </c>
      <c r="N68" s="8">
        <v>426</v>
      </c>
      <c r="O68" s="8">
        <v>427</v>
      </c>
      <c r="P68" s="8">
        <v>424</v>
      </c>
      <c r="Q68" s="9" t="s">
        <v>47</v>
      </c>
      <c r="R68" s="16"/>
      <c r="S68" s="10">
        <v>20</v>
      </c>
      <c r="T68" s="10">
        <v>17</v>
      </c>
      <c r="U68" s="10">
        <v>16</v>
      </c>
      <c r="V68" s="11">
        <v>5</v>
      </c>
      <c r="W68" s="12" t="s">
        <v>47</v>
      </c>
      <c r="X68" s="17"/>
      <c r="Y68" s="13">
        <v>4</v>
      </c>
      <c r="Z68" s="13">
        <v>5</v>
      </c>
      <c r="AA68" s="13">
        <v>6</v>
      </c>
      <c r="AB68" s="14">
        <v>5</v>
      </c>
      <c r="AC68" s="9"/>
      <c r="AD68" s="16"/>
      <c r="AE68" s="10"/>
      <c r="AF68" s="10"/>
      <c r="AG68" s="10"/>
      <c r="AH68" s="11"/>
      <c r="AI68" s="12"/>
      <c r="AJ68" s="17"/>
      <c r="AK68" s="13"/>
      <c r="AL68" s="13"/>
      <c r="AM68" s="13"/>
      <c r="AN68" s="14"/>
      <c r="AO68" s="9"/>
      <c r="AP68" s="16"/>
      <c r="AQ68" s="10"/>
      <c r="AR68" s="10"/>
      <c r="AS68" s="10"/>
      <c r="AT68" s="11"/>
      <c r="AU68" s="12"/>
      <c r="AV68" s="17"/>
      <c r="AW68" s="13"/>
      <c r="AX68" s="13"/>
      <c r="AY68" s="13"/>
      <c r="AZ68" s="14"/>
      <c r="BA68" s="9"/>
      <c r="BB68" s="16"/>
      <c r="BC68" s="10"/>
      <c r="BD68" s="10"/>
      <c r="BE68" s="10"/>
      <c r="BF68" s="11"/>
      <c r="BG68" s="12"/>
      <c r="BH68" s="17"/>
      <c r="BI68" s="13"/>
      <c r="BJ68" s="13"/>
      <c r="BK68" s="13"/>
      <c r="BL68" s="14"/>
      <c r="BM68" s="8">
        <f t="shared" ref="BM68:BM90" si="18">SUM(S68,Y68,AE68,AK68,AQ68,AW68,BC68,BI68)</f>
        <v>24</v>
      </c>
      <c r="BN68" s="8">
        <f t="shared" ref="BN68:BN90" si="19">SUM(T68,Z68,AF68,AL68,AR68,AX68,BD68,BJ68)</f>
        <v>22</v>
      </c>
      <c r="BO68" s="8">
        <f t="shared" ref="BO68:BO90" si="20">SUM(U68,AA68,AG68,AM68,AS68,AY68,BE68,BK68)</f>
        <v>22</v>
      </c>
      <c r="BP68" s="8">
        <f t="shared" ref="BP68:BP90" si="21">SUM(V68,AB68,AH68,AN68,AT68,AZ68,BF68,BL68)</f>
        <v>10</v>
      </c>
      <c r="BQ68" s="8">
        <f t="shared" ref="BQ68:BQ90" si="22">MAX(BM68:BO68)</f>
        <v>24</v>
      </c>
      <c r="BR68" s="8">
        <f t="shared" ref="BR68:BR90" si="23">MIN(BM68:BO68)</f>
        <v>22</v>
      </c>
      <c r="BS68" s="15">
        <f t="shared" ref="BS68:BS90" si="24">IF(H68&gt;0,(BQ68*SQRT(3)*IF(N68&gt;0,N68,IF(O68&gt;0,O68,IF(P68&gt;0,P68,415)))/(H68*1000))*100,0)</f>
        <v>5.6217420497092707</v>
      </c>
      <c r="BT68" s="15" t="str">
        <f t="shared" ref="BT68:BT99" si="25">IF(BS68&gt;70,"Upgrade","OK - No Upgrade")</f>
        <v>OK - No Upgrade</v>
      </c>
      <c r="BU68" s="15" t="str">
        <f t="shared" ref="BU68:BU90" si="26">IF(IF(AVERAGE(BM68:BO68)&gt;0,((BQ68-AVERAGE(BM68:BO68))/AVERAGE(BM68:BO68))*100,0)&gt;10,"Need to Balance","OK - Balanced")</f>
        <v>OK - Balanced</v>
      </c>
    </row>
    <row r="69" spans="1:73" ht="15.75" customHeight="1" x14ac:dyDescent="0.25">
      <c r="A69" s="8" t="s">
        <v>3005</v>
      </c>
      <c r="B69" s="8" t="s">
        <v>3006</v>
      </c>
      <c r="C69" s="8" t="s">
        <v>265</v>
      </c>
      <c r="D69" s="8" t="s">
        <v>3174</v>
      </c>
      <c r="E69" s="8" t="s">
        <v>3175</v>
      </c>
      <c r="F69" s="8" t="s">
        <v>43</v>
      </c>
      <c r="G69" s="8"/>
      <c r="H69" s="8">
        <v>315</v>
      </c>
      <c r="I69" s="8" t="s">
        <v>3176</v>
      </c>
      <c r="J69" s="8">
        <v>1</v>
      </c>
      <c r="K69" s="8">
        <v>248</v>
      </c>
      <c r="L69" s="8">
        <v>247</v>
      </c>
      <c r="M69" s="8">
        <v>247</v>
      </c>
      <c r="N69" s="8">
        <v>428</v>
      </c>
      <c r="O69" s="8">
        <v>429</v>
      </c>
      <c r="P69" s="8">
        <v>426</v>
      </c>
      <c r="Q69" s="9" t="s">
        <v>47</v>
      </c>
      <c r="R69" s="16"/>
      <c r="S69" s="10">
        <v>0</v>
      </c>
      <c r="T69" s="10">
        <v>0</v>
      </c>
      <c r="U69" s="10">
        <v>0</v>
      </c>
      <c r="V69" s="11">
        <v>0</v>
      </c>
      <c r="W69" s="12"/>
      <c r="X69" s="17"/>
      <c r="Y69" s="13"/>
      <c r="Z69" s="13"/>
      <c r="AA69" s="13"/>
      <c r="AB69" s="14"/>
      <c r="AC69" s="9"/>
      <c r="AD69" s="16"/>
      <c r="AE69" s="10"/>
      <c r="AF69" s="10"/>
      <c r="AG69" s="10"/>
      <c r="AH69" s="11"/>
      <c r="AI69" s="12"/>
      <c r="AJ69" s="17"/>
      <c r="AK69" s="13"/>
      <c r="AL69" s="13"/>
      <c r="AM69" s="13"/>
      <c r="AN69" s="14"/>
      <c r="AO69" s="9"/>
      <c r="AP69" s="16"/>
      <c r="AQ69" s="10"/>
      <c r="AR69" s="10"/>
      <c r="AS69" s="10"/>
      <c r="AT69" s="11"/>
      <c r="AU69" s="12"/>
      <c r="AV69" s="17"/>
      <c r="AW69" s="13"/>
      <c r="AX69" s="13"/>
      <c r="AY69" s="13"/>
      <c r="AZ69" s="14"/>
      <c r="BA69" s="9"/>
      <c r="BB69" s="16"/>
      <c r="BC69" s="10"/>
      <c r="BD69" s="10"/>
      <c r="BE69" s="10"/>
      <c r="BF69" s="11"/>
      <c r="BG69" s="12"/>
      <c r="BH69" s="17"/>
      <c r="BI69" s="13"/>
      <c r="BJ69" s="13"/>
      <c r="BK69" s="13"/>
      <c r="BL69" s="14"/>
      <c r="BM69" s="8">
        <f t="shared" si="18"/>
        <v>0</v>
      </c>
      <c r="BN69" s="8">
        <f t="shared" si="19"/>
        <v>0</v>
      </c>
      <c r="BO69" s="8">
        <f t="shared" si="20"/>
        <v>0</v>
      </c>
      <c r="BP69" s="8">
        <f t="shared" si="21"/>
        <v>0</v>
      </c>
      <c r="BQ69" s="8">
        <f t="shared" si="22"/>
        <v>0</v>
      </c>
      <c r="BR69" s="8">
        <f t="shared" si="23"/>
        <v>0</v>
      </c>
      <c r="BS69" s="15">
        <f t="shared" si="24"/>
        <v>0</v>
      </c>
      <c r="BT69" s="15" t="str">
        <f t="shared" si="25"/>
        <v>OK - No Upgrade</v>
      </c>
      <c r="BU69" s="15" t="str">
        <f t="shared" si="26"/>
        <v>OK - Balanced</v>
      </c>
    </row>
    <row r="70" spans="1:73" ht="15.75" customHeight="1" x14ac:dyDescent="0.25">
      <c r="A70" s="8" t="s">
        <v>3005</v>
      </c>
      <c r="B70" s="8" t="s">
        <v>3006</v>
      </c>
      <c r="C70" s="8" t="s">
        <v>265</v>
      </c>
      <c r="D70" s="8" t="s">
        <v>3177</v>
      </c>
      <c r="E70" s="8" t="s">
        <v>3178</v>
      </c>
      <c r="F70" s="8" t="s">
        <v>43</v>
      </c>
      <c r="G70" s="8"/>
      <c r="H70" s="8">
        <v>315</v>
      </c>
      <c r="I70" s="8" t="s">
        <v>3179</v>
      </c>
      <c r="J70" s="8">
        <v>1</v>
      </c>
      <c r="K70" s="8">
        <v>243</v>
      </c>
      <c r="L70" s="8">
        <v>243</v>
      </c>
      <c r="M70" s="8">
        <v>243</v>
      </c>
      <c r="N70" s="8">
        <v>421</v>
      </c>
      <c r="O70" s="8">
        <v>422</v>
      </c>
      <c r="P70" s="8">
        <v>421</v>
      </c>
      <c r="Q70" s="9"/>
      <c r="R70" s="16"/>
      <c r="S70" s="10">
        <v>135</v>
      </c>
      <c r="T70" s="10">
        <v>105</v>
      </c>
      <c r="U70" s="10">
        <v>161</v>
      </c>
      <c r="V70" s="11">
        <v>37</v>
      </c>
      <c r="W70" s="12" t="s">
        <v>47</v>
      </c>
      <c r="X70" s="17"/>
      <c r="Y70" s="13">
        <v>129</v>
      </c>
      <c r="Z70" s="13">
        <v>79</v>
      </c>
      <c r="AA70" s="13">
        <v>78</v>
      </c>
      <c r="AB70" s="14">
        <v>48</v>
      </c>
      <c r="AC70" s="9"/>
      <c r="AD70" s="16"/>
      <c r="AE70" s="10"/>
      <c r="AF70" s="10"/>
      <c r="AG70" s="10"/>
      <c r="AH70" s="11"/>
      <c r="AI70" s="12"/>
      <c r="AJ70" s="17"/>
      <c r="AK70" s="13"/>
      <c r="AL70" s="13"/>
      <c r="AM70" s="13"/>
      <c r="AN70" s="14"/>
      <c r="AO70" s="9"/>
      <c r="AP70" s="16"/>
      <c r="AQ70" s="10"/>
      <c r="AR70" s="10"/>
      <c r="AS70" s="10"/>
      <c r="AT70" s="11"/>
      <c r="AU70" s="12"/>
      <c r="AV70" s="17"/>
      <c r="AW70" s="13"/>
      <c r="AX70" s="13"/>
      <c r="AY70" s="13"/>
      <c r="AZ70" s="14"/>
      <c r="BA70" s="9"/>
      <c r="BB70" s="16"/>
      <c r="BC70" s="10"/>
      <c r="BD70" s="10"/>
      <c r="BE70" s="10"/>
      <c r="BF70" s="11"/>
      <c r="BG70" s="12"/>
      <c r="BH70" s="17"/>
      <c r="BI70" s="13"/>
      <c r="BJ70" s="13"/>
      <c r="BK70" s="13"/>
      <c r="BL70" s="14"/>
      <c r="BM70" s="8">
        <f t="shared" si="18"/>
        <v>264</v>
      </c>
      <c r="BN70" s="8">
        <f t="shared" si="19"/>
        <v>184</v>
      </c>
      <c r="BO70" s="8">
        <f t="shared" si="20"/>
        <v>239</v>
      </c>
      <c r="BP70" s="8">
        <f t="shared" si="21"/>
        <v>85</v>
      </c>
      <c r="BQ70" s="8">
        <f t="shared" si="22"/>
        <v>264</v>
      </c>
      <c r="BR70" s="8">
        <f t="shared" si="23"/>
        <v>184</v>
      </c>
      <c r="BS70" s="15">
        <f t="shared" si="24"/>
        <v>61.113350779820728</v>
      </c>
      <c r="BT70" s="15" t="str">
        <f t="shared" si="25"/>
        <v>OK - No Upgrade</v>
      </c>
      <c r="BU70" s="15" t="str">
        <f t="shared" si="26"/>
        <v>Need to Balance</v>
      </c>
    </row>
    <row r="71" spans="1:73" ht="15.75" customHeight="1" x14ac:dyDescent="0.25">
      <c r="A71" s="8" t="s">
        <v>3005</v>
      </c>
      <c r="B71" s="8" t="s">
        <v>3006</v>
      </c>
      <c r="C71" s="8" t="s">
        <v>265</v>
      </c>
      <c r="D71" s="8" t="s">
        <v>3180</v>
      </c>
      <c r="E71" s="8" t="s">
        <v>3181</v>
      </c>
      <c r="F71" s="8" t="s">
        <v>43</v>
      </c>
      <c r="G71" s="8"/>
      <c r="H71" s="8">
        <v>315</v>
      </c>
      <c r="I71" s="8" t="s">
        <v>3182</v>
      </c>
      <c r="J71" s="8">
        <v>1</v>
      </c>
      <c r="K71" s="8">
        <v>245</v>
      </c>
      <c r="L71" s="8">
        <v>245</v>
      </c>
      <c r="M71" s="8">
        <v>243</v>
      </c>
      <c r="N71" s="8">
        <v>425</v>
      </c>
      <c r="O71" s="8">
        <v>423</v>
      </c>
      <c r="P71" s="8">
        <v>423</v>
      </c>
      <c r="Q71" s="9" t="s">
        <v>46</v>
      </c>
      <c r="R71" s="16"/>
      <c r="S71" s="10">
        <v>125</v>
      </c>
      <c r="T71" s="10">
        <v>76</v>
      </c>
      <c r="U71" s="10">
        <v>157</v>
      </c>
      <c r="V71" s="11">
        <v>60</v>
      </c>
      <c r="W71" s="12" t="s">
        <v>46</v>
      </c>
      <c r="X71" s="17"/>
      <c r="Y71" s="13">
        <v>38</v>
      </c>
      <c r="Z71" s="13">
        <v>25</v>
      </c>
      <c r="AA71" s="13">
        <v>76</v>
      </c>
      <c r="AB71" s="14">
        <v>50</v>
      </c>
      <c r="AC71" s="9"/>
      <c r="AD71" s="16"/>
      <c r="AE71" s="10"/>
      <c r="AF71" s="10"/>
      <c r="AG71" s="10"/>
      <c r="AH71" s="11"/>
      <c r="AI71" s="12"/>
      <c r="AJ71" s="17"/>
      <c r="AK71" s="13"/>
      <c r="AL71" s="13"/>
      <c r="AM71" s="13"/>
      <c r="AN71" s="14"/>
      <c r="AO71" s="9"/>
      <c r="AP71" s="16"/>
      <c r="AQ71" s="10"/>
      <c r="AR71" s="10"/>
      <c r="AS71" s="10"/>
      <c r="AT71" s="11"/>
      <c r="AU71" s="12"/>
      <c r="AV71" s="17"/>
      <c r="AW71" s="13"/>
      <c r="AX71" s="13"/>
      <c r="AY71" s="13"/>
      <c r="AZ71" s="14"/>
      <c r="BA71" s="9"/>
      <c r="BB71" s="16"/>
      <c r="BC71" s="10"/>
      <c r="BD71" s="10"/>
      <c r="BE71" s="10"/>
      <c r="BF71" s="11"/>
      <c r="BG71" s="12"/>
      <c r="BH71" s="17"/>
      <c r="BI71" s="13"/>
      <c r="BJ71" s="13"/>
      <c r="BK71" s="13"/>
      <c r="BL71" s="14"/>
      <c r="BM71" s="8">
        <f t="shared" si="18"/>
        <v>163</v>
      </c>
      <c r="BN71" s="8">
        <f t="shared" si="19"/>
        <v>101</v>
      </c>
      <c r="BO71" s="8">
        <f t="shared" si="20"/>
        <v>233</v>
      </c>
      <c r="BP71" s="8">
        <f t="shared" si="21"/>
        <v>110</v>
      </c>
      <c r="BQ71" s="8">
        <f t="shared" si="22"/>
        <v>233</v>
      </c>
      <c r="BR71" s="8">
        <f t="shared" si="23"/>
        <v>101</v>
      </c>
      <c r="BS71" s="15">
        <f t="shared" si="24"/>
        <v>54.449628958573996</v>
      </c>
      <c r="BT71" s="15" t="str">
        <f t="shared" si="25"/>
        <v>OK - No Upgrade</v>
      </c>
      <c r="BU71" s="15" t="str">
        <f t="shared" si="26"/>
        <v>Need to Balance</v>
      </c>
    </row>
    <row r="72" spans="1:73" ht="15.75" customHeight="1" x14ac:dyDescent="0.25">
      <c r="A72" s="8" t="s">
        <v>3005</v>
      </c>
      <c r="B72" s="8" t="s">
        <v>3006</v>
      </c>
      <c r="C72" s="8" t="s">
        <v>265</v>
      </c>
      <c r="D72" s="8" t="s">
        <v>3183</v>
      </c>
      <c r="E72" s="8" t="s">
        <v>3184</v>
      </c>
      <c r="F72" s="8" t="s">
        <v>43</v>
      </c>
      <c r="G72" s="8"/>
      <c r="H72" s="8">
        <v>315</v>
      </c>
      <c r="I72" s="8" t="s">
        <v>3185</v>
      </c>
      <c r="J72" s="8">
        <v>1</v>
      </c>
      <c r="K72" s="8">
        <v>243</v>
      </c>
      <c r="L72" s="8">
        <v>240</v>
      </c>
      <c r="M72" s="8">
        <v>242</v>
      </c>
      <c r="N72" s="8">
        <v>420</v>
      </c>
      <c r="O72" s="8">
        <v>420</v>
      </c>
      <c r="P72" s="8">
        <v>419</v>
      </c>
      <c r="Q72" s="9" t="s">
        <v>46</v>
      </c>
      <c r="R72" s="16"/>
      <c r="S72" s="10">
        <v>142</v>
      </c>
      <c r="T72" s="10">
        <v>132</v>
      </c>
      <c r="U72" s="10">
        <v>133</v>
      </c>
      <c r="V72" s="11">
        <v>18</v>
      </c>
      <c r="W72" s="12" t="s">
        <v>46</v>
      </c>
      <c r="X72" s="17"/>
      <c r="Y72" s="13">
        <v>76</v>
      </c>
      <c r="Z72" s="13">
        <v>109</v>
      </c>
      <c r="AA72" s="13">
        <v>85</v>
      </c>
      <c r="AB72" s="14">
        <v>29</v>
      </c>
      <c r="AC72" s="9"/>
      <c r="AD72" s="16"/>
      <c r="AE72" s="10"/>
      <c r="AF72" s="10"/>
      <c r="AG72" s="10"/>
      <c r="AH72" s="11"/>
      <c r="AI72" s="12"/>
      <c r="AJ72" s="17"/>
      <c r="AK72" s="13"/>
      <c r="AL72" s="13"/>
      <c r="AM72" s="13"/>
      <c r="AN72" s="14"/>
      <c r="AO72" s="9"/>
      <c r="AP72" s="16"/>
      <c r="AQ72" s="10"/>
      <c r="AR72" s="10"/>
      <c r="AS72" s="10"/>
      <c r="AT72" s="11"/>
      <c r="AU72" s="12"/>
      <c r="AV72" s="17"/>
      <c r="AW72" s="13"/>
      <c r="AX72" s="13"/>
      <c r="AY72" s="13"/>
      <c r="AZ72" s="14"/>
      <c r="BA72" s="9"/>
      <c r="BB72" s="16"/>
      <c r="BC72" s="10"/>
      <c r="BD72" s="10"/>
      <c r="BE72" s="10"/>
      <c r="BF72" s="11"/>
      <c r="BG72" s="12"/>
      <c r="BH72" s="17"/>
      <c r="BI72" s="13"/>
      <c r="BJ72" s="13"/>
      <c r="BK72" s="13"/>
      <c r="BL72" s="14"/>
      <c r="BM72" s="8">
        <f t="shared" si="18"/>
        <v>218</v>
      </c>
      <c r="BN72" s="8">
        <f t="shared" si="19"/>
        <v>241</v>
      </c>
      <c r="BO72" s="8">
        <f t="shared" si="20"/>
        <v>218</v>
      </c>
      <c r="BP72" s="8">
        <f t="shared" si="21"/>
        <v>47</v>
      </c>
      <c r="BQ72" s="8">
        <f t="shared" si="22"/>
        <v>241</v>
      </c>
      <c r="BR72" s="8">
        <f t="shared" si="23"/>
        <v>218</v>
      </c>
      <c r="BS72" s="15">
        <f t="shared" si="24"/>
        <v>55.656565949879919</v>
      </c>
      <c r="BT72" s="15" t="str">
        <f t="shared" si="25"/>
        <v>OK - No Upgrade</v>
      </c>
      <c r="BU72" s="15" t="str">
        <f t="shared" si="26"/>
        <v>OK - Balanced</v>
      </c>
    </row>
    <row r="73" spans="1:73" ht="15.75" customHeight="1" x14ac:dyDescent="0.25">
      <c r="A73" s="8" t="s">
        <v>3005</v>
      </c>
      <c r="B73" s="8" t="s">
        <v>3006</v>
      </c>
      <c r="C73" s="8" t="s">
        <v>265</v>
      </c>
      <c r="D73" s="8" t="s">
        <v>3186</v>
      </c>
      <c r="E73" s="8" t="s">
        <v>3187</v>
      </c>
      <c r="F73" s="8" t="s">
        <v>43</v>
      </c>
      <c r="G73" s="8"/>
      <c r="H73" s="8">
        <v>315</v>
      </c>
      <c r="I73" s="8" t="s">
        <v>3188</v>
      </c>
      <c r="J73" s="8">
        <v>1</v>
      </c>
      <c r="K73" s="8">
        <v>247</v>
      </c>
      <c r="L73" s="8">
        <v>248</v>
      </c>
      <c r="M73" s="8">
        <v>245</v>
      </c>
      <c r="N73" s="8">
        <v>429</v>
      </c>
      <c r="O73" s="8">
        <v>429</v>
      </c>
      <c r="P73" s="8">
        <v>428</v>
      </c>
      <c r="Q73" s="9" t="s">
        <v>46</v>
      </c>
      <c r="R73" s="16"/>
      <c r="S73" s="10">
        <v>186</v>
      </c>
      <c r="T73" s="10">
        <v>66</v>
      </c>
      <c r="U73" s="10">
        <v>104</v>
      </c>
      <c r="V73" s="11">
        <v>104</v>
      </c>
      <c r="W73" s="12" t="s">
        <v>46</v>
      </c>
      <c r="X73" s="17"/>
      <c r="Y73" s="13">
        <v>15</v>
      </c>
      <c r="Z73" s="13">
        <v>8</v>
      </c>
      <c r="AA73" s="13">
        <v>22</v>
      </c>
      <c r="AB73" s="14">
        <v>11</v>
      </c>
      <c r="AC73" s="9"/>
      <c r="AD73" s="16"/>
      <c r="AE73" s="10"/>
      <c r="AF73" s="10"/>
      <c r="AG73" s="10"/>
      <c r="AH73" s="11"/>
      <c r="AI73" s="12"/>
      <c r="AJ73" s="17"/>
      <c r="AK73" s="13"/>
      <c r="AL73" s="13"/>
      <c r="AM73" s="13"/>
      <c r="AN73" s="14"/>
      <c r="AO73" s="9"/>
      <c r="AP73" s="16"/>
      <c r="AQ73" s="10"/>
      <c r="AR73" s="10"/>
      <c r="AS73" s="10"/>
      <c r="AT73" s="11"/>
      <c r="AU73" s="12"/>
      <c r="AV73" s="17"/>
      <c r="AW73" s="13"/>
      <c r="AX73" s="13"/>
      <c r="AY73" s="13"/>
      <c r="AZ73" s="14"/>
      <c r="BA73" s="9"/>
      <c r="BB73" s="16"/>
      <c r="BC73" s="10"/>
      <c r="BD73" s="10"/>
      <c r="BE73" s="10"/>
      <c r="BF73" s="11"/>
      <c r="BG73" s="12"/>
      <c r="BH73" s="17"/>
      <c r="BI73" s="13"/>
      <c r="BJ73" s="13"/>
      <c r="BK73" s="13"/>
      <c r="BL73" s="14"/>
      <c r="BM73" s="8">
        <f t="shared" si="18"/>
        <v>201</v>
      </c>
      <c r="BN73" s="8">
        <f t="shared" si="19"/>
        <v>74</v>
      </c>
      <c r="BO73" s="8">
        <f t="shared" si="20"/>
        <v>126</v>
      </c>
      <c r="BP73" s="8">
        <f t="shared" si="21"/>
        <v>115</v>
      </c>
      <c r="BQ73" s="8">
        <f t="shared" si="22"/>
        <v>201</v>
      </c>
      <c r="BR73" s="8">
        <f t="shared" si="23"/>
        <v>74</v>
      </c>
      <c r="BS73" s="15">
        <f t="shared" si="24"/>
        <v>47.413653678049741</v>
      </c>
      <c r="BT73" s="15" t="str">
        <f t="shared" si="25"/>
        <v>OK - No Upgrade</v>
      </c>
      <c r="BU73" s="15" t="str">
        <f t="shared" si="26"/>
        <v>Need to Balance</v>
      </c>
    </row>
    <row r="74" spans="1:73" ht="15.75" customHeight="1" x14ac:dyDescent="0.25">
      <c r="A74" s="8" t="s">
        <v>3005</v>
      </c>
      <c r="B74" s="8" t="s">
        <v>3006</v>
      </c>
      <c r="C74" s="8" t="s">
        <v>265</v>
      </c>
      <c r="D74" s="8" t="s">
        <v>3189</v>
      </c>
      <c r="E74" s="8" t="s">
        <v>3190</v>
      </c>
      <c r="F74" s="8" t="s">
        <v>43</v>
      </c>
      <c r="G74" s="8"/>
      <c r="H74" s="8">
        <v>100</v>
      </c>
      <c r="I74" s="8" t="s">
        <v>3191</v>
      </c>
      <c r="J74" s="8">
        <v>1</v>
      </c>
      <c r="K74" s="8">
        <v>246</v>
      </c>
      <c r="L74" s="8">
        <v>241</v>
      </c>
      <c r="M74" s="8">
        <v>245</v>
      </c>
      <c r="N74" s="8">
        <v>423</v>
      </c>
      <c r="O74" s="8">
        <v>426</v>
      </c>
      <c r="P74" s="8">
        <v>419</v>
      </c>
      <c r="Q74" s="9" t="s">
        <v>46</v>
      </c>
      <c r="R74" s="16"/>
      <c r="S74" s="10">
        <v>18</v>
      </c>
      <c r="T74" s="10">
        <v>47</v>
      </c>
      <c r="U74" s="10">
        <v>26</v>
      </c>
      <c r="V74" s="11">
        <v>28</v>
      </c>
      <c r="W74" s="12" t="s">
        <v>47</v>
      </c>
      <c r="X74" s="17"/>
      <c r="Y74" s="13">
        <v>10</v>
      </c>
      <c r="Z74" s="13">
        <v>7</v>
      </c>
      <c r="AA74" s="13">
        <v>9</v>
      </c>
      <c r="AB74" s="14">
        <v>12</v>
      </c>
      <c r="AC74" s="9"/>
      <c r="AD74" s="16"/>
      <c r="AE74" s="10"/>
      <c r="AF74" s="10"/>
      <c r="AG74" s="10"/>
      <c r="AH74" s="11"/>
      <c r="AI74" s="12"/>
      <c r="AJ74" s="17"/>
      <c r="AK74" s="13"/>
      <c r="AL74" s="13"/>
      <c r="AM74" s="13"/>
      <c r="AN74" s="14"/>
      <c r="AO74" s="9"/>
      <c r="AP74" s="16"/>
      <c r="AQ74" s="10"/>
      <c r="AR74" s="10"/>
      <c r="AS74" s="10"/>
      <c r="AT74" s="11"/>
      <c r="AU74" s="12"/>
      <c r="AV74" s="17"/>
      <c r="AW74" s="13"/>
      <c r="AX74" s="13"/>
      <c r="AY74" s="13"/>
      <c r="AZ74" s="14"/>
      <c r="BA74" s="9"/>
      <c r="BB74" s="16"/>
      <c r="BC74" s="10"/>
      <c r="BD74" s="10"/>
      <c r="BE74" s="10"/>
      <c r="BF74" s="11"/>
      <c r="BG74" s="12"/>
      <c r="BH74" s="17"/>
      <c r="BI74" s="13"/>
      <c r="BJ74" s="13"/>
      <c r="BK74" s="13"/>
      <c r="BL74" s="14"/>
      <c r="BM74" s="8">
        <f t="shared" si="18"/>
        <v>28</v>
      </c>
      <c r="BN74" s="8">
        <f t="shared" si="19"/>
        <v>54</v>
      </c>
      <c r="BO74" s="8">
        <f t="shared" si="20"/>
        <v>35</v>
      </c>
      <c r="BP74" s="8">
        <f t="shared" si="21"/>
        <v>40</v>
      </c>
      <c r="BQ74" s="8">
        <f t="shared" si="22"/>
        <v>54</v>
      </c>
      <c r="BR74" s="8">
        <f t="shared" si="23"/>
        <v>28</v>
      </c>
      <c r="BS74" s="15">
        <f t="shared" si="24"/>
        <v>39.563504546488289</v>
      </c>
      <c r="BT74" s="15" t="str">
        <f t="shared" si="25"/>
        <v>OK - No Upgrade</v>
      </c>
      <c r="BU74" s="15" t="str">
        <f t="shared" si="26"/>
        <v>Need to Balance</v>
      </c>
    </row>
    <row r="75" spans="1:73" ht="15.75" customHeight="1" x14ac:dyDescent="0.25">
      <c r="A75" s="8" t="s">
        <v>3005</v>
      </c>
      <c r="B75" s="8" t="s">
        <v>3006</v>
      </c>
      <c r="C75" s="8" t="s">
        <v>265</v>
      </c>
      <c r="D75" s="8" t="s">
        <v>3189</v>
      </c>
      <c r="E75" s="8" t="s">
        <v>3192</v>
      </c>
      <c r="F75" s="8" t="s">
        <v>43</v>
      </c>
      <c r="G75" s="8"/>
      <c r="H75" s="8">
        <v>200</v>
      </c>
      <c r="I75" s="8" t="s">
        <v>3193</v>
      </c>
      <c r="J75" s="8">
        <v>1</v>
      </c>
      <c r="K75" s="8">
        <v>248</v>
      </c>
      <c r="L75" s="8">
        <v>249</v>
      </c>
      <c r="M75" s="8">
        <v>250</v>
      </c>
      <c r="N75" s="8">
        <v>430</v>
      </c>
      <c r="O75" s="8">
        <v>436</v>
      </c>
      <c r="P75" s="8">
        <v>428</v>
      </c>
      <c r="Q75" s="9" t="s">
        <v>46</v>
      </c>
      <c r="R75" s="16"/>
      <c r="S75" s="10">
        <v>182</v>
      </c>
      <c r="T75" s="10">
        <v>144</v>
      </c>
      <c r="U75" s="10">
        <v>134</v>
      </c>
      <c r="V75" s="11">
        <v>46</v>
      </c>
      <c r="W75" s="12"/>
      <c r="X75" s="17"/>
      <c r="Y75" s="13">
        <v>190</v>
      </c>
      <c r="Z75" s="13">
        <v>172</v>
      </c>
      <c r="AA75" s="13">
        <v>145</v>
      </c>
      <c r="AB75" s="14">
        <v>27</v>
      </c>
      <c r="AC75" s="9"/>
      <c r="AD75" s="16"/>
      <c r="AE75" s="10"/>
      <c r="AF75" s="10"/>
      <c r="AG75" s="10"/>
      <c r="AH75" s="11"/>
      <c r="AI75" s="12"/>
      <c r="AJ75" s="17"/>
      <c r="AK75" s="13"/>
      <c r="AL75" s="13"/>
      <c r="AM75" s="13"/>
      <c r="AN75" s="14"/>
      <c r="AO75" s="9"/>
      <c r="AP75" s="16"/>
      <c r="AQ75" s="10"/>
      <c r="AR75" s="10"/>
      <c r="AS75" s="10"/>
      <c r="AT75" s="11"/>
      <c r="AU75" s="12"/>
      <c r="AV75" s="17"/>
      <c r="AW75" s="13"/>
      <c r="AX75" s="13"/>
      <c r="AY75" s="13"/>
      <c r="AZ75" s="14"/>
      <c r="BA75" s="9"/>
      <c r="BB75" s="16"/>
      <c r="BC75" s="10"/>
      <c r="BD75" s="10"/>
      <c r="BE75" s="10"/>
      <c r="BF75" s="11"/>
      <c r="BG75" s="12"/>
      <c r="BH75" s="17"/>
      <c r="BI75" s="13"/>
      <c r="BJ75" s="13"/>
      <c r="BK75" s="13"/>
      <c r="BL75" s="14"/>
      <c r="BM75" s="8">
        <f t="shared" si="18"/>
        <v>372</v>
      </c>
      <c r="BN75" s="8">
        <f t="shared" si="19"/>
        <v>316</v>
      </c>
      <c r="BO75" s="8">
        <f t="shared" si="20"/>
        <v>279</v>
      </c>
      <c r="BP75" s="8">
        <f t="shared" si="21"/>
        <v>73</v>
      </c>
      <c r="BQ75" s="8">
        <f t="shared" si="22"/>
        <v>372</v>
      </c>
      <c r="BR75" s="8">
        <f t="shared" si="23"/>
        <v>279</v>
      </c>
      <c r="BS75" s="15">
        <f t="shared" si="24"/>
        <v>138.5294235893588</v>
      </c>
      <c r="BT75" s="15" t="str">
        <f t="shared" si="25"/>
        <v>Upgrade</v>
      </c>
      <c r="BU75" s="15" t="str">
        <f t="shared" si="26"/>
        <v>Need to Balance</v>
      </c>
    </row>
    <row r="76" spans="1:73" ht="15.75" customHeight="1" x14ac:dyDescent="0.25">
      <c r="A76" s="8" t="s">
        <v>3005</v>
      </c>
      <c r="B76" s="8" t="s">
        <v>3006</v>
      </c>
      <c r="C76" s="8" t="s">
        <v>265</v>
      </c>
      <c r="D76" s="8" t="s">
        <v>3194</v>
      </c>
      <c r="E76" s="8" t="s">
        <v>3195</v>
      </c>
      <c r="F76" s="8" t="s">
        <v>43</v>
      </c>
      <c r="G76" s="8"/>
      <c r="H76" s="8">
        <v>100</v>
      </c>
      <c r="I76" s="8" t="s">
        <v>3196</v>
      </c>
      <c r="J76" s="8">
        <v>1</v>
      </c>
      <c r="K76" s="8">
        <v>246</v>
      </c>
      <c r="L76" s="8">
        <v>246</v>
      </c>
      <c r="M76" s="8">
        <v>247</v>
      </c>
      <c r="N76" s="8">
        <v>426</v>
      </c>
      <c r="O76" s="8">
        <v>427</v>
      </c>
      <c r="P76" s="8">
        <v>426</v>
      </c>
      <c r="Q76" s="9" t="s">
        <v>132</v>
      </c>
      <c r="R76" s="16"/>
      <c r="S76" s="10">
        <v>14</v>
      </c>
      <c r="T76" s="10">
        <v>5</v>
      </c>
      <c r="U76" s="10">
        <v>5</v>
      </c>
      <c r="V76" s="11">
        <v>12</v>
      </c>
      <c r="W76" s="12"/>
      <c r="X76" s="17"/>
      <c r="Y76" s="13"/>
      <c r="Z76" s="13"/>
      <c r="AA76" s="13"/>
      <c r="AB76" s="14"/>
      <c r="AC76" s="9"/>
      <c r="AD76" s="16"/>
      <c r="AE76" s="10"/>
      <c r="AF76" s="10"/>
      <c r="AG76" s="10"/>
      <c r="AH76" s="11"/>
      <c r="AI76" s="12"/>
      <c r="AJ76" s="17"/>
      <c r="AK76" s="13"/>
      <c r="AL76" s="13"/>
      <c r="AM76" s="13"/>
      <c r="AN76" s="14"/>
      <c r="AO76" s="9"/>
      <c r="AP76" s="16"/>
      <c r="AQ76" s="10"/>
      <c r="AR76" s="10"/>
      <c r="AS76" s="10"/>
      <c r="AT76" s="11"/>
      <c r="AU76" s="12"/>
      <c r="AV76" s="17"/>
      <c r="AW76" s="13"/>
      <c r="AX76" s="13"/>
      <c r="AY76" s="13"/>
      <c r="AZ76" s="14"/>
      <c r="BA76" s="9"/>
      <c r="BB76" s="16"/>
      <c r="BC76" s="10"/>
      <c r="BD76" s="10"/>
      <c r="BE76" s="10"/>
      <c r="BF76" s="11"/>
      <c r="BG76" s="12"/>
      <c r="BH76" s="17"/>
      <c r="BI76" s="13"/>
      <c r="BJ76" s="13"/>
      <c r="BK76" s="13"/>
      <c r="BL76" s="14"/>
      <c r="BM76" s="8">
        <f t="shared" si="18"/>
        <v>14</v>
      </c>
      <c r="BN76" s="8">
        <f t="shared" si="19"/>
        <v>5</v>
      </c>
      <c r="BO76" s="8">
        <f t="shared" si="20"/>
        <v>5</v>
      </c>
      <c r="BP76" s="8">
        <f t="shared" si="21"/>
        <v>12</v>
      </c>
      <c r="BQ76" s="8">
        <f t="shared" si="22"/>
        <v>14</v>
      </c>
      <c r="BR76" s="8">
        <f t="shared" si="23"/>
        <v>5</v>
      </c>
      <c r="BS76" s="15">
        <f t="shared" si="24"/>
        <v>10.329951016340782</v>
      </c>
      <c r="BT76" s="15" t="str">
        <f t="shared" si="25"/>
        <v>OK - No Upgrade</v>
      </c>
      <c r="BU76" s="15" t="str">
        <f t="shared" si="26"/>
        <v>Need to Balance</v>
      </c>
    </row>
    <row r="77" spans="1:73" ht="15.75" customHeight="1" x14ac:dyDescent="0.25">
      <c r="A77" s="8" t="s">
        <v>3005</v>
      </c>
      <c r="B77" s="8" t="s">
        <v>3006</v>
      </c>
      <c r="C77" s="8" t="s">
        <v>265</v>
      </c>
      <c r="D77" s="8" t="s">
        <v>3197</v>
      </c>
      <c r="E77" s="8" t="s">
        <v>3198</v>
      </c>
      <c r="F77" s="8" t="s">
        <v>56</v>
      </c>
      <c r="G77" s="8"/>
      <c r="H77" s="8">
        <v>1000</v>
      </c>
      <c r="I77" s="8" t="s">
        <v>3199</v>
      </c>
      <c r="J77" s="8">
        <v>1</v>
      </c>
      <c r="K77" s="8">
        <v>246</v>
      </c>
      <c r="L77" s="8">
        <v>245</v>
      </c>
      <c r="M77" s="8">
        <v>246</v>
      </c>
      <c r="N77" s="8">
        <v>425</v>
      </c>
      <c r="O77" s="8">
        <v>426</v>
      </c>
      <c r="P77" s="8">
        <v>422</v>
      </c>
      <c r="Q77" s="9"/>
      <c r="R77" s="16"/>
      <c r="S77" s="10"/>
      <c r="T77" s="10"/>
      <c r="U77" s="10"/>
      <c r="V77" s="11"/>
      <c r="W77" s="12"/>
      <c r="X77" s="17"/>
      <c r="Y77" s="13"/>
      <c r="Z77" s="13"/>
      <c r="AA77" s="13"/>
      <c r="AB77" s="14"/>
      <c r="AC77" s="9"/>
      <c r="AD77" s="16"/>
      <c r="AE77" s="10"/>
      <c r="AF77" s="10"/>
      <c r="AG77" s="10"/>
      <c r="AH77" s="11"/>
      <c r="AI77" s="12"/>
      <c r="AJ77" s="17"/>
      <c r="AK77" s="13"/>
      <c r="AL77" s="13"/>
      <c r="AM77" s="13"/>
      <c r="AN77" s="14"/>
      <c r="AO77" s="9" t="s">
        <v>47</v>
      </c>
      <c r="AP77" s="16"/>
      <c r="AQ77" s="10">
        <v>107</v>
      </c>
      <c r="AR77" s="10">
        <v>85</v>
      </c>
      <c r="AS77" s="10">
        <v>41</v>
      </c>
      <c r="AT77" s="11">
        <v>51</v>
      </c>
      <c r="AU77" s="12" t="s">
        <v>47</v>
      </c>
      <c r="AV77" s="17"/>
      <c r="AW77" s="13">
        <v>205</v>
      </c>
      <c r="AX77" s="13">
        <v>297</v>
      </c>
      <c r="AY77" s="13">
        <v>212</v>
      </c>
      <c r="AZ77" s="14">
        <v>52</v>
      </c>
      <c r="BA77" s="9"/>
      <c r="BB77" s="16"/>
      <c r="BC77" s="10"/>
      <c r="BD77" s="10"/>
      <c r="BE77" s="10"/>
      <c r="BF77" s="11"/>
      <c r="BG77" s="12"/>
      <c r="BH77" s="17"/>
      <c r="BI77" s="13"/>
      <c r="BJ77" s="13"/>
      <c r="BK77" s="13"/>
      <c r="BL77" s="14"/>
      <c r="BM77" s="8">
        <f t="shared" si="18"/>
        <v>312</v>
      </c>
      <c r="BN77" s="8">
        <f t="shared" si="19"/>
        <v>382</v>
      </c>
      <c r="BO77" s="8">
        <f t="shared" si="20"/>
        <v>253</v>
      </c>
      <c r="BP77" s="8">
        <f t="shared" si="21"/>
        <v>103</v>
      </c>
      <c r="BQ77" s="8">
        <f t="shared" si="22"/>
        <v>382</v>
      </c>
      <c r="BR77" s="8">
        <f t="shared" si="23"/>
        <v>253</v>
      </c>
      <c r="BS77" s="15">
        <f t="shared" si="24"/>
        <v>28.119844860880722</v>
      </c>
      <c r="BT77" s="15" t="str">
        <f t="shared" si="25"/>
        <v>OK - No Upgrade</v>
      </c>
      <c r="BU77" s="15" t="str">
        <f t="shared" si="26"/>
        <v>Need to Balance</v>
      </c>
    </row>
    <row r="78" spans="1:73" ht="15.75" customHeight="1" x14ac:dyDescent="0.25">
      <c r="A78" s="8" t="s">
        <v>3005</v>
      </c>
      <c r="B78" s="8" t="s">
        <v>3006</v>
      </c>
      <c r="C78" s="8" t="s">
        <v>265</v>
      </c>
      <c r="D78" s="8" t="s">
        <v>3200</v>
      </c>
      <c r="E78" s="8" t="s">
        <v>3201</v>
      </c>
      <c r="F78" s="8" t="s">
        <v>43</v>
      </c>
      <c r="G78" s="8"/>
      <c r="H78" s="8">
        <v>315</v>
      </c>
      <c r="I78" s="8" t="s">
        <v>2472</v>
      </c>
      <c r="J78" s="8">
        <v>1</v>
      </c>
      <c r="K78" s="8">
        <v>247</v>
      </c>
      <c r="L78" s="8">
        <v>246</v>
      </c>
      <c r="M78" s="8">
        <v>247</v>
      </c>
      <c r="N78" s="8">
        <v>427</v>
      </c>
      <c r="O78" s="8">
        <v>428</v>
      </c>
      <c r="P78" s="8">
        <v>426</v>
      </c>
      <c r="Q78" s="9" t="s">
        <v>47</v>
      </c>
      <c r="R78" s="16"/>
      <c r="S78" s="10">
        <v>33</v>
      </c>
      <c r="T78" s="10">
        <v>20</v>
      </c>
      <c r="U78" s="10">
        <v>15</v>
      </c>
      <c r="V78" s="11">
        <v>19</v>
      </c>
      <c r="W78" s="12"/>
      <c r="X78" s="17"/>
      <c r="Y78" s="13"/>
      <c r="Z78" s="13"/>
      <c r="AA78" s="13"/>
      <c r="AB78" s="14"/>
      <c r="AC78" s="9"/>
      <c r="AD78" s="16"/>
      <c r="AE78" s="10"/>
      <c r="AF78" s="10"/>
      <c r="AG78" s="10"/>
      <c r="AH78" s="11"/>
      <c r="AI78" s="12"/>
      <c r="AJ78" s="17"/>
      <c r="AK78" s="13"/>
      <c r="AL78" s="13"/>
      <c r="AM78" s="13"/>
      <c r="AN78" s="14"/>
      <c r="AO78" s="9"/>
      <c r="AP78" s="16"/>
      <c r="AQ78" s="10"/>
      <c r="AR78" s="10"/>
      <c r="AS78" s="10"/>
      <c r="AT78" s="11"/>
      <c r="AU78" s="12"/>
      <c r="AV78" s="17"/>
      <c r="AW78" s="13"/>
      <c r="AX78" s="13"/>
      <c r="AY78" s="13"/>
      <c r="AZ78" s="14"/>
      <c r="BA78" s="9"/>
      <c r="BB78" s="16"/>
      <c r="BC78" s="10"/>
      <c r="BD78" s="10"/>
      <c r="BE78" s="10"/>
      <c r="BF78" s="11"/>
      <c r="BG78" s="12"/>
      <c r="BH78" s="17"/>
      <c r="BI78" s="13"/>
      <c r="BJ78" s="13"/>
      <c r="BK78" s="13"/>
      <c r="BL78" s="14"/>
      <c r="BM78" s="8">
        <f t="shared" si="18"/>
        <v>33</v>
      </c>
      <c r="BN78" s="8">
        <f t="shared" si="19"/>
        <v>20</v>
      </c>
      <c r="BO78" s="8">
        <f t="shared" si="20"/>
        <v>15</v>
      </c>
      <c r="BP78" s="8">
        <f t="shared" si="21"/>
        <v>19</v>
      </c>
      <c r="BQ78" s="8">
        <f t="shared" si="22"/>
        <v>33</v>
      </c>
      <c r="BR78" s="8">
        <f t="shared" si="23"/>
        <v>15</v>
      </c>
      <c r="BS78" s="15">
        <f t="shared" si="24"/>
        <v>7.7480406125247772</v>
      </c>
      <c r="BT78" s="15" t="str">
        <f t="shared" si="25"/>
        <v>OK - No Upgrade</v>
      </c>
      <c r="BU78" s="15" t="str">
        <f t="shared" si="26"/>
        <v>Need to Balance</v>
      </c>
    </row>
    <row r="79" spans="1:73" ht="15.75" customHeight="1" x14ac:dyDescent="0.25">
      <c r="A79" s="8" t="s">
        <v>3005</v>
      </c>
      <c r="B79" s="8" t="s">
        <v>3006</v>
      </c>
      <c r="C79" s="8" t="s">
        <v>265</v>
      </c>
      <c r="D79" s="8" t="s">
        <v>3202</v>
      </c>
      <c r="E79" s="8" t="s">
        <v>3203</v>
      </c>
      <c r="F79" s="8" t="s">
        <v>43</v>
      </c>
      <c r="G79" s="8"/>
      <c r="H79" s="8">
        <v>100</v>
      </c>
      <c r="I79" s="8" t="s">
        <v>3204</v>
      </c>
      <c r="J79" s="8">
        <v>1</v>
      </c>
      <c r="K79" s="8">
        <v>246</v>
      </c>
      <c r="L79" s="8">
        <v>247</v>
      </c>
      <c r="M79" s="8">
        <v>246</v>
      </c>
      <c r="N79" s="8">
        <v>427</v>
      </c>
      <c r="O79" s="8">
        <v>426</v>
      </c>
      <c r="P79" s="8">
        <v>428</v>
      </c>
      <c r="Q79" s="9" t="s">
        <v>47</v>
      </c>
      <c r="R79" s="16"/>
      <c r="S79" s="10">
        <v>0</v>
      </c>
      <c r="T79" s="10">
        <v>0</v>
      </c>
      <c r="U79" s="10">
        <v>18</v>
      </c>
      <c r="V79" s="11">
        <v>17</v>
      </c>
      <c r="W79" s="12"/>
      <c r="X79" s="17"/>
      <c r="Y79" s="13"/>
      <c r="Z79" s="13"/>
      <c r="AA79" s="13"/>
      <c r="AB79" s="14"/>
      <c r="AC79" s="9"/>
      <c r="AD79" s="16"/>
      <c r="AE79" s="10"/>
      <c r="AF79" s="10"/>
      <c r="AG79" s="10"/>
      <c r="AH79" s="11"/>
      <c r="AI79" s="12"/>
      <c r="AJ79" s="17"/>
      <c r="AK79" s="13"/>
      <c r="AL79" s="13"/>
      <c r="AM79" s="13"/>
      <c r="AN79" s="14"/>
      <c r="AO79" s="9"/>
      <c r="AP79" s="16"/>
      <c r="AQ79" s="10"/>
      <c r="AR79" s="10"/>
      <c r="AS79" s="10"/>
      <c r="AT79" s="11"/>
      <c r="AU79" s="12"/>
      <c r="AV79" s="17"/>
      <c r="AW79" s="13"/>
      <c r="AX79" s="13"/>
      <c r="AY79" s="13"/>
      <c r="AZ79" s="14"/>
      <c r="BA79" s="9"/>
      <c r="BB79" s="16"/>
      <c r="BC79" s="10"/>
      <c r="BD79" s="10"/>
      <c r="BE79" s="10"/>
      <c r="BF79" s="11"/>
      <c r="BG79" s="12"/>
      <c r="BH79" s="17"/>
      <c r="BI79" s="13"/>
      <c r="BJ79" s="13"/>
      <c r="BK79" s="13"/>
      <c r="BL79" s="14"/>
      <c r="BM79" s="8">
        <f t="shared" si="18"/>
        <v>0</v>
      </c>
      <c r="BN79" s="8">
        <f t="shared" si="19"/>
        <v>0</v>
      </c>
      <c r="BO79" s="8">
        <f t="shared" si="20"/>
        <v>18</v>
      </c>
      <c r="BP79" s="8">
        <f t="shared" si="21"/>
        <v>17</v>
      </c>
      <c r="BQ79" s="8">
        <f t="shared" si="22"/>
        <v>18</v>
      </c>
      <c r="BR79" s="8">
        <f t="shared" si="23"/>
        <v>0</v>
      </c>
      <c r="BS79" s="15">
        <f t="shared" si="24"/>
        <v>13.31254250697439</v>
      </c>
      <c r="BT79" s="15" t="str">
        <f t="shared" si="25"/>
        <v>OK - No Upgrade</v>
      </c>
      <c r="BU79" s="15" t="str">
        <f t="shared" si="26"/>
        <v>Need to Balance</v>
      </c>
    </row>
    <row r="80" spans="1:73" ht="15.75" customHeight="1" x14ac:dyDescent="0.25">
      <c r="A80" s="8" t="s">
        <v>3005</v>
      </c>
      <c r="B80" s="8" t="s">
        <v>3006</v>
      </c>
      <c r="C80" s="8" t="s">
        <v>265</v>
      </c>
      <c r="D80" s="8" t="s">
        <v>3202</v>
      </c>
      <c r="E80" s="8" t="s">
        <v>3205</v>
      </c>
      <c r="F80" s="8" t="s">
        <v>43</v>
      </c>
      <c r="G80" s="8"/>
      <c r="H80" s="8">
        <v>100</v>
      </c>
      <c r="I80" s="8" t="s">
        <v>3206</v>
      </c>
      <c r="J80" s="8">
        <v>1</v>
      </c>
      <c r="K80" s="8">
        <v>242</v>
      </c>
      <c r="L80" s="8">
        <v>244</v>
      </c>
      <c r="M80" s="8">
        <v>244</v>
      </c>
      <c r="N80" s="8">
        <v>420</v>
      </c>
      <c r="O80" s="8">
        <v>422</v>
      </c>
      <c r="P80" s="8">
        <v>422</v>
      </c>
      <c r="Q80" s="9" t="s">
        <v>46</v>
      </c>
      <c r="R80" s="16"/>
      <c r="S80" s="10">
        <v>9</v>
      </c>
      <c r="T80" s="10">
        <v>1</v>
      </c>
      <c r="U80" s="10">
        <v>1</v>
      </c>
      <c r="V80" s="11">
        <v>10</v>
      </c>
      <c r="W80" s="12" t="s">
        <v>47</v>
      </c>
      <c r="X80" s="17"/>
      <c r="Y80" s="13">
        <v>42</v>
      </c>
      <c r="Z80" s="13">
        <v>63</v>
      </c>
      <c r="AA80" s="13">
        <v>74</v>
      </c>
      <c r="AB80" s="14">
        <v>27</v>
      </c>
      <c r="AC80" s="9"/>
      <c r="AD80" s="16"/>
      <c r="AE80" s="10"/>
      <c r="AF80" s="10"/>
      <c r="AG80" s="10"/>
      <c r="AH80" s="11"/>
      <c r="AI80" s="12"/>
      <c r="AJ80" s="17"/>
      <c r="AK80" s="13"/>
      <c r="AL80" s="13"/>
      <c r="AM80" s="13"/>
      <c r="AN80" s="14"/>
      <c r="AO80" s="9"/>
      <c r="AP80" s="16"/>
      <c r="AQ80" s="10"/>
      <c r="AR80" s="10"/>
      <c r="AS80" s="10"/>
      <c r="AT80" s="11"/>
      <c r="AU80" s="12"/>
      <c r="AV80" s="17"/>
      <c r="AW80" s="13"/>
      <c r="AX80" s="13"/>
      <c r="AY80" s="13"/>
      <c r="AZ80" s="14"/>
      <c r="BA80" s="9"/>
      <c r="BB80" s="16"/>
      <c r="BC80" s="10"/>
      <c r="BD80" s="10"/>
      <c r="BE80" s="10"/>
      <c r="BF80" s="11"/>
      <c r="BG80" s="12"/>
      <c r="BH80" s="17"/>
      <c r="BI80" s="13"/>
      <c r="BJ80" s="13"/>
      <c r="BK80" s="13"/>
      <c r="BL80" s="14"/>
      <c r="BM80" s="8">
        <f t="shared" si="18"/>
        <v>51</v>
      </c>
      <c r="BN80" s="8">
        <f t="shared" si="19"/>
        <v>64</v>
      </c>
      <c r="BO80" s="8">
        <f t="shared" si="20"/>
        <v>75</v>
      </c>
      <c r="BP80" s="8">
        <f t="shared" si="21"/>
        <v>37</v>
      </c>
      <c r="BQ80" s="8">
        <f t="shared" si="22"/>
        <v>75</v>
      </c>
      <c r="BR80" s="8">
        <f t="shared" si="23"/>
        <v>51</v>
      </c>
      <c r="BS80" s="15">
        <f t="shared" si="24"/>
        <v>54.559600438419629</v>
      </c>
      <c r="BT80" s="15" t="str">
        <f t="shared" si="25"/>
        <v>OK - No Upgrade</v>
      </c>
      <c r="BU80" s="15" t="str">
        <f t="shared" si="26"/>
        <v>Need to Balance</v>
      </c>
    </row>
    <row r="81" spans="1:73" ht="15.75" customHeight="1" x14ac:dyDescent="0.25">
      <c r="A81" s="8" t="s">
        <v>3005</v>
      </c>
      <c r="B81" s="8" t="s">
        <v>3006</v>
      </c>
      <c r="C81" s="8" t="s">
        <v>265</v>
      </c>
      <c r="D81" s="8" t="s">
        <v>3207</v>
      </c>
      <c r="E81" s="8" t="s">
        <v>3208</v>
      </c>
      <c r="F81" s="8" t="s">
        <v>43</v>
      </c>
      <c r="G81" s="8"/>
      <c r="H81" s="8">
        <v>200</v>
      </c>
      <c r="I81" s="8" t="s">
        <v>3209</v>
      </c>
      <c r="J81" s="8">
        <v>1</v>
      </c>
      <c r="K81" s="8">
        <v>243</v>
      </c>
      <c r="L81" s="8">
        <v>243</v>
      </c>
      <c r="M81" s="8">
        <v>242</v>
      </c>
      <c r="N81" s="8">
        <v>421</v>
      </c>
      <c r="O81" s="8">
        <v>419</v>
      </c>
      <c r="P81" s="8">
        <v>420</v>
      </c>
      <c r="Q81" s="9" t="s">
        <v>46</v>
      </c>
      <c r="R81" s="16"/>
      <c r="S81" s="10">
        <v>175</v>
      </c>
      <c r="T81" s="10">
        <v>159</v>
      </c>
      <c r="U81" s="10">
        <v>163</v>
      </c>
      <c r="V81" s="11">
        <v>58</v>
      </c>
      <c r="W81" s="12"/>
      <c r="X81" s="17"/>
      <c r="Y81" s="13"/>
      <c r="Z81" s="13"/>
      <c r="AA81" s="13"/>
      <c r="AB81" s="14"/>
      <c r="AC81" s="9"/>
      <c r="AD81" s="16"/>
      <c r="AE81" s="10"/>
      <c r="AF81" s="10"/>
      <c r="AG81" s="10"/>
      <c r="AH81" s="11"/>
      <c r="AI81" s="12"/>
      <c r="AJ81" s="17"/>
      <c r="AK81" s="13"/>
      <c r="AL81" s="13"/>
      <c r="AM81" s="13"/>
      <c r="AN81" s="14"/>
      <c r="AO81" s="9"/>
      <c r="AP81" s="16"/>
      <c r="AQ81" s="10"/>
      <c r="AR81" s="10"/>
      <c r="AS81" s="10"/>
      <c r="AT81" s="11"/>
      <c r="AU81" s="12"/>
      <c r="AV81" s="17"/>
      <c r="AW81" s="13"/>
      <c r="AX81" s="13"/>
      <c r="AY81" s="13"/>
      <c r="AZ81" s="14"/>
      <c r="BA81" s="9"/>
      <c r="BB81" s="16"/>
      <c r="BC81" s="10"/>
      <c r="BD81" s="10"/>
      <c r="BE81" s="10"/>
      <c r="BF81" s="11"/>
      <c r="BG81" s="12"/>
      <c r="BH81" s="17"/>
      <c r="BI81" s="13"/>
      <c r="BJ81" s="13"/>
      <c r="BK81" s="13"/>
      <c r="BL81" s="14"/>
      <c r="BM81" s="8">
        <f t="shared" si="18"/>
        <v>175</v>
      </c>
      <c r="BN81" s="8">
        <f t="shared" si="19"/>
        <v>159</v>
      </c>
      <c r="BO81" s="8">
        <f t="shared" si="20"/>
        <v>163</v>
      </c>
      <c r="BP81" s="8">
        <f t="shared" si="21"/>
        <v>58</v>
      </c>
      <c r="BQ81" s="8">
        <f t="shared" si="22"/>
        <v>175</v>
      </c>
      <c r="BR81" s="8">
        <f t="shared" si="23"/>
        <v>159</v>
      </c>
      <c r="BS81" s="15">
        <f t="shared" si="24"/>
        <v>63.804421623818506</v>
      </c>
      <c r="BT81" s="15" t="str">
        <f t="shared" si="25"/>
        <v>OK - No Upgrade</v>
      </c>
      <c r="BU81" s="15" t="str">
        <f t="shared" si="26"/>
        <v>OK - Balanced</v>
      </c>
    </row>
    <row r="82" spans="1:73" ht="15.75" customHeight="1" x14ac:dyDescent="0.25">
      <c r="A82" s="8" t="s">
        <v>3005</v>
      </c>
      <c r="B82" s="8" t="s">
        <v>3006</v>
      </c>
      <c r="C82" s="8" t="s">
        <v>265</v>
      </c>
      <c r="D82" s="8" t="s">
        <v>3207</v>
      </c>
      <c r="E82" s="8" t="s">
        <v>3210</v>
      </c>
      <c r="F82" s="8" t="s">
        <v>43</v>
      </c>
      <c r="G82" s="8"/>
      <c r="H82" s="8">
        <v>200</v>
      </c>
      <c r="I82" s="8" t="s">
        <v>3211</v>
      </c>
      <c r="J82" s="8">
        <v>1</v>
      </c>
      <c r="K82" s="8">
        <v>242</v>
      </c>
      <c r="L82" s="8">
        <v>245</v>
      </c>
      <c r="M82" s="8">
        <v>245</v>
      </c>
      <c r="N82" s="8">
        <v>420</v>
      </c>
      <c r="O82" s="8">
        <v>422</v>
      </c>
      <c r="P82" s="8">
        <v>424</v>
      </c>
      <c r="Q82" s="9" t="s">
        <v>46</v>
      </c>
      <c r="R82" s="16"/>
      <c r="S82" s="10">
        <v>166</v>
      </c>
      <c r="T82" s="10">
        <v>95</v>
      </c>
      <c r="U82" s="10">
        <v>113</v>
      </c>
      <c r="V82" s="11">
        <v>56</v>
      </c>
      <c r="W82" s="12" t="s">
        <v>46</v>
      </c>
      <c r="X82" s="17"/>
      <c r="Y82" s="13">
        <v>36</v>
      </c>
      <c r="Z82" s="13">
        <v>30</v>
      </c>
      <c r="AA82" s="13">
        <v>17</v>
      </c>
      <c r="AB82" s="14">
        <v>23</v>
      </c>
      <c r="AC82" s="9"/>
      <c r="AD82" s="16"/>
      <c r="AE82" s="10"/>
      <c r="AF82" s="10"/>
      <c r="AG82" s="10"/>
      <c r="AH82" s="11"/>
      <c r="AI82" s="12"/>
      <c r="AJ82" s="17"/>
      <c r="AK82" s="13"/>
      <c r="AL82" s="13"/>
      <c r="AM82" s="13"/>
      <c r="AN82" s="14"/>
      <c r="AO82" s="9"/>
      <c r="AP82" s="16"/>
      <c r="AQ82" s="10"/>
      <c r="AR82" s="10"/>
      <c r="AS82" s="10"/>
      <c r="AT82" s="11"/>
      <c r="AU82" s="12"/>
      <c r="AV82" s="17"/>
      <c r="AW82" s="13"/>
      <c r="AX82" s="13"/>
      <c r="AY82" s="13"/>
      <c r="AZ82" s="14"/>
      <c r="BA82" s="9"/>
      <c r="BB82" s="16"/>
      <c r="BC82" s="10"/>
      <c r="BD82" s="10"/>
      <c r="BE82" s="10"/>
      <c r="BF82" s="11"/>
      <c r="BG82" s="12"/>
      <c r="BH82" s="17"/>
      <c r="BI82" s="13"/>
      <c r="BJ82" s="13"/>
      <c r="BK82" s="13"/>
      <c r="BL82" s="14"/>
      <c r="BM82" s="8">
        <f t="shared" si="18"/>
        <v>202</v>
      </c>
      <c r="BN82" s="8">
        <f t="shared" si="19"/>
        <v>125</v>
      </c>
      <c r="BO82" s="8">
        <f t="shared" si="20"/>
        <v>130</v>
      </c>
      <c r="BP82" s="8">
        <f t="shared" si="21"/>
        <v>79</v>
      </c>
      <c r="BQ82" s="8">
        <f t="shared" si="22"/>
        <v>202</v>
      </c>
      <c r="BR82" s="8">
        <f t="shared" si="23"/>
        <v>125</v>
      </c>
      <c r="BS82" s="15">
        <f t="shared" si="24"/>
        <v>73.473595257071764</v>
      </c>
      <c r="BT82" s="15" t="str">
        <f t="shared" si="25"/>
        <v>Upgrade</v>
      </c>
      <c r="BU82" s="15" t="str">
        <f t="shared" si="26"/>
        <v>Need to Balance</v>
      </c>
    </row>
    <row r="83" spans="1:73" ht="15.75" customHeight="1" x14ac:dyDescent="0.25">
      <c r="A83" s="8" t="s">
        <v>3005</v>
      </c>
      <c r="B83" s="8" t="s">
        <v>3006</v>
      </c>
      <c r="C83" s="8" t="s">
        <v>265</v>
      </c>
      <c r="D83" s="8" t="s">
        <v>3212</v>
      </c>
      <c r="E83" s="8" t="s">
        <v>3213</v>
      </c>
      <c r="F83" s="8" t="s">
        <v>43</v>
      </c>
      <c r="G83" s="8"/>
      <c r="H83" s="8">
        <v>200</v>
      </c>
      <c r="I83" s="8" t="s">
        <v>2481</v>
      </c>
      <c r="J83" s="8">
        <v>1</v>
      </c>
      <c r="K83" s="8">
        <v>246</v>
      </c>
      <c r="L83" s="8">
        <v>247</v>
      </c>
      <c r="M83" s="8">
        <v>247</v>
      </c>
      <c r="N83" s="8">
        <v>427</v>
      </c>
      <c r="O83" s="8">
        <v>426</v>
      </c>
      <c r="P83" s="8">
        <v>429</v>
      </c>
      <c r="Q83" s="9" t="s">
        <v>47</v>
      </c>
      <c r="R83" s="16"/>
      <c r="S83" s="10">
        <v>36</v>
      </c>
      <c r="T83" s="10">
        <v>9</v>
      </c>
      <c r="U83" s="10">
        <v>41</v>
      </c>
      <c r="V83" s="11">
        <v>26</v>
      </c>
      <c r="W83" s="12"/>
      <c r="X83" s="17"/>
      <c r="Y83" s="13"/>
      <c r="Z83" s="13"/>
      <c r="AA83" s="13"/>
      <c r="AB83" s="14"/>
      <c r="AC83" s="9"/>
      <c r="AD83" s="16"/>
      <c r="AE83" s="10"/>
      <c r="AF83" s="10"/>
      <c r="AG83" s="10"/>
      <c r="AH83" s="11"/>
      <c r="AI83" s="12"/>
      <c r="AJ83" s="17"/>
      <c r="AK83" s="13"/>
      <c r="AL83" s="13"/>
      <c r="AM83" s="13"/>
      <c r="AN83" s="14"/>
      <c r="AO83" s="9"/>
      <c r="AP83" s="16"/>
      <c r="AQ83" s="10"/>
      <c r="AR83" s="10"/>
      <c r="AS83" s="10"/>
      <c r="AT83" s="11"/>
      <c r="AU83" s="12"/>
      <c r="AV83" s="17"/>
      <c r="AW83" s="13"/>
      <c r="AX83" s="13"/>
      <c r="AY83" s="13"/>
      <c r="AZ83" s="14"/>
      <c r="BA83" s="9"/>
      <c r="BB83" s="16"/>
      <c r="BC83" s="10"/>
      <c r="BD83" s="10"/>
      <c r="BE83" s="10"/>
      <c r="BF83" s="11"/>
      <c r="BG83" s="12"/>
      <c r="BH83" s="17"/>
      <c r="BI83" s="13"/>
      <c r="BJ83" s="13"/>
      <c r="BK83" s="13"/>
      <c r="BL83" s="14"/>
      <c r="BM83" s="8">
        <f t="shared" si="18"/>
        <v>36</v>
      </c>
      <c r="BN83" s="8">
        <f t="shared" si="19"/>
        <v>9</v>
      </c>
      <c r="BO83" s="8">
        <f t="shared" si="20"/>
        <v>41</v>
      </c>
      <c r="BP83" s="8">
        <f t="shared" si="21"/>
        <v>26</v>
      </c>
      <c r="BQ83" s="8">
        <f t="shared" si="22"/>
        <v>41</v>
      </c>
      <c r="BR83" s="8">
        <f t="shared" si="23"/>
        <v>9</v>
      </c>
      <c r="BS83" s="15">
        <f t="shared" si="24"/>
        <v>15.161506744054165</v>
      </c>
      <c r="BT83" s="15" t="str">
        <f t="shared" si="25"/>
        <v>OK - No Upgrade</v>
      </c>
      <c r="BU83" s="15" t="str">
        <f t="shared" si="26"/>
        <v>Need to Balance</v>
      </c>
    </row>
    <row r="84" spans="1:73" ht="15.75" customHeight="1" x14ac:dyDescent="0.25">
      <c r="A84" s="8" t="s">
        <v>3005</v>
      </c>
      <c r="B84" s="8" t="s">
        <v>3006</v>
      </c>
      <c r="C84" s="8" t="s">
        <v>265</v>
      </c>
      <c r="D84" s="8" t="s">
        <v>3212</v>
      </c>
      <c r="E84" s="8" t="s">
        <v>3214</v>
      </c>
      <c r="F84" s="8" t="s">
        <v>43</v>
      </c>
      <c r="G84" s="8"/>
      <c r="H84" s="8">
        <v>200</v>
      </c>
      <c r="I84" s="8" t="s">
        <v>2478</v>
      </c>
      <c r="J84" s="8">
        <v>1</v>
      </c>
      <c r="K84" s="8">
        <v>246</v>
      </c>
      <c r="L84" s="8">
        <v>247</v>
      </c>
      <c r="M84" s="8">
        <v>246</v>
      </c>
      <c r="N84" s="8">
        <v>427</v>
      </c>
      <c r="O84" s="8">
        <v>426</v>
      </c>
      <c r="P84" s="8">
        <v>428</v>
      </c>
      <c r="Q84" s="9"/>
      <c r="R84" s="16"/>
      <c r="S84" s="10">
        <v>6</v>
      </c>
      <c r="T84" s="10">
        <v>15</v>
      </c>
      <c r="U84" s="10">
        <v>41</v>
      </c>
      <c r="V84" s="11">
        <v>22</v>
      </c>
      <c r="W84" s="12" t="s">
        <v>46</v>
      </c>
      <c r="X84" s="17"/>
      <c r="Y84" s="13">
        <v>28</v>
      </c>
      <c r="Z84" s="13">
        <v>26</v>
      </c>
      <c r="AA84" s="13">
        <v>9</v>
      </c>
      <c r="AB84" s="14">
        <v>9</v>
      </c>
      <c r="AC84" s="9"/>
      <c r="AD84" s="16"/>
      <c r="AE84" s="10"/>
      <c r="AF84" s="10"/>
      <c r="AG84" s="10"/>
      <c r="AH84" s="11"/>
      <c r="AI84" s="12"/>
      <c r="AJ84" s="17"/>
      <c r="AK84" s="13"/>
      <c r="AL84" s="13"/>
      <c r="AM84" s="13"/>
      <c r="AN84" s="14"/>
      <c r="AO84" s="9"/>
      <c r="AP84" s="16"/>
      <c r="AQ84" s="10"/>
      <c r="AR84" s="10"/>
      <c r="AS84" s="10"/>
      <c r="AT84" s="11"/>
      <c r="AU84" s="12"/>
      <c r="AV84" s="17"/>
      <c r="AW84" s="13"/>
      <c r="AX84" s="13"/>
      <c r="AY84" s="13"/>
      <c r="AZ84" s="14"/>
      <c r="BA84" s="9"/>
      <c r="BB84" s="16"/>
      <c r="BC84" s="10"/>
      <c r="BD84" s="10"/>
      <c r="BE84" s="10"/>
      <c r="BF84" s="11"/>
      <c r="BG84" s="12"/>
      <c r="BH84" s="17"/>
      <c r="BI84" s="13"/>
      <c r="BJ84" s="13"/>
      <c r="BK84" s="13"/>
      <c r="BL84" s="14"/>
      <c r="BM84" s="8">
        <f t="shared" si="18"/>
        <v>34</v>
      </c>
      <c r="BN84" s="8">
        <f t="shared" si="19"/>
        <v>41</v>
      </c>
      <c r="BO84" s="8">
        <f t="shared" si="20"/>
        <v>50</v>
      </c>
      <c r="BP84" s="8">
        <f t="shared" si="21"/>
        <v>31</v>
      </c>
      <c r="BQ84" s="8">
        <f t="shared" si="22"/>
        <v>50</v>
      </c>
      <c r="BR84" s="8">
        <f t="shared" si="23"/>
        <v>34</v>
      </c>
      <c r="BS84" s="15">
        <f t="shared" si="24"/>
        <v>18.489642370797764</v>
      </c>
      <c r="BT84" s="15" t="str">
        <f t="shared" si="25"/>
        <v>OK - No Upgrade</v>
      </c>
      <c r="BU84" s="15" t="str">
        <f t="shared" si="26"/>
        <v>Need to Balance</v>
      </c>
    </row>
    <row r="85" spans="1:73" ht="15.75" customHeight="1" x14ac:dyDescent="0.25">
      <c r="A85" s="8" t="s">
        <v>3005</v>
      </c>
      <c r="B85" s="8" t="s">
        <v>3006</v>
      </c>
      <c r="C85" s="8" t="s">
        <v>265</v>
      </c>
      <c r="D85" s="8" t="s">
        <v>3212</v>
      </c>
      <c r="E85" s="8" t="s">
        <v>3215</v>
      </c>
      <c r="F85" s="8" t="s">
        <v>43</v>
      </c>
      <c r="G85" s="8"/>
      <c r="H85" s="8">
        <v>315</v>
      </c>
      <c r="I85" s="8" t="s">
        <v>3216</v>
      </c>
      <c r="J85" s="8">
        <v>1</v>
      </c>
      <c r="K85" s="8">
        <v>247</v>
      </c>
      <c r="L85" s="8">
        <v>247</v>
      </c>
      <c r="M85" s="8">
        <v>247</v>
      </c>
      <c r="N85" s="8">
        <v>428</v>
      </c>
      <c r="O85" s="8">
        <v>428</v>
      </c>
      <c r="P85" s="8">
        <v>429</v>
      </c>
      <c r="Q85" s="9"/>
      <c r="R85" s="16"/>
      <c r="S85" s="10"/>
      <c r="T85" s="10"/>
      <c r="U85" s="10"/>
      <c r="V85" s="11"/>
      <c r="W85" s="12" t="s">
        <v>47</v>
      </c>
      <c r="X85" s="17"/>
      <c r="Y85" s="13">
        <v>58</v>
      </c>
      <c r="Z85" s="13">
        <v>68</v>
      </c>
      <c r="AA85" s="13">
        <v>62</v>
      </c>
      <c r="AB85" s="14">
        <v>10</v>
      </c>
      <c r="AC85" s="9"/>
      <c r="AD85" s="16"/>
      <c r="AE85" s="10"/>
      <c r="AF85" s="10"/>
      <c r="AG85" s="10"/>
      <c r="AH85" s="11"/>
      <c r="AI85" s="12"/>
      <c r="AJ85" s="17"/>
      <c r="AK85" s="13"/>
      <c r="AL85" s="13"/>
      <c r="AM85" s="13"/>
      <c r="AN85" s="14"/>
      <c r="AO85" s="9"/>
      <c r="AP85" s="16"/>
      <c r="AQ85" s="10"/>
      <c r="AR85" s="10"/>
      <c r="AS85" s="10"/>
      <c r="AT85" s="11"/>
      <c r="AU85" s="12"/>
      <c r="AV85" s="17"/>
      <c r="AW85" s="13"/>
      <c r="AX85" s="13"/>
      <c r="AY85" s="13"/>
      <c r="AZ85" s="14"/>
      <c r="BA85" s="9"/>
      <c r="BB85" s="16"/>
      <c r="BC85" s="10"/>
      <c r="BD85" s="10"/>
      <c r="BE85" s="10"/>
      <c r="BF85" s="11"/>
      <c r="BG85" s="12"/>
      <c r="BH85" s="17"/>
      <c r="BI85" s="13"/>
      <c r="BJ85" s="13"/>
      <c r="BK85" s="13"/>
      <c r="BL85" s="14"/>
      <c r="BM85" s="8">
        <f t="shared" si="18"/>
        <v>58</v>
      </c>
      <c r="BN85" s="8">
        <f t="shared" si="19"/>
        <v>68</v>
      </c>
      <c r="BO85" s="8">
        <f t="shared" si="20"/>
        <v>62</v>
      </c>
      <c r="BP85" s="8">
        <f t="shared" si="21"/>
        <v>10</v>
      </c>
      <c r="BQ85" s="8">
        <f t="shared" si="22"/>
        <v>68</v>
      </c>
      <c r="BR85" s="8">
        <f t="shared" si="23"/>
        <v>58</v>
      </c>
      <c r="BS85" s="15">
        <f t="shared" si="24"/>
        <v>16.003049747137972</v>
      </c>
      <c r="BT85" s="15" t="str">
        <f t="shared" si="25"/>
        <v>OK - No Upgrade</v>
      </c>
      <c r="BU85" s="15" t="str">
        <f t="shared" si="26"/>
        <v>OK - Balanced</v>
      </c>
    </row>
    <row r="86" spans="1:73" ht="15.75" customHeight="1" x14ac:dyDescent="0.25">
      <c r="A86" s="8" t="s">
        <v>3005</v>
      </c>
      <c r="B86" s="8" t="s">
        <v>3006</v>
      </c>
      <c r="C86" s="8" t="s">
        <v>389</v>
      </c>
      <c r="D86" s="8" t="s">
        <v>3217</v>
      </c>
      <c r="E86" s="8" t="s">
        <v>3218</v>
      </c>
      <c r="F86" s="8" t="s">
        <v>56</v>
      </c>
      <c r="G86" s="8"/>
      <c r="H86" s="8">
        <v>1000</v>
      </c>
      <c r="I86" s="8" t="s">
        <v>3219</v>
      </c>
      <c r="J86" s="8">
        <v>1</v>
      </c>
      <c r="K86" s="8">
        <v>241</v>
      </c>
      <c r="L86" s="8">
        <v>242</v>
      </c>
      <c r="M86" s="8">
        <v>243</v>
      </c>
      <c r="N86" s="8">
        <v>418</v>
      </c>
      <c r="O86" s="8">
        <v>418</v>
      </c>
      <c r="P86" s="8">
        <v>420</v>
      </c>
      <c r="Q86" s="9"/>
      <c r="R86" s="16"/>
      <c r="S86" s="10"/>
      <c r="T86" s="10"/>
      <c r="U86" s="10"/>
      <c r="V86" s="11"/>
      <c r="W86" s="12"/>
      <c r="X86" s="17"/>
      <c r="Y86" s="13"/>
      <c r="Z86" s="13"/>
      <c r="AA86" s="13"/>
      <c r="AB86" s="14"/>
      <c r="AC86" s="9"/>
      <c r="AD86" s="16"/>
      <c r="AE86" s="10"/>
      <c r="AF86" s="10"/>
      <c r="AG86" s="10"/>
      <c r="AH86" s="11"/>
      <c r="AI86" s="12"/>
      <c r="AJ86" s="17"/>
      <c r="AK86" s="13"/>
      <c r="AL86" s="13"/>
      <c r="AM86" s="13"/>
      <c r="AN86" s="14"/>
      <c r="AO86" s="9" t="s">
        <v>47</v>
      </c>
      <c r="AP86" s="16"/>
      <c r="AQ86" s="10">
        <v>75</v>
      </c>
      <c r="AR86" s="10">
        <v>50</v>
      </c>
      <c r="AS86" s="10">
        <v>78</v>
      </c>
      <c r="AT86" s="11">
        <v>44</v>
      </c>
      <c r="AU86" s="12"/>
      <c r="AV86" s="17"/>
      <c r="AW86" s="13">
        <v>0</v>
      </c>
      <c r="AX86" s="13">
        <v>0</v>
      </c>
      <c r="AY86" s="13">
        <v>0</v>
      </c>
      <c r="AZ86" s="14">
        <v>0</v>
      </c>
      <c r="BA86" s="9" t="s">
        <v>47</v>
      </c>
      <c r="BB86" s="16"/>
      <c r="BC86" s="10">
        <v>29</v>
      </c>
      <c r="BD86" s="10">
        <v>107</v>
      </c>
      <c r="BE86" s="10">
        <v>15</v>
      </c>
      <c r="BF86" s="11">
        <v>67</v>
      </c>
      <c r="BG86" s="12"/>
      <c r="BH86" s="17"/>
      <c r="BI86" s="13"/>
      <c r="BJ86" s="13"/>
      <c r="BK86" s="13"/>
      <c r="BL86" s="14"/>
      <c r="BM86" s="8">
        <f t="shared" si="18"/>
        <v>104</v>
      </c>
      <c r="BN86" s="8">
        <f t="shared" si="19"/>
        <v>157</v>
      </c>
      <c r="BO86" s="8">
        <f t="shared" si="20"/>
        <v>93</v>
      </c>
      <c r="BP86" s="8">
        <f t="shared" si="21"/>
        <v>111</v>
      </c>
      <c r="BQ86" s="8">
        <f t="shared" si="22"/>
        <v>157</v>
      </c>
      <c r="BR86" s="8">
        <f t="shared" si="23"/>
        <v>93</v>
      </c>
      <c r="BS86" s="15">
        <f t="shared" si="24"/>
        <v>11.366756629751514</v>
      </c>
      <c r="BT86" s="15" t="str">
        <f t="shared" si="25"/>
        <v>OK - No Upgrade</v>
      </c>
      <c r="BU86" s="15" t="str">
        <f t="shared" si="26"/>
        <v>Need to Balance</v>
      </c>
    </row>
    <row r="87" spans="1:73" ht="15.75" customHeight="1" x14ac:dyDescent="0.25">
      <c r="A87" s="8" t="s">
        <v>3005</v>
      </c>
      <c r="B87" s="8" t="s">
        <v>3006</v>
      </c>
      <c r="C87" s="8" t="s">
        <v>389</v>
      </c>
      <c r="D87" s="8" t="s">
        <v>3220</v>
      </c>
      <c r="E87" s="8" t="s">
        <v>3221</v>
      </c>
      <c r="F87" s="8" t="s">
        <v>56</v>
      </c>
      <c r="G87" s="8"/>
      <c r="H87" s="8">
        <v>1000</v>
      </c>
      <c r="I87" s="8" t="s">
        <v>3222</v>
      </c>
      <c r="J87" s="8">
        <v>1</v>
      </c>
      <c r="K87" s="8">
        <v>242</v>
      </c>
      <c r="L87" s="8">
        <v>242</v>
      </c>
      <c r="M87" s="8">
        <v>245</v>
      </c>
      <c r="N87" s="8">
        <v>420</v>
      </c>
      <c r="O87" s="8">
        <v>422</v>
      </c>
      <c r="P87" s="8">
        <v>425</v>
      </c>
      <c r="Q87" s="9" t="s">
        <v>47</v>
      </c>
      <c r="R87" s="16"/>
      <c r="S87" s="10">
        <v>15</v>
      </c>
      <c r="T87" s="10">
        <v>18</v>
      </c>
      <c r="U87" s="10">
        <v>15</v>
      </c>
      <c r="V87" s="11">
        <v>16</v>
      </c>
      <c r="W87" s="12" t="s">
        <v>47</v>
      </c>
      <c r="X87" s="17"/>
      <c r="Y87" s="13">
        <v>69</v>
      </c>
      <c r="Z87" s="13">
        <v>43</v>
      </c>
      <c r="AA87" s="13">
        <v>64</v>
      </c>
      <c r="AB87" s="14">
        <v>23</v>
      </c>
      <c r="AC87" s="9" t="s">
        <v>47</v>
      </c>
      <c r="AD87" s="16"/>
      <c r="AE87" s="10">
        <v>72</v>
      </c>
      <c r="AF87" s="10">
        <v>100</v>
      </c>
      <c r="AG87" s="10">
        <v>133</v>
      </c>
      <c r="AH87" s="11">
        <v>54</v>
      </c>
      <c r="AI87" s="12" t="s">
        <v>47</v>
      </c>
      <c r="AJ87" s="17"/>
      <c r="AK87" s="13">
        <v>85</v>
      </c>
      <c r="AL87" s="13">
        <v>105</v>
      </c>
      <c r="AM87" s="13">
        <v>58</v>
      </c>
      <c r="AN87" s="14">
        <v>48</v>
      </c>
      <c r="AO87" s="9"/>
      <c r="AP87" s="16"/>
      <c r="AQ87" s="10"/>
      <c r="AR87" s="10"/>
      <c r="AS87" s="10"/>
      <c r="AT87" s="11"/>
      <c r="AU87" s="12"/>
      <c r="AV87" s="17"/>
      <c r="AW87" s="13"/>
      <c r="AX87" s="13"/>
      <c r="AY87" s="13"/>
      <c r="AZ87" s="14"/>
      <c r="BA87" s="9"/>
      <c r="BB87" s="16"/>
      <c r="BC87" s="10"/>
      <c r="BD87" s="10"/>
      <c r="BE87" s="10"/>
      <c r="BF87" s="11"/>
      <c r="BG87" s="12"/>
      <c r="BH87" s="17"/>
      <c r="BI87" s="13"/>
      <c r="BJ87" s="13"/>
      <c r="BK87" s="13"/>
      <c r="BL87" s="14"/>
      <c r="BM87" s="8">
        <f t="shared" si="18"/>
        <v>241</v>
      </c>
      <c r="BN87" s="8">
        <f t="shared" si="19"/>
        <v>266</v>
      </c>
      <c r="BO87" s="8">
        <f t="shared" si="20"/>
        <v>270</v>
      </c>
      <c r="BP87" s="8">
        <f t="shared" si="21"/>
        <v>141</v>
      </c>
      <c r="BQ87" s="8">
        <f t="shared" si="22"/>
        <v>270</v>
      </c>
      <c r="BR87" s="8">
        <f t="shared" si="23"/>
        <v>241</v>
      </c>
      <c r="BS87" s="15">
        <f t="shared" si="24"/>
        <v>19.641456157831065</v>
      </c>
      <c r="BT87" s="15" t="str">
        <f t="shared" si="25"/>
        <v>OK - No Upgrade</v>
      </c>
      <c r="BU87" s="15" t="str">
        <f t="shared" si="26"/>
        <v>OK - Balanced</v>
      </c>
    </row>
    <row r="88" spans="1:73" ht="15.75" customHeight="1" x14ac:dyDescent="0.25">
      <c r="A88" s="8" t="s">
        <v>3005</v>
      </c>
      <c r="B88" s="8" t="s">
        <v>3006</v>
      </c>
      <c r="C88" s="8" t="s">
        <v>389</v>
      </c>
      <c r="D88" s="8" t="s">
        <v>3223</v>
      </c>
      <c r="E88" s="8" t="s">
        <v>3224</v>
      </c>
      <c r="F88" s="8" t="s">
        <v>56</v>
      </c>
      <c r="G88" s="8"/>
      <c r="H88" s="8">
        <v>1000</v>
      </c>
      <c r="I88" s="8" t="s">
        <v>3225</v>
      </c>
      <c r="J88" s="8">
        <v>1</v>
      </c>
      <c r="K88" s="8">
        <v>242</v>
      </c>
      <c r="L88" s="8">
        <v>243</v>
      </c>
      <c r="M88" s="8">
        <v>245</v>
      </c>
      <c r="N88" s="8">
        <v>421</v>
      </c>
      <c r="O88" s="8">
        <v>423</v>
      </c>
      <c r="P88" s="8">
        <v>426</v>
      </c>
      <c r="Q88" s="9"/>
      <c r="R88" s="16"/>
      <c r="S88" s="10"/>
      <c r="T88" s="10"/>
      <c r="U88" s="10"/>
      <c r="V88" s="11"/>
      <c r="W88" s="12"/>
      <c r="X88" s="17"/>
      <c r="Y88" s="13"/>
      <c r="Z88" s="13"/>
      <c r="AA88" s="13"/>
      <c r="AB88" s="14"/>
      <c r="AC88" s="9"/>
      <c r="AD88" s="16"/>
      <c r="AE88" s="10"/>
      <c r="AF88" s="10"/>
      <c r="AG88" s="10"/>
      <c r="AH88" s="11"/>
      <c r="AI88" s="12" t="s">
        <v>47</v>
      </c>
      <c r="AJ88" s="17"/>
      <c r="AK88" s="13">
        <v>77</v>
      </c>
      <c r="AL88" s="13">
        <v>50</v>
      </c>
      <c r="AM88" s="13">
        <v>44</v>
      </c>
      <c r="AN88" s="14">
        <v>30</v>
      </c>
      <c r="AO88" s="9"/>
      <c r="AP88" s="16"/>
      <c r="AQ88" s="10"/>
      <c r="AR88" s="10"/>
      <c r="AS88" s="10"/>
      <c r="AT88" s="11"/>
      <c r="AU88" s="12" t="s">
        <v>47</v>
      </c>
      <c r="AV88" s="17"/>
      <c r="AW88" s="13">
        <v>0</v>
      </c>
      <c r="AX88" s="13">
        <v>0</v>
      </c>
      <c r="AY88" s="13">
        <v>0</v>
      </c>
      <c r="AZ88" s="14">
        <v>0</v>
      </c>
      <c r="BA88" s="9" t="s">
        <v>47</v>
      </c>
      <c r="BB88" s="16"/>
      <c r="BC88" s="10">
        <v>98</v>
      </c>
      <c r="BD88" s="10">
        <v>40</v>
      </c>
      <c r="BE88" s="10">
        <v>56</v>
      </c>
      <c r="BF88" s="11">
        <v>56</v>
      </c>
      <c r="BG88" s="12" t="s">
        <v>47</v>
      </c>
      <c r="BH88" s="17"/>
      <c r="BI88" s="13">
        <v>45</v>
      </c>
      <c r="BJ88" s="13">
        <v>13</v>
      </c>
      <c r="BK88" s="13">
        <v>9</v>
      </c>
      <c r="BL88" s="14">
        <v>45</v>
      </c>
      <c r="BM88" s="8">
        <f t="shared" si="18"/>
        <v>220</v>
      </c>
      <c r="BN88" s="8">
        <f t="shared" si="19"/>
        <v>103</v>
      </c>
      <c r="BO88" s="8">
        <f t="shared" si="20"/>
        <v>109</v>
      </c>
      <c r="BP88" s="8">
        <f t="shared" si="21"/>
        <v>131</v>
      </c>
      <c r="BQ88" s="8">
        <f t="shared" si="22"/>
        <v>220</v>
      </c>
      <c r="BR88" s="8">
        <f t="shared" si="23"/>
        <v>103</v>
      </c>
      <c r="BS88" s="15">
        <f t="shared" si="24"/>
        <v>16.042254579702938</v>
      </c>
      <c r="BT88" s="15" t="str">
        <f t="shared" si="25"/>
        <v>OK - No Upgrade</v>
      </c>
      <c r="BU88" s="15" t="str">
        <f t="shared" si="26"/>
        <v>Need to Balance</v>
      </c>
    </row>
    <row r="89" spans="1:73" ht="15.75" customHeight="1" x14ac:dyDescent="0.25">
      <c r="A89" s="8" t="s">
        <v>3005</v>
      </c>
      <c r="B89" s="8" t="s">
        <v>3006</v>
      </c>
      <c r="C89" s="8" t="s">
        <v>389</v>
      </c>
      <c r="D89" s="8" t="s">
        <v>3226</v>
      </c>
      <c r="E89" s="8" t="s">
        <v>3227</v>
      </c>
      <c r="F89" s="8" t="s">
        <v>56</v>
      </c>
      <c r="G89" s="8"/>
      <c r="H89" s="8">
        <v>1000</v>
      </c>
      <c r="I89" s="8" t="s">
        <v>3228</v>
      </c>
      <c r="J89" s="8">
        <v>1</v>
      </c>
      <c r="K89" s="8">
        <v>248</v>
      </c>
      <c r="L89" s="8">
        <v>251</v>
      </c>
      <c r="M89" s="8">
        <v>250</v>
      </c>
      <c r="N89" s="8">
        <v>430</v>
      </c>
      <c r="O89" s="8">
        <v>433</v>
      </c>
      <c r="P89" s="8">
        <v>437</v>
      </c>
      <c r="Q89" s="9"/>
      <c r="R89" s="16"/>
      <c r="S89" s="10"/>
      <c r="T89" s="10"/>
      <c r="U89" s="10"/>
      <c r="V89" s="11"/>
      <c r="W89" s="12"/>
      <c r="X89" s="17"/>
      <c r="Y89" s="13"/>
      <c r="Z89" s="13"/>
      <c r="AA89" s="13"/>
      <c r="AB89" s="14"/>
      <c r="AC89" s="9"/>
      <c r="AD89" s="16"/>
      <c r="AE89" s="10"/>
      <c r="AF89" s="10"/>
      <c r="AG89" s="10"/>
      <c r="AH89" s="11"/>
      <c r="AI89" s="12"/>
      <c r="AJ89" s="17"/>
      <c r="AK89" s="13"/>
      <c r="AL89" s="13"/>
      <c r="AM89" s="13"/>
      <c r="AN89" s="14"/>
      <c r="AO89" s="9" t="s">
        <v>47</v>
      </c>
      <c r="AP89" s="16"/>
      <c r="AQ89" s="10">
        <v>13</v>
      </c>
      <c r="AR89" s="10">
        <v>8</v>
      </c>
      <c r="AS89" s="10">
        <v>1</v>
      </c>
      <c r="AT89" s="11">
        <v>12</v>
      </c>
      <c r="AU89" s="12" t="s">
        <v>47</v>
      </c>
      <c r="AV89" s="17"/>
      <c r="AW89" s="13">
        <v>236</v>
      </c>
      <c r="AX89" s="13">
        <v>86</v>
      </c>
      <c r="AY89" s="13">
        <v>149</v>
      </c>
      <c r="AZ89" s="14">
        <v>106</v>
      </c>
      <c r="BA89" s="9" t="s">
        <v>47</v>
      </c>
      <c r="BB89" s="16"/>
      <c r="BC89" s="10">
        <v>121</v>
      </c>
      <c r="BD89" s="10">
        <v>125</v>
      </c>
      <c r="BE89" s="10">
        <v>144</v>
      </c>
      <c r="BF89" s="11">
        <v>106</v>
      </c>
      <c r="BG89" s="12" t="s">
        <v>47</v>
      </c>
      <c r="BH89" s="17"/>
      <c r="BI89" s="13">
        <v>35</v>
      </c>
      <c r="BJ89" s="13">
        <v>30</v>
      </c>
      <c r="BK89" s="13">
        <v>29</v>
      </c>
      <c r="BL89" s="14">
        <v>18</v>
      </c>
      <c r="BM89" s="8">
        <f t="shared" si="18"/>
        <v>405</v>
      </c>
      <c r="BN89" s="8">
        <f t="shared" si="19"/>
        <v>249</v>
      </c>
      <c r="BO89" s="8">
        <f t="shared" si="20"/>
        <v>323</v>
      </c>
      <c r="BP89" s="8">
        <f t="shared" si="21"/>
        <v>242</v>
      </c>
      <c r="BQ89" s="8">
        <f t="shared" si="22"/>
        <v>405</v>
      </c>
      <c r="BR89" s="8">
        <f t="shared" si="23"/>
        <v>249</v>
      </c>
      <c r="BS89" s="15">
        <f t="shared" si="24"/>
        <v>30.163664813811998</v>
      </c>
      <c r="BT89" s="15" t="str">
        <f t="shared" si="25"/>
        <v>OK - No Upgrade</v>
      </c>
      <c r="BU89" s="15" t="str">
        <f t="shared" si="26"/>
        <v>Need to Balance</v>
      </c>
    </row>
    <row r="90" spans="1:73" ht="15.75" customHeight="1" x14ac:dyDescent="0.25">
      <c r="A90" s="8" t="s">
        <v>3005</v>
      </c>
      <c r="B90" s="8" t="s">
        <v>3006</v>
      </c>
      <c r="C90" s="8" t="s">
        <v>389</v>
      </c>
      <c r="D90" s="8" t="s">
        <v>3229</v>
      </c>
      <c r="E90" s="8" t="s">
        <v>3230</v>
      </c>
      <c r="F90" s="8" t="s">
        <v>56</v>
      </c>
      <c r="G90" s="8"/>
      <c r="H90" s="8">
        <v>1000</v>
      </c>
      <c r="I90" s="8" t="s">
        <v>3231</v>
      </c>
      <c r="J90" s="8">
        <v>1</v>
      </c>
      <c r="K90" s="8">
        <v>242</v>
      </c>
      <c r="L90" s="8">
        <v>244</v>
      </c>
      <c r="M90" s="8">
        <v>242</v>
      </c>
      <c r="N90" s="8">
        <v>424</v>
      </c>
      <c r="O90" s="8">
        <v>421</v>
      </c>
      <c r="P90" s="8">
        <v>423</v>
      </c>
      <c r="Q90" s="9" t="s">
        <v>47</v>
      </c>
      <c r="R90" s="16"/>
      <c r="S90" s="10">
        <v>95</v>
      </c>
      <c r="T90" s="10">
        <v>112</v>
      </c>
      <c r="U90" s="10">
        <v>34</v>
      </c>
      <c r="V90" s="11">
        <v>82</v>
      </c>
      <c r="W90" s="12" t="s">
        <v>47</v>
      </c>
      <c r="X90" s="17"/>
      <c r="Y90" s="13">
        <v>131</v>
      </c>
      <c r="Z90" s="13">
        <v>126</v>
      </c>
      <c r="AA90" s="13">
        <v>97</v>
      </c>
      <c r="AB90" s="14">
        <v>54</v>
      </c>
      <c r="AC90" s="9" t="s">
        <v>47</v>
      </c>
      <c r="AD90" s="16"/>
      <c r="AE90" s="10">
        <v>13</v>
      </c>
      <c r="AF90" s="10">
        <v>24</v>
      </c>
      <c r="AG90" s="10">
        <v>15</v>
      </c>
      <c r="AH90" s="11">
        <v>10</v>
      </c>
      <c r="AI90" s="12" t="s">
        <v>47</v>
      </c>
      <c r="AJ90" s="17"/>
      <c r="AK90" s="13">
        <v>11</v>
      </c>
      <c r="AL90" s="13">
        <v>1</v>
      </c>
      <c r="AM90" s="13">
        <v>1</v>
      </c>
      <c r="AN90" s="14">
        <v>13</v>
      </c>
      <c r="AO90" s="9"/>
      <c r="AP90" s="16"/>
      <c r="AQ90" s="10"/>
      <c r="AR90" s="10"/>
      <c r="AS90" s="10"/>
      <c r="AT90" s="11"/>
      <c r="AU90" s="12"/>
      <c r="AV90" s="17"/>
      <c r="AW90" s="13"/>
      <c r="AX90" s="13"/>
      <c r="AY90" s="13"/>
      <c r="AZ90" s="14"/>
      <c r="BA90" s="9"/>
      <c r="BB90" s="16"/>
      <c r="BC90" s="10"/>
      <c r="BD90" s="10"/>
      <c r="BE90" s="10"/>
      <c r="BF90" s="11"/>
      <c r="BG90" s="12"/>
      <c r="BH90" s="17"/>
      <c r="BI90" s="13"/>
      <c r="BJ90" s="13"/>
      <c r="BK90" s="13"/>
      <c r="BL90" s="14"/>
      <c r="BM90" s="8">
        <f t="shared" si="18"/>
        <v>250</v>
      </c>
      <c r="BN90" s="8">
        <f t="shared" si="19"/>
        <v>263</v>
      </c>
      <c r="BO90" s="8">
        <f t="shared" si="20"/>
        <v>147</v>
      </c>
      <c r="BP90" s="8">
        <f t="shared" si="21"/>
        <v>159</v>
      </c>
      <c r="BQ90" s="8">
        <f t="shared" si="22"/>
        <v>263</v>
      </c>
      <c r="BR90" s="8">
        <f t="shared" si="23"/>
        <v>147</v>
      </c>
      <c r="BS90" s="15">
        <f t="shared" si="24"/>
        <v>19.314444965362064</v>
      </c>
      <c r="BT90" s="15" t="str">
        <f t="shared" si="25"/>
        <v>OK - No Upgrade</v>
      </c>
      <c r="BU90" s="15" t="str">
        <f t="shared" si="26"/>
        <v>Need to Balance</v>
      </c>
    </row>
  </sheetData>
  <mergeCells count="79">
    <mergeCell ref="BU1:BU3"/>
    <mergeCell ref="BI2:BI3"/>
    <mergeCell ref="AE2:AE3"/>
    <mergeCell ref="AG2:AG3"/>
    <mergeCell ref="Y2:Y3"/>
    <mergeCell ref="AQ2:AQ3"/>
    <mergeCell ref="AS2:AS3"/>
    <mergeCell ref="AY2:AY3"/>
    <mergeCell ref="BK2:BK3"/>
    <mergeCell ref="AZ2:AZ3"/>
    <mergeCell ref="BB2:BB3"/>
    <mergeCell ref="BL2:BL3"/>
    <mergeCell ref="BN2:BN3"/>
    <mergeCell ref="AU1:AZ1"/>
    <mergeCell ref="AJ2:AJ3"/>
    <mergeCell ref="AL2:AL3"/>
    <mergeCell ref="BR1:BR3"/>
    <mergeCell ref="H1:H3"/>
    <mergeCell ref="AR2:AR3"/>
    <mergeCell ref="AT2:AT3"/>
    <mergeCell ref="E1:E3"/>
    <mergeCell ref="BF2:BF3"/>
    <mergeCell ref="K2:M2"/>
    <mergeCell ref="F1:F3"/>
    <mergeCell ref="J1:J3"/>
    <mergeCell ref="R2:R3"/>
    <mergeCell ref="AD2:AD3"/>
    <mergeCell ref="AN2:AN3"/>
    <mergeCell ref="AP2:AP3"/>
    <mergeCell ref="A1:A3"/>
    <mergeCell ref="BA1:BF1"/>
    <mergeCell ref="C1:C3"/>
    <mergeCell ref="D1:D2"/>
    <mergeCell ref="BQ1:BQ3"/>
    <mergeCell ref="BS1:BS3"/>
    <mergeCell ref="BA2:BA3"/>
    <mergeCell ref="S2:S3"/>
    <mergeCell ref="BC2:BC3"/>
    <mergeCell ref="K1:P1"/>
    <mergeCell ref="BM2:BM3"/>
    <mergeCell ref="BO2:BO3"/>
    <mergeCell ref="W1:AB1"/>
    <mergeCell ref="Q1:V1"/>
    <mergeCell ref="BP2:BP3"/>
    <mergeCell ref="AC1:AH1"/>
    <mergeCell ref="AO1:AT1"/>
    <mergeCell ref="Z2:Z3"/>
    <mergeCell ref="B1:B3"/>
    <mergeCell ref="AI1:AN1"/>
    <mergeCell ref="V2:V3"/>
    <mergeCell ref="X2:X3"/>
    <mergeCell ref="BG1:BL1"/>
    <mergeCell ref="BD2:BD3"/>
    <mergeCell ref="AV2:AV3"/>
    <mergeCell ref="AX2:AX3"/>
    <mergeCell ref="I1:I3"/>
    <mergeCell ref="BH2:BH3"/>
    <mergeCell ref="BJ2:BJ3"/>
    <mergeCell ref="AF2:AF3"/>
    <mergeCell ref="AH2:AH3"/>
    <mergeCell ref="Q2:Q3"/>
    <mergeCell ref="AI2:AI3"/>
    <mergeCell ref="AK2:AK3"/>
    <mergeCell ref="N2:P2"/>
    <mergeCell ref="G1:G3"/>
    <mergeCell ref="U2:U3"/>
    <mergeCell ref="BT1:BT3"/>
    <mergeCell ref="BE2:BE3"/>
    <mergeCell ref="W2:W3"/>
    <mergeCell ref="BG2:BG3"/>
    <mergeCell ref="AA2:AA3"/>
    <mergeCell ref="AC2:AC3"/>
    <mergeCell ref="AM2:AM3"/>
    <mergeCell ref="AO2:AO3"/>
    <mergeCell ref="BM1:BP1"/>
    <mergeCell ref="AU2:AU3"/>
    <mergeCell ref="AW2:AW3"/>
    <mergeCell ref="AB2:AB3"/>
    <mergeCell ref="T2:T3"/>
  </mergeCells>
  <dataValidations count="1">
    <dataValidation type="list" allowBlank="1" errorTitle="Invalid value" error="Please choose Cu or Al" promptTitle="Cable Type" prompt="Choose cable material" sqref="R4:R90 BH4:BH90 BB4:BB90 AV4:AV90 AP4:AP90 AJ4:AJ90 AD4:AD90 X4:X90" xr:uid="{00000000-0002-0000-1000-000000000000}">
      <formula1>"Cu,Al"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Q61"/>
  <sheetViews>
    <sheetView workbookViewId="0"/>
  </sheetViews>
  <sheetFormatPr defaultRowHeight="15" x14ac:dyDescent="0.25"/>
  <cols>
    <col min="1" max="1" width="12.85546875" customWidth="1"/>
    <col min="2" max="2" width="14.85546875" customWidth="1"/>
    <col min="3" max="3" width="9.85546875" customWidth="1"/>
    <col min="4" max="4" width="20.85546875" customWidth="1"/>
    <col min="5" max="5" width="8.85546875" customWidth="1"/>
    <col min="6" max="6" width="10.85546875" customWidth="1"/>
    <col min="7" max="7" width="5.85546875" customWidth="1"/>
    <col min="8" max="8" width="9.85546875" customWidth="1"/>
    <col min="9" max="9" width="10.85546875" customWidth="1"/>
    <col min="10" max="10" width="5.85546875" customWidth="1"/>
    <col min="11" max="11" width="7.85546875" customWidth="1"/>
    <col min="12" max="16" width="6.85546875" customWidth="1"/>
    <col min="17" max="17" width="8.85546875" customWidth="1"/>
    <col min="18" max="21" width="6.85546875" customWidth="1"/>
    <col min="22" max="22" width="8.85546875" customWidth="1"/>
    <col min="23" max="26" width="6.85546875" customWidth="1"/>
    <col min="27" max="27" width="8.85546875" customWidth="1"/>
    <col min="28" max="31" width="6.85546875" customWidth="1"/>
    <col min="32" max="32" width="8.85546875" customWidth="1"/>
    <col min="33" max="36" width="6.85546875" customWidth="1"/>
    <col min="37" max="37" width="8.85546875" customWidth="1"/>
    <col min="38" max="41" width="6.85546875" customWidth="1"/>
    <col min="42" max="42" width="8.85546875" customWidth="1"/>
    <col min="43" max="46" width="6.85546875" customWidth="1"/>
    <col min="47" max="47" width="8.85546875" customWidth="1"/>
    <col min="48" max="51" width="6.85546875" customWidth="1"/>
    <col min="52" max="52" width="8.85546875" customWidth="1"/>
    <col min="53" max="56" width="6.85546875" customWidth="1"/>
    <col min="57" max="57" width="8.85546875" customWidth="1"/>
    <col min="58" max="61" width="6.85546875" customWidth="1"/>
    <col min="62" max="62" width="8.85546875" customWidth="1"/>
    <col min="63" max="66" width="6.85546875" customWidth="1"/>
    <col min="67" max="67" width="8.85546875" customWidth="1"/>
    <col min="68" max="71" width="6.85546875" customWidth="1"/>
    <col min="72" max="72" width="8.85546875" customWidth="1"/>
    <col min="73" max="76" width="6.85546875" customWidth="1"/>
    <col min="77" max="77" width="8.85546875" customWidth="1"/>
    <col min="78" max="81" width="6.85546875" customWidth="1"/>
    <col min="82" max="82" width="8.85546875" customWidth="1"/>
    <col min="83" max="86" width="6.85546875" customWidth="1"/>
    <col min="87" max="87" width="8.85546875" customWidth="1"/>
    <col min="88" max="91" width="6.85546875" customWidth="1"/>
    <col min="92" max="92" width="8.85546875" customWidth="1"/>
    <col min="93" max="100" width="6.85546875" customWidth="1"/>
    <col min="101" max="102" width="7.85546875" customWidth="1"/>
    <col min="103" max="103" width="9.85546875" customWidth="1"/>
    <col min="104" max="105" width="24.85546875" customWidth="1"/>
  </cols>
  <sheetData>
    <row r="1" spans="1:121" ht="19.5" customHeight="1" x14ac:dyDescent="0.25">
      <c r="A1" s="21" t="s">
        <v>0</v>
      </c>
      <c r="B1" s="21" t="s">
        <v>1</v>
      </c>
      <c r="C1" s="21" t="s">
        <v>2</v>
      </c>
      <c r="D1" s="38" t="s">
        <v>3</v>
      </c>
      <c r="E1" s="21" t="s">
        <v>4</v>
      </c>
      <c r="F1" s="40" t="s">
        <v>5</v>
      </c>
      <c r="G1" s="21" t="s">
        <v>6</v>
      </c>
      <c r="H1" s="21" t="s">
        <v>7</v>
      </c>
      <c r="I1" s="21" t="s">
        <v>8</v>
      </c>
      <c r="J1" s="41" t="s">
        <v>9</v>
      </c>
      <c r="K1" s="18" t="s">
        <v>10</v>
      </c>
      <c r="L1" s="19"/>
      <c r="M1" s="19"/>
      <c r="N1" s="19"/>
      <c r="O1" s="19"/>
      <c r="P1" s="20"/>
      <c r="Q1" s="29" t="s">
        <v>11</v>
      </c>
      <c r="R1" s="30"/>
      <c r="S1" s="30"/>
      <c r="T1" s="30"/>
      <c r="U1" s="30"/>
      <c r="V1" s="31"/>
      <c r="W1" s="29" t="s">
        <v>12</v>
      </c>
      <c r="X1" s="30"/>
      <c r="Y1" s="30"/>
      <c r="Z1" s="30"/>
      <c r="AA1" s="30"/>
      <c r="AB1" s="31"/>
      <c r="AC1" s="29" t="s">
        <v>13</v>
      </c>
      <c r="AD1" s="30"/>
      <c r="AE1" s="30"/>
      <c r="AF1" s="30"/>
      <c r="AG1" s="30"/>
      <c r="AH1" s="31"/>
      <c r="AI1" s="29" t="s">
        <v>14</v>
      </c>
      <c r="AJ1" s="30"/>
      <c r="AK1" s="30"/>
      <c r="AL1" s="30"/>
      <c r="AM1" s="30"/>
      <c r="AN1" s="31"/>
      <c r="AO1" s="29" t="s">
        <v>15</v>
      </c>
      <c r="AP1" s="30"/>
      <c r="AQ1" s="30"/>
      <c r="AR1" s="30"/>
      <c r="AS1" s="30"/>
      <c r="AT1" s="31"/>
      <c r="AU1" s="29" t="s">
        <v>16</v>
      </c>
      <c r="AV1" s="30"/>
      <c r="AW1" s="30"/>
      <c r="AX1" s="30"/>
      <c r="AY1" s="30"/>
      <c r="AZ1" s="31"/>
      <c r="BA1" s="29" t="s">
        <v>17</v>
      </c>
      <c r="BB1" s="30"/>
      <c r="BC1" s="30"/>
      <c r="BD1" s="30"/>
      <c r="BE1" s="30"/>
      <c r="BF1" s="31"/>
      <c r="BG1" s="29" t="s">
        <v>18</v>
      </c>
      <c r="BH1" s="30"/>
      <c r="BI1" s="30"/>
      <c r="BJ1" s="30"/>
      <c r="BK1" s="30"/>
      <c r="BL1" s="31"/>
      <c r="BM1" s="29" t="s">
        <v>377</v>
      </c>
      <c r="BN1" s="30"/>
      <c r="BO1" s="30"/>
      <c r="BP1" s="30"/>
      <c r="BQ1" s="30"/>
      <c r="BR1" s="31"/>
      <c r="BS1" s="29" t="s">
        <v>378</v>
      </c>
      <c r="BT1" s="30"/>
      <c r="BU1" s="30"/>
      <c r="BV1" s="30"/>
      <c r="BW1" s="30"/>
      <c r="BX1" s="31"/>
      <c r="BY1" s="29" t="s">
        <v>379</v>
      </c>
      <c r="BZ1" s="30"/>
      <c r="CA1" s="30"/>
      <c r="CB1" s="30"/>
      <c r="CC1" s="30"/>
      <c r="CD1" s="31"/>
      <c r="CE1" s="29" t="s">
        <v>380</v>
      </c>
      <c r="CF1" s="30"/>
      <c r="CG1" s="30"/>
      <c r="CH1" s="30"/>
      <c r="CI1" s="30"/>
      <c r="CJ1" s="31"/>
      <c r="CK1" s="29" t="s">
        <v>381</v>
      </c>
      <c r="CL1" s="30"/>
      <c r="CM1" s="30"/>
      <c r="CN1" s="30"/>
      <c r="CO1" s="30"/>
      <c r="CP1" s="31"/>
      <c r="CQ1" s="29" t="s">
        <v>382</v>
      </c>
      <c r="CR1" s="30"/>
      <c r="CS1" s="30"/>
      <c r="CT1" s="30"/>
      <c r="CU1" s="30"/>
      <c r="CV1" s="31"/>
      <c r="CW1" s="29" t="s">
        <v>383</v>
      </c>
      <c r="CX1" s="30"/>
      <c r="CY1" s="30"/>
      <c r="CZ1" s="30"/>
      <c r="DA1" s="30"/>
      <c r="DB1" s="31"/>
      <c r="DC1" s="29" t="s">
        <v>384</v>
      </c>
      <c r="DD1" s="30"/>
      <c r="DE1" s="30"/>
      <c r="DF1" s="30"/>
      <c r="DG1" s="30"/>
      <c r="DH1" s="31"/>
      <c r="DI1" s="37" t="s">
        <v>19</v>
      </c>
      <c r="DJ1" s="19"/>
      <c r="DK1" s="19"/>
      <c r="DL1" s="20"/>
      <c r="DM1" s="18" t="s">
        <v>20</v>
      </c>
      <c r="DN1" s="18" t="s">
        <v>21</v>
      </c>
      <c r="DO1" s="39" t="s">
        <v>22</v>
      </c>
      <c r="DP1" s="26" t="s">
        <v>23</v>
      </c>
      <c r="DQ1" s="26" t="s">
        <v>24</v>
      </c>
    </row>
    <row r="2" spans="1:121" ht="19.5" customHeight="1" x14ac:dyDescent="0.25">
      <c r="A2" s="22"/>
      <c r="B2" s="22"/>
      <c r="C2" s="22"/>
      <c r="D2" s="23"/>
      <c r="E2" s="22"/>
      <c r="F2" s="22"/>
      <c r="G2" s="22"/>
      <c r="H2" s="22"/>
      <c r="I2" s="22"/>
      <c r="J2" s="22"/>
      <c r="K2" s="18" t="s">
        <v>25</v>
      </c>
      <c r="L2" s="19"/>
      <c r="M2" s="20"/>
      <c r="N2" s="18" t="s">
        <v>26</v>
      </c>
      <c r="O2" s="19"/>
      <c r="P2" s="20"/>
      <c r="Q2" s="27" t="s">
        <v>27</v>
      </c>
      <c r="R2" s="34" t="s">
        <v>5</v>
      </c>
      <c r="S2" s="36" t="s">
        <v>28</v>
      </c>
      <c r="T2" s="35" t="s">
        <v>29</v>
      </c>
      <c r="U2" s="24" t="s">
        <v>30</v>
      </c>
      <c r="V2" s="32" t="s">
        <v>31</v>
      </c>
      <c r="W2" s="27" t="s">
        <v>27</v>
      </c>
      <c r="X2" s="34" t="s">
        <v>5</v>
      </c>
      <c r="Y2" s="36" t="s">
        <v>28</v>
      </c>
      <c r="Z2" s="35" t="s">
        <v>29</v>
      </c>
      <c r="AA2" s="24" t="s">
        <v>30</v>
      </c>
      <c r="AB2" s="32" t="s">
        <v>31</v>
      </c>
      <c r="AC2" s="27" t="s">
        <v>27</v>
      </c>
      <c r="AD2" s="34" t="s">
        <v>5</v>
      </c>
      <c r="AE2" s="36" t="s">
        <v>28</v>
      </c>
      <c r="AF2" s="35" t="s">
        <v>29</v>
      </c>
      <c r="AG2" s="24" t="s">
        <v>30</v>
      </c>
      <c r="AH2" s="32" t="s">
        <v>31</v>
      </c>
      <c r="AI2" s="27" t="s">
        <v>27</v>
      </c>
      <c r="AJ2" s="34" t="s">
        <v>5</v>
      </c>
      <c r="AK2" s="36" t="s">
        <v>28</v>
      </c>
      <c r="AL2" s="35" t="s">
        <v>29</v>
      </c>
      <c r="AM2" s="24" t="s">
        <v>30</v>
      </c>
      <c r="AN2" s="32" t="s">
        <v>31</v>
      </c>
      <c r="AO2" s="27" t="s">
        <v>27</v>
      </c>
      <c r="AP2" s="34" t="s">
        <v>5</v>
      </c>
      <c r="AQ2" s="36" t="s">
        <v>28</v>
      </c>
      <c r="AR2" s="35" t="s">
        <v>29</v>
      </c>
      <c r="AS2" s="24" t="s">
        <v>30</v>
      </c>
      <c r="AT2" s="32" t="s">
        <v>31</v>
      </c>
      <c r="AU2" s="27" t="s">
        <v>27</v>
      </c>
      <c r="AV2" s="34" t="s">
        <v>5</v>
      </c>
      <c r="AW2" s="36" t="s">
        <v>28</v>
      </c>
      <c r="AX2" s="35" t="s">
        <v>29</v>
      </c>
      <c r="AY2" s="24" t="s">
        <v>30</v>
      </c>
      <c r="AZ2" s="32" t="s">
        <v>31</v>
      </c>
      <c r="BA2" s="27" t="s">
        <v>27</v>
      </c>
      <c r="BB2" s="34" t="s">
        <v>5</v>
      </c>
      <c r="BC2" s="36" t="s">
        <v>28</v>
      </c>
      <c r="BD2" s="35" t="s">
        <v>29</v>
      </c>
      <c r="BE2" s="24" t="s">
        <v>30</v>
      </c>
      <c r="BF2" s="32" t="s">
        <v>31</v>
      </c>
      <c r="BG2" s="27" t="s">
        <v>27</v>
      </c>
      <c r="BH2" s="34" t="s">
        <v>5</v>
      </c>
      <c r="BI2" s="36" t="s">
        <v>28</v>
      </c>
      <c r="BJ2" s="35" t="s">
        <v>29</v>
      </c>
      <c r="BK2" s="24" t="s">
        <v>30</v>
      </c>
      <c r="BL2" s="32" t="s">
        <v>31</v>
      </c>
      <c r="BM2" s="27" t="s">
        <v>27</v>
      </c>
      <c r="BN2" s="34" t="s">
        <v>5</v>
      </c>
      <c r="BO2" s="36" t="s">
        <v>28</v>
      </c>
      <c r="BP2" s="35" t="s">
        <v>29</v>
      </c>
      <c r="BQ2" s="24" t="s">
        <v>30</v>
      </c>
      <c r="BR2" s="32" t="s">
        <v>31</v>
      </c>
      <c r="BS2" s="27" t="s">
        <v>27</v>
      </c>
      <c r="BT2" s="34" t="s">
        <v>5</v>
      </c>
      <c r="BU2" s="36" t="s">
        <v>28</v>
      </c>
      <c r="BV2" s="35" t="s">
        <v>29</v>
      </c>
      <c r="BW2" s="24" t="s">
        <v>30</v>
      </c>
      <c r="BX2" s="32" t="s">
        <v>31</v>
      </c>
      <c r="BY2" s="27" t="s">
        <v>27</v>
      </c>
      <c r="BZ2" s="34" t="s">
        <v>5</v>
      </c>
      <c r="CA2" s="36" t="s">
        <v>28</v>
      </c>
      <c r="CB2" s="35" t="s">
        <v>29</v>
      </c>
      <c r="CC2" s="24" t="s">
        <v>30</v>
      </c>
      <c r="CD2" s="32" t="s">
        <v>31</v>
      </c>
      <c r="CE2" s="27" t="s">
        <v>27</v>
      </c>
      <c r="CF2" s="34" t="s">
        <v>5</v>
      </c>
      <c r="CG2" s="36" t="s">
        <v>28</v>
      </c>
      <c r="CH2" s="35" t="s">
        <v>29</v>
      </c>
      <c r="CI2" s="24" t="s">
        <v>30</v>
      </c>
      <c r="CJ2" s="32" t="s">
        <v>31</v>
      </c>
      <c r="CK2" s="27" t="s">
        <v>27</v>
      </c>
      <c r="CL2" s="34" t="s">
        <v>5</v>
      </c>
      <c r="CM2" s="36" t="s">
        <v>28</v>
      </c>
      <c r="CN2" s="35" t="s">
        <v>29</v>
      </c>
      <c r="CO2" s="24" t="s">
        <v>30</v>
      </c>
      <c r="CP2" s="32" t="s">
        <v>31</v>
      </c>
      <c r="CQ2" s="27" t="s">
        <v>27</v>
      </c>
      <c r="CR2" s="34" t="s">
        <v>5</v>
      </c>
      <c r="CS2" s="36" t="s">
        <v>28</v>
      </c>
      <c r="CT2" s="35" t="s">
        <v>29</v>
      </c>
      <c r="CU2" s="24" t="s">
        <v>30</v>
      </c>
      <c r="CV2" s="32" t="s">
        <v>31</v>
      </c>
      <c r="CW2" s="27" t="s">
        <v>27</v>
      </c>
      <c r="CX2" s="34" t="s">
        <v>5</v>
      </c>
      <c r="CY2" s="36" t="s">
        <v>28</v>
      </c>
      <c r="CZ2" s="35" t="s">
        <v>29</v>
      </c>
      <c r="DA2" s="24" t="s">
        <v>30</v>
      </c>
      <c r="DB2" s="32" t="s">
        <v>31</v>
      </c>
      <c r="DC2" s="27" t="s">
        <v>27</v>
      </c>
      <c r="DD2" s="34" t="s">
        <v>5</v>
      </c>
      <c r="DE2" s="36" t="s">
        <v>28</v>
      </c>
      <c r="DF2" s="35" t="s">
        <v>29</v>
      </c>
      <c r="DG2" s="24" t="s">
        <v>30</v>
      </c>
      <c r="DH2" s="32" t="s">
        <v>31</v>
      </c>
      <c r="DI2" s="37" t="s">
        <v>28</v>
      </c>
      <c r="DJ2" s="37" t="s">
        <v>29</v>
      </c>
      <c r="DK2" s="37" t="s">
        <v>30</v>
      </c>
      <c r="DL2" s="37" t="s">
        <v>31</v>
      </c>
      <c r="DM2" s="22"/>
      <c r="DN2" s="22"/>
      <c r="DO2" s="22"/>
      <c r="DP2" s="22"/>
      <c r="DQ2" s="22"/>
    </row>
    <row r="3" spans="1:121" ht="19.5" customHeight="1" x14ac:dyDescent="0.25">
      <c r="A3" s="23"/>
      <c r="B3" s="23"/>
      <c r="C3" s="23"/>
      <c r="D3" s="1"/>
      <c r="E3" s="23"/>
      <c r="F3" s="23"/>
      <c r="G3" s="23"/>
      <c r="H3" s="23"/>
      <c r="I3" s="23"/>
      <c r="J3" s="23"/>
      <c r="K3" s="2" t="s">
        <v>32</v>
      </c>
      <c r="L3" s="3" t="s">
        <v>33</v>
      </c>
      <c r="M3" s="4" t="s">
        <v>34</v>
      </c>
      <c r="N3" s="5" t="s">
        <v>35</v>
      </c>
      <c r="O3" s="6" t="s">
        <v>36</v>
      </c>
      <c r="P3" s="7" t="s">
        <v>37</v>
      </c>
      <c r="Q3" s="28"/>
      <c r="R3" s="25"/>
      <c r="S3" s="25"/>
      <c r="T3" s="25"/>
      <c r="U3" s="25"/>
      <c r="V3" s="33"/>
      <c r="W3" s="28"/>
      <c r="X3" s="25"/>
      <c r="Y3" s="25"/>
      <c r="Z3" s="25"/>
      <c r="AA3" s="25"/>
      <c r="AB3" s="33"/>
      <c r="AC3" s="28"/>
      <c r="AD3" s="25"/>
      <c r="AE3" s="25"/>
      <c r="AF3" s="25"/>
      <c r="AG3" s="25"/>
      <c r="AH3" s="33"/>
      <c r="AI3" s="28"/>
      <c r="AJ3" s="25"/>
      <c r="AK3" s="25"/>
      <c r="AL3" s="25"/>
      <c r="AM3" s="25"/>
      <c r="AN3" s="33"/>
      <c r="AO3" s="28"/>
      <c r="AP3" s="25"/>
      <c r="AQ3" s="25"/>
      <c r="AR3" s="25"/>
      <c r="AS3" s="25"/>
      <c r="AT3" s="33"/>
      <c r="AU3" s="28"/>
      <c r="AV3" s="25"/>
      <c r="AW3" s="25"/>
      <c r="AX3" s="25"/>
      <c r="AY3" s="25"/>
      <c r="AZ3" s="33"/>
      <c r="BA3" s="28"/>
      <c r="BB3" s="25"/>
      <c r="BC3" s="25"/>
      <c r="BD3" s="25"/>
      <c r="BE3" s="25"/>
      <c r="BF3" s="33"/>
      <c r="BG3" s="28"/>
      <c r="BH3" s="25"/>
      <c r="BI3" s="25"/>
      <c r="BJ3" s="25"/>
      <c r="BK3" s="25"/>
      <c r="BL3" s="33"/>
      <c r="BM3" s="28"/>
      <c r="BN3" s="25"/>
      <c r="BO3" s="25"/>
      <c r="BP3" s="25"/>
      <c r="BQ3" s="25"/>
      <c r="BR3" s="33"/>
      <c r="BS3" s="28"/>
      <c r="BT3" s="25"/>
      <c r="BU3" s="25"/>
      <c r="BV3" s="25"/>
      <c r="BW3" s="25"/>
      <c r="BX3" s="33"/>
      <c r="BY3" s="28"/>
      <c r="BZ3" s="25"/>
      <c r="CA3" s="25"/>
      <c r="CB3" s="25"/>
      <c r="CC3" s="25"/>
      <c r="CD3" s="33"/>
      <c r="CE3" s="28"/>
      <c r="CF3" s="25"/>
      <c r="CG3" s="25"/>
      <c r="CH3" s="25"/>
      <c r="CI3" s="25"/>
      <c r="CJ3" s="33"/>
      <c r="CK3" s="28"/>
      <c r="CL3" s="25"/>
      <c r="CM3" s="25"/>
      <c r="CN3" s="25"/>
      <c r="CO3" s="25"/>
      <c r="CP3" s="33"/>
      <c r="CQ3" s="28"/>
      <c r="CR3" s="25"/>
      <c r="CS3" s="25"/>
      <c r="CT3" s="25"/>
      <c r="CU3" s="25"/>
      <c r="CV3" s="33"/>
      <c r="CW3" s="28"/>
      <c r="CX3" s="25"/>
      <c r="CY3" s="25"/>
      <c r="CZ3" s="25"/>
      <c r="DA3" s="25"/>
      <c r="DB3" s="33"/>
      <c r="DC3" s="28"/>
      <c r="DD3" s="25"/>
      <c r="DE3" s="25"/>
      <c r="DF3" s="25"/>
      <c r="DG3" s="25"/>
      <c r="DH3" s="33"/>
      <c r="DI3" s="23"/>
      <c r="DJ3" s="23"/>
      <c r="DK3" s="23"/>
      <c r="DL3" s="23"/>
      <c r="DM3" s="23"/>
      <c r="DN3" s="23"/>
      <c r="DO3" s="23"/>
      <c r="DP3" s="23"/>
      <c r="DQ3" s="23"/>
    </row>
    <row r="4" spans="1:121" ht="15.75" customHeight="1" x14ac:dyDescent="0.25">
      <c r="A4" s="8" t="s">
        <v>904</v>
      </c>
      <c r="B4" s="8" t="s">
        <v>3232</v>
      </c>
      <c r="C4" s="8" t="s">
        <v>3233</v>
      </c>
      <c r="D4" s="8" t="s">
        <v>3234</v>
      </c>
      <c r="E4" s="8" t="s">
        <v>3235</v>
      </c>
      <c r="F4" s="8" t="s">
        <v>43</v>
      </c>
      <c r="G4" s="8" t="s">
        <v>44</v>
      </c>
      <c r="H4" s="8">
        <v>315</v>
      </c>
      <c r="I4" s="8" t="s">
        <v>1543</v>
      </c>
      <c r="J4" s="8">
        <v>1</v>
      </c>
      <c r="K4" s="8">
        <v>240</v>
      </c>
      <c r="L4" s="8">
        <v>238</v>
      </c>
      <c r="M4" s="8">
        <v>238</v>
      </c>
      <c r="N4" s="8">
        <v>417</v>
      </c>
      <c r="O4" s="8">
        <v>413</v>
      </c>
      <c r="P4" s="8">
        <v>410</v>
      </c>
      <c r="Q4" s="9" t="s">
        <v>47</v>
      </c>
      <c r="R4" s="16"/>
      <c r="S4" s="10">
        <v>50</v>
      </c>
      <c r="T4" s="10">
        <v>140</v>
      </c>
      <c r="U4" s="10">
        <v>20</v>
      </c>
      <c r="V4" s="11">
        <v>88</v>
      </c>
      <c r="W4" s="12" t="s">
        <v>47</v>
      </c>
      <c r="X4" s="17"/>
      <c r="Y4" s="13">
        <v>80</v>
      </c>
      <c r="Z4" s="13">
        <v>60</v>
      </c>
      <c r="AA4" s="13">
        <v>65</v>
      </c>
      <c r="AB4" s="14">
        <v>25</v>
      </c>
      <c r="AC4" s="9" t="s">
        <v>46</v>
      </c>
      <c r="AD4" s="16"/>
      <c r="AE4" s="10">
        <v>1</v>
      </c>
      <c r="AF4" s="10">
        <v>20</v>
      </c>
      <c r="AG4" s="10">
        <v>2</v>
      </c>
      <c r="AH4" s="11">
        <v>16</v>
      </c>
      <c r="AI4" s="12"/>
      <c r="AJ4" s="17"/>
      <c r="AK4" s="13"/>
      <c r="AL4" s="13"/>
      <c r="AM4" s="13"/>
      <c r="AN4" s="14"/>
      <c r="AO4" s="9"/>
      <c r="AP4" s="16"/>
      <c r="AQ4" s="10"/>
      <c r="AR4" s="10"/>
      <c r="AS4" s="10"/>
      <c r="AT4" s="11"/>
      <c r="AU4" s="12"/>
      <c r="AV4" s="17"/>
      <c r="AW4" s="13"/>
      <c r="AX4" s="13"/>
      <c r="AY4" s="13"/>
      <c r="AZ4" s="14"/>
      <c r="BA4" s="9"/>
      <c r="BB4" s="16"/>
      <c r="BC4" s="10"/>
      <c r="BD4" s="10"/>
      <c r="BE4" s="10"/>
      <c r="BF4" s="11"/>
      <c r="BG4" s="12"/>
      <c r="BH4" s="17"/>
      <c r="BI4" s="13"/>
      <c r="BJ4" s="13"/>
      <c r="BK4" s="13"/>
      <c r="BL4" s="14"/>
      <c r="BM4" s="9"/>
      <c r="BN4" s="16"/>
      <c r="BO4" s="10"/>
      <c r="BP4" s="10"/>
      <c r="BQ4" s="10"/>
      <c r="BR4" s="11"/>
      <c r="BS4" s="12"/>
      <c r="BT4" s="17"/>
      <c r="BU4" s="13"/>
      <c r="BV4" s="13"/>
      <c r="BW4" s="13"/>
      <c r="BX4" s="14"/>
      <c r="BY4" s="9"/>
      <c r="BZ4" s="16"/>
      <c r="CA4" s="10"/>
      <c r="CB4" s="10"/>
      <c r="CC4" s="10"/>
      <c r="CD4" s="11"/>
      <c r="CE4" s="12"/>
      <c r="CF4" s="17"/>
      <c r="CG4" s="13"/>
      <c r="CH4" s="13"/>
      <c r="CI4" s="13"/>
      <c r="CJ4" s="14"/>
      <c r="CK4" s="9"/>
      <c r="CL4" s="16"/>
      <c r="CM4" s="10"/>
      <c r="CN4" s="10"/>
      <c r="CO4" s="10"/>
      <c r="CP4" s="11"/>
      <c r="CQ4" s="12"/>
      <c r="CR4" s="17"/>
      <c r="CS4" s="13"/>
      <c r="CT4" s="13"/>
      <c r="CU4" s="13"/>
      <c r="CV4" s="14"/>
      <c r="CW4" s="9"/>
      <c r="CX4" s="16"/>
      <c r="CY4" s="10"/>
      <c r="CZ4" s="10"/>
      <c r="DA4" s="10"/>
      <c r="DB4" s="11"/>
      <c r="DC4" s="12"/>
      <c r="DD4" s="17"/>
      <c r="DE4" s="13"/>
      <c r="DF4" s="13"/>
      <c r="DG4" s="13"/>
      <c r="DH4" s="14"/>
      <c r="DI4" s="8">
        <f t="shared" ref="DI4:DI35" si="0">SUM(S4,Y4,AE4,AK4,AQ4,AW4,BC4,BI4,BO4,BU4,CA4,CG4,CM4,CS4,CY4,DE4)</f>
        <v>131</v>
      </c>
      <c r="DJ4" s="8">
        <f t="shared" ref="DJ4:DJ35" si="1">SUM(T4,Z4,AF4,AL4,AR4,AX4,BD4,BJ4,BP4,BV4,CB4,CH4,CN4,CT4,CZ4,DF4)</f>
        <v>220</v>
      </c>
      <c r="DK4" s="8">
        <f t="shared" ref="DK4:DK35" si="2">SUM(U4,AA4,AG4,AM4,AS4,AY4,BE4,BK4,BQ4,BW4,CC4,CI4,CO4,CU4,DA4,DG4)</f>
        <v>87</v>
      </c>
      <c r="DL4" s="8">
        <f t="shared" ref="DL4:DL35" si="3">SUM(V4,AB4,AH4,AN4,AT4,AZ4,BF4,BL4,BR4,BX4,CD4,CJ4,CP4,CV4,DB4,DH4)</f>
        <v>129</v>
      </c>
      <c r="DM4" s="8">
        <f t="shared" ref="DM4:DM35" si="4">MAX(DI4:DK4)</f>
        <v>220</v>
      </c>
      <c r="DN4" s="8">
        <f t="shared" ref="DN4:DN35" si="5">MIN(DI4:DK4)</f>
        <v>87</v>
      </c>
      <c r="DO4" s="15">
        <f t="shared" ref="DO4:DO35" si="6">IF(H4&gt;0,(DM4*SQRT(3)*IF(N4&gt;0,N4,IF(O4&gt;0,O4,IF(P4&gt;0,P4,415)))/(H4*1000))*100,0)</f>
        <v>50.443917805196449</v>
      </c>
      <c r="DP4" s="15" t="str">
        <f t="shared" ref="DP4:DP35" si="7">IF(DO4&gt;70,"Upgrade","OK - No Upgrade")</f>
        <v>OK - No Upgrade</v>
      </c>
      <c r="DQ4" s="15" t="str">
        <f t="shared" ref="DQ4:DQ35" si="8">IF(IF(AVERAGE(DI4:DK4)&gt;0,((DM4-AVERAGE(DI4:DK4))/AVERAGE(DI4:DK4))*100,0)&gt;10,"Need to Balance","OK - Balanced")</f>
        <v>Need to Balance</v>
      </c>
    </row>
    <row r="5" spans="1:121" ht="15.75" customHeight="1" x14ac:dyDescent="0.25">
      <c r="A5" s="8" t="s">
        <v>904</v>
      </c>
      <c r="B5" s="8" t="s">
        <v>3232</v>
      </c>
      <c r="C5" s="8" t="s">
        <v>2296</v>
      </c>
      <c r="D5" s="8" t="s">
        <v>3236</v>
      </c>
      <c r="E5" s="8" t="s">
        <v>3237</v>
      </c>
      <c r="F5" s="8" t="s">
        <v>56</v>
      </c>
      <c r="G5" s="8" t="s">
        <v>44</v>
      </c>
      <c r="H5" s="8">
        <v>1000</v>
      </c>
      <c r="I5" s="8" t="s">
        <v>3238</v>
      </c>
      <c r="J5" s="8">
        <v>1</v>
      </c>
      <c r="K5" s="8">
        <v>237</v>
      </c>
      <c r="L5" s="8">
        <v>279</v>
      </c>
      <c r="M5" s="8">
        <v>240</v>
      </c>
      <c r="N5" s="8">
        <v>411</v>
      </c>
      <c r="O5" s="8">
        <v>416</v>
      </c>
      <c r="P5" s="8">
        <v>413</v>
      </c>
      <c r="Q5" s="9"/>
      <c r="R5" s="16"/>
      <c r="S5" s="10"/>
      <c r="T5" s="10"/>
      <c r="U5" s="10"/>
      <c r="V5" s="11"/>
      <c r="W5" s="12"/>
      <c r="X5" s="17"/>
      <c r="Y5" s="13"/>
      <c r="Z5" s="13"/>
      <c r="AA5" s="13"/>
      <c r="AB5" s="14"/>
      <c r="AC5" s="9" t="s">
        <v>47</v>
      </c>
      <c r="AD5" s="16"/>
      <c r="AE5" s="10">
        <v>75</v>
      </c>
      <c r="AF5" s="10">
        <v>59</v>
      </c>
      <c r="AG5" s="10">
        <v>74</v>
      </c>
      <c r="AH5" s="11">
        <v>15</v>
      </c>
      <c r="AI5" s="12" t="s">
        <v>47</v>
      </c>
      <c r="AJ5" s="17"/>
      <c r="AK5" s="13">
        <v>126</v>
      </c>
      <c r="AL5" s="13">
        <v>71</v>
      </c>
      <c r="AM5" s="13">
        <v>59</v>
      </c>
      <c r="AN5" s="14">
        <v>63</v>
      </c>
      <c r="AO5" s="9" t="s">
        <v>47</v>
      </c>
      <c r="AP5" s="16"/>
      <c r="AQ5" s="10">
        <v>101</v>
      </c>
      <c r="AR5" s="10">
        <v>107</v>
      </c>
      <c r="AS5" s="10">
        <v>92</v>
      </c>
      <c r="AT5" s="11">
        <v>14</v>
      </c>
      <c r="AU5" s="12" t="s">
        <v>47</v>
      </c>
      <c r="AV5" s="17"/>
      <c r="AW5" s="13">
        <v>75</v>
      </c>
      <c r="AX5" s="13">
        <v>36</v>
      </c>
      <c r="AY5" s="13">
        <v>5</v>
      </c>
      <c r="AZ5" s="14">
        <v>62</v>
      </c>
      <c r="BA5" s="9"/>
      <c r="BB5" s="16"/>
      <c r="BC5" s="10"/>
      <c r="BD5" s="10"/>
      <c r="BE5" s="10"/>
      <c r="BF5" s="11"/>
      <c r="BG5" s="12"/>
      <c r="BH5" s="17"/>
      <c r="BI5" s="13"/>
      <c r="BJ5" s="13"/>
      <c r="BK5" s="13"/>
      <c r="BL5" s="14"/>
      <c r="BM5" s="9"/>
      <c r="BN5" s="16"/>
      <c r="BO5" s="10"/>
      <c r="BP5" s="10"/>
      <c r="BQ5" s="10"/>
      <c r="BR5" s="11"/>
      <c r="BS5" s="12"/>
      <c r="BT5" s="17"/>
      <c r="BU5" s="13"/>
      <c r="BV5" s="13"/>
      <c r="BW5" s="13"/>
      <c r="BX5" s="14"/>
      <c r="BY5" s="9"/>
      <c r="BZ5" s="16"/>
      <c r="CA5" s="10"/>
      <c r="CB5" s="10"/>
      <c r="CC5" s="10"/>
      <c r="CD5" s="11"/>
      <c r="CE5" s="12"/>
      <c r="CF5" s="17"/>
      <c r="CG5" s="13"/>
      <c r="CH5" s="13"/>
      <c r="CI5" s="13"/>
      <c r="CJ5" s="14"/>
      <c r="CK5" s="9"/>
      <c r="CL5" s="16"/>
      <c r="CM5" s="10"/>
      <c r="CN5" s="10"/>
      <c r="CO5" s="10"/>
      <c r="CP5" s="11"/>
      <c r="CQ5" s="12"/>
      <c r="CR5" s="17"/>
      <c r="CS5" s="13"/>
      <c r="CT5" s="13"/>
      <c r="CU5" s="13"/>
      <c r="CV5" s="14"/>
      <c r="CW5" s="9"/>
      <c r="CX5" s="16"/>
      <c r="CY5" s="10"/>
      <c r="CZ5" s="10"/>
      <c r="DA5" s="10"/>
      <c r="DB5" s="11"/>
      <c r="DC5" s="12"/>
      <c r="DD5" s="17"/>
      <c r="DE5" s="13"/>
      <c r="DF5" s="13"/>
      <c r="DG5" s="13"/>
      <c r="DH5" s="14"/>
      <c r="DI5" s="8">
        <f t="shared" si="0"/>
        <v>377</v>
      </c>
      <c r="DJ5" s="8">
        <f t="shared" si="1"/>
        <v>273</v>
      </c>
      <c r="DK5" s="8">
        <f t="shared" si="2"/>
        <v>230</v>
      </c>
      <c r="DL5" s="8">
        <f t="shared" si="3"/>
        <v>154</v>
      </c>
      <c r="DM5" s="8">
        <f t="shared" si="4"/>
        <v>377</v>
      </c>
      <c r="DN5" s="8">
        <f t="shared" si="5"/>
        <v>230</v>
      </c>
      <c r="DO5" s="15">
        <f t="shared" si="6"/>
        <v>26.83760764803748</v>
      </c>
      <c r="DP5" s="15" t="str">
        <f t="shared" si="7"/>
        <v>OK - No Upgrade</v>
      </c>
      <c r="DQ5" s="15" t="str">
        <f t="shared" si="8"/>
        <v>Need to Balance</v>
      </c>
    </row>
    <row r="6" spans="1:121" ht="15.75" customHeight="1" x14ac:dyDescent="0.25">
      <c r="A6" s="8" t="s">
        <v>904</v>
      </c>
      <c r="B6" s="8" t="s">
        <v>3232</v>
      </c>
      <c r="C6" s="8" t="s">
        <v>2296</v>
      </c>
      <c r="D6" s="8" t="s">
        <v>3239</v>
      </c>
      <c r="E6" s="8" t="s">
        <v>3240</v>
      </c>
      <c r="F6" s="8" t="s">
        <v>43</v>
      </c>
      <c r="G6" s="8"/>
      <c r="H6" s="8">
        <v>315</v>
      </c>
      <c r="I6" s="8" t="s">
        <v>3241</v>
      </c>
      <c r="J6" s="8">
        <v>1</v>
      </c>
      <c r="K6" s="8">
        <v>241</v>
      </c>
      <c r="L6" s="8">
        <v>239</v>
      </c>
      <c r="M6" s="8">
        <v>243</v>
      </c>
      <c r="N6" s="8">
        <v>416</v>
      </c>
      <c r="O6" s="8">
        <v>418</v>
      </c>
      <c r="P6" s="8">
        <v>421</v>
      </c>
      <c r="Q6" s="9" t="s">
        <v>47</v>
      </c>
      <c r="R6" s="16"/>
      <c r="S6" s="10">
        <v>19</v>
      </c>
      <c r="T6" s="10">
        <v>35</v>
      </c>
      <c r="U6" s="10">
        <v>27</v>
      </c>
      <c r="V6" s="11">
        <v>13</v>
      </c>
      <c r="W6" s="12" t="s">
        <v>47</v>
      </c>
      <c r="X6" s="17"/>
      <c r="Y6" s="13">
        <v>29</v>
      </c>
      <c r="Z6" s="13">
        <v>65</v>
      </c>
      <c r="AA6" s="13">
        <v>39</v>
      </c>
      <c r="AB6" s="14">
        <v>25</v>
      </c>
      <c r="AC6" s="9"/>
      <c r="AD6" s="16"/>
      <c r="AE6" s="10"/>
      <c r="AF6" s="10"/>
      <c r="AG6" s="10"/>
      <c r="AH6" s="11"/>
      <c r="AI6" s="12"/>
      <c r="AJ6" s="17"/>
      <c r="AK6" s="13"/>
      <c r="AL6" s="13"/>
      <c r="AM6" s="13"/>
      <c r="AN6" s="14"/>
      <c r="AO6" s="9"/>
      <c r="AP6" s="16"/>
      <c r="AQ6" s="10"/>
      <c r="AR6" s="10"/>
      <c r="AS6" s="10"/>
      <c r="AT6" s="11"/>
      <c r="AU6" s="12"/>
      <c r="AV6" s="17"/>
      <c r="AW6" s="13"/>
      <c r="AX6" s="13"/>
      <c r="AY6" s="13"/>
      <c r="AZ6" s="14"/>
      <c r="BA6" s="9"/>
      <c r="BB6" s="16"/>
      <c r="BC6" s="10"/>
      <c r="BD6" s="10"/>
      <c r="BE6" s="10"/>
      <c r="BF6" s="11"/>
      <c r="BG6" s="12"/>
      <c r="BH6" s="17"/>
      <c r="BI6" s="13"/>
      <c r="BJ6" s="13"/>
      <c r="BK6" s="13"/>
      <c r="BL6" s="14"/>
      <c r="BM6" s="9"/>
      <c r="BN6" s="16"/>
      <c r="BO6" s="10"/>
      <c r="BP6" s="10"/>
      <c r="BQ6" s="10"/>
      <c r="BR6" s="11"/>
      <c r="BS6" s="12"/>
      <c r="BT6" s="17"/>
      <c r="BU6" s="13"/>
      <c r="BV6" s="13"/>
      <c r="BW6" s="13"/>
      <c r="BX6" s="14"/>
      <c r="BY6" s="9"/>
      <c r="BZ6" s="16"/>
      <c r="CA6" s="10"/>
      <c r="CB6" s="10"/>
      <c r="CC6" s="10"/>
      <c r="CD6" s="11"/>
      <c r="CE6" s="12"/>
      <c r="CF6" s="17"/>
      <c r="CG6" s="13"/>
      <c r="CH6" s="13"/>
      <c r="CI6" s="13"/>
      <c r="CJ6" s="14"/>
      <c r="CK6" s="9"/>
      <c r="CL6" s="16"/>
      <c r="CM6" s="10"/>
      <c r="CN6" s="10"/>
      <c r="CO6" s="10"/>
      <c r="CP6" s="11"/>
      <c r="CQ6" s="12"/>
      <c r="CR6" s="17"/>
      <c r="CS6" s="13"/>
      <c r="CT6" s="13"/>
      <c r="CU6" s="13"/>
      <c r="CV6" s="14"/>
      <c r="CW6" s="9"/>
      <c r="CX6" s="16"/>
      <c r="CY6" s="10"/>
      <c r="CZ6" s="10"/>
      <c r="DA6" s="10"/>
      <c r="DB6" s="11"/>
      <c r="DC6" s="12"/>
      <c r="DD6" s="17"/>
      <c r="DE6" s="13"/>
      <c r="DF6" s="13"/>
      <c r="DG6" s="13"/>
      <c r="DH6" s="14"/>
      <c r="DI6" s="8">
        <f t="shared" si="0"/>
        <v>48</v>
      </c>
      <c r="DJ6" s="8">
        <f t="shared" si="1"/>
        <v>100</v>
      </c>
      <c r="DK6" s="8">
        <f t="shared" si="2"/>
        <v>66</v>
      </c>
      <c r="DL6" s="8">
        <f t="shared" si="3"/>
        <v>38</v>
      </c>
      <c r="DM6" s="8">
        <f t="shared" si="4"/>
        <v>100</v>
      </c>
      <c r="DN6" s="8">
        <f t="shared" si="5"/>
        <v>48</v>
      </c>
      <c r="DO6" s="15">
        <f t="shared" si="6"/>
        <v>22.874067807893745</v>
      </c>
      <c r="DP6" s="15" t="str">
        <f t="shared" si="7"/>
        <v>OK - No Upgrade</v>
      </c>
      <c r="DQ6" s="15" t="str">
        <f t="shared" si="8"/>
        <v>Need to Balance</v>
      </c>
    </row>
    <row r="7" spans="1:121" ht="15.75" customHeight="1" x14ac:dyDescent="0.25">
      <c r="A7" s="8" t="s">
        <v>904</v>
      </c>
      <c r="B7" s="8" t="s">
        <v>3232</v>
      </c>
      <c r="C7" s="8" t="s">
        <v>2296</v>
      </c>
      <c r="D7" s="8" t="s">
        <v>3242</v>
      </c>
      <c r="E7" s="8" t="s">
        <v>3240</v>
      </c>
      <c r="F7" s="8" t="s">
        <v>43</v>
      </c>
      <c r="G7" s="8"/>
      <c r="H7" s="8">
        <v>315</v>
      </c>
      <c r="I7" s="8"/>
      <c r="J7" s="8">
        <v>1</v>
      </c>
      <c r="K7" s="8"/>
      <c r="L7" s="8"/>
      <c r="M7" s="8"/>
      <c r="N7" s="8"/>
      <c r="O7" s="8"/>
      <c r="P7" s="8"/>
      <c r="Q7" s="9"/>
      <c r="R7" s="16"/>
      <c r="S7" s="10"/>
      <c r="T7" s="10"/>
      <c r="U7" s="10"/>
      <c r="V7" s="11"/>
      <c r="W7" s="12"/>
      <c r="X7" s="17"/>
      <c r="Y7" s="13"/>
      <c r="Z7" s="13"/>
      <c r="AA7" s="13"/>
      <c r="AB7" s="14"/>
      <c r="AC7" s="9"/>
      <c r="AD7" s="16"/>
      <c r="AE7" s="10"/>
      <c r="AF7" s="10"/>
      <c r="AG7" s="10"/>
      <c r="AH7" s="11"/>
      <c r="AI7" s="12"/>
      <c r="AJ7" s="17"/>
      <c r="AK7" s="13"/>
      <c r="AL7" s="13"/>
      <c r="AM7" s="13"/>
      <c r="AN7" s="14"/>
      <c r="AO7" s="9"/>
      <c r="AP7" s="16"/>
      <c r="AQ7" s="10"/>
      <c r="AR7" s="10"/>
      <c r="AS7" s="10"/>
      <c r="AT7" s="11"/>
      <c r="AU7" s="12"/>
      <c r="AV7" s="17"/>
      <c r="AW7" s="13"/>
      <c r="AX7" s="13"/>
      <c r="AY7" s="13"/>
      <c r="AZ7" s="14"/>
      <c r="BA7" s="9"/>
      <c r="BB7" s="16"/>
      <c r="BC7" s="10"/>
      <c r="BD7" s="10"/>
      <c r="BE7" s="10"/>
      <c r="BF7" s="11"/>
      <c r="BG7" s="12"/>
      <c r="BH7" s="17"/>
      <c r="BI7" s="13"/>
      <c r="BJ7" s="13"/>
      <c r="BK7" s="13"/>
      <c r="BL7" s="14"/>
      <c r="BM7" s="9"/>
      <c r="BN7" s="16"/>
      <c r="BO7" s="10"/>
      <c r="BP7" s="10"/>
      <c r="BQ7" s="10"/>
      <c r="BR7" s="11"/>
      <c r="BS7" s="12"/>
      <c r="BT7" s="17"/>
      <c r="BU7" s="13"/>
      <c r="BV7" s="13"/>
      <c r="BW7" s="13"/>
      <c r="BX7" s="14"/>
      <c r="BY7" s="9"/>
      <c r="BZ7" s="16"/>
      <c r="CA7" s="10"/>
      <c r="CB7" s="10"/>
      <c r="CC7" s="10"/>
      <c r="CD7" s="11"/>
      <c r="CE7" s="12"/>
      <c r="CF7" s="17"/>
      <c r="CG7" s="13"/>
      <c r="CH7" s="13"/>
      <c r="CI7" s="13"/>
      <c r="CJ7" s="14"/>
      <c r="CK7" s="9"/>
      <c r="CL7" s="16"/>
      <c r="CM7" s="10"/>
      <c r="CN7" s="10"/>
      <c r="CO7" s="10"/>
      <c r="CP7" s="11"/>
      <c r="CQ7" s="12"/>
      <c r="CR7" s="17"/>
      <c r="CS7" s="13"/>
      <c r="CT7" s="13"/>
      <c r="CU7" s="13"/>
      <c r="CV7" s="14"/>
      <c r="CW7" s="9"/>
      <c r="CX7" s="16"/>
      <c r="CY7" s="10"/>
      <c r="CZ7" s="10"/>
      <c r="DA7" s="10"/>
      <c r="DB7" s="11"/>
      <c r="DC7" s="12"/>
      <c r="DD7" s="17"/>
      <c r="DE7" s="13"/>
      <c r="DF7" s="13"/>
      <c r="DG7" s="13"/>
      <c r="DH7" s="14"/>
      <c r="DI7" s="8">
        <f t="shared" si="0"/>
        <v>0</v>
      </c>
      <c r="DJ7" s="8">
        <f t="shared" si="1"/>
        <v>0</v>
      </c>
      <c r="DK7" s="8">
        <f t="shared" si="2"/>
        <v>0</v>
      </c>
      <c r="DL7" s="8">
        <f t="shared" si="3"/>
        <v>0</v>
      </c>
      <c r="DM7" s="8">
        <f t="shared" si="4"/>
        <v>0</v>
      </c>
      <c r="DN7" s="8">
        <f t="shared" si="5"/>
        <v>0</v>
      </c>
      <c r="DO7" s="15">
        <f t="shared" si="6"/>
        <v>0</v>
      </c>
      <c r="DP7" s="15" t="str">
        <f t="shared" si="7"/>
        <v>OK - No Upgrade</v>
      </c>
      <c r="DQ7" s="15" t="str">
        <f t="shared" si="8"/>
        <v>OK - Balanced</v>
      </c>
    </row>
    <row r="8" spans="1:121" ht="15.75" customHeight="1" x14ac:dyDescent="0.25">
      <c r="A8" s="8" t="s">
        <v>904</v>
      </c>
      <c r="B8" s="8" t="s">
        <v>3232</v>
      </c>
      <c r="C8" s="8" t="s">
        <v>2296</v>
      </c>
      <c r="D8" s="8" t="s">
        <v>3243</v>
      </c>
      <c r="E8" s="8" t="s">
        <v>3244</v>
      </c>
      <c r="F8" s="8" t="s">
        <v>56</v>
      </c>
      <c r="G8" s="8"/>
      <c r="H8" s="8">
        <v>1000</v>
      </c>
      <c r="I8" s="8" t="s">
        <v>2995</v>
      </c>
      <c r="J8" s="8">
        <v>1</v>
      </c>
      <c r="K8" s="8">
        <v>240</v>
      </c>
      <c r="L8" s="8">
        <v>242</v>
      </c>
      <c r="M8" s="8">
        <v>242</v>
      </c>
      <c r="N8" s="8">
        <v>418</v>
      </c>
      <c r="O8" s="8">
        <v>419</v>
      </c>
      <c r="P8" s="8">
        <v>420</v>
      </c>
      <c r="Q8" s="9" t="s">
        <v>47</v>
      </c>
      <c r="R8" s="16"/>
      <c r="S8" s="10">
        <v>61</v>
      </c>
      <c r="T8" s="10">
        <v>41</v>
      </c>
      <c r="U8" s="10">
        <v>77</v>
      </c>
      <c r="V8" s="11">
        <v>35</v>
      </c>
      <c r="W8" s="12"/>
      <c r="X8" s="17"/>
      <c r="Y8" s="13"/>
      <c r="Z8" s="13"/>
      <c r="AA8" s="13"/>
      <c r="AB8" s="14"/>
      <c r="AC8" s="9" t="s">
        <v>47</v>
      </c>
      <c r="AD8" s="16"/>
      <c r="AE8" s="10">
        <v>12</v>
      </c>
      <c r="AF8" s="10">
        <v>6</v>
      </c>
      <c r="AG8" s="10">
        <v>50</v>
      </c>
      <c r="AH8" s="11">
        <v>39</v>
      </c>
      <c r="AI8" s="12" t="s">
        <v>46</v>
      </c>
      <c r="AJ8" s="17"/>
      <c r="AK8" s="13">
        <v>62</v>
      </c>
      <c r="AL8" s="13">
        <v>41</v>
      </c>
      <c r="AM8" s="13">
        <v>65</v>
      </c>
      <c r="AN8" s="14">
        <v>30</v>
      </c>
      <c r="AO8" s="9" t="s">
        <v>46</v>
      </c>
      <c r="AP8" s="16"/>
      <c r="AQ8" s="10">
        <v>35</v>
      </c>
      <c r="AR8" s="10">
        <v>3</v>
      </c>
      <c r="AS8" s="10">
        <v>145</v>
      </c>
      <c r="AT8" s="11">
        <v>135</v>
      </c>
      <c r="AU8" s="12" t="s">
        <v>46</v>
      </c>
      <c r="AV8" s="17"/>
      <c r="AW8" s="13">
        <v>15</v>
      </c>
      <c r="AX8" s="13">
        <v>27</v>
      </c>
      <c r="AY8" s="13">
        <v>63</v>
      </c>
      <c r="AZ8" s="14">
        <v>41</v>
      </c>
      <c r="BA8" s="9" t="s">
        <v>46</v>
      </c>
      <c r="BB8" s="16"/>
      <c r="BC8" s="10">
        <v>19</v>
      </c>
      <c r="BD8" s="10">
        <v>85</v>
      </c>
      <c r="BE8" s="10">
        <v>56</v>
      </c>
      <c r="BF8" s="11">
        <v>47</v>
      </c>
      <c r="BG8" s="12" t="s">
        <v>47</v>
      </c>
      <c r="BH8" s="17"/>
      <c r="BI8" s="13">
        <v>66</v>
      </c>
      <c r="BJ8" s="13">
        <v>42</v>
      </c>
      <c r="BK8" s="13">
        <v>45</v>
      </c>
      <c r="BL8" s="14">
        <v>24</v>
      </c>
      <c r="BM8" s="9"/>
      <c r="BN8" s="16"/>
      <c r="BO8" s="10"/>
      <c r="BP8" s="10"/>
      <c r="BQ8" s="10"/>
      <c r="BR8" s="11"/>
      <c r="BS8" s="12"/>
      <c r="BT8" s="17"/>
      <c r="BU8" s="13"/>
      <c r="BV8" s="13"/>
      <c r="BW8" s="13"/>
      <c r="BX8" s="14"/>
      <c r="BY8" s="9"/>
      <c r="BZ8" s="16"/>
      <c r="CA8" s="10"/>
      <c r="CB8" s="10"/>
      <c r="CC8" s="10"/>
      <c r="CD8" s="11"/>
      <c r="CE8" s="12"/>
      <c r="CF8" s="17"/>
      <c r="CG8" s="13"/>
      <c r="CH8" s="13"/>
      <c r="CI8" s="13"/>
      <c r="CJ8" s="14"/>
      <c r="CK8" s="9"/>
      <c r="CL8" s="16"/>
      <c r="CM8" s="10"/>
      <c r="CN8" s="10"/>
      <c r="CO8" s="10"/>
      <c r="CP8" s="11"/>
      <c r="CQ8" s="12"/>
      <c r="CR8" s="17"/>
      <c r="CS8" s="13"/>
      <c r="CT8" s="13"/>
      <c r="CU8" s="13"/>
      <c r="CV8" s="14"/>
      <c r="CW8" s="9"/>
      <c r="CX8" s="16"/>
      <c r="CY8" s="10"/>
      <c r="CZ8" s="10"/>
      <c r="DA8" s="10"/>
      <c r="DB8" s="11"/>
      <c r="DC8" s="12"/>
      <c r="DD8" s="17"/>
      <c r="DE8" s="13"/>
      <c r="DF8" s="13"/>
      <c r="DG8" s="13"/>
      <c r="DH8" s="14"/>
      <c r="DI8" s="8">
        <f t="shared" si="0"/>
        <v>270</v>
      </c>
      <c r="DJ8" s="8">
        <f t="shared" si="1"/>
        <v>245</v>
      </c>
      <c r="DK8" s="8">
        <f t="shared" si="2"/>
        <v>501</v>
      </c>
      <c r="DL8" s="8">
        <f t="shared" si="3"/>
        <v>351</v>
      </c>
      <c r="DM8" s="8">
        <f t="shared" si="4"/>
        <v>501</v>
      </c>
      <c r="DN8" s="8">
        <f t="shared" si="5"/>
        <v>245</v>
      </c>
      <c r="DO8" s="15">
        <f t="shared" si="6"/>
        <v>36.272261601945907</v>
      </c>
      <c r="DP8" s="15" t="str">
        <f t="shared" si="7"/>
        <v>OK - No Upgrade</v>
      </c>
      <c r="DQ8" s="15" t="str">
        <f t="shared" si="8"/>
        <v>Need to Balance</v>
      </c>
    </row>
    <row r="9" spans="1:121" ht="15.75" customHeight="1" x14ac:dyDescent="0.25">
      <c r="A9" s="8" t="s">
        <v>904</v>
      </c>
      <c r="B9" s="8" t="s">
        <v>3232</v>
      </c>
      <c r="C9" s="8" t="s">
        <v>2296</v>
      </c>
      <c r="D9" s="8" t="s">
        <v>3245</v>
      </c>
      <c r="E9" s="8" t="s">
        <v>3246</v>
      </c>
      <c r="F9" s="8" t="s">
        <v>56</v>
      </c>
      <c r="G9" s="8"/>
      <c r="H9" s="8">
        <v>1000</v>
      </c>
      <c r="I9" s="8" t="s">
        <v>3247</v>
      </c>
      <c r="J9" s="8">
        <v>1</v>
      </c>
      <c r="K9" s="8">
        <v>240</v>
      </c>
      <c r="L9" s="8">
        <v>243</v>
      </c>
      <c r="M9" s="8">
        <v>244</v>
      </c>
      <c r="N9" s="8">
        <v>420</v>
      </c>
      <c r="O9" s="8">
        <v>423</v>
      </c>
      <c r="P9" s="8">
        <v>419</v>
      </c>
      <c r="Q9" s="9"/>
      <c r="R9" s="16"/>
      <c r="S9" s="10"/>
      <c r="T9" s="10"/>
      <c r="U9" s="10"/>
      <c r="V9" s="11"/>
      <c r="W9" s="12"/>
      <c r="X9" s="17"/>
      <c r="Y9" s="13"/>
      <c r="Z9" s="13"/>
      <c r="AA9" s="13"/>
      <c r="AB9" s="14"/>
      <c r="AC9" s="9" t="s">
        <v>46</v>
      </c>
      <c r="AD9" s="16"/>
      <c r="AE9" s="10">
        <v>48</v>
      </c>
      <c r="AF9" s="10">
        <v>15</v>
      </c>
      <c r="AG9" s="10">
        <v>11</v>
      </c>
      <c r="AH9" s="11">
        <v>37</v>
      </c>
      <c r="AI9" s="12" t="s">
        <v>47</v>
      </c>
      <c r="AJ9" s="17"/>
      <c r="AK9" s="13">
        <v>187</v>
      </c>
      <c r="AL9" s="13">
        <v>77</v>
      </c>
      <c r="AM9" s="13">
        <v>82</v>
      </c>
      <c r="AN9" s="14">
        <v>93</v>
      </c>
      <c r="AO9" s="9" t="s">
        <v>47</v>
      </c>
      <c r="AP9" s="16"/>
      <c r="AQ9" s="10">
        <v>139</v>
      </c>
      <c r="AR9" s="10">
        <v>91</v>
      </c>
      <c r="AS9" s="10">
        <v>126</v>
      </c>
      <c r="AT9" s="11">
        <v>60</v>
      </c>
      <c r="AU9" s="12"/>
      <c r="AV9" s="17"/>
      <c r="AW9" s="13"/>
      <c r="AX9" s="13"/>
      <c r="AY9" s="13"/>
      <c r="AZ9" s="14"/>
      <c r="BA9" s="9"/>
      <c r="BB9" s="16"/>
      <c r="BC9" s="10"/>
      <c r="BD9" s="10"/>
      <c r="BE9" s="10"/>
      <c r="BF9" s="11"/>
      <c r="BG9" s="12"/>
      <c r="BH9" s="17"/>
      <c r="BI9" s="13"/>
      <c r="BJ9" s="13"/>
      <c r="BK9" s="13"/>
      <c r="BL9" s="14"/>
      <c r="BM9" s="9"/>
      <c r="BN9" s="16"/>
      <c r="BO9" s="10"/>
      <c r="BP9" s="10"/>
      <c r="BQ9" s="10"/>
      <c r="BR9" s="11"/>
      <c r="BS9" s="12"/>
      <c r="BT9" s="17"/>
      <c r="BU9" s="13"/>
      <c r="BV9" s="13"/>
      <c r="BW9" s="13"/>
      <c r="BX9" s="14"/>
      <c r="BY9" s="9"/>
      <c r="BZ9" s="16"/>
      <c r="CA9" s="10"/>
      <c r="CB9" s="10"/>
      <c r="CC9" s="10"/>
      <c r="CD9" s="11"/>
      <c r="CE9" s="12"/>
      <c r="CF9" s="17"/>
      <c r="CG9" s="13"/>
      <c r="CH9" s="13"/>
      <c r="CI9" s="13"/>
      <c r="CJ9" s="14"/>
      <c r="CK9" s="9"/>
      <c r="CL9" s="16"/>
      <c r="CM9" s="10"/>
      <c r="CN9" s="10"/>
      <c r="CO9" s="10"/>
      <c r="CP9" s="11"/>
      <c r="CQ9" s="12"/>
      <c r="CR9" s="17"/>
      <c r="CS9" s="13"/>
      <c r="CT9" s="13"/>
      <c r="CU9" s="13"/>
      <c r="CV9" s="14"/>
      <c r="CW9" s="9"/>
      <c r="CX9" s="16"/>
      <c r="CY9" s="10"/>
      <c r="CZ9" s="10"/>
      <c r="DA9" s="10"/>
      <c r="DB9" s="11"/>
      <c r="DC9" s="12"/>
      <c r="DD9" s="17"/>
      <c r="DE9" s="13"/>
      <c r="DF9" s="13"/>
      <c r="DG9" s="13"/>
      <c r="DH9" s="14"/>
      <c r="DI9" s="8">
        <f t="shared" si="0"/>
        <v>374</v>
      </c>
      <c r="DJ9" s="8">
        <f t="shared" si="1"/>
        <v>183</v>
      </c>
      <c r="DK9" s="8">
        <f t="shared" si="2"/>
        <v>219</v>
      </c>
      <c r="DL9" s="8">
        <f t="shared" si="3"/>
        <v>190</v>
      </c>
      <c r="DM9" s="8">
        <f t="shared" si="4"/>
        <v>374</v>
      </c>
      <c r="DN9" s="8">
        <f t="shared" si="5"/>
        <v>183</v>
      </c>
      <c r="DO9" s="15">
        <f t="shared" si="6"/>
        <v>27.207054085291922</v>
      </c>
      <c r="DP9" s="15" t="str">
        <f t="shared" si="7"/>
        <v>OK - No Upgrade</v>
      </c>
      <c r="DQ9" s="15" t="str">
        <f t="shared" si="8"/>
        <v>Need to Balance</v>
      </c>
    </row>
    <row r="10" spans="1:121" ht="15.75" customHeight="1" x14ac:dyDescent="0.25">
      <c r="A10" s="8" t="s">
        <v>904</v>
      </c>
      <c r="B10" s="8" t="s">
        <v>3232</v>
      </c>
      <c r="C10" s="8" t="s">
        <v>2296</v>
      </c>
      <c r="D10" s="8" t="s">
        <v>3248</v>
      </c>
      <c r="E10" s="8" t="s">
        <v>3249</v>
      </c>
      <c r="F10" s="8" t="s">
        <v>43</v>
      </c>
      <c r="G10" s="8"/>
      <c r="H10" s="8">
        <v>315</v>
      </c>
      <c r="I10" s="8" t="s">
        <v>3250</v>
      </c>
      <c r="J10" s="8">
        <v>1</v>
      </c>
      <c r="K10" s="8">
        <v>235</v>
      </c>
      <c r="L10" s="8">
        <v>233</v>
      </c>
      <c r="M10" s="8">
        <v>237</v>
      </c>
      <c r="N10" s="8">
        <v>407</v>
      </c>
      <c r="O10" s="8">
        <v>408</v>
      </c>
      <c r="P10" s="8">
        <v>411</v>
      </c>
      <c r="Q10" s="9" t="s">
        <v>47</v>
      </c>
      <c r="R10" s="16"/>
      <c r="S10" s="10">
        <v>47</v>
      </c>
      <c r="T10" s="10">
        <v>82</v>
      </c>
      <c r="U10" s="10">
        <v>59</v>
      </c>
      <c r="V10" s="11">
        <v>21</v>
      </c>
      <c r="W10" s="12" t="s">
        <v>47</v>
      </c>
      <c r="X10" s="17"/>
      <c r="Y10" s="13">
        <v>64</v>
      </c>
      <c r="Z10" s="13">
        <v>63</v>
      </c>
      <c r="AA10" s="13">
        <v>14</v>
      </c>
      <c r="AB10" s="14">
        <v>48</v>
      </c>
      <c r="AC10" s="9"/>
      <c r="AD10" s="16"/>
      <c r="AE10" s="10"/>
      <c r="AF10" s="10"/>
      <c r="AG10" s="10"/>
      <c r="AH10" s="11"/>
      <c r="AI10" s="12"/>
      <c r="AJ10" s="17"/>
      <c r="AK10" s="13"/>
      <c r="AL10" s="13"/>
      <c r="AM10" s="13"/>
      <c r="AN10" s="14"/>
      <c r="AO10" s="9"/>
      <c r="AP10" s="16"/>
      <c r="AQ10" s="10"/>
      <c r="AR10" s="10"/>
      <c r="AS10" s="10"/>
      <c r="AT10" s="11"/>
      <c r="AU10" s="12"/>
      <c r="AV10" s="17"/>
      <c r="AW10" s="13"/>
      <c r="AX10" s="13"/>
      <c r="AY10" s="13"/>
      <c r="AZ10" s="14"/>
      <c r="BA10" s="9"/>
      <c r="BB10" s="16"/>
      <c r="BC10" s="10"/>
      <c r="BD10" s="10"/>
      <c r="BE10" s="10"/>
      <c r="BF10" s="11"/>
      <c r="BG10" s="12"/>
      <c r="BH10" s="17"/>
      <c r="BI10" s="13"/>
      <c r="BJ10" s="13"/>
      <c r="BK10" s="13"/>
      <c r="BL10" s="14"/>
      <c r="BM10" s="9"/>
      <c r="BN10" s="16"/>
      <c r="BO10" s="10"/>
      <c r="BP10" s="10"/>
      <c r="BQ10" s="10"/>
      <c r="BR10" s="11"/>
      <c r="BS10" s="12"/>
      <c r="BT10" s="17"/>
      <c r="BU10" s="13"/>
      <c r="BV10" s="13"/>
      <c r="BW10" s="13"/>
      <c r="BX10" s="14"/>
      <c r="BY10" s="9"/>
      <c r="BZ10" s="16"/>
      <c r="CA10" s="10"/>
      <c r="CB10" s="10"/>
      <c r="CC10" s="10"/>
      <c r="CD10" s="11"/>
      <c r="CE10" s="12"/>
      <c r="CF10" s="17"/>
      <c r="CG10" s="13"/>
      <c r="CH10" s="13"/>
      <c r="CI10" s="13"/>
      <c r="CJ10" s="14"/>
      <c r="CK10" s="9"/>
      <c r="CL10" s="16"/>
      <c r="CM10" s="10"/>
      <c r="CN10" s="10"/>
      <c r="CO10" s="10"/>
      <c r="CP10" s="11"/>
      <c r="CQ10" s="12"/>
      <c r="CR10" s="17"/>
      <c r="CS10" s="13"/>
      <c r="CT10" s="13"/>
      <c r="CU10" s="13"/>
      <c r="CV10" s="14"/>
      <c r="CW10" s="9"/>
      <c r="CX10" s="16"/>
      <c r="CY10" s="10"/>
      <c r="CZ10" s="10"/>
      <c r="DA10" s="10"/>
      <c r="DB10" s="11"/>
      <c r="DC10" s="12"/>
      <c r="DD10" s="17"/>
      <c r="DE10" s="13"/>
      <c r="DF10" s="13"/>
      <c r="DG10" s="13"/>
      <c r="DH10" s="14"/>
      <c r="DI10" s="8">
        <f t="shared" si="0"/>
        <v>111</v>
      </c>
      <c r="DJ10" s="8">
        <f t="shared" si="1"/>
        <v>145</v>
      </c>
      <c r="DK10" s="8">
        <f t="shared" si="2"/>
        <v>73</v>
      </c>
      <c r="DL10" s="8">
        <f t="shared" si="3"/>
        <v>69</v>
      </c>
      <c r="DM10" s="8">
        <f t="shared" si="4"/>
        <v>145</v>
      </c>
      <c r="DN10" s="8">
        <f t="shared" si="5"/>
        <v>73</v>
      </c>
      <c r="DO10" s="15">
        <f t="shared" si="6"/>
        <v>32.449834415453104</v>
      </c>
      <c r="DP10" s="15" t="str">
        <f t="shared" si="7"/>
        <v>OK - No Upgrade</v>
      </c>
      <c r="DQ10" s="15" t="str">
        <f t="shared" si="8"/>
        <v>Need to Balance</v>
      </c>
    </row>
    <row r="11" spans="1:121" ht="15.75" customHeight="1" x14ac:dyDescent="0.25">
      <c r="A11" s="8" t="s">
        <v>904</v>
      </c>
      <c r="B11" s="8" t="s">
        <v>3232</v>
      </c>
      <c r="C11" s="8" t="s">
        <v>2296</v>
      </c>
      <c r="D11" s="8" t="s">
        <v>3251</v>
      </c>
      <c r="E11" s="8" t="s">
        <v>3252</v>
      </c>
      <c r="F11" s="8" t="s">
        <v>56</v>
      </c>
      <c r="G11" s="8"/>
      <c r="H11" s="8">
        <v>500</v>
      </c>
      <c r="I11" s="8" t="s">
        <v>3253</v>
      </c>
      <c r="J11" s="8">
        <v>1</v>
      </c>
      <c r="K11" s="8">
        <v>241</v>
      </c>
      <c r="L11" s="8">
        <v>240</v>
      </c>
      <c r="M11" s="8">
        <v>243</v>
      </c>
      <c r="N11" s="8">
        <v>417</v>
      </c>
      <c r="O11" s="8">
        <v>419</v>
      </c>
      <c r="P11" s="8">
        <v>417</v>
      </c>
      <c r="Q11" s="9"/>
      <c r="R11" s="16"/>
      <c r="S11" s="10"/>
      <c r="T11" s="10"/>
      <c r="U11" s="10"/>
      <c r="V11" s="11"/>
      <c r="W11" s="12"/>
      <c r="X11" s="17"/>
      <c r="Y11" s="13"/>
      <c r="Z11" s="13"/>
      <c r="AA11" s="13"/>
      <c r="AB11" s="14"/>
      <c r="AC11" s="9"/>
      <c r="AD11" s="16"/>
      <c r="AE11" s="10"/>
      <c r="AF11" s="10"/>
      <c r="AG11" s="10"/>
      <c r="AH11" s="11"/>
      <c r="AI11" s="12"/>
      <c r="AJ11" s="17"/>
      <c r="AK11" s="13"/>
      <c r="AL11" s="13"/>
      <c r="AM11" s="13"/>
      <c r="AN11" s="14"/>
      <c r="AO11" s="9"/>
      <c r="AP11" s="16"/>
      <c r="AQ11" s="10"/>
      <c r="AR11" s="10"/>
      <c r="AS11" s="10"/>
      <c r="AT11" s="11"/>
      <c r="AU11" s="12"/>
      <c r="AV11" s="17"/>
      <c r="AW11" s="13"/>
      <c r="AX11" s="13"/>
      <c r="AY11" s="13"/>
      <c r="AZ11" s="14"/>
      <c r="BA11" s="9" t="s">
        <v>47</v>
      </c>
      <c r="BB11" s="16"/>
      <c r="BC11" s="10">
        <v>39</v>
      </c>
      <c r="BD11" s="10">
        <v>46</v>
      </c>
      <c r="BE11" s="10">
        <v>62</v>
      </c>
      <c r="BF11" s="11">
        <v>20</v>
      </c>
      <c r="BG11" s="12" t="s">
        <v>47</v>
      </c>
      <c r="BH11" s="17"/>
      <c r="BI11" s="13">
        <v>42</v>
      </c>
      <c r="BJ11" s="13">
        <v>23</v>
      </c>
      <c r="BK11" s="13">
        <v>12</v>
      </c>
      <c r="BL11" s="14">
        <v>23</v>
      </c>
      <c r="BM11" s="9"/>
      <c r="BN11" s="16"/>
      <c r="BO11" s="10"/>
      <c r="BP11" s="10"/>
      <c r="BQ11" s="10"/>
      <c r="BR11" s="11"/>
      <c r="BS11" s="12"/>
      <c r="BT11" s="17"/>
      <c r="BU11" s="13"/>
      <c r="BV11" s="13"/>
      <c r="BW11" s="13"/>
      <c r="BX11" s="14"/>
      <c r="BY11" s="9"/>
      <c r="BZ11" s="16"/>
      <c r="CA11" s="10"/>
      <c r="CB11" s="10"/>
      <c r="CC11" s="10"/>
      <c r="CD11" s="11"/>
      <c r="CE11" s="12"/>
      <c r="CF11" s="17"/>
      <c r="CG11" s="13"/>
      <c r="CH11" s="13"/>
      <c r="CI11" s="13"/>
      <c r="CJ11" s="14"/>
      <c r="CK11" s="9"/>
      <c r="CL11" s="16"/>
      <c r="CM11" s="10"/>
      <c r="CN11" s="10"/>
      <c r="CO11" s="10"/>
      <c r="CP11" s="11"/>
      <c r="CQ11" s="12"/>
      <c r="CR11" s="17"/>
      <c r="CS11" s="13"/>
      <c r="CT11" s="13"/>
      <c r="CU11" s="13"/>
      <c r="CV11" s="14"/>
      <c r="CW11" s="9"/>
      <c r="CX11" s="16"/>
      <c r="CY11" s="10"/>
      <c r="CZ11" s="10"/>
      <c r="DA11" s="10"/>
      <c r="DB11" s="11"/>
      <c r="DC11" s="12"/>
      <c r="DD11" s="17"/>
      <c r="DE11" s="13"/>
      <c r="DF11" s="13"/>
      <c r="DG11" s="13"/>
      <c r="DH11" s="14"/>
      <c r="DI11" s="8">
        <f t="shared" si="0"/>
        <v>81</v>
      </c>
      <c r="DJ11" s="8">
        <f t="shared" si="1"/>
        <v>69</v>
      </c>
      <c r="DK11" s="8">
        <f t="shared" si="2"/>
        <v>74</v>
      </c>
      <c r="DL11" s="8">
        <f t="shared" si="3"/>
        <v>43</v>
      </c>
      <c r="DM11" s="8">
        <f t="shared" si="4"/>
        <v>81</v>
      </c>
      <c r="DN11" s="8">
        <f t="shared" si="5"/>
        <v>69</v>
      </c>
      <c r="DO11" s="15">
        <f t="shared" si="6"/>
        <v>11.700696025450794</v>
      </c>
      <c r="DP11" s="15" t="str">
        <f t="shared" si="7"/>
        <v>OK - No Upgrade</v>
      </c>
      <c r="DQ11" s="15" t="str">
        <f t="shared" si="8"/>
        <v>OK - Balanced</v>
      </c>
    </row>
    <row r="12" spans="1:121" ht="15.75" customHeight="1" x14ac:dyDescent="0.25">
      <c r="A12" s="8" t="s">
        <v>904</v>
      </c>
      <c r="B12" s="8" t="s">
        <v>3232</v>
      </c>
      <c r="C12" s="8" t="s">
        <v>2296</v>
      </c>
      <c r="D12" s="8" t="s">
        <v>3254</v>
      </c>
      <c r="E12" s="8" t="s">
        <v>3255</v>
      </c>
      <c r="F12" s="8" t="s">
        <v>43</v>
      </c>
      <c r="G12" s="8"/>
      <c r="H12" s="8">
        <v>315</v>
      </c>
      <c r="I12" s="8" t="s">
        <v>3256</v>
      </c>
      <c r="J12" s="8">
        <v>1</v>
      </c>
      <c r="K12" s="8">
        <v>240</v>
      </c>
      <c r="L12" s="8">
        <v>241</v>
      </c>
      <c r="M12" s="8">
        <v>242</v>
      </c>
      <c r="N12" s="8">
        <v>415</v>
      </c>
      <c r="O12" s="8">
        <v>417</v>
      </c>
      <c r="P12" s="8">
        <v>422</v>
      </c>
      <c r="Q12" s="9" t="s">
        <v>47</v>
      </c>
      <c r="R12" s="16"/>
      <c r="S12" s="10">
        <v>40</v>
      </c>
      <c r="T12" s="10">
        <v>40</v>
      </c>
      <c r="U12" s="10">
        <v>25</v>
      </c>
      <c r="V12" s="11">
        <v>15</v>
      </c>
      <c r="W12" s="12" t="s">
        <v>47</v>
      </c>
      <c r="X12" s="17"/>
      <c r="Y12" s="13">
        <v>61</v>
      </c>
      <c r="Z12" s="13">
        <v>79</v>
      </c>
      <c r="AA12" s="13">
        <v>60</v>
      </c>
      <c r="AB12" s="14">
        <v>20</v>
      </c>
      <c r="AC12" s="9"/>
      <c r="AD12" s="16"/>
      <c r="AE12" s="10"/>
      <c r="AF12" s="10"/>
      <c r="AG12" s="10"/>
      <c r="AH12" s="11"/>
      <c r="AI12" s="12"/>
      <c r="AJ12" s="17"/>
      <c r="AK12" s="13"/>
      <c r="AL12" s="13"/>
      <c r="AM12" s="13"/>
      <c r="AN12" s="14"/>
      <c r="AO12" s="9"/>
      <c r="AP12" s="16"/>
      <c r="AQ12" s="10"/>
      <c r="AR12" s="10"/>
      <c r="AS12" s="10"/>
      <c r="AT12" s="11"/>
      <c r="AU12" s="12"/>
      <c r="AV12" s="17"/>
      <c r="AW12" s="13"/>
      <c r="AX12" s="13"/>
      <c r="AY12" s="13"/>
      <c r="AZ12" s="14"/>
      <c r="BA12" s="9"/>
      <c r="BB12" s="16"/>
      <c r="BC12" s="10"/>
      <c r="BD12" s="10"/>
      <c r="BE12" s="10"/>
      <c r="BF12" s="11"/>
      <c r="BG12" s="12"/>
      <c r="BH12" s="17"/>
      <c r="BI12" s="13"/>
      <c r="BJ12" s="13"/>
      <c r="BK12" s="13"/>
      <c r="BL12" s="14"/>
      <c r="BM12" s="9"/>
      <c r="BN12" s="16"/>
      <c r="BO12" s="10"/>
      <c r="BP12" s="10"/>
      <c r="BQ12" s="10"/>
      <c r="BR12" s="11"/>
      <c r="BS12" s="12"/>
      <c r="BT12" s="17"/>
      <c r="BU12" s="13"/>
      <c r="BV12" s="13"/>
      <c r="BW12" s="13"/>
      <c r="BX12" s="14"/>
      <c r="BY12" s="9"/>
      <c r="BZ12" s="16"/>
      <c r="CA12" s="10"/>
      <c r="CB12" s="10"/>
      <c r="CC12" s="10"/>
      <c r="CD12" s="11"/>
      <c r="CE12" s="12"/>
      <c r="CF12" s="17"/>
      <c r="CG12" s="13"/>
      <c r="CH12" s="13"/>
      <c r="CI12" s="13"/>
      <c r="CJ12" s="14"/>
      <c r="CK12" s="9"/>
      <c r="CL12" s="16"/>
      <c r="CM12" s="10"/>
      <c r="CN12" s="10"/>
      <c r="CO12" s="10"/>
      <c r="CP12" s="11"/>
      <c r="CQ12" s="12"/>
      <c r="CR12" s="17"/>
      <c r="CS12" s="13"/>
      <c r="CT12" s="13"/>
      <c r="CU12" s="13"/>
      <c r="CV12" s="14"/>
      <c r="CW12" s="9"/>
      <c r="CX12" s="16"/>
      <c r="CY12" s="10"/>
      <c r="CZ12" s="10"/>
      <c r="DA12" s="10"/>
      <c r="DB12" s="11"/>
      <c r="DC12" s="12"/>
      <c r="DD12" s="17"/>
      <c r="DE12" s="13"/>
      <c r="DF12" s="13"/>
      <c r="DG12" s="13"/>
      <c r="DH12" s="14"/>
      <c r="DI12" s="8">
        <f t="shared" si="0"/>
        <v>101</v>
      </c>
      <c r="DJ12" s="8">
        <f t="shared" si="1"/>
        <v>119</v>
      </c>
      <c r="DK12" s="8">
        <f t="shared" si="2"/>
        <v>85</v>
      </c>
      <c r="DL12" s="8">
        <f t="shared" si="3"/>
        <v>35</v>
      </c>
      <c r="DM12" s="8">
        <f t="shared" si="4"/>
        <v>119</v>
      </c>
      <c r="DN12" s="8">
        <f t="shared" si="5"/>
        <v>85</v>
      </c>
      <c r="DO12" s="15">
        <f t="shared" si="6"/>
        <v>27.154707660885396</v>
      </c>
      <c r="DP12" s="15" t="str">
        <f t="shared" si="7"/>
        <v>OK - No Upgrade</v>
      </c>
      <c r="DQ12" s="15" t="str">
        <f t="shared" si="8"/>
        <v>Need to Balance</v>
      </c>
    </row>
    <row r="13" spans="1:121" ht="15.75" customHeight="1" x14ac:dyDescent="0.25">
      <c r="A13" s="8" t="s">
        <v>904</v>
      </c>
      <c r="B13" s="8" t="s">
        <v>3232</v>
      </c>
      <c r="C13" s="8" t="s">
        <v>2296</v>
      </c>
      <c r="D13" s="8" t="s">
        <v>3257</v>
      </c>
      <c r="E13" s="8" t="s">
        <v>3258</v>
      </c>
      <c r="F13" s="8" t="s">
        <v>56</v>
      </c>
      <c r="G13" s="8"/>
      <c r="H13" s="8">
        <v>1000</v>
      </c>
      <c r="I13" s="8" t="s">
        <v>3259</v>
      </c>
      <c r="J13" s="8">
        <v>1</v>
      </c>
      <c r="K13" s="8">
        <v>241</v>
      </c>
      <c r="L13" s="8">
        <v>240</v>
      </c>
      <c r="M13" s="8">
        <v>243</v>
      </c>
      <c r="N13" s="8">
        <v>430</v>
      </c>
      <c r="O13" s="8">
        <v>430</v>
      </c>
      <c r="P13" s="8">
        <v>420</v>
      </c>
      <c r="Q13" s="9"/>
      <c r="R13" s="16"/>
      <c r="S13" s="10"/>
      <c r="T13" s="10"/>
      <c r="U13" s="10"/>
      <c r="V13" s="11"/>
      <c r="W13" s="12"/>
      <c r="X13" s="17"/>
      <c r="Y13" s="13"/>
      <c r="Z13" s="13"/>
      <c r="AA13" s="13"/>
      <c r="AB13" s="14"/>
      <c r="AC13" s="9" t="s">
        <v>47</v>
      </c>
      <c r="AD13" s="16"/>
      <c r="AE13" s="10">
        <v>74</v>
      </c>
      <c r="AF13" s="10">
        <v>71</v>
      </c>
      <c r="AG13" s="10">
        <v>148</v>
      </c>
      <c r="AH13" s="11">
        <v>75</v>
      </c>
      <c r="AI13" s="12" t="s">
        <v>47</v>
      </c>
      <c r="AJ13" s="17"/>
      <c r="AK13" s="13">
        <v>45</v>
      </c>
      <c r="AL13" s="13">
        <v>29</v>
      </c>
      <c r="AM13" s="13">
        <v>80</v>
      </c>
      <c r="AN13" s="14">
        <v>44</v>
      </c>
      <c r="AO13" s="9" t="s">
        <v>47</v>
      </c>
      <c r="AP13" s="16"/>
      <c r="AQ13" s="10">
        <v>18</v>
      </c>
      <c r="AR13" s="10">
        <v>106</v>
      </c>
      <c r="AS13" s="10">
        <v>21</v>
      </c>
      <c r="AT13" s="11">
        <v>81</v>
      </c>
      <c r="AU13" s="12" t="s">
        <v>47</v>
      </c>
      <c r="AV13" s="17"/>
      <c r="AW13" s="13">
        <v>30</v>
      </c>
      <c r="AX13" s="13">
        <v>31</v>
      </c>
      <c r="AY13" s="13">
        <v>46</v>
      </c>
      <c r="AZ13" s="14">
        <v>17</v>
      </c>
      <c r="BA13" s="9"/>
      <c r="BB13" s="16"/>
      <c r="BC13" s="10"/>
      <c r="BD13" s="10"/>
      <c r="BE13" s="10"/>
      <c r="BF13" s="11"/>
      <c r="BG13" s="12"/>
      <c r="BH13" s="17"/>
      <c r="BI13" s="13"/>
      <c r="BJ13" s="13"/>
      <c r="BK13" s="13"/>
      <c r="BL13" s="14"/>
      <c r="BM13" s="9"/>
      <c r="BN13" s="16"/>
      <c r="BO13" s="10"/>
      <c r="BP13" s="10"/>
      <c r="BQ13" s="10"/>
      <c r="BR13" s="11"/>
      <c r="BS13" s="12"/>
      <c r="BT13" s="17"/>
      <c r="BU13" s="13"/>
      <c r="BV13" s="13"/>
      <c r="BW13" s="13"/>
      <c r="BX13" s="14"/>
      <c r="BY13" s="9"/>
      <c r="BZ13" s="16"/>
      <c r="CA13" s="10"/>
      <c r="CB13" s="10"/>
      <c r="CC13" s="10"/>
      <c r="CD13" s="11"/>
      <c r="CE13" s="12"/>
      <c r="CF13" s="17"/>
      <c r="CG13" s="13"/>
      <c r="CH13" s="13"/>
      <c r="CI13" s="13"/>
      <c r="CJ13" s="14"/>
      <c r="CK13" s="9"/>
      <c r="CL13" s="16"/>
      <c r="CM13" s="10"/>
      <c r="CN13" s="10"/>
      <c r="CO13" s="10"/>
      <c r="CP13" s="11"/>
      <c r="CQ13" s="12"/>
      <c r="CR13" s="17"/>
      <c r="CS13" s="13"/>
      <c r="CT13" s="13"/>
      <c r="CU13" s="13"/>
      <c r="CV13" s="14"/>
      <c r="CW13" s="9"/>
      <c r="CX13" s="16"/>
      <c r="CY13" s="10"/>
      <c r="CZ13" s="10"/>
      <c r="DA13" s="10"/>
      <c r="DB13" s="11"/>
      <c r="DC13" s="12"/>
      <c r="DD13" s="17"/>
      <c r="DE13" s="13"/>
      <c r="DF13" s="13"/>
      <c r="DG13" s="13"/>
      <c r="DH13" s="14"/>
      <c r="DI13" s="8">
        <f t="shared" si="0"/>
        <v>167</v>
      </c>
      <c r="DJ13" s="8">
        <f t="shared" si="1"/>
        <v>237</v>
      </c>
      <c r="DK13" s="8">
        <f t="shared" si="2"/>
        <v>295</v>
      </c>
      <c r="DL13" s="8">
        <f t="shared" si="3"/>
        <v>217</v>
      </c>
      <c r="DM13" s="8">
        <f t="shared" si="4"/>
        <v>295</v>
      </c>
      <c r="DN13" s="8">
        <f t="shared" si="5"/>
        <v>167</v>
      </c>
      <c r="DO13" s="15">
        <f t="shared" si="6"/>
        <v>21.971064494011209</v>
      </c>
      <c r="DP13" s="15" t="str">
        <f t="shared" si="7"/>
        <v>OK - No Upgrade</v>
      </c>
      <c r="DQ13" s="15" t="str">
        <f t="shared" si="8"/>
        <v>Need to Balance</v>
      </c>
    </row>
    <row r="14" spans="1:121" ht="15.75" customHeight="1" x14ac:dyDescent="0.25">
      <c r="A14" s="8" t="s">
        <v>904</v>
      </c>
      <c r="B14" s="8" t="s">
        <v>3232</v>
      </c>
      <c r="C14" s="8" t="s">
        <v>2296</v>
      </c>
      <c r="D14" s="8" t="s">
        <v>3260</v>
      </c>
      <c r="E14" s="8" t="s">
        <v>3261</v>
      </c>
      <c r="F14" s="8" t="s">
        <v>56</v>
      </c>
      <c r="G14" s="8"/>
      <c r="H14" s="8">
        <v>1000</v>
      </c>
      <c r="I14" s="8" t="s">
        <v>3262</v>
      </c>
      <c r="J14" s="8">
        <v>1</v>
      </c>
      <c r="K14" s="8">
        <v>240</v>
      </c>
      <c r="L14" s="8">
        <v>241</v>
      </c>
      <c r="M14" s="8">
        <v>243</v>
      </c>
      <c r="N14" s="8">
        <v>420</v>
      </c>
      <c r="O14" s="8">
        <v>421</v>
      </c>
      <c r="P14" s="8">
        <v>418</v>
      </c>
      <c r="Q14" s="9" t="s">
        <v>47</v>
      </c>
      <c r="R14" s="16"/>
      <c r="S14" s="10">
        <v>31</v>
      </c>
      <c r="T14" s="10">
        <v>10</v>
      </c>
      <c r="U14" s="10">
        <v>11</v>
      </c>
      <c r="V14" s="11">
        <v>23</v>
      </c>
      <c r="W14" s="12"/>
      <c r="X14" s="17"/>
      <c r="Y14" s="13"/>
      <c r="Z14" s="13"/>
      <c r="AA14" s="13"/>
      <c r="AB14" s="14"/>
      <c r="AC14" s="9" t="s">
        <v>46</v>
      </c>
      <c r="AD14" s="16"/>
      <c r="AE14" s="10">
        <v>44</v>
      </c>
      <c r="AF14" s="10">
        <v>85</v>
      </c>
      <c r="AG14" s="10">
        <v>52</v>
      </c>
      <c r="AH14" s="11">
        <v>47</v>
      </c>
      <c r="AI14" s="12" t="s">
        <v>46</v>
      </c>
      <c r="AJ14" s="17"/>
      <c r="AK14" s="13">
        <v>104</v>
      </c>
      <c r="AL14" s="13">
        <v>68</v>
      </c>
      <c r="AM14" s="13">
        <v>87</v>
      </c>
      <c r="AN14" s="14">
        <v>26</v>
      </c>
      <c r="AO14" s="9" t="s">
        <v>46</v>
      </c>
      <c r="AP14" s="16"/>
      <c r="AQ14" s="10">
        <v>16</v>
      </c>
      <c r="AR14" s="10">
        <v>1</v>
      </c>
      <c r="AS14" s="10">
        <v>1</v>
      </c>
      <c r="AT14" s="11">
        <v>13</v>
      </c>
      <c r="AU14" s="12" t="s">
        <v>46</v>
      </c>
      <c r="AV14" s="17"/>
      <c r="AW14" s="13">
        <v>73</v>
      </c>
      <c r="AX14" s="13">
        <v>94</v>
      </c>
      <c r="AY14" s="13">
        <v>73</v>
      </c>
      <c r="AZ14" s="14">
        <v>21</v>
      </c>
      <c r="BA14" s="9" t="s">
        <v>47</v>
      </c>
      <c r="BB14" s="16"/>
      <c r="BC14" s="10">
        <v>37</v>
      </c>
      <c r="BD14" s="10">
        <v>28</v>
      </c>
      <c r="BE14" s="10">
        <v>34</v>
      </c>
      <c r="BF14" s="11">
        <v>11</v>
      </c>
      <c r="BG14" s="12" t="s">
        <v>47</v>
      </c>
      <c r="BH14" s="17"/>
      <c r="BI14" s="13">
        <v>21</v>
      </c>
      <c r="BJ14" s="13">
        <v>32</v>
      </c>
      <c r="BK14" s="13">
        <v>20</v>
      </c>
      <c r="BL14" s="14">
        <v>8</v>
      </c>
      <c r="BM14" s="9"/>
      <c r="BN14" s="16"/>
      <c r="BO14" s="10"/>
      <c r="BP14" s="10"/>
      <c r="BQ14" s="10"/>
      <c r="BR14" s="11"/>
      <c r="BS14" s="12"/>
      <c r="BT14" s="17"/>
      <c r="BU14" s="13"/>
      <c r="BV14" s="13"/>
      <c r="BW14" s="13"/>
      <c r="BX14" s="14"/>
      <c r="BY14" s="9"/>
      <c r="BZ14" s="16"/>
      <c r="CA14" s="10"/>
      <c r="CB14" s="10"/>
      <c r="CC14" s="10"/>
      <c r="CD14" s="11"/>
      <c r="CE14" s="12"/>
      <c r="CF14" s="17"/>
      <c r="CG14" s="13"/>
      <c r="CH14" s="13"/>
      <c r="CI14" s="13"/>
      <c r="CJ14" s="14"/>
      <c r="CK14" s="9"/>
      <c r="CL14" s="16"/>
      <c r="CM14" s="10"/>
      <c r="CN14" s="10"/>
      <c r="CO14" s="10"/>
      <c r="CP14" s="11"/>
      <c r="CQ14" s="12"/>
      <c r="CR14" s="17"/>
      <c r="CS14" s="13"/>
      <c r="CT14" s="13"/>
      <c r="CU14" s="13"/>
      <c r="CV14" s="14"/>
      <c r="CW14" s="9"/>
      <c r="CX14" s="16"/>
      <c r="CY14" s="10"/>
      <c r="CZ14" s="10"/>
      <c r="DA14" s="10"/>
      <c r="DB14" s="11"/>
      <c r="DC14" s="12"/>
      <c r="DD14" s="17"/>
      <c r="DE14" s="13"/>
      <c r="DF14" s="13"/>
      <c r="DG14" s="13"/>
      <c r="DH14" s="14"/>
      <c r="DI14" s="8">
        <f t="shared" si="0"/>
        <v>326</v>
      </c>
      <c r="DJ14" s="8">
        <f t="shared" si="1"/>
        <v>318</v>
      </c>
      <c r="DK14" s="8">
        <f t="shared" si="2"/>
        <v>278</v>
      </c>
      <c r="DL14" s="8">
        <f t="shared" si="3"/>
        <v>149</v>
      </c>
      <c r="DM14" s="8">
        <f t="shared" si="4"/>
        <v>326</v>
      </c>
      <c r="DN14" s="8">
        <f t="shared" si="5"/>
        <v>278</v>
      </c>
      <c r="DO14" s="15">
        <f t="shared" si="6"/>
        <v>23.715239657233063</v>
      </c>
      <c r="DP14" s="15" t="str">
        <f t="shared" si="7"/>
        <v>OK - No Upgrade</v>
      </c>
      <c r="DQ14" s="15" t="str">
        <f t="shared" si="8"/>
        <v>OK - Balanced</v>
      </c>
    </row>
    <row r="15" spans="1:121" ht="15.75" customHeight="1" x14ac:dyDescent="0.25">
      <c r="A15" s="8" t="s">
        <v>904</v>
      </c>
      <c r="B15" s="8" t="s">
        <v>3232</v>
      </c>
      <c r="C15" s="8" t="s">
        <v>2296</v>
      </c>
      <c r="D15" s="8" t="s">
        <v>3263</v>
      </c>
      <c r="E15" s="8" t="s">
        <v>3264</v>
      </c>
      <c r="F15" s="8" t="s">
        <v>56</v>
      </c>
      <c r="G15" s="8"/>
      <c r="H15" s="8">
        <v>1000</v>
      </c>
      <c r="I15" s="8" t="s">
        <v>3265</v>
      </c>
      <c r="J15" s="8">
        <v>1</v>
      </c>
      <c r="K15" s="8">
        <v>242</v>
      </c>
      <c r="L15" s="8">
        <v>243</v>
      </c>
      <c r="M15" s="8">
        <v>244</v>
      </c>
      <c r="N15" s="8">
        <v>419</v>
      </c>
      <c r="O15" s="8">
        <v>424</v>
      </c>
      <c r="P15" s="8">
        <v>425</v>
      </c>
      <c r="Q15" s="9" t="s">
        <v>47</v>
      </c>
      <c r="R15" s="16"/>
      <c r="S15" s="10">
        <v>53</v>
      </c>
      <c r="T15" s="10">
        <v>12</v>
      </c>
      <c r="U15" s="10">
        <v>29</v>
      </c>
      <c r="V15" s="11">
        <v>32</v>
      </c>
      <c r="W15" s="12" t="s">
        <v>47</v>
      </c>
      <c r="X15" s="17"/>
      <c r="Y15" s="13">
        <v>17</v>
      </c>
      <c r="Z15" s="13">
        <v>51</v>
      </c>
      <c r="AA15" s="13">
        <v>28</v>
      </c>
      <c r="AB15" s="14">
        <v>29</v>
      </c>
      <c r="AC15" s="9" t="s">
        <v>47</v>
      </c>
      <c r="AD15" s="16"/>
      <c r="AE15" s="10">
        <v>22</v>
      </c>
      <c r="AF15" s="10">
        <v>1</v>
      </c>
      <c r="AG15" s="10">
        <v>36</v>
      </c>
      <c r="AH15" s="11">
        <v>26</v>
      </c>
      <c r="AI15" s="12" t="s">
        <v>47</v>
      </c>
      <c r="AJ15" s="17"/>
      <c r="AK15" s="13">
        <v>0</v>
      </c>
      <c r="AL15" s="13">
        <v>0</v>
      </c>
      <c r="AM15" s="13">
        <v>15</v>
      </c>
      <c r="AN15" s="14">
        <v>13</v>
      </c>
      <c r="AO15" s="9"/>
      <c r="AP15" s="16"/>
      <c r="AQ15" s="10"/>
      <c r="AR15" s="10"/>
      <c r="AS15" s="10"/>
      <c r="AT15" s="11"/>
      <c r="AU15" s="12"/>
      <c r="AV15" s="17"/>
      <c r="AW15" s="13"/>
      <c r="AX15" s="13"/>
      <c r="AY15" s="13"/>
      <c r="AZ15" s="14"/>
      <c r="BA15" s="9"/>
      <c r="BB15" s="16"/>
      <c r="BC15" s="10"/>
      <c r="BD15" s="10"/>
      <c r="BE15" s="10"/>
      <c r="BF15" s="11"/>
      <c r="BG15" s="12"/>
      <c r="BH15" s="17"/>
      <c r="BI15" s="13"/>
      <c r="BJ15" s="13"/>
      <c r="BK15" s="13"/>
      <c r="BL15" s="14"/>
      <c r="BM15" s="9"/>
      <c r="BN15" s="16"/>
      <c r="BO15" s="10"/>
      <c r="BP15" s="10"/>
      <c r="BQ15" s="10"/>
      <c r="BR15" s="11"/>
      <c r="BS15" s="12"/>
      <c r="BT15" s="17"/>
      <c r="BU15" s="13"/>
      <c r="BV15" s="13"/>
      <c r="BW15" s="13"/>
      <c r="BX15" s="14"/>
      <c r="BY15" s="9"/>
      <c r="BZ15" s="16"/>
      <c r="CA15" s="10"/>
      <c r="CB15" s="10"/>
      <c r="CC15" s="10"/>
      <c r="CD15" s="11"/>
      <c r="CE15" s="12"/>
      <c r="CF15" s="17"/>
      <c r="CG15" s="13"/>
      <c r="CH15" s="13"/>
      <c r="CI15" s="13"/>
      <c r="CJ15" s="14"/>
      <c r="CK15" s="9"/>
      <c r="CL15" s="16"/>
      <c r="CM15" s="10"/>
      <c r="CN15" s="10"/>
      <c r="CO15" s="10"/>
      <c r="CP15" s="11"/>
      <c r="CQ15" s="12"/>
      <c r="CR15" s="17"/>
      <c r="CS15" s="13"/>
      <c r="CT15" s="13"/>
      <c r="CU15" s="13"/>
      <c r="CV15" s="14"/>
      <c r="CW15" s="9"/>
      <c r="CX15" s="16"/>
      <c r="CY15" s="10"/>
      <c r="CZ15" s="10"/>
      <c r="DA15" s="10"/>
      <c r="DB15" s="11"/>
      <c r="DC15" s="12"/>
      <c r="DD15" s="17"/>
      <c r="DE15" s="13"/>
      <c r="DF15" s="13"/>
      <c r="DG15" s="13"/>
      <c r="DH15" s="14"/>
      <c r="DI15" s="8">
        <f t="shared" si="0"/>
        <v>92</v>
      </c>
      <c r="DJ15" s="8">
        <f t="shared" si="1"/>
        <v>64</v>
      </c>
      <c r="DK15" s="8">
        <f t="shared" si="2"/>
        <v>108</v>
      </c>
      <c r="DL15" s="8">
        <f t="shared" si="3"/>
        <v>100</v>
      </c>
      <c r="DM15" s="8">
        <f t="shared" si="4"/>
        <v>108</v>
      </c>
      <c r="DN15" s="8">
        <f t="shared" si="5"/>
        <v>64</v>
      </c>
      <c r="DO15" s="15">
        <f t="shared" si="6"/>
        <v>7.8378763144106829</v>
      </c>
      <c r="DP15" s="15" t="str">
        <f t="shared" si="7"/>
        <v>OK - No Upgrade</v>
      </c>
      <c r="DQ15" s="15" t="str">
        <f t="shared" si="8"/>
        <v>Need to Balance</v>
      </c>
    </row>
    <row r="16" spans="1:121" ht="15.75" customHeight="1" x14ac:dyDescent="0.25">
      <c r="A16" s="8" t="s">
        <v>904</v>
      </c>
      <c r="B16" s="8" t="s">
        <v>3232</v>
      </c>
      <c r="C16" s="8" t="s">
        <v>2296</v>
      </c>
      <c r="D16" s="8" t="s">
        <v>3266</v>
      </c>
      <c r="E16" s="8" t="s">
        <v>3267</v>
      </c>
      <c r="F16" s="8" t="s">
        <v>56</v>
      </c>
      <c r="G16" s="8"/>
      <c r="H16" s="8">
        <v>2000</v>
      </c>
      <c r="I16" s="8" t="s">
        <v>3268</v>
      </c>
      <c r="J16" s="8">
        <v>1</v>
      </c>
      <c r="K16" s="8">
        <v>241</v>
      </c>
      <c r="L16" s="8">
        <v>243</v>
      </c>
      <c r="M16" s="8">
        <v>244</v>
      </c>
      <c r="N16" s="8">
        <v>420</v>
      </c>
      <c r="O16" s="8">
        <v>425</v>
      </c>
      <c r="P16" s="8">
        <v>420</v>
      </c>
      <c r="Q16" s="9"/>
      <c r="R16" s="16"/>
      <c r="S16" s="10"/>
      <c r="T16" s="10"/>
      <c r="U16" s="10"/>
      <c r="V16" s="11"/>
      <c r="W16" s="12"/>
      <c r="X16" s="17"/>
      <c r="Y16" s="13"/>
      <c r="Z16" s="13"/>
      <c r="AA16" s="13"/>
      <c r="AB16" s="14"/>
      <c r="AC16" s="9"/>
      <c r="AD16" s="16"/>
      <c r="AE16" s="10"/>
      <c r="AF16" s="10"/>
      <c r="AG16" s="10"/>
      <c r="AH16" s="11"/>
      <c r="AI16" s="12" t="s">
        <v>47</v>
      </c>
      <c r="AJ16" s="17"/>
      <c r="AK16" s="13">
        <v>0</v>
      </c>
      <c r="AL16" s="13">
        <v>1</v>
      </c>
      <c r="AM16" s="13">
        <v>0</v>
      </c>
      <c r="AN16" s="14">
        <v>1</v>
      </c>
      <c r="AO16" s="9" t="s">
        <v>46</v>
      </c>
      <c r="AP16" s="16"/>
      <c r="AQ16" s="10">
        <v>115</v>
      </c>
      <c r="AR16" s="10">
        <v>70</v>
      </c>
      <c r="AS16" s="10">
        <v>29</v>
      </c>
      <c r="AT16" s="11">
        <v>67</v>
      </c>
      <c r="AU16" s="12" t="s">
        <v>46</v>
      </c>
      <c r="AV16" s="17"/>
      <c r="AW16" s="13">
        <v>81</v>
      </c>
      <c r="AX16" s="13">
        <v>80</v>
      </c>
      <c r="AY16" s="13">
        <v>65</v>
      </c>
      <c r="AZ16" s="14">
        <v>20</v>
      </c>
      <c r="BA16" s="9" t="s">
        <v>46</v>
      </c>
      <c r="BB16" s="16"/>
      <c r="BC16" s="10">
        <v>60</v>
      </c>
      <c r="BD16" s="10">
        <v>40</v>
      </c>
      <c r="BE16" s="10">
        <v>23</v>
      </c>
      <c r="BF16" s="11">
        <v>42</v>
      </c>
      <c r="BG16" s="12" t="s">
        <v>47</v>
      </c>
      <c r="BH16" s="17"/>
      <c r="BI16" s="13">
        <v>56</v>
      </c>
      <c r="BJ16" s="13">
        <v>56</v>
      </c>
      <c r="BK16" s="13">
        <v>37</v>
      </c>
      <c r="BL16" s="14">
        <v>24</v>
      </c>
      <c r="BM16" s="9"/>
      <c r="BN16" s="16"/>
      <c r="BO16" s="10"/>
      <c r="BP16" s="10"/>
      <c r="BQ16" s="10"/>
      <c r="BR16" s="11"/>
      <c r="BS16" s="12" t="s">
        <v>47</v>
      </c>
      <c r="BT16" s="17"/>
      <c r="BU16" s="13">
        <v>26</v>
      </c>
      <c r="BV16" s="13">
        <v>52</v>
      </c>
      <c r="BW16" s="13">
        <v>38</v>
      </c>
      <c r="BX16" s="14">
        <v>19</v>
      </c>
      <c r="BY16" s="9" t="s">
        <v>47</v>
      </c>
      <c r="BZ16" s="16"/>
      <c r="CA16" s="10">
        <v>66</v>
      </c>
      <c r="CB16" s="10">
        <v>45</v>
      </c>
      <c r="CC16" s="10">
        <v>9</v>
      </c>
      <c r="CD16" s="11">
        <v>32</v>
      </c>
      <c r="CE16" s="12" t="s">
        <v>47</v>
      </c>
      <c r="CF16" s="17"/>
      <c r="CG16" s="13">
        <v>62</v>
      </c>
      <c r="CH16" s="13">
        <v>46</v>
      </c>
      <c r="CI16" s="13">
        <v>80</v>
      </c>
      <c r="CJ16" s="14">
        <v>46</v>
      </c>
      <c r="CK16" s="9"/>
      <c r="CL16" s="16"/>
      <c r="CM16" s="10"/>
      <c r="CN16" s="10"/>
      <c r="CO16" s="10"/>
      <c r="CP16" s="11"/>
      <c r="CQ16" s="12"/>
      <c r="CR16" s="17"/>
      <c r="CS16" s="13"/>
      <c r="CT16" s="13"/>
      <c r="CU16" s="13"/>
      <c r="CV16" s="14"/>
      <c r="CW16" s="9"/>
      <c r="CX16" s="16"/>
      <c r="CY16" s="10"/>
      <c r="CZ16" s="10"/>
      <c r="DA16" s="10"/>
      <c r="DB16" s="11"/>
      <c r="DC16" s="12" t="s">
        <v>47</v>
      </c>
      <c r="DD16" s="17"/>
      <c r="DE16" s="13">
        <v>62</v>
      </c>
      <c r="DF16" s="13">
        <v>114</v>
      </c>
      <c r="DG16" s="13">
        <v>116</v>
      </c>
      <c r="DH16" s="14">
        <v>74</v>
      </c>
      <c r="DI16" s="8">
        <f t="shared" si="0"/>
        <v>528</v>
      </c>
      <c r="DJ16" s="8">
        <f t="shared" si="1"/>
        <v>504</v>
      </c>
      <c r="DK16" s="8">
        <f t="shared" si="2"/>
        <v>397</v>
      </c>
      <c r="DL16" s="8">
        <f t="shared" si="3"/>
        <v>325</v>
      </c>
      <c r="DM16" s="8">
        <f t="shared" si="4"/>
        <v>528</v>
      </c>
      <c r="DN16" s="8">
        <f t="shared" si="5"/>
        <v>397</v>
      </c>
      <c r="DO16" s="15">
        <f t="shared" si="6"/>
        <v>19.204979354323708</v>
      </c>
      <c r="DP16" s="15" t="str">
        <f t="shared" si="7"/>
        <v>OK - No Upgrade</v>
      </c>
      <c r="DQ16" s="15" t="str">
        <f t="shared" si="8"/>
        <v>Need to Balance</v>
      </c>
    </row>
    <row r="17" spans="1:121" ht="15.75" customHeight="1" x14ac:dyDescent="0.25">
      <c r="A17" s="8" t="s">
        <v>904</v>
      </c>
      <c r="B17" s="8" t="s">
        <v>3232</v>
      </c>
      <c r="C17" s="8" t="s">
        <v>2206</v>
      </c>
      <c r="D17" s="8" t="s">
        <v>3269</v>
      </c>
      <c r="E17" s="8" t="s">
        <v>3270</v>
      </c>
      <c r="F17" s="8" t="s">
        <v>56</v>
      </c>
      <c r="G17" s="8"/>
      <c r="H17" s="8">
        <v>1000</v>
      </c>
      <c r="I17" s="8" t="s">
        <v>3271</v>
      </c>
      <c r="J17" s="8">
        <v>1</v>
      </c>
      <c r="K17" s="8">
        <v>243</v>
      </c>
      <c r="L17" s="8">
        <v>242</v>
      </c>
      <c r="M17" s="8">
        <v>243</v>
      </c>
      <c r="N17" s="8">
        <v>419</v>
      </c>
      <c r="O17" s="8">
        <v>424</v>
      </c>
      <c r="P17" s="8">
        <v>407</v>
      </c>
      <c r="Q17" s="9"/>
      <c r="R17" s="16"/>
      <c r="S17" s="10"/>
      <c r="T17" s="10"/>
      <c r="U17" s="10"/>
      <c r="V17" s="11"/>
      <c r="W17" s="12"/>
      <c r="X17" s="17"/>
      <c r="Y17" s="13"/>
      <c r="Z17" s="13"/>
      <c r="AA17" s="13"/>
      <c r="AB17" s="14"/>
      <c r="AC17" s="9" t="s">
        <v>47</v>
      </c>
      <c r="AD17" s="16"/>
      <c r="AE17" s="10"/>
      <c r="AF17" s="10"/>
      <c r="AG17" s="10"/>
      <c r="AH17" s="11"/>
      <c r="AI17" s="12" t="s">
        <v>47</v>
      </c>
      <c r="AJ17" s="17"/>
      <c r="AK17" s="13">
        <v>61</v>
      </c>
      <c r="AL17" s="13">
        <v>46</v>
      </c>
      <c r="AM17" s="13">
        <v>73</v>
      </c>
      <c r="AN17" s="14">
        <v>45</v>
      </c>
      <c r="AO17" s="9" t="s">
        <v>47</v>
      </c>
      <c r="AP17" s="16"/>
      <c r="AQ17" s="10">
        <v>65</v>
      </c>
      <c r="AR17" s="10">
        <v>92</v>
      </c>
      <c r="AS17" s="10">
        <v>93</v>
      </c>
      <c r="AT17" s="11">
        <v>21</v>
      </c>
      <c r="AU17" s="12" t="s">
        <v>47</v>
      </c>
      <c r="AV17" s="17"/>
      <c r="AW17" s="13">
        <v>127</v>
      </c>
      <c r="AX17" s="13">
        <v>74</v>
      </c>
      <c r="AY17" s="13">
        <v>121</v>
      </c>
      <c r="AZ17" s="14">
        <v>51</v>
      </c>
      <c r="BA17" s="9" t="s">
        <v>46</v>
      </c>
      <c r="BB17" s="16"/>
      <c r="BC17" s="10">
        <v>93</v>
      </c>
      <c r="BD17" s="10">
        <v>45</v>
      </c>
      <c r="BE17" s="10">
        <v>106</v>
      </c>
      <c r="BF17" s="11">
        <v>48</v>
      </c>
      <c r="BG17" s="12" t="s">
        <v>47</v>
      </c>
      <c r="BH17" s="17"/>
      <c r="BI17" s="13">
        <v>82</v>
      </c>
      <c r="BJ17" s="13">
        <v>128</v>
      </c>
      <c r="BK17" s="13">
        <v>167</v>
      </c>
      <c r="BL17" s="14">
        <v>73</v>
      </c>
      <c r="BM17" s="9"/>
      <c r="BN17" s="16"/>
      <c r="BO17" s="10"/>
      <c r="BP17" s="10"/>
      <c r="BQ17" s="10"/>
      <c r="BR17" s="11"/>
      <c r="BS17" s="12"/>
      <c r="BT17" s="17"/>
      <c r="BU17" s="13"/>
      <c r="BV17" s="13"/>
      <c r="BW17" s="13"/>
      <c r="BX17" s="14"/>
      <c r="BY17" s="9"/>
      <c r="BZ17" s="16"/>
      <c r="CA17" s="10"/>
      <c r="CB17" s="10"/>
      <c r="CC17" s="10"/>
      <c r="CD17" s="11"/>
      <c r="CE17" s="12"/>
      <c r="CF17" s="17"/>
      <c r="CG17" s="13"/>
      <c r="CH17" s="13"/>
      <c r="CI17" s="13"/>
      <c r="CJ17" s="14"/>
      <c r="CK17" s="9"/>
      <c r="CL17" s="16"/>
      <c r="CM17" s="10"/>
      <c r="CN17" s="10"/>
      <c r="CO17" s="10"/>
      <c r="CP17" s="11"/>
      <c r="CQ17" s="12"/>
      <c r="CR17" s="17"/>
      <c r="CS17" s="13"/>
      <c r="CT17" s="13"/>
      <c r="CU17" s="13"/>
      <c r="CV17" s="14"/>
      <c r="CW17" s="9"/>
      <c r="CX17" s="16"/>
      <c r="CY17" s="10"/>
      <c r="CZ17" s="10"/>
      <c r="DA17" s="10"/>
      <c r="DB17" s="11"/>
      <c r="DC17" s="12"/>
      <c r="DD17" s="17"/>
      <c r="DE17" s="13"/>
      <c r="DF17" s="13"/>
      <c r="DG17" s="13"/>
      <c r="DH17" s="14"/>
      <c r="DI17" s="8">
        <f t="shared" si="0"/>
        <v>428</v>
      </c>
      <c r="DJ17" s="8">
        <f t="shared" si="1"/>
        <v>385</v>
      </c>
      <c r="DK17" s="8">
        <f t="shared" si="2"/>
        <v>560</v>
      </c>
      <c r="DL17" s="8">
        <f t="shared" si="3"/>
        <v>238</v>
      </c>
      <c r="DM17" s="8">
        <f t="shared" si="4"/>
        <v>560</v>
      </c>
      <c r="DN17" s="8">
        <f t="shared" si="5"/>
        <v>385</v>
      </c>
      <c r="DO17" s="15">
        <f t="shared" si="6"/>
        <v>40.640840148796137</v>
      </c>
      <c r="DP17" s="15" t="str">
        <f t="shared" si="7"/>
        <v>OK - No Upgrade</v>
      </c>
      <c r="DQ17" s="15" t="str">
        <f t="shared" si="8"/>
        <v>Need to Balance</v>
      </c>
    </row>
    <row r="18" spans="1:121" ht="15.75" customHeight="1" x14ac:dyDescent="0.25">
      <c r="A18" s="8" t="s">
        <v>904</v>
      </c>
      <c r="B18" s="8" t="s">
        <v>3232</v>
      </c>
      <c r="C18" s="8" t="s">
        <v>2206</v>
      </c>
      <c r="D18" s="8" t="s">
        <v>3272</v>
      </c>
      <c r="E18" s="8" t="s">
        <v>3273</v>
      </c>
      <c r="F18" s="8" t="s">
        <v>43</v>
      </c>
      <c r="G18" s="8"/>
      <c r="H18" s="8">
        <v>315</v>
      </c>
      <c r="I18" s="8" t="s">
        <v>3274</v>
      </c>
      <c r="J18" s="8">
        <v>1</v>
      </c>
      <c r="K18" s="8">
        <v>246</v>
      </c>
      <c r="L18" s="8">
        <v>244</v>
      </c>
      <c r="M18" s="8">
        <v>246</v>
      </c>
      <c r="N18" s="8">
        <v>424</v>
      </c>
      <c r="O18" s="8">
        <v>429</v>
      </c>
      <c r="P18" s="8">
        <v>425</v>
      </c>
      <c r="Q18" s="9" t="s">
        <v>47</v>
      </c>
      <c r="R18" s="16"/>
      <c r="S18" s="10">
        <v>42</v>
      </c>
      <c r="T18" s="10">
        <v>49</v>
      </c>
      <c r="U18" s="10">
        <v>39</v>
      </c>
      <c r="V18" s="11">
        <v>12</v>
      </c>
      <c r="W18" s="12"/>
      <c r="X18" s="17"/>
      <c r="Y18" s="13"/>
      <c r="Z18" s="13"/>
      <c r="AA18" s="13"/>
      <c r="AB18" s="14"/>
      <c r="AC18" s="9"/>
      <c r="AD18" s="16"/>
      <c r="AE18" s="10"/>
      <c r="AF18" s="10"/>
      <c r="AG18" s="10"/>
      <c r="AH18" s="11"/>
      <c r="AI18" s="12"/>
      <c r="AJ18" s="17"/>
      <c r="AK18" s="13"/>
      <c r="AL18" s="13"/>
      <c r="AM18" s="13"/>
      <c r="AN18" s="14"/>
      <c r="AO18" s="9"/>
      <c r="AP18" s="16"/>
      <c r="AQ18" s="10"/>
      <c r="AR18" s="10"/>
      <c r="AS18" s="10"/>
      <c r="AT18" s="11"/>
      <c r="AU18" s="12"/>
      <c r="AV18" s="17"/>
      <c r="AW18" s="13"/>
      <c r="AX18" s="13"/>
      <c r="AY18" s="13"/>
      <c r="AZ18" s="14"/>
      <c r="BA18" s="9"/>
      <c r="BB18" s="16"/>
      <c r="BC18" s="10"/>
      <c r="BD18" s="10"/>
      <c r="BE18" s="10"/>
      <c r="BF18" s="11"/>
      <c r="BG18" s="12"/>
      <c r="BH18" s="17"/>
      <c r="BI18" s="13"/>
      <c r="BJ18" s="13"/>
      <c r="BK18" s="13"/>
      <c r="BL18" s="14"/>
      <c r="BM18" s="9"/>
      <c r="BN18" s="16"/>
      <c r="BO18" s="10"/>
      <c r="BP18" s="10"/>
      <c r="BQ18" s="10"/>
      <c r="BR18" s="11"/>
      <c r="BS18" s="12"/>
      <c r="BT18" s="17"/>
      <c r="BU18" s="13"/>
      <c r="BV18" s="13"/>
      <c r="BW18" s="13"/>
      <c r="BX18" s="14"/>
      <c r="BY18" s="9"/>
      <c r="BZ18" s="16"/>
      <c r="CA18" s="10"/>
      <c r="CB18" s="10"/>
      <c r="CC18" s="10"/>
      <c r="CD18" s="11"/>
      <c r="CE18" s="12"/>
      <c r="CF18" s="17"/>
      <c r="CG18" s="13"/>
      <c r="CH18" s="13"/>
      <c r="CI18" s="13"/>
      <c r="CJ18" s="14"/>
      <c r="CK18" s="9"/>
      <c r="CL18" s="16"/>
      <c r="CM18" s="10"/>
      <c r="CN18" s="10"/>
      <c r="CO18" s="10"/>
      <c r="CP18" s="11"/>
      <c r="CQ18" s="12"/>
      <c r="CR18" s="17"/>
      <c r="CS18" s="13"/>
      <c r="CT18" s="13"/>
      <c r="CU18" s="13"/>
      <c r="CV18" s="14"/>
      <c r="CW18" s="9"/>
      <c r="CX18" s="16"/>
      <c r="CY18" s="10"/>
      <c r="CZ18" s="10"/>
      <c r="DA18" s="10"/>
      <c r="DB18" s="11"/>
      <c r="DC18" s="12"/>
      <c r="DD18" s="17"/>
      <c r="DE18" s="13"/>
      <c r="DF18" s="13"/>
      <c r="DG18" s="13"/>
      <c r="DH18" s="14"/>
      <c r="DI18" s="8">
        <f t="shared" si="0"/>
        <v>42</v>
      </c>
      <c r="DJ18" s="8">
        <f t="shared" si="1"/>
        <v>49</v>
      </c>
      <c r="DK18" s="8">
        <f t="shared" si="2"/>
        <v>39</v>
      </c>
      <c r="DL18" s="8">
        <f t="shared" si="3"/>
        <v>12</v>
      </c>
      <c r="DM18" s="8">
        <f t="shared" si="4"/>
        <v>49</v>
      </c>
      <c r="DN18" s="8">
        <f t="shared" si="5"/>
        <v>39</v>
      </c>
      <c r="DO18" s="15">
        <f t="shared" si="6"/>
        <v>11.423837326365394</v>
      </c>
      <c r="DP18" s="15" t="str">
        <f t="shared" si="7"/>
        <v>OK - No Upgrade</v>
      </c>
      <c r="DQ18" s="15" t="str">
        <f t="shared" si="8"/>
        <v>Need to Balance</v>
      </c>
    </row>
    <row r="19" spans="1:121" ht="15.75" customHeight="1" x14ac:dyDescent="0.25">
      <c r="A19" s="8" t="s">
        <v>904</v>
      </c>
      <c r="B19" s="8" t="s">
        <v>3232</v>
      </c>
      <c r="C19" s="8" t="s">
        <v>2206</v>
      </c>
      <c r="D19" s="8" t="s">
        <v>3275</v>
      </c>
      <c r="E19" s="8" t="s">
        <v>3276</v>
      </c>
      <c r="F19" s="8" t="s">
        <v>43</v>
      </c>
      <c r="G19" s="8"/>
      <c r="H19" s="8">
        <v>315</v>
      </c>
      <c r="I19" s="8" t="s">
        <v>3277</v>
      </c>
      <c r="J19" s="8">
        <v>1</v>
      </c>
      <c r="K19" s="8">
        <v>244</v>
      </c>
      <c r="L19" s="8">
        <v>243</v>
      </c>
      <c r="M19" s="8">
        <v>246</v>
      </c>
      <c r="N19" s="8">
        <v>422</v>
      </c>
      <c r="O19" s="8">
        <v>428</v>
      </c>
      <c r="P19" s="8">
        <v>423</v>
      </c>
      <c r="Q19" s="9" t="s">
        <v>47</v>
      </c>
      <c r="R19" s="16"/>
      <c r="S19" s="10">
        <v>63</v>
      </c>
      <c r="T19" s="10">
        <v>48</v>
      </c>
      <c r="U19" s="10">
        <v>22</v>
      </c>
      <c r="V19" s="11">
        <v>39</v>
      </c>
      <c r="W19" s="12" t="s">
        <v>70</v>
      </c>
      <c r="X19" s="17"/>
      <c r="Y19" s="13">
        <v>54</v>
      </c>
      <c r="Z19" s="13">
        <v>45</v>
      </c>
      <c r="AA19" s="13">
        <v>69</v>
      </c>
      <c r="AB19" s="14">
        <v>20</v>
      </c>
      <c r="AC19" s="9"/>
      <c r="AD19" s="16"/>
      <c r="AE19" s="10"/>
      <c r="AF19" s="10"/>
      <c r="AG19" s="10"/>
      <c r="AH19" s="11"/>
      <c r="AI19" s="12"/>
      <c r="AJ19" s="17"/>
      <c r="AK19" s="13"/>
      <c r="AL19" s="13"/>
      <c r="AM19" s="13"/>
      <c r="AN19" s="14"/>
      <c r="AO19" s="9"/>
      <c r="AP19" s="16"/>
      <c r="AQ19" s="10"/>
      <c r="AR19" s="10"/>
      <c r="AS19" s="10"/>
      <c r="AT19" s="11"/>
      <c r="AU19" s="12"/>
      <c r="AV19" s="17"/>
      <c r="AW19" s="13"/>
      <c r="AX19" s="13"/>
      <c r="AY19" s="13"/>
      <c r="AZ19" s="14"/>
      <c r="BA19" s="9"/>
      <c r="BB19" s="16"/>
      <c r="BC19" s="10"/>
      <c r="BD19" s="10"/>
      <c r="BE19" s="10"/>
      <c r="BF19" s="11"/>
      <c r="BG19" s="12"/>
      <c r="BH19" s="17"/>
      <c r="BI19" s="13"/>
      <c r="BJ19" s="13"/>
      <c r="BK19" s="13"/>
      <c r="BL19" s="14"/>
      <c r="BM19" s="9"/>
      <c r="BN19" s="16"/>
      <c r="BO19" s="10"/>
      <c r="BP19" s="10"/>
      <c r="BQ19" s="10"/>
      <c r="BR19" s="11"/>
      <c r="BS19" s="12"/>
      <c r="BT19" s="17"/>
      <c r="BU19" s="13"/>
      <c r="BV19" s="13"/>
      <c r="BW19" s="13"/>
      <c r="BX19" s="14"/>
      <c r="BY19" s="9"/>
      <c r="BZ19" s="16"/>
      <c r="CA19" s="10"/>
      <c r="CB19" s="10"/>
      <c r="CC19" s="10"/>
      <c r="CD19" s="11"/>
      <c r="CE19" s="12"/>
      <c r="CF19" s="17"/>
      <c r="CG19" s="13"/>
      <c r="CH19" s="13"/>
      <c r="CI19" s="13"/>
      <c r="CJ19" s="14"/>
      <c r="CK19" s="9"/>
      <c r="CL19" s="16"/>
      <c r="CM19" s="10"/>
      <c r="CN19" s="10"/>
      <c r="CO19" s="10"/>
      <c r="CP19" s="11"/>
      <c r="CQ19" s="12"/>
      <c r="CR19" s="17"/>
      <c r="CS19" s="13"/>
      <c r="CT19" s="13"/>
      <c r="CU19" s="13"/>
      <c r="CV19" s="14"/>
      <c r="CW19" s="9"/>
      <c r="CX19" s="16"/>
      <c r="CY19" s="10"/>
      <c r="CZ19" s="10"/>
      <c r="DA19" s="10"/>
      <c r="DB19" s="11"/>
      <c r="DC19" s="12"/>
      <c r="DD19" s="17"/>
      <c r="DE19" s="13"/>
      <c r="DF19" s="13"/>
      <c r="DG19" s="13"/>
      <c r="DH19" s="14"/>
      <c r="DI19" s="8">
        <f t="shared" si="0"/>
        <v>117</v>
      </c>
      <c r="DJ19" s="8">
        <f t="shared" si="1"/>
        <v>93</v>
      </c>
      <c r="DK19" s="8">
        <f t="shared" si="2"/>
        <v>91</v>
      </c>
      <c r="DL19" s="8">
        <f t="shared" si="3"/>
        <v>59</v>
      </c>
      <c r="DM19" s="8">
        <f t="shared" si="4"/>
        <v>117</v>
      </c>
      <c r="DN19" s="8">
        <f t="shared" si="5"/>
        <v>91</v>
      </c>
      <c r="DO19" s="15">
        <f t="shared" si="6"/>
        <v>27.148659229493887</v>
      </c>
      <c r="DP19" s="15" t="str">
        <f t="shared" si="7"/>
        <v>OK - No Upgrade</v>
      </c>
      <c r="DQ19" s="15" t="str">
        <f t="shared" si="8"/>
        <v>Need to Balance</v>
      </c>
    </row>
    <row r="20" spans="1:121" ht="15.75" customHeight="1" x14ac:dyDescent="0.25">
      <c r="A20" s="8" t="s">
        <v>904</v>
      </c>
      <c r="B20" s="8" t="s">
        <v>3232</v>
      </c>
      <c r="C20" s="8" t="s">
        <v>2206</v>
      </c>
      <c r="D20" s="8" t="s">
        <v>3278</v>
      </c>
      <c r="E20" s="8" t="s">
        <v>3279</v>
      </c>
      <c r="F20" s="8" t="s">
        <v>43</v>
      </c>
      <c r="G20" s="8"/>
      <c r="H20" s="8">
        <v>315</v>
      </c>
      <c r="I20" s="8" t="s">
        <v>3280</v>
      </c>
      <c r="J20" s="8">
        <v>1</v>
      </c>
      <c r="K20" s="8">
        <v>246</v>
      </c>
      <c r="L20" s="8">
        <v>244</v>
      </c>
      <c r="M20" s="8">
        <v>247</v>
      </c>
      <c r="N20" s="8">
        <v>424</v>
      </c>
      <c r="O20" s="8">
        <v>430</v>
      </c>
      <c r="P20" s="8">
        <v>426</v>
      </c>
      <c r="Q20" s="9" t="s">
        <v>46</v>
      </c>
      <c r="R20" s="16"/>
      <c r="S20" s="10">
        <v>19</v>
      </c>
      <c r="T20" s="10">
        <v>25</v>
      </c>
      <c r="U20" s="10">
        <v>13</v>
      </c>
      <c r="V20" s="11">
        <v>9</v>
      </c>
      <c r="W20" s="12" t="s">
        <v>47</v>
      </c>
      <c r="X20" s="17"/>
      <c r="Y20" s="13">
        <v>32</v>
      </c>
      <c r="Z20" s="13">
        <v>39</v>
      </c>
      <c r="AA20" s="13">
        <v>53</v>
      </c>
      <c r="AB20" s="14">
        <v>22</v>
      </c>
      <c r="AC20" s="9"/>
      <c r="AD20" s="16"/>
      <c r="AE20" s="10"/>
      <c r="AF20" s="10"/>
      <c r="AG20" s="10"/>
      <c r="AH20" s="11"/>
      <c r="AI20" s="12"/>
      <c r="AJ20" s="17"/>
      <c r="AK20" s="13"/>
      <c r="AL20" s="13"/>
      <c r="AM20" s="13"/>
      <c r="AN20" s="14"/>
      <c r="AO20" s="9"/>
      <c r="AP20" s="16"/>
      <c r="AQ20" s="10"/>
      <c r="AR20" s="10"/>
      <c r="AS20" s="10"/>
      <c r="AT20" s="11"/>
      <c r="AU20" s="12"/>
      <c r="AV20" s="17"/>
      <c r="AW20" s="13"/>
      <c r="AX20" s="13"/>
      <c r="AY20" s="13"/>
      <c r="AZ20" s="14"/>
      <c r="BA20" s="9"/>
      <c r="BB20" s="16"/>
      <c r="BC20" s="10"/>
      <c r="BD20" s="10"/>
      <c r="BE20" s="10"/>
      <c r="BF20" s="11"/>
      <c r="BG20" s="12"/>
      <c r="BH20" s="17"/>
      <c r="BI20" s="13"/>
      <c r="BJ20" s="13"/>
      <c r="BK20" s="13"/>
      <c r="BL20" s="14"/>
      <c r="BM20" s="9"/>
      <c r="BN20" s="16"/>
      <c r="BO20" s="10"/>
      <c r="BP20" s="10"/>
      <c r="BQ20" s="10"/>
      <c r="BR20" s="11"/>
      <c r="BS20" s="12"/>
      <c r="BT20" s="17"/>
      <c r="BU20" s="13"/>
      <c r="BV20" s="13"/>
      <c r="BW20" s="13"/>
      <c r="BX20" s="14"/>
      <c r="BY20" s="9"/>
      <c r="BZ20" s="16"/>
      <c r="CA20" s="10"/>
      <c r="CB20" s="10"/>
      <c r="CC20" s="10"/>
      <c r="CD20" s="11"/>
      <c r="CE20" s="12"/>
      <c r="CF20" s="17"/>
      <c r="CG20" s="13"/>
      <c r="CH20" s="13"/>
      <c r="CI20" s="13"/>
      <c r="CJ20" s="14"/>
      <c r="CK20" s="9"/>
      <c r="CL20" s="16"/>
      <c r="CM20" s="10"/>
      <c r="CN20" s="10"/>
      <c r="CO20" s="10"/>
      <c r="CP20" s="11"/>
      <c r="CQ20" s="12"/>
      <c r="CR20" s="17"/>
      <c r="CS20" s="13"/>
      <c r="CT20" s="13"/>
      <c r="CU20" s="13"/>
      <c r="CV20" s="14"/>
      <c r="CW20" s="9"/>
      <c r="CX20" s="16"/>
      <c r="CY20" s="10"/>
      <c r="CZ20" s="10"/>
      <c r="DA20" s="10"/>
      <c r="DB20" s="11"/>
      <c r="DC20" s="12"/>
      <c r="DD20" s="17"/>
      <c r="DE20" s="13"/>
      <c r="DF20" s="13"/>
      <c r="DG20" s="13"/>
      <c r="DH20" s="14"/>
      <c r="DI20" s="8">
        <f t="shared" si="0"/>
        <v>51</v>
      </c>
      <c r="DJ20" s="8">
        <f t="shared" si="1"/>
        <v>64</v>
      </c>
      <c r="DK20" s="8">
        <f t="shared" si="2"/>
        <v>66</v>
      </c>
      <c r="DL20" s="8">
        <f t="shared" si="3"/>
        <v>31</v>
      </c>
      <c r="DM20" s="8">
        <f t="shared" si="4"/>
        <v>66</v>
      </c>
      <c r="DN20" s="8">
        <f t="shared" si="5"/>
        <v>51</v>
      </c>
      <c r="DO20" s="15">
        <f t="shared" si="6"/>
        <v>15.387209460002365</v>
      </c>
      <c r="DP20" s="15" t="str">
        <f t="shared" si="7"/>
        <v>OK - No Upgrade</v>
      </c>
      <c r="DQ20" s="15" t="str">
        <f t="shared" si="8"/>
        <v>OK - Balanced</v>
      </c>
    </row>
    <row r="21" spans="1:121" ht="15.75" customHeight="1" x14ac:dyDescent="0.25">
      <c r="A21" s="8" t="s">
        <v>904</v>
      </c>
      <c r="B21" s="8" t="s">
        <v>3232</v>
      </c>
      <c r="C21" s="8" t="s">
        <v>2206</v>
      </c>
      <c r="D21" s="8" t="s">
        <v>3281</v>
      </c>
      <c r="E21" s="8" t="s">
        <v>3282</v>
      </c>
      <c r="F21" s="8" t="s">
        <v>43</v>
      </c>
      <c r="G21" s="8"/>
      <c r="H21" s="8">
        <v>315</v>
      </c>
      <c r="I21" s="8" t="s">
        <v>3283</v>
      </c>
      <c r="J21" s="8">
        <v>1</v>
      </c>
      <c r="K21" s="8">
        <v>245</v>
      </c>
      <c r="L21" s="8">
        <v>245</v>
      </c>
      <c r="M21" s="8">
        <v>247</v>
      </c>
      <c r="N21" s="8">
        <v>423</v>
      </c>
      <c r="O21" s="8">
        <v>430</v>
      </c>
      <c r="P21" s="8">
        <v>427</v>
      </c>
      <c r="Q21" s="9" t="s">
        <v>47</v>
      </c>
      <c r="R21" s="16"/>
      <c r="S21" s="10">
        <v>100</v>
      </c>
      <c r="T21" s="10">
        <v>31</v>
      </c>
      <c r="U21" s="10">
        <v>27</v>
      </c>
      <c r="V21" s="11">
        <v>39</v>
      </c>
      <c r="W21" s="12" t="s">
        <v>46</v>
      </c>
      <c r="X21" s="17"/>
      <c r="Y21" s="13">
        <v>29</v>
      </c>
      <c r="Z21" s="13">
        <v>11</v>
      </c>
      <c r="AA21" s="13">
        <v>26</v>
      </c>
      <c r="AB21" s="14">
        <v>16</v>
      </c>
      <c r="AC21" s="9"/>
      <c r="AD21" s="16"/>
      <c r="AE21" s="10"/>
      <c r="AF21" s="10"/>
      <c r="AG21" s="10"/>
      <c r="AH21" s="11"/>
      <c r="AI21" s="12"/>
      <c r="AJ21" s="17"/>
      <c r="AK21" s="13"/>
      <c r="AL21" s="13"/>
      <c r="AM21" s="13"/>
      <c r="AN21" s="14"/>
      <c r="AO21" s="9"/>
      <c r="AP21" s="16"/>
      <c r="AQ21" s="10"/>
      <c r="AR21" s="10"/>
      <c r="AS21" s="10"/>
      <c r="AT21" s="11"/>
      <c r="AU21" s="12"/>
      <c r="AV21" s="17"/>
      <c r="AW21" s="13"/>
      <c r="AX21" s="13"/>
      <c r="AY21" s="13"/>
      <c r="AZ21" s="14"/>
      <c r="BA21" s="9"/>
      <c r="BB21" s="16"/>
      <c r="BC21" s="10"/>
      <c r="BD21" s="10"/>
      <c r="BE21" s="10"/>
      <c r="BF21" s="11"/>
      <c r="BG21" s="12"/>
      <c r="BH21" s="17"/>
      <c r="BI21" s="13"/>
      <c r="BJ21" s="13"/>
      <c r="BK21" s="13"/>
      <c r="BL21" s="14"/>
      <c r="BM21" s="9"/>
      <c r="BN21" s="16"/>
      <c r="BO21" s="10"/>
      <c r="BP21" s="10"/>
      <c r="BQ21" s="10"/>
      <c r="BR21" s="11"/>
      <c r="BS21" s="12"/>
      <c r="BT21" s="17"/>
      <c r="BU21" s="13"/>
      <c r="BV21" s="13"/>
      <c r="BW21" s="13"/>
      <c r="BX21" s="14"/>
      <c r="BY21" s="9"/>
      <c r="BZ21" s="16"/>
      <c r="CA21" s="10"/>
      <c r="CB21" s="10"/>
      <c r="CC21" s="10"/>
      <c r="CD21" s="11"/>
      <c r="CE21" s="12"/>
      <c r="CF21" s="17"/>
      <c r="CG21" s="13"/>
      <c r="CH21" s="13"/>
      <c r="CI21" s="13"/>
      <c r="CJ21" s="14"/>
      <c r="CK21" s="9"/>
      <c r="CL21" s="16"/>
      <c r="CM21" s="10"/>
      <c r="CN21" s="10"/>
      <c r="CO21" s="10"/>
      <c r="CP21" s="11"/>
      <c r="CQ21" s="12"/>
      <c r="CR21" s="17"/>
      <c r="CS21" s="13"/>
      <c r="CT21" s="13"/>
      <c r="CU21" s="13"/>
      <c r="CV21" s="14"/>
      <c r="CW21" s="9"/>
      <c r="CX21" s="16"/>
      <c r="CY21" s="10"/>
      <c r="CZ21" s="10"/>
      <c r="DA21" s="10"/>
      <c r="DB21" s="11"/>
      <c r="DC21" s="12"/>
      <c r="DD21" s="17"/>
      <c r="DE21" s="13"/>
      <c r="DF21" s="13"/>
      <c r="DG21" s="13"/>
      <c r="DH21" s="14"/>
      <c r="DI21" s="8">
        <f t="shared" si="0"/>
        <v>129</v>
      </c>
      <c r="DJ21" s="8">
        <f t="shared" si="1"/>
        <v>42</v>
      </c>
      <c r="DK21" s="8">
        <f t="shared" si="2"/>
        <v>53</v>
      </c>
      <c r="DL21" s="8">
        <f t="shared" si="3"/>
        <v>55</v>
      </c>
      <c r="DM21" s="8">
        <f t="shared" si="4"/>
        <v>129</v>
      </c>
      <c r="DN21" s="8">
        <f t="shared" si="5"/>
        <v>42</v>
      </c>
      <c r="DO21" s="15">
        <f t="shared" si="6"/>
        <v>30.004068703686006</v>
      </c>
      <c r="DP21" s="15" t="str">
        <f t="shared" si="7"/>
        <v>OK - No Upgrade</v>
      </c>
      <c r="DQ21" s="15" t="str">
        <f t="shared" si="8"/>
        <v>Need to Balance</v>
      </c>
    </row>
    <row r="22" spans="1:121" ht="15.75" customHeight="1" x14ac:dyDescent="0.25">
      <c r="A22" s="8" t="s">
        <v>904</v>
      </c>
      <c r="B22" s="8" t="s">
        <v>3232</v>
      </c>
      <c r="C22" s="8" t="s">
        <v>3284</v>
      </c>
      <c r="D22" s="8" t="s">
        <v>3285</v>
      </c>
      <c r="E22" s="8" t="s">
        <v>3286</v>
      </c>
      <c r="F22" s="8" t="s">
        <v>56</v>
      </c>
      <c r="G22" s="8"/>
      <c r="H22" s="8">
        <v>500</v>
      </c>
      <c r="I22" s="8" t="s">
        <v>3287</v>
      </c>
      <c r="J22" s="8">
        <v>1</v>
      </c>
      <c r="K22" s="8">
        <v>244</v>
      </c>
      <c r="L22" s="8">
        <v>244</v>
      </c>
      <c r="M22" s="8">
        <v>246</v>
      </c>
      <c r="N22" s="8">
        <v>418</v>
      </c>
      <c r="O22" s="8">
        <v>427</v>
      </c>
      <c r="P22" s="8">
        <v>441</v>
      </c>
      <c r="Q22" s="9" t="s">
        <v>47</v>
      </c>
      <c r="R22" s="16"/>
      <c r="S22" s="10">
        <v>114</v>
      </c>
      <c r="T22" s="10">
        <v>138</v>
      </c>
      <c r="U22" s="10">
        <v>128</v>
      </c>
      <c r="V22" s="11">
        <v>57</v>
      </c>
      <c r="W22" s="12" t="s">
        <v>47</v>
      </c>
      <c r="X22" s="17"/>
      <c r="Y22" s="13">
        <v>140</v>
      </c>
      <c r="Z22" s="13">
        <v>102</v>
      </c>
      <c r="AA22" s="13">
        <v>100</v>
      </c>
      <c r="AB22" s="14">
        <v>85</v>
      </c>
      <c r="AC22" s="9" t="s">
        <v>47</v>
      </c>
      <c r="AD22" s="16"/>
      <c r="AE22" s="10">
        <v>0</v>
      </c>
      <c r="AF22" s="10">
        <v>0</v>
      </c>
      <c r="AG22" s="10">
        <v>0</v>
      </c>
      <c r="AH22" s="11">
        <v>0</v>
      </c>
      <c r="AI22" s="12"/>
      <c r="AJ22" s="17"/>
      <c r="AK22" s="13"/>
      <c r="AL22" s="13"/>
      <c r="AM22" s="13"/>
      <c r="AN22" s="14"/>
      <c r="AO22" s="9"/>
      <c r="AP22" s="16"/>
      <c r="AQ22" s="10"/>
      <c r="AR22" s="10"/>
      <c r="AS22" s="10"/>
      <c r="AT22" s="11"/>
      <c r="AU22" s="12"/>
      <c r="AV22" s="17"/>
      <c r="AW22" s="13"/>
      <c r="AX22" s="13"/>
      <c r="AY22" s="13"/>
      <c r="AZ22" s="14"/>
      <c r="BA22" s="9"/>
      <c r="BB22" s="16"/>
      <c r="BC22" s="10"/>
      <c r="BD22" s="10"/>
      <c r="BE22" s="10"/>
      <c r="BF22" s="11"/>
      <c r="BG22" s="12"/>
      <c r="BH22" s="17"/>
      <c r="BI22" s="13"/>
      <c r="BJ22" s="13"/>
      <c r="BK22" s="13"/>
      <c r="BL22" s="14"/>
      <c r="BM22" s="9"/>
      <c r="BN22" s="16"/>
      <c r="BO22" s="10"/>
      <c r="BP22" s="10"/>
      <c r="BQ22" s="10"/>
      <c r="BR22" s="11"/>
      <c r="BS22" s="12"/>
      <c r="BT22" s="17"/>
      <c r="BU22" s="13"/>
      <c r="BV22" s="13"/>
      <c r="BW22" s="13"/>
      <c r="BX22" s="14"/>
      <c r="BY22" s="9"/>
      <c r="BZ22" s="16"/>
      <c r="CA22" s="10"/>
      <c r="CB22" s="10"/>
      <c r="CC22" s="10"/>
      <c r="CD22" s="11"/>
      <c r="CE22" s="12"/>
      <c r="CF22" s="17"/>
      <c r="CG22" s="13"/>
      <c r="CH22" s="13"/>
      <c r="CI22" s="13"/>
      <c r="CJ22" s="14"/>
      <c r="CK22" s="9"/>
      <c r="CL22" s="16"/>
      <c r="CM22" s="10"/>
      <c r="CN22" s="10"/>
      <c r="CO22" s="10"/>
      <c r="CP22" s="11"/>
      <c r="CQ22" s="12"/>
      <c r="CR22" s="17"/>
      <c r="CS22" s="13"/>
      <c r="CT22" s="13"/>
      <c r="CU22" s="13"/>
      <c r="CV22" s="14"/>
      <c r="CW22" s="9"/>
      <c r="CX22" s="16"/>
      <c r="CY22" s="10"/>
      <c r="CZ22" s="10"/>
      <c r="DA22" s="10"/>
      <c r="DB22" s="11"/>
      <c r="DC22" s="12"/>
      <c r="DD22" s="17"/>
      <c r="DE22" s="13"/>
      <c r="DF22" s="13"/>
      <c r="DG22" s="13"/>
      <c r="DH22" s="14"/>
      <c r="DI22" s="8">
        <f t="shared" si="0"/>
        <v>254</v>
      </c>
      <c r="DJ22" s="8">
        <f t="shared" si="1"/>
        <v>240</v>
      </c>
      <c r="DK22" s="8">
        <f t="shared" si="2"/>
        <v>228</v>
      </c>
      <c r="DL22" s="8">
        <f t="shared" si="3"/>
        <v>142</v>
      </c>
      <c r="DM22" s="8">
        <f t="shared" si="4"/>
        <v>254</v>
      </c>
      <c r="DN22" s="8">
        <f t="shared" si="5"/>
        <v>228</v>
      </c>
      <c r="DO22" s="15">
        <f t="shared" si="6"/>
        <v>36.779059668240563</v>
      </c>
      <c r="DP22" s="15" t="str">
        <f t="shared" si="7"/>
        <v>OK - No Upgrade</v>
      </c>
      <c r="DQ22" s="15" t="str">
        <f t="shared" si="8"/>
        <v>OK - Balanced</v>
      </c>
    </row>
    <row r="23" spans="1:121" ht="15.75" customHeight="1" x14ac:dyDescent="0.25">
      <c r="A23" s="8" t="s">
        <v>904</v>
      </c>
      <c r="B23" s="8" t="s">
        <v>3232</v>
      </c>
      <c r="C23" s="8" t="s">
        <v>3284</v>
      </c>
      <c r="D23" s="8" t="s">
        <v>3288</v>
      </c>
      <c r="E23" s="8" t="s">
        <v>3289</v>
      </c>
      <c r="F23" s="8" t="s">
        <v>56</v>
      </c>
      <c r="G23" s="8"/>
      <c r="H23" s="8">
        <v>1000</v>
      </c>
      <c r="I23" s="8" t="s">
        <v>3290</v>
      </c>
      <c r="J23" s="8">
        <v>1</v>
      </c>
      <c r="K23" s="8">
        <v>246</v>
      </c>
      <c r="L23" s="8">
        <v>244</v>
      </c>
      <c r="M23" s="8">
        <v>244</v>
      </c>
      <c r="N23" s="8">
        <v>425</v>
      </c>
      <c r="O23" s="8">
        <v>425</v>
      </c>
      <c r="P23" s="8">
        <v>421</v>
      </c>
      <c r="Q23" s="9" t="s">
        <v>47</v>
      </c>
      <c r="R23" s="16"/>
      <c r="S23" s="10">
        <v>156</v>
      </c>
      <c r="T23" s="10">
        <v>162</v>
      </c>
      <c r="U23" s="10">
        <v>147</v>
      </c>
      <c r="V23" s="11">
        <v>31</v>
      </c>
      <c r="W23" s="12" t="s">
        <v>47</v>
      </c>
      <c r="X23" s="17"/>
      <c r="Y23" s="13">
        <v>174</v>
      </c>
      <c r="Z23" s="13">
        <v>122</v>
      </c>
      <c r="AA23" s="13">
        <v>144</v>
      </c>
      <c r="AB23" s="14">
        <v>51</v>
      </c>
      <c r="AC23" s="9"/>
      <c r="AD23" s="16"/>
      <c r="AE23" s="10"/>
      <c r="AF23" s="10"/>
      <c r="AG23" s="10"/>
      <c r="AH23" s="11"/>
      <c r="AI23" s="12"/>
      <c r="AJ23" s="17"/>
      <c r="AK23" s="13"/>
      <c r="AL23" s="13"/>
      <c r="AM23" s="13"/>
      <c r="AN23" s="14"/>
      <c r="AO23" s="9"/>
      <c r="AP23" s="16"/>
      <c r="AQ23" s="10"/>
      <c r="AR23" s="10"/>
      <c r="AS23" s="10"/>
      <c r="AT23" s="11"/>
      <c r="AU23" s="12"/>
      <c r="AV23" s="17"/>
      <c r="AW23" s="13"/>
      <c r="AX23" s="13"/>
      <c r="AY23" s="13"/>
      <c r="AZ23" s="14"/>
      <c r="BA23" s="9"/>
      <c r="BB23" s="16"/>
      <c r="BC23" s="10"/>
      <c r="BD23" s="10"/>
      <c r="BE23" s="10"/>
      <c r="BF23" s="11"/>
      <c r="BG23" s="12"/>
      <c r="BH23" s="17"/>
      <c r="BI23" s="13"/>
      <c r="BJ23" s="13"/>
      <c r="BK23" s="13"/>
      <c r="BL23" s="14"/>
      <c r="BM23" s="9"/>
      <c r="BN23" s="16"/>
      <c r="BO23" s="10"/>
      <c r="BP23" s="10"/>
      <c r="BQ23" s="10"/>
      <c r="BR23" s="11"/>
      <c r="BS23" s="12"/>
      <c r="BT23" s="17"/>
      <c r="BU23" s="13"/>
      <c r="BV23" s="13"/>
      <c r="BW23" s="13"/>
      <c r="BX23" s="14"/>
      <c r="BY23" s="9"/>
      <c r="BZ23" s="16"/>
      <c r="CA23" s="10"/>
      <c r="CB23" s="10"/>
      <c r="CC23" s="10"/>
      <c r="CD23" s="11"/>
      <c r="CE23" s="12"/>
      <c r="CF23" s="17"/>
      <c r="CG23" s="13"/>
      <c r="CH23" s="13"/>
      <c r="CI23" s="13"/>
      <c r="CJ23" s="14"/>
      <c r="CK23" s="9"/>
      <c r="CL23" s="16"/>
      <c r="CM23" s="10"/>
      <c r="CN23" s="10"/>
      <c r="CO23" s="10"/>
      <c r="CP23" s="11"/>
      <c r="CQ23" s="12"/>
      <c r="CR23" s="17"/>
      <c r="CS23" s="13"/>
      <c r="CT23" s="13"/>
      <c r="CU23" s="13"/>
      <c r="CV23" s="14"/>
      <c r="CW23" s="9"/>
      <c r="CX23" s="16"/>
      <c r="CY23" s="10"/>
      <c r="CZ23" s="10"/>
      <c r="DA23" s="10"/>
      <c r="DB23" s="11"/>
      <c r="DC23" s="12"/>
      <c r="DD23" s="17"/>
      <c r="DE23" s="13"/>
      <c r="DF23" s="13"/>
      <c r="DG23" s="13"/>
      <c r="DH23" s="14"/>
      <c r="DI23" s="8">
        <f t="shared" si="0"/>
        <v>330</v>
      </c>
      <c r="DJ23" s="8">
        <f t="shared" si="1"/>
        <v>284</v>
      </c>
      <c r="DK23" s="8">
        <f t="shared" si="2"/>
        <v>291</v>
      </c>
      <c r="DL23" s="8">
        <f t="shared" si="3"/>
        <v>82</v>
      </c>
      <c r="DM23" s="8">
        <f t="shared" si="4"/>
        <v>330</v>
      </c>
      <c r="DN23" s="8">
        <f t="shared" si="5"/>
        <v>284</v>
      </c>
      <c r="DO23" s="15">
        <f t="shared" si="6"/>
        <v>24.292012576153503</v>
      </c>
      <c r="DP23" s="15" t="str">
        <f t="shared" si="7"/>
        <v>OK - No Upgrade</v>
      </c>
      <c r="DQ23" s="15" t="str">
        <f t="shared" si="8"/>
        <v>OK - Balanced</v>
      </c>
    </row>
    <row r="24" spans="1:121" ht="15.75" customHeight="1" x14ac:dyDescent="0.25">
      <c r="A24" s="8" t="s">
        <v>904</v>
      </c>
      <c r="B24" s="8" t="s">
        <v>3232</v>
      </c>
      <c r="C24" s="8" t="s">
        <v>3284</v>
      </c>
      <c r="D24" s="8" t="s">
        <v>3285</v>
      </c>
      <c r="E24" s="8" t="s">
        <v>3291</v>
      </c>
      <c r="F24" s="8" t="s">
        <v>56</v>
      </c>
      <c r="G24" s="8"/>
      <c r="H24" s="8">
        <v>500</v>
      </c>
      <c r="I24" s="8" t="s">
        <v>3292</v>
      </c>
      <c r="J24" s="8">
        <v>1</v>
      </c>
      <c r="K24" s="8">
        <v>245</v>
      </c>
      <c r="L24" s="8">
        <v>244</v>
      </c>
      <c r="M24" s="8">
        <v>247</v>
      </c>
      <c r="N24" s="8">
        <v>423</v>
      </c>
      <c r="O24" s="8">
        <v>428</v>
      </c>
      <c r="P24" s="8">
        <v>427</v>
      </c>
      <c r="Q24" s="9" t="s">
        <v>47</v>
      </c>
      <c r="R24" s="16"/>
      <c r="S24" s="10">
        <v>31</v>
      </c>
      <c r="T24" s="10">
        <v>55</v>
      </c>
      <c r="U24" s="10">
        <v>33</v>
      </c>
      <c r="V24" s="11">
        <v>96</v>
      </c>
      <c r="W24" s="12" t="s">
        <v>47</v>
      </c>
      <c r="X24" s="17"/>
      <c r="Y24" s="13">
        <v>106</v>
      </c>
      <c r="Z24" s="13">
        <v>106</v>
      </c>
      <c r="AA24" s="13">
        <v>85</v>
      </c>
      <c r="AB24" s="14">
        <v>100</v>
      </c>
      <c r="AC24" s="9"/>
      <c r="AD24" s="16"/>
      <c r="AE24" s="10"/>
      <c r="AF24" s="10"/>
      <c r="AG24" s="10"/>
      <c r="AH24" s="11"/>
      <c r="AI24" s="12"/>
      <c r="AJ24" s="17"/>
      <c r="AK24" s="13"/>
      <c r="AL24" s="13"/>
      <c r="AM24" s="13"/>
      <c r="AN24" s="14"/>
      <c r="AO24" s="9"/>
      <c r="AP24" s="16"/>
      <c r="AQ24" s="10"/>
      <c r="AR24" s="10"/>
      <c r="AS24" s="10"/>
      <c r="AT24" s="11"/>
      <c r="AU24" s="12"/>
      <c r="AV24" s="17"/>
      <c r="AW24" s="13"/>
      <c r="AX24" s="13"/>
      <c r="AY24" s="13"/>
      <c r="AZ24" s="14"/>
      <c r="BA24" s="9"/>
      <c r="BB24" s="16"/>
      <c r="BC24" s="10"/>
      <c r="BD24" s="10"/>
      <c r="BE24" s="10"/>
      <c r="BF24" s="11"/>
      <c r="BG24" s="12"/>
      <c r="BH24" s="17"/>
      <c r="BI24" s="13"/>
      <c r="BJ24" s="13"/>
      <c r="BK24" s="13"/>
      <c r="BL24" s="14"/>
      <c r="BM24" s="9"/>
      <c r="BN24" s="16"/>
      <c r="BO24" s="10"/>
      <c r="BP24" s="10"/>
      <c r="BQ24" s="10"/>
      <c r="BR24" s="11"/>
      <c r="BS24" s="12"/>
      <c r="BT24" s="17"/>
      <c r="BU24" s="13"/>
      <c r="BV24" s="13"/>
      <c r="BW24" s="13"/>
      <c r="BX24" s="14"/>
      <c r="BY24" s="9"/>
      <c r="BZ24" s="16"/>
      <c r="CA24" s="10"/>
      <c r="CB24" s="10"/>
      <c r="CC24" s="10"/>
      <c r="CD24" s="11"/>
      <c r="CE24" s="12"/>
      <c r="CF24" s="17"/>
      <c r="CG24" s="13"/>
      <c r="CH24" s="13"/>
      <c r="CI24" s="13"/>
      <c r="CJ24" s="14"/>
      <c r="CK24" s="9"/>
      <c r="CL24" s="16"/>
      <c r="CM24" s="10"/>
      <c r="CN24" s="10"/>
      <c r="CO24" s="10"/>
      <c r="CP24" s="11"/>
      <c r="CQ24" s="12"/>
      <c r="CR24" s="17"/>
      <c r="CS24" s="13"/>
      <c r="CT24" s="13"/>
      <c r="CU24" s="13"/>
      <c r="CV24" s="14"/>
      <c r="CW24" s="9"/>
      <c r="CX24" s="16"/>
      <c r="CY24" s="10"/>
      <c r="CZ24" s="10"/>
      <c r="DA24" s="10"/>
      <c r="DB24" s="11"/>
      <c r="DC24" s="12"/>
      <c r="DD24" s="17"/>
      <c r="DE24" s="13"/>
      <c r="DF24" s="13"/>
      <c r="DG24" s="13"/>
      <c r="DH24" s="14"/>
      <c r="DI24" s="8">
        <f t="shared" si="0"/>
        <v>137</v>
      </c>
      <c r="DJ24" s="8">
        <f t="shared" si="1"/>
        <v>161</v>
      </c>
      <c r="DK24" s="8">
        <f t="shared" si="2"/>
        <v>118</v>
      </c>
      <c r="DL24" s="8">
        <f t="shared" si="3"/>
        <v>196</v>
      </c>
      <c r="DM24" s="8">
        <f t="shared" si="4"/>
        <v>161</v>
      </c>
      <c r="DN24" s="8">
        <f t="shared" si="5"/>
        <v>118</v>
      </c>
      <c r="DO24" s="15">
        <f t="shared" si="6"/>
        <v>23.591571229572651</v>
      </c>
      <c r="DP24" s="15" t="str">
        <f t="shared" si="7"/>
        <v>OK - No Upgrade</v>
      </c>
      <c r="DQ24" s="15" t="str">
        <f t="shared" si="8"/>
        <v>Need to Balance</v>
      </c>
    </row>
    <row r="25" spans="1:121" ht="15.75" customHeight="1" x14ac:dyDescent="0.25">
      <c r="A25" s="8" t="s">
        <v>904</v>
      </c>
      <c r="B25" s="8" t="s">
        <v>3232</v>
      </c>
      <c r="C25" s="8" t="s">
        <v>3233</v>
      </c>
      <c r="D25" s="8" t="s">
        <v>3293</v>
      </c>
      <c r="E25" s="8" t="s">
        <v>3294</v>
      </c>
      <c r="F25" s="8" t="s">
        <v>56</v>
      </c>
      <c r="G25" s="8"/>
      <c r="H25" s="8">
        <v>1000</v>
      </c>
      <c r="I25" s="8" t="s">
        <v>3295</v>
      </c>
      <c r="J25" s="8">
        <v>1</v>
      </c>
      <c r="K25" s="8">
        <v>244</v>
      </c>
      <c r="L25" s="8">
        <v>244</v>
      </c>
      <c r="M25" s="8">
        <v>246</v>
      </c>
      <c r="N25" s="8">
        <v>422</v>
      </c>
      <c r="O25" s="8">
        <v>425</v>
      </c>
      <c r="P25" s="8">
        <v>426</v>
      </c>
      <c r="Q25" s="9" t="s">
        <v>47</v>
      </c>
      <c r="R25" s="16"/>
      <c r="S25" s="10">
        <v>150</v>
      </c>
      <c r="T25" s="10">
        <v>171</v>
      </c>
      <c r="U25" s="10">
        <v>165</v>
      </c>
      <c r="V25" s="11">
        <v>40</v>
      </c>
      <c r="W25" s="12"/>
      <c r="X25" s="17"/>
      <c r="Y25" s="13">
        <v>77</v>
      </c>
      <c r="Z25" s="13">
        <v>124</v>
      </c>
      <c r="AA25" s="13">
        <v>70</v>
      </c>
      <c r="AB25" s="14">
        <v>48</v>
      </c>
      <c r="AC25" s="9"/>
      <c r="AD25" s="16"/>
      <c r="AE25" s="10"/>
      <c r="AF25" s="10"/>
      <c r="AG25" s="10"/>
      <c r="AH25" s="11"/>
      <c r="AI25" s="12"/>
      <c r="AJ25" s="17"/>
      <c r="AK25" s="13"/>
      <c r="AL25" s="13"/>
      <c r="AM25" s="13"/>
      <c r="AN25" s="14"/>
      <c r="AO25" s="9"/>
      <c r="AP25" s="16"/>
      <c r="AQ25" s="10"/>
      <c r="AR25" s="10"/>
      <c r="AS25" s="10"/>
      <c r="AT25" s="11"/>
      <c r="AU25" s="12"/>
      <c r="AV25" s="17"/>
      <c r="AW25" s="13"/>
      <c r="AX25" s="13"/>
      <c r="AY25" s="13"/>
      <c r="AZ25" s="14"/>
      <c r="BA25" s="9"/>
      <c r="BB25" s="16"/>
      <c r="BC25" s="10"/>
      <c r="BD25" s="10"/>
      <c r="BE25" s="10"/>
      <c r="BF25" s="11"/>
      <c r="BG25" s="12"/>
      <c r="BH25" s="17"/>
      <c r="BI25" s="13"/>
      <c r="BJ25" s="13"/>
      <c r="BK25" s="13"/>
      <c r="BL25" s="14"/>
      <c r="BM25" s="9"/>
      <c r="BN25" s="16"/>
      <c r="BO25" s="10"/>
      <c r="BP25" s="10"/>
      <c r="BQ25" s="10"/>
      <c r="BR25" s="11"/>
      <c r="BS25" s="12"/>
      <c r="BT25" s="17"/>
      <c r="BU25" s="13"/>
      <c r="BV25" s="13"/>
      <c r="BW25" s="13"/>
      <c r="BX25" s="14"/>
      <c r="BY25" s="9"/>
      <c r="BZ25" s="16"/>
      <c r="CA25" s="10"/>
      <c r="CB25" s="10"/>
      <c r="CC25" s="10"/>
      <c r="CD25" s="11"/>
      <c r="CE25" s="12"/>
      <c r="CF25" s="17"/>
      <c r="CG25" s="13"/>
      <c r="CH25" s="13"/>
      <c r="CI25" s="13"/>
      <c r="CJ25" s="14"/>
      <c r="CK25" s="9"/>
      <c r="CL25" s="16"/>
      <c r="CM25" s="10"/>
      <c r="CN25" s="10"/>
      <c r="CO25" s="10"/>
      <c r="CP25" s="11"/>
      <c r="CQ25" s="12"/>
      <c r="CR25" s="17"/>
      <c r="CS25" s="13"/>
      <c r="CT25" s="13"/>
      <c r="CU25" s="13"/>
      <c r="CV25" s="14"/>
      <c r="CW25" s="9"/>
      <c r="CX25" s="16"/>
      <c r="CY25" s="10"/>
      <c r="CZ25" s="10"/>
      <c r="DA25" s="10"/>
      <c r="DB25" s="11"/>
      <c r="DC25" s="12"/>
      <c r="DD25" s="17"/>
      <c r="DE25" s="13"/>
      <c r="DF25" s="13"/>
      <c r="DG25" s="13"/>
      <c r="DH25" s="14"/>
      <c r="DI25" s="8">
        <f t="shared" si="0"/>
        <v>227</v>
      </c>
      <c r="DJ25" s="8">
        <f t="shared" si="1"/>
        <v>295</v>
      </c>
      <c r="DK25" s="8">
        <f t="shared" si="2"/>
        <v>235</v>
      </c>
      <c r="DL25" s="8">
        <f t="shared" si="3"/>
        <v>88</v>
      </c>
      <c r="DM25" s="8">
        <f t="shared" si="4"/>
        <v>295</v>
      </c>
      <c r="DN25" s="8">
        <f t="shared" si="5"/>
        <v>227</v>
      </c>
      <c r="DO25" s="15">
        <f t="shared" si="6"/>
        <v>21.562300503424954</v>
      </c>
      <c r="DP25" s="15" t="str">
        <f t="shared" si="7"/>
        <v>OK - No Upgrade</v>
      </c>
      <c r="DQ25" s="15" t="str">
        <f t="shared" si="8"/>
        <v>Need to Balance</v>
      </c>
    </row>
    <row r="26" spans="1:121" ht="15.75" customHeight="1" x14ac:dyDescent="0.25">
      <c r="A26" s="8" t="s">
        <v>904</v>
      </c>
      <c r="B26" s="8" t="s">
        <v>3232</v>
      </c>
      <c r="C26" s="8" t="s">
        <v>2206</v>
      </c>
      <c r="D26" s="8"/>
      <c r="E26" s="8" t="s">
        <v>3296</v>
      </c>
      <c r="F26" s="8" t="s">
        <v>56</v>
      </c>
      <c r="G26" s="8"/>
      <c r="H26" s="8">
        <v>500</v>
      </c>
      <c r="I26" s="8" t="s">
        <v>3297</v>
      </c>
      <c r="J26" s="8">
        <v>1</v>
      </c>
      <c r="K26" s="8">
        <v>245</v>
      </c>
      <c r="L26" s="8">
        <v>244</v>
      </c>
      <c r="M26" s="8">
        <v>247</v>
      </c>
      <c r="N26" s="8">
        <v>422</v>
      </c>
      <c r="O26" s="8">
        <v>430</v>
      </c>
      <c r="P26" s="8">
        <v>426</v>
      </c>
      <c r="Q26" s="9" t="s">
        <v>47</v>
      </c>
      <c r="R26" s="16"/>
      <c r="S26" s="10">
        <v>133</v>
      </c>
      <c r="T26" s="10">
        <v>123</v>
      </c>
      <c r="U26" s="10">
        <v>76</v>
      </c>
      <c r="V26" s="11">
        <v>116</v>
      </c>
      <c r="W26" s="12" t="s">
        <v>47</v>
      </c>
      <c r="X26" s="17"/>
      <c r="Y26" s="13">
        <v>101</v>
      </c>
      <c r="Z26" s="13">
        <v>130</v>
      </c>
      <c r="AA26" s="13">
        <v>97</v>
      </c>
      <c r="AB26" s="14">
        <v>119</v>
      </c>
      <c r="AC26" s="9"/>
      <c r="AD26" s="16"/>
      <c r="AE26" s="10"/>
      <c r="AF26" s="10"/>
      <c r="AG26" s="10"/>
      <c r="AH26" s="11"/>
      <c r="AI26" s="12"/>
      <c r="AJ26" s="17"/>
      <c r="AK26" s="13"/>
      <c r="AL26" s="13"/>
      <c r="AM26" s="13"/>
      <c r="AN26" s="14"/>
      <c r="AO26" s="9"/>
      <c r="AP26" s="16"/>
      <c r="AQ26" s="10"/>
      <c r="AR26" s="10"/>
      <c r="AS26" s="10"/>
      <c r="AT26" s="11"/>
      <c r="AU26" s="12"/>
      <c r="AV26" s="17"/>
      <c r="AW26" s="13"/>
      <c r="AX26" s="13"/>
      <c r="AY26" s="13"/>
      <c r="AZ26" s="14"/>
      <c r="BA26" s="9"/>
      <c r="BB26" s="16"/>
      <c r="BC26" s="10"/>
      <c r="BD26" s="10"/>
      <c r="BE26" s="10"/>
      <c r="BF26" s="11"/>
      <c r="BG26" s="12"/>
      <c r="BH26" s="17"/>
      <c r="BI26" s="13"/>
      <c r="BJ26" s="13"/>
      <c r="BK26" s="13"/>
      <c r="BL26" s="14"/>
      <c r="BM26" s="9"/>
      <c r="BN26" s="16"/>
      <c r="BO26" s="10"/>
      <c r="BP26" s="10"/>
      <c r="BQ26" s="10"/>
      <c r="BR26" s="11"/>
      <c r="BS26" s="12"/>
      <c r="BT26" s="17"/>
      <c r="BU26" s="13"/>
      <c r="BV26" s="13"/>
      <c r="BW26" s="13"/>
      <c r="BX26" s="14"/>
      <c r="BY26" s="9"/>
      <c r="BZ26" s="16"/>
      <c r="CA26" s="10"/>
      <c r="CB26" s="10"/>
      <c r="CC26" s="10"/>
      <c r="CD26" s="11"/>
      <c r="CE26" s="12"/>
      <c r="CF26" s="17"/>
      <c r="CG26" s="13"/>
      <c r="CH26" s="13"/>
      <c r="CI26" s="13"/>
      <c r="CJ26" s="14"/>
      <c r="CK26" s="9"/>
      <c r="CL26" s="16"/>
      <c r="CM26" s="10"/>
      <c r="CN26" s="10"/>
      <c r="CO26" s="10"/>
      <c r="CP26" s="11"/>
      <c r="CQ26" s="12"/>
      <c r="CR26" s="17"/>
      <c r="CS26" s="13"/>
      <c r="CT26" s="13"/>
      <c r="CU26" s="13"/>
      <c r="CV26" s="14"/>
      <c r="CW26" s="9"/>
      <c r="CX26" s="16"/>
      <c r="CY26" s="10"/>
      <c r="CZ26" s="10"/>
      <c r="DA26" s="10"/>
      <c r="DB26" s="11"/>
      <c r="DC26" s="12"/>
      <c r="DD26" s="17"/>
      <c r="DE26" s="13"/>
      <c r="DF26" s="13"/>
      <c r="DG26" s="13"/>
      <c r="DH26" s="14"/>
      <c r="DI26" s="8">
        <f t="shared" si="0"/>
        <v>234</v>
      </c>
      <c r="DJ26" s="8">
        <f t="shared" si="1"/>
        <v>253</v>
      </c>
      <c r="DK26" s="8">
        <f t="shared" si="2"/>
        <v>173</v>
      </c>
      <c r="DL26" s="8">
        <f t="shared" si="3"/>
        <v>235</v>
      </c>
      <c r="DM26" s="8">
        <f t="shared" si="4"/>
        <v>253</v>
      </c>
      <c r="DN26" s="8">
        <f t="shared" si="5"/>
        <v>173</v>
      </c>
      <c r="DO26" s="15">
        <f t="shared" si="6"/>
        <v>36.984827304179753</v>
      </c>
      <c r="DP26" s="15" t="str">
        <f t="shared" si="7"/>
        <v>OK - No Upgrade</v>
      </c>
      <c r="DQ26" s="15" t="str">
        <f t="shared" si="8"/>
        <v>Need to Balance</v>
      </c>
    </row>
    <row r="27" spans="1:121" ht="15.75" customHeight="1" x14ac:dyDescent="0.25">
      <c r="A27" s="8" t="s">
        <v>904</v>
      </c>
      <c r="B27" s="8" t="s">
        <v>3232</v>
      </c>
      <c r="C27" s="8" t="s">
        <v>905</v>
      </c>
      <c r="D27" s="8"/>
      <c r="E27" s="8" t="s">
        <v>3298</v>
      </c>
      <c r="F27" s="8" t="s">
        <v>56</v>
      </c>
      <c r="G27" s="8"/>
      <c r="H27" s="8">
        <v>1000</v>
      </c>
      <c r="I27" s="8" t="s">
        <v>3299</v>
      </c>
      <c r="J27" s="8">
        <v>1</v>
      </c>
      <c r="K27" s="8">
        <v>232</v>
      </c>
      <c r="L27" s="8">
        <v>233</v>
      </c>
      <c r="M27" s="8">
        <v>235</v>
      </c>
      <c r="N27" s="8">
        <v>404</v>
      </c>
      <c r="O27" s="8">
        <v>404</v>
      </c>
      <c r="P27" s="8">
        <v>408</v>
      </c>
      <c r="Q27" s="9" t="s">
        <v>47</v>
      </c>
      <c r="R27" s="16"/>
      <c r="S27" s="10">
        <v>190</v>
      </c>
      <c r="T27" s="10">
        <v>96</v>
      </c>
      <c r="U27" s="10">
        <v>100</v>
      </c>
      <c r="V27" s="11">
        <v>85</v>
      </c>
      <c r="W27" s="12" t="s">
        <v>47</v>
      </c>
      <c r="X27" s="17"/>
      <c r="Y27" s="13">
        <v>155</v>
      </c>
      <c r="Z27" s="13">
        <v>119</v>
      </c>
      <c r="AA27" s="13">
        <v>101</v>
      </c>
      <c r="AB27" s="14">
        <v>55</v>
      </c>
      <c r="AC27" s="9"/>
      <c r="AD27" s="16"/>
      <c r="AE27" s="10"/>
      <c r="AF27" s="10"/>
      <c r="AG27" s="10"/>
      <c r="AH27" s="11"/>
      <c r="AI27" s="12"/>
      <c r="AJ27" s="17"/>
      <c r="AK27" s="13"/>
      <c r="AL27" s="13"/>
      <c r="AM27" s="13"/>
      <c r="AN27" s="14"/>
      <c r="AO27" s="9"/>
      <c r="AP27" s="16"/>
      <c r="AQ27" s="10"/>
      <c r="AR27" s="10"/>
      <c r="AS27" s="10"/>
      <c r="AT27" s="11"/>
      <c r="AU27" s="12"/>
      <c r="AV27" s="17"/>
      <c r="AW27" s="13"/>
      <c r="AX27" s="13"/>
      <c r="AY27" s="13"/>
      <c r="AZ27" s="14"/>
      <c r="BA27" s="9"/>
      <c r="BB27" s="16"/>
      <c r="BC27" s="10"/>
      <c r="BD27" s="10"/>
      <c r="BE27" s="10"/>
      <c r="BF27" s="11"/>
      <c r="BG27" s="12"/>
      <c r="BH27" s="17"/>
      <c r="BI27" s="13"/>
      <c r="BJ27" s="13"/>
      <c r="BK27" s="13"/>
      <c r="BL27" s="14"/>
      <c r="BM27" s="9"/>
      <c r="BN27" s="16"/>
      <c r="BO27" s="10"/>
      <c r="BP27" s="10"/>
      <c r="BQ27" s="10"/>
      <c r="BR27" s="11"/>
      <c r="BS27" s="12"/>
      <c r="BT27" s="17"/>
      <c r="BU27" s="13"/>
      <c r="BV27" s="13"/>
      <c r="BW27" s="13"/>
      <c r="BX27" s="14"/>
      <c r="BY27" s="9"/>
      <c r="BZ27" s="16"/>
      <c r="CA27" s="10"/>
      <c r="CB27" s="10"/>
      <c r="CC27" s="10"/>
      <c r="CD27" s="11"/>
      <c r="CE27" s="12"/>
      <c r="CF27" s="17"/>
      <c r="CG27" s="13"/>
      <c r="CH27" s="13"/>
      <c r="CI27" s="13"/>
      <c r="CJ27" s="14"/>
      <c r="CK27" s="9"/>
      <c r="CL27" s="16"/>
      <c r="CM27" s="10"/>
      <c r="CN27" s="10"/>
      <c r="CO27" s="10"/>
      <c r="CP27" s="11"/>
      <c r="CQ27" s="12"/>
      <c r="CR27" s="17"/>
      <c r="CS27" s="13"/>
      <c r="CT27" s="13"/>
      <c r="CU27" s="13"/>
      <c r="CV27" s="14"/>
      <c r="CW27" s="9"/>
      <c r="CX27" s="16"/>
      <c r="CY27" s="10"/>
      <c r="CZ27" s="10"/>
      <c r="DA27" s="10"/>
      <c r="DB27" s="11"/>
      <c r="DC27" s="12"/>
      <c r="DD27" s="17"/>
      <c r="DE27" s="13"/>
      <c r="DF27" s="13"/>
      <c r="DG27" s="13"/>
      <c r="DH27" s="14"/>
      <c r="DI27" s="8">
        <f t="shared" si="0"/>
        <v>345</v>
      </c>
      <c r="DJ27" s="8">
        <f t="shared" si="1"/>
        <v>215</v>
      </c>
      <c r="DK27" s="8">
        <f t="shared" si="2"/>
        <v>201</v>
      </c>
      <c r="DL27" s="8">
        <f t="shared" si="3"/>
        <v>140</v>
      </c>
      <c r="DM27" s="8">
        <f t="shared" si="4"/>
        <v>345</v>
      </c>
      <c r="DN27" s="8">
        <f t="shared" si="5"/>
        <v>201</v>
      </c>
      <c r="DO27" s="15">
        <f t="shared" si="6"/>
        <v>24.141324155895013</v>
      </c>
      <c r="DP27" s="15" t="str">
        <f t="shared" si="7"/>
        <v>OK - No Upgrade</v>
      </c>
      <c r="DQ27" s="15" t="str">
        <f t="shared" si="8"/>
        <v>Need to Balance</v>
      </c>
    </row>
    <row r="28" spans="1:121" ht="15.75" customHeight="1" x14ac:dyDescent="0.25">
      <c r="A28" s="8" t="s">
        <v>904</v>
      </c>
      <c r="B28" s="8" t="s">
        <v>3232</v>
      </c>
      <c r="C28" s="8" t="s">
        <v>905</v>
      </c>
      <c r="D28" s="8"/>
      <c r="E28" s="8" t="s">
        <v>3300</v>
      </c>
      <c r="F28" s="8" t="s">
        <v>56</v>
      </c>
      <c r="G28" s="8"/>
      <c r="H28" s="8">
        <v>1000</v>
      </c>
      <c r="I28" s="8" t="s">
        <v>3301</v>
      </c>
      <c r="J28" s="8">
        <v>1</v>
      </c>
      <c r="K28" s="8">
        <v>241</v>
      </c>
      <c r="L28" s="8">
        <v>240</v>
      </c>
      <c r="M28" s="8">
        <v>246</v>
      </c>
      <c r="N28" s="8">
        <v>426</v>
      </c>
      <c r="O28" s="8">
        <v>420</v>
      </c>
      <c r="P28" s="8">
        <v>416</v>
      </c>
      <c r="Q28" s="9"/>
      <c r="R28" s="16"/>
      <c r="S28" s="10"/>
      <c r="T28" s="10"/>
      <c r="U28" s="10"/>
      <c r="V28" s="11"/>
      <c r="W28" s="12" t="s">
        <v>47</v>
      </c>
      <c r="X28" s="17"/>
      <c r="Y28" s="13">
        <v>81</v>
      </c>
      <c r="Z28" s="13">
        <v>75</v>
      </c>
      <c r="AA28" s="13">
        <v>90</v>
      </c>
      <c r="AB28" s="14">
        <v>85</v>
      </c>
      <c r="AC28" s="9" t="s">
        <v>47</v>
      </c>
      <c r="AD28" s="16"/>
      <c r="AE28" s="10">
        <v>170</v>
      </c>
      <c r="AF28" s="10">
        <v>211</v>
      </c>
      <c r="AG28" s="10">
        <v>202</v>
      </c>
      <c r="AH28" s="11">
        <v>100</v>
      </c>
      <c r="AI28" s="12"/>
      <c r="AJ28" s="17"/>
      <c r="AK28" s="13">
        <v>20</v>
      </c>
      <c r="AL28" s="13">
        <v>34</v>
      </c>
      <c r="AM28" s="13">
        <v>30</v>
      </c>
      <c r="AN28" s="14">
        <v>17</v>
      </c>
      <c r="AO28" s="9"/>
      <c r="AP28" s="16"/>
      <c r="AQ28" s="10"/>
      <c r="AR28" s="10"/>
      <c r="AS28" s="10"/>
      <c r="AT28" s="11"/>
      <c r="AU28" s="12"/>
      <c r="AV28" s="17"/>
      <c r="AW28" s="13"/>
      <c r="AX28" s="13"/>
      <c r="AY28" s="13"/>
      <c r="AZ28" s="14"/>
      <c r="BA28" s="9"/>
      <c r="BB28" s="16"/>
      <c r="BC28" s="10"/>
      <c r="BD28" s="10"/>
      <c r="BE28" s="10"/>
      <c r="BF28" s="11"/>
      <c r="BG28" s="12"/>
      <c r="BH28" s="17"/>
      <c r="BI28" s="13"/>
      <c r="BJ28" s="13"/>
      <c r="BK28" s="13"/>
      <c r="BL28" s="14"/>
      <c r="BM28" s="9"/>
      <c r="BN28" s="16"/>
      <c r="BO28" s="10"/>
      <c r="BP28" s="10"/>
      <c r="BQ28" s="10"/>
      <c r="BR28" s="11"/>
      <c r="BS28" s="12"/>
      <c r="BT28" s="17"/>
      <c r="BU28" s="13"/>
      <c r="BV28" s="13"/>
      <c r="BW28" s="13"/>
      <c r="BX28" s="14"/>
      <c r="BY28" s="9"/>
      <c r="BZ28" s="16"/>
      <c r="CA28" s="10"/>
      <c r="CB28" s="10"/>
      <c r="CC28" s="10"/>
      <c r="CD28" s="11"/>
      <c r="CE28" s="12"/>
      <c r="CF28" s="17"/>
      <c r="CG28" s="13"/>
      <c r="CH28" s="13"/>
      <c r="CI28" s="13"/>
      <c r="CJ28" s="14"/>
      <c r="CK28" s="9"/>
      <c r="CL28" s="16"/>
      <c r="CM28" s="10"/>
      <c r="CN28" s="10"/>
      <c r="CO28" s="10"/>
      <c r="CP28" s="11"/>
      <c r="CQ28" s="12"/>
      <c r="CR28" s="17"/>
      <c r="CS28" s="13"/>
      <c r="CT28" s="13"/>
      <c r="CU28" s="13"/>
      <c r="CV28" s="14"/>
      <c r="CW28" s="9"/>
      <c r="CX28" s="16"/>
      <c r="CY28" s="10"/>
      <c r="CZ28" s="10"/>
      <c r="DA28" s="10"/>
      <c r="DB28" s="11"/>
      <c r="DC28" s="12"/>
      <c r="DD28" s="17"/>
      <c r="DE28" s="13"/>
      <c r="DF28" s="13"/>
      <c r="DG28" s="13"/>
      <c r="DH28" s="14"/>
      <c r="DI28" s="8">
        <f t="shared" si="0"/>
        <v>271</v>
      </c>
      <c r="DJ28" s="8">
        <f t="shared" si="1"/>
        <v>320</v>
      </c>
      <c r="DK28" s="8">
        <f t="shared" si="2"/>
        <v>322</v>
      </c>
      <c r="DL28" s="8">
        <f t="shared" si="3"/>
        <v>202</v>
      </c>
      <c r="DM28" s="8">
        <f t="shared" si="4"/>
        <v>322</v>
      </c>
      <c r="DN28" s="8">
        <f t="shared" si="5"/>
        <v>271</v>
      </c>
      <c r="DO28" s="15">
        <f t="shared" si="6"/>
        <v>23.758887337583804</v>
      </c>
      <c r="DP28" s="15" t="str">
        <f t="shared" si="7"/>
        <v>OK - No Upgrade</v>
      </c>
      <c r="DQ28" s="15" t="str">
        <f t="shared" si="8"/>
        <v>OK - Balanced</v>
      </c>
    </row>
    <row r="29" spans="1:121" ht="15.75" customHeight="1" x14ac:dyDescent="0.25">
      <c r="A29" s="8" t="s">
        <v>904</v>
      </c>
      <c r="B29" s="8" t="s">
        <v>3232</v>
      </c>
      <c r="C29" s="8" t="s">
        <v>2206</v>
      </c>
      <c r="D29" s="8" t="s">
        <v>3302</v>
      </c>
      <c r="E29" s="8" t="s">
        <v>3303</v>
      </c>
      <c r="F29" s="8" t="s">
        <v>56</v>
      </c>
      <c r="G29" s="8"/>
      <c r="H29" s="8">
        <v>1000</v>
      </c>
      <c r="I29" s="8" t="s">
        <v>3304</v>
      </c>
      <c r="J29" s="8">
        <v>1</v>
      </c>
      <c r="K29" s="8">
        <v>244</v>
      </c>
      <c r="L29" s="8">
        <v>243</v>
      </c>
      <c r="M29" s="8">
        <v>245</v>
      </c>
      <c r="N29" s="8">
        <v>422</v>
      </c>
      <c r="O29" s="8">
        <v>427</v>
      </c>
      <c r="P29" s="8">
        <v>426</v>
      </c>
      <c r="Q29" s="9"/>
      <c r="R29" s="16"/>
      <c r="S29" s="10"/>
      <c r="T29" s="10"/>
      <c r="U29" s="10"/>
      <c r="V29" s="11"/>
      <c r="W29" s="12"/>
      <c r="X29" s="17"/>
      <c r="Y29" s="13"/>
      <c r="Z29" s="13"/>
      <c r="AA29" s="13"/>
      <c r="AB29" s="14"/>
      <c r="AC29" s="9"/>
      <c r="AD29" s="16"/>
      <c r="AE29" s="10"/>
      <c r="AF29" s="10"/>
      <c r="AG29" s="10"/>
      <c r="AH29" s="11"/>
      <c r="AI29" s="12"/>
      <c r="AJ29" s="17"/>
      <c r="AK29" s="13"/>
      <c r="AL29" s="13"/>
      <c r="AM29" s="13"/>
      <c r="AN29" s="14"/>
      <c r="AO29" s="9" t="s">
        <v>47</v>
      </c>
      <c r="AP29" s="16"/>
      <c r="AQ29" s="10">
        <v>0</v>
      </c>
      <c r="AR29" s="10">
        <v>0</v>
      </c>
      <c r="AS29" s="10">
        <v>0</v>
      </c>
      <c r="AT29" s="11">
        <v>0</v>
      </c>
      <c r="AU29" s="12" t="s">
        <v>47</v>
      </c>
      <c r="AV29" s="17"/>
      <c r="AW29" s="13">
        <v>34</v>
      </c>
      <c r="AX29" s="13">
        <v>53</v>
      </c>
      <c r="AY29" s="13">
        <v>51</v>
      </c>
      <c r="AZ29" s="14">
        <v>30</v>
      </c>
      <c r="BA29" s="9" t="s">
        <v>47</v>
      </c>
      <c r="BB29" s="16"/>
      <c r="BC29" s="10">
        <v>69</v>
      </c>
      <c r="BD29" s="10">
        <v>88</v>
      </c>
      <c r="BE29" s="10">
        <v>71</v>
      </c>
      <c r="BF29" s="11">
        <v>20</v>
      </c>
      <c r="BG29" s="12" t="s">
        <v>47</v>
      </c>
      <c r="BH29" s="17"/>
      <c r="BI29" s="13">
        <v>4</v>
      </c>
      <c r="BJ29" s="13">
        <v>10</v>
      </c>
      <c r="BK29" s="13">
        <v>26</v>
      </c>
      <c r="BL29" s="14">
        <v>8</v>
      </c>
      <c r="BM29" s="9"/>
      <c r="BN29" s="16"/>
      <c r="BO29" s="10"/>
      <c r="BP29" s="10"/>
      <c r="BQ29" s="10"/>
      <c r="BR29" s="11"/>
      <c r="BS29" s="12"/>
      <c r="BT29" s="17"/>
      <c r="BU29" s="13"/>
      <c r="BV29" s="13"/>
      <c r="BW29" s="13"/>
      <c r="BX29" s="14"/>
      <c r="BY29" s="9"/>
      <c r="BZ29" s="16"/>
      <c r="CA29" s="10"/>
      <c r="CB29" s="10"/>
      <c r="CC29" s="10"/>
      <c r="CD29" s="11"/>
      <c r="CE29" s="12"/>
      <c r="CF29" s="17"/>
      <c r="CG29" s="13"/>
      <c r="CH29" s="13"/>
      <c r="CI29" s="13"/>
      <c r="CJ29" s="14"/>
      <c r="CK29" s="9"/>
      <c r="CL29" s="16"/>
      <c r="CM29" s="10"/>
      <c r="CN29" s="10"/>
      <c r="CO29" s="10"/>
      <c r="CP29" s="11"/>
      <c r="CQ29" s="12"/>
      <c r="CR29" s="17"/>
      <c r="CS29" s="13"/>
      <c r="CT29" s="13"/>
      <c r="CU29" s="13"/>
      <c r="CV29" s="14"/>
      <c r="CW29" s="9"/>
      <c r="CX29" s="16"/>
      <c r="CY29" s="10"/>
      <c r="CZ29" s="10"/>
      <c r="DA29" s="10"/>
      <c r="DB29" s="11"/>
      <c r="DC29" s="12"/>
      <c r="DD29" s="17"/>
      <c r="DE29" s="13"/>
      <c r="DF29" s="13"/>
      <c r="DG29" s="13"/>
      <c r="DH29" s="14"/>
      <c r="DI29" s="8">
        <f t="shared" si="0"/>
        <v>107</v>
      </c>
      <c r="DJ29" s="8">
        <f t="shared" si="1"/>
        <v>151</v>
      </c>
      <c r="DK29" s="8">
        <f t="shared" si="2"/>
        <v>148</v>
      </c>
      <c r="DL29" s="8">
        <f t="shared" si="3"/>
        <v>58</v>
      </c>
      <c r="DM29" s="8">
        <f t="shared" si="4"/>
        <v>151</v>
      </c>
      <c r="DN29" s="8">
        <f t="shared" si="5"/>
        <v>107</v>
      </c>
      <c r="DO29" s="15">
        <f t="shared" si="6"/>
        <v>11.036974155990398</v>
      </c>
      <c r="DP29" s="15" t="str">
        <f t="shared" si="7"/>
        <v>OK - No Upgrade</v>
      </c>
      <c r="DQ29" s="15" t="str">
        <f t="shared" si="8"/>
        <v>Need to Balance</v>
      </c>
    </row>
    <row r="30" spans="1:121" ht="15.75" customHeight="1" x14ac:dyDescent="0.25">
      <c r="A30" s="8" t="s">
        <v>904</v>
      </c>
      <c r="B30" s="8" t="s">
        <v>3232</v>
      </c>
      <c r="C30" s="8" t="s">
        <v>2206</v>
      </c>
      <c r="D30" s="8"/>
      <c r="E30" s="8" t="s">
        <v>3305</v>
      </c>
      <c r="F30" s="8" t="s">
        <v>43</v>
      </c>
      <c r="G30" s="8"/>
      <c r="H30" s="8">
        <v>315</v>
      </c>
      <c r="I30" s="8" t="s">
        <v>3306</v>
      </c>
      <c r="J30" s="8">
        <v>1</v>
      </c>
      <c r="K30" s="8">
        <v>244</v>
      </c>
      <c r="L30" s="8">
        <v>244</v>
      </c>
      <c r="M30" s="8">
        <v>247</v>
      </c>
      <c r="N30" s="8">
        <v>423</v>
      </c>
      <c r="O30" s="8">
        <v>427</v>
      </c>
      <c r="P30" s="8">
        <v>425</v>
      </c>
      <c r="Q30" s="9" t="s">
        <v>46</v>
      </c>
      <c r="R30" s="16"/>
      <c r="S30" s="10">
        <v>42</v>
      </c>
      <c r="T30" s="10">
        <v>16</v>
      </c>
      <c r="U30" s="10">
        <v>20</v>
      </c>
      <c r="V30" s="11">
        <v>17</v>
      </c>
      <c r="W30" s="12"/>
      <c r="X30" s="17"/>
      <c r="Y30" s="13"/>
      <c r="Z30" s="13"/>
      <c r="AA30" s="13"/>
      <c r="AB30" s="14"/>
      <c r="AC30" s="9"/>
      <c r="AD30" s="16"/>
      <c r="AE30" s="10"/>
      <c r="AF30" s="10"/>
      <c r="AG30" s="10"/>
      <c r="AH30" s="11"/>
      <c r="AI30" s="12"/>
      <c r="AJ30" s="17"/>
      <c r="AK30" s="13"/>
      <c r="AL30" s="13"/>
      <c r="AM30" s="13"/>
      <c r="AN30" s="14"/>
      <c r="AO30" s="9"/>
      <c r="AP30" s="16"/>
      <c r="AQ30" s="10"/>
      <c r="AR30" s="10"/>
      <c r="AS30" s="10"/>
      <c r="AT30" s="11"/>
      <c r="AU30" s="12"/>
      <c r="AV30" s="17"/>
      <c r="AW30" s="13"/>
      <c r="AX30" s="13"/>
      <c r="AY30" s="13"/>
      <c r="AZ30" s="14"/>
      <c r="BA30" s="9"/>
      <c r="BB30" s="16"/>
      <c r="BC30" s="10"/>
      <c r="BD30" s="10"/>
      <c r="BE30" s="10"/>
      <c r="BF30" s="11"/>
      <c r="BG30" s="12"/>
      <c r="BH30" s="17"/>
      <c r="BI30" s="13"/>
      <c r="BJ30" s="13"/>
      <c r="BK30" s="13"/>
      <c r="BL30" s="14"/>
      <c r="BM30" s="9"/>
      <c r="BN30" s="16"/>
      <c r="BO30" s="10"/>
      <c r="BP30" s="10"/>
      <c r="BQ30" s="10"/>
      <c r="BR30" s="11"/>
      <c r="BS30" s="12"/>
      <c r="BT30" s="17"/>
      <c r="BU30" s="13"/>
      <c r="BV30" s="13"/>
      <c r="BW30" s="13"/>
      <c r="BX30" s="14"/>
      <c r="BY30" s="9"/>
      <c r="BZ30" s="16"/>
      <c r="CA30" s="10"/>
      <c r="CB30" s="10"/>
      <c r="CC30" s="10"/>
      <c r="CD30" s="11"/>
      <c r="CE30" s="12"/>
      <c r="CF30" s="17"/>
      <c r="CG30" s="13"/>
      <c r="CH30" s="13"/>
      <c r="CI30" s="13"/>
      <c r="CJ30" s="14"/>
      <c r="CK30" s="9"/>
      <c r="CL30" s="16"/>
      <c r="CM30" s="10"/>
      <c r="CN30" s="10"/>
      <c r="CO30" s="10"/>
      <c r="CP30" s="11"/>
      <c r="CQ30" s="12"/>
      <c r="CR30" s="17"/>
      <c r="CS30" s="13"/>
      <c r="CT30" s="13"/>
      <c r="CU30" s="13"/>
      <c r="CV30" s="14"/>
      <c r="CW30" s="9"/>
      <c r="CX30" s="16"/>
      <c r="CY30" s="10"/>
      <c r="CZ30" s="10"/>
      <c r="DA30" s="10"/>
      <c r="DB30" s="11"/>
      <c r="DC30" s="12"/>
      <c r="DD30" s="17"/>
      <c r="DE30" s="13"/>
      <c r="DF30" s="13"/>
      <c r="DG30" s="13"/>
      <c r="DH30" s="14"/>
      <c r="DI30" s="8">
        <f t="shared" si="0"/>
        <v>42</v>
      </c>
      <c r="DJ30" s="8">
        <f t="shared" si="1"/>
        <v>16</v>
      </c>
      <c r="DK30" s="8">
        <f t="shared" si="2"/>
        <v>20</v>
      </c>
      <c r="DL30" s="8">
        <f t="shared" si="3"/>
        <v>17</v>
      </c>
      <c r="DM30" s="8">
        <f t="shared" si="4"/>
        <v>42</v>
      </c>
      <c r="DN30" s="8">
        <f t="shared" si="5"/>
        <v>16</v>
      </c>
      <c r="DO30" s="15">
        <f t="shared" si="6"/>
        <v>9.7687665546884688</v>
      </c>
      <c r="DP30" s="15" t="str">
        <f t="shared" si="7"/>
        <v>OK - No Upgrade</v>
      </c>
      <c r="DQ30" s="15" t="str">
        <f t="shared" si="8"/>
        <v>Need to Balance</v>
      </c>
    </row>
    <row r="31" spans="1:121" ht="15.75" customHeight="1" x14ac:dyDescent="0.25">
      <c r="A31" s="8" t="s">
        <v>904</v>
      </c>
      <c r="B31" s="8" t="s">
        <v>3232</v>
      </c>
      <c r="C31" s="8" t="s">
        <v>2206</v>
      </c>
      <c r="D31" s="8" t="s">
        <v>3307</v>
      </c>
      <c r="E31" s="8" t="s">
        <v>3308</v>
      </c>
      <c r="F31" s="8" t="s">
        <v>43</v>
      </c>
      <c r="G31" s="8"/>
      <c r="H31" s="8">
        <v>315</v>
      </c>
      <c r="I31" s="8" t="s">
        <v>3309</v>
      </c>
      <c r="J31" s="8">
        <v>1</v>
      </c>
      <c r="K31" s="8">
        <v>245</v>
      </c>
      <c r="L31" s="8">
        <v>244</v>
      </c>
      <c r="M31" s="8">
        <v>246</v>
      </c>
      <c r="N31" s="8">
        <v>424</v>
      </c>
      <c r="O31" s="8">
        <v>429</v>
      </c>
      <c r="P31" s="8">
        <v>427</v>
      </c>
      <c r="Q31" s="9" t="s">
        <v>47</v>
      </c>
      <c r="R31" s="16"/>
      <c r="S31" s="10">
        <v>23</v>
      </c>
      <c r="T31" s="10">
        <v>17</v>
      </c>
      <c r="U31" s="10">
        <v>15</v>
      </c>
      <c r="V31" s="11">
        <v>11</v>
      </c>
      <c r="W31" s="12"/>
      <c r="X31" s="17"/>
      <c r="Y31" s="13"/>
      <c r="Z31" s="13"/>
      <c r="AA31" s="13"/>
      <c r="AB31" s="14"/>
      <c r="AC31" s="9"/>
      <c r="AD31" s="16"/>
      <c r="AE31" s="10"/>
      <c r="AF31" s="10"/>
      <c r="AG31" s="10"/>
      <c r="AH31" s="11"/>
      <c r="AI31" s="12"/>
      <c r="AJ31" s="17"/>
      <c r="AK31" s="13"/>
      <c r="AL31" s="13"/>
      <c r="AM31" s="13"/>
      <c r="AN31" s="14"/>
      <c r="AO31" s="9"/>
      <c r="AP31" s="16"/>
      <c r="AQ31" s="10"/>
      <c r="AR31" s="10"/>
      <c r="AS31" s="10"/>
      <c r="AT31" s="11"/>
      <c r="AU31" s="12"/>
      <c r="AV31" s="17"/>
      <c r="AW31" s="13"/>
      <c r="AX31" s="13"/>
      <c r="AY31" s="13"/>
      <c r="AZ31" s="14"/>
      <c r="BA31" s="9"/>
      <c r="BB31" s="16"/>
      <c r="BC31" s="10"/>
      <c r="BD31" s="10"/>
      <c r="BE31" s="10"/>
      <c r="BF31" s="11"/>
      <c r="BG31" s="12"/>
      <c r="BH31" s="17"/>
      <c r="BI31" s="13"/>
      <c r="BJ31" s="13"/>
      <c r="BK31" s="13"/>
      <c r="BL31" s="14"/>
      <c r="BM31" s="9"/>
      <c r="BN31" s="16"/>
      <c r="BO31" s="10"/>
      <c r="BP31" s="10"/>
      <c r="BQ31" s="10"/>
      <c r="BR31" s="11"/>
      <c r="BS31" s="12"/>
      <c r="BT31" s="17"/>
      <c r="BU31" s="13"/>
      <c r="BV31" s="13"/>
      <c r="BW31" s="13"/>
      <c r="BX31" s="14"/>
      <c r="BY31" s="9"/>
      <c r="BZ31" s="16"/>
      <c r="CA31" s="10"/>
      <c r="CB31" s="10"/>
      <c r="CC31" s="10"/>
      <c r="CD31" s="11"/>
      <c r="CE31" s="12"/>
      <c r="CF31" s="17"/>
      <c r="CG31" s="13"/>
      <c r="CH31" s="13"/>
      <c r="CI31" s="13"/>
      <c r="CJ31" s="14"/>
      <c r="CK31" s="9"/>
      <c r="CL31" s="16"/>
      <c r="CM31" s="10"/>
      <c r="CN31" s="10"/>
      <c r="CO31" s="10"/>
      <c r="CP31" s="11"/>
      <c r="CQ31" s="12"/>
      <c r="CR31" s="17"/>
      <c r="CS31" s="13"/>
      <c r="CT31" s="13"/>
      <c r="CU31" s="13"/>
      <c r="CV31" s="14"/>
      <c r="CW31" s="9"/>
      <c r="CX31" s="16"/>
      <c r="CY31" s="10"/>
      <c r="CZ31" s="10"/>
      <c r="DA31" s="10"/>
      <c r="DB31" s="11"/>
      <c r="DC31" s="12"/>
      <c r="DD31" s="17"/>
      <c r="DE31" s="13"/>
      <c r="DF31" s="13"/>
      <c r="DG31" s="13"/>
      <c r="DH31" s="14"/>
      <c r="DI31" s="8">
        <f t="shared" si="0"/>
        <v>23</v>
      </c>
      <c r="DJ31" s="8">
        <f t="shared" si="1"/>
        <v>17</v>
      </c>
      <c r="DK31" s="8">
        <f t="shared" si="2"/>
        <v>15</v>
      </c>
      <c r="DL31" s="8">
        <f t="shared" si="3"/>
        <v>11</v>
      </c>
      <c r="DM31" s="8">
        <f t="shared" si="4"/>
        <v>23</v>
      </c>
      <c r="DN31" s="8">
        <f t="shared" si="5"/>
        <v>15</v>
      </c>
      <c r="DO31" s="15">
        <f t="shared" si="6"/>
        <v>5.362209357273553</v>
      </c>
      <c r="DP31" s="15" t="str">
        <f t="shared" si="7"/>
        <v>OK - No Upgrade</v>
      </c>
      <c r="DQ31" s="15" t="str">
        <f t="shared" si="8"/>
        <v>Need to Balance</v>
      </c>
    </row>
    <row r="32" spans="1:121" ht="15.75" customHeight="1" x14ac:dyDescent="0.25">
      <c r="A32" s="8" t="s">
        <v>904</v>
      </c>
      <c r="B32" s="8" t="s">
        <v>3232</v>
      </c>
      <c r="C32" s="8" t="s">
        <v>2206</v>
      </c>
      <c r="D32" s="8" t="s">
        <v>3310</v>
      </c>
      <c r="E32" s="8" t="s">
        <v>3311</v>
      </c>
      <c r="F32" s="8" t="s">
        <v>43</v>
      </c>
      <c r="G32" s="8"/>
      <c r="H32" s="8">
        <v>100</v>
      </c>
      <c r="I32" s="8" t="s">
        <v>3312</v>
      </c>
      <c r="J32" s="8">
        <v>1</v>
      </c>
      <c r="K32" s="8">
        <v>227</v>
      </c>
      <c r="L32" s="8">
        <v>223</v>
      </c>
      <c r="M32" s="8">
        <v>235</v>
      </c>
      <c r="N32" s="8">
        <v>409</v>
      </c>
      <c r="O32" s="8">
        <v>409</v>
      </c>
      <c r="P32" s="8">
        <v>407</v>
      </c>
      <c r="Q32" s="9" t="s">
        <v>46</v>
      </c>
      <c r="R32" s="16"/>
      <c r="S32" s="10">
        <v>35</v>
      </c>
      <c r="T32" s="10">
        <v>6</v>
      </c>
      <c r="U32" s="10">
        <v>28</v>
      </c>
      <c r="V32" s="11">
        <v>22</v>
      </c>
      <c r="W32" s="12"/>
      <c r="X32" s="17"/>
      <c r="Y32" s="13"/>
      <c r="Z32" s="13"/>
      <c r="AA32" s="13"/>
      <c r="AB32" s="14"/>
      <c r="AC32" s="9"/>
      <c r="AD32" s="16"/>
      <c r="AE32" s="10"/>
      <c r="AF32" s="10"/>
      <c r="AG32" s="10"/>
      <c r="AH32" s="11"/>
      <c r="AI32" s="12"/>
      <c r="AJ32" s="17"/>
      <c r="AK32" s="13"/>
      <c r="AL32" s="13"/>
      <c r="AM32" s="13"/>
      <c r="AN32" s="14"/>
      <c r="AO32" s="9"/>
      <c r="AP32" s="16"/>
      <c r="AQ32" s="10"/>
      <c r="AR32" s="10"/>
      <c r="AS32" s="10"/>
      <c r="AT32" s="11"/>
      <c r="AU32" s="12"/>
      <c r="AV32" s="17"/>
      <c r="AW32" s="13"/>
      <c r="AX32" s="13"/>
      <c r="AY32" s="13"/>
      <c r="AZ32" s="14"/>
      <c r="BA32" s="9"/>
      <c r="BB32" s="16"/>
      <c r="BC32" s="10"/>
      <c r="BD32" s="10"/>
      <c r="BE32" s="10"/>
      <c r="BF32" s="11"/>
      <c r="BG32" s="12"/>
      <c r="BH32" s="17"/>
      <c r="BI32" s="13"/>
      <c r="BJ32" s="13"/>
      <c r="BK32" s="13"/>
      <c r="BL32" s="14"/>
      <c r="BM32" s="9"/>
      <c r="BN32" s="16"/>
      <c r="BO32" s="10"/>
      <c r="BP32" s="10"/>
      <c r="BQ32" s="10"/>
      <c r="BR32" s="11"/>
      <c r="BS32" s="12"/>
      <c r="BT32" s="17"/>
      <c r="BU32" s="13"/>
      <c r="BV32" s="13"/>
      <c r="BW32" s="13"/>
      <c r="BX32" s="14"/>
      <c r="BY32" s="9"/>
      <c r="BZ32" s="16"/>
      <c r="CA32" s="10"/>
      <c r="CB32" s="10"/>
      <c r="CC32" s="10"/>
      <c r="CD32" s="11"/>
      <c r="CE32" s="12"/>
      <c r="CF32" s="17"/>
      <c r="CG32" s="13"/>
      <c r="CH32" s="13"/>
      <c r="CI32" s="13"/>
      <c r="CJ32" s="14"/>
      <c r="CK32" s="9"/>
      <c r="CL32" s="16"/>
      <c r="CM32" s="10"/>
      <c r="CN32" s="10"/>
      <c r="CO32" s="10"/>
      <c r="CP32" s="11"/>
      <c r="CQ32" s="12"/>
      <c r="CR32" s="17"/>
      <c r="CS32" s="13"/>
      <c r="CT32" s="13"/>
      <c r="CU32" s="13"/>
      <c r="CV32" s="14"/>
      <c r="CW32" s="9"/>
      <c r="CX32" s="16"/>
      <c r="CY32" s="10"/>
      <c r="CZ32" s="10"/>
      <c r="DA32" s="10"/>
      <c r="DB32" s="11"/>
      <c r="DC32" s="12"/>
      <c r="DD32" s="17"/>
      <c r="DE32" s="13"/>
      <c r="DF32" s="13"/>
      <c r="DG32" s="13"/>
      <c r="DH32" s="14"/>
      <c r="DI32" s="8">
        <f t="shared" si="0"/>
        <v>35</v>
      </c>
      <c r="DJ32" s="8">
        <f t="shared" si="1"/>
        <v>6</v>
      </c>
      <c r="DK32" s="8">
        <f t="shared" si="2"/>
        <v>28</v>
      </c>
      <c r="DL32" s="8">
        <f t="shared" si="3"/>
        <v>22</v>
      </c>
      <c r="DM32" s="8">
        <f t="shared" si="4"/>
        <v>35</v>
      </c>
      <c r="DN32" s="8">
        <f t="shared" si="5"/>
        <v>6</v>
      </c>
      <c r="DO32" s="15">
        <f t="shared" si="6"/>
        <v>24.794307310348479</v>
      </c>
      <c r="DP32" s="15" t="str">
        <f t="shared" si="7"/>
        <v>OK - No Upgrade</v>
      </c>
      <c r="DQ32" s="15" t="str">
        <f t="shared" si="8"/>
        <v>Need to Balance</v>
      </c>
    </row>
    <row r="33" spans="1:121" ht="15.75" customHeight="1" x14ac:dyDescent="0.25">
      <c r="A33" s="8" t="s">
        <v>904</v>
      </c>
      <c r="B33" s="8" t="s">
        <v>3232</v>
      </c>
      <c r="C33" s="8" t="s">
        <v>2206</v>
      </c>
      <c r="D33" s="8" t="s">
        <v>3313</v>
      </c>
      <c r="E33" s="8" t="s">
        <v>3314</v>
      </c>
      <c r="F33" s="8" t="s">
        <v>43</v>
      </c>
      <c r="G33" s="8"/>
      <c r="H33" s="8">
        <v>315</v>
      </c>
      <c r="I33" s="8" t="s">
        <v>3315</v>
      </c>
      <c r="J33" s="8">
        <v>1</v>
      </c>
      <c r="K33" s="8">
        <v>246</v>
      </c>
      <c r="L33" s="8">
        <v>246</v>
      </c>
      <c r="M33" s="8">
        <v>248</v>
      </c>
      <c r="N33" s="8">
        <v>425</v>
      </c>
      <c r="O33" s="8">
        <v>431</v>
      </c>
      <c r="P33" s="8">
        <v>429</v>
      </c>
      <c r="Q33" s="9" t="s">
        <v>47</v>
      </c>
      <c r="R33" s="16"/>
      <c r="S33" s="10">
        <v>35</v>
      </c>
      <c r="T33" s="10">
        <v>7</v>
      </c>
      <c r="U33" s="10">
        <v>10</v>
      </c>
      <c r="V33" s="11">
        <v>25</v>
      </c>
      <c r="W33" s="12"/>
      <c r="X33" s="17"/>
      <c r="Y33" s="13"/>
      <c r="Z33" s="13"/>
      <c r="AA33" s="13"/>
      <c r="AB33" s="14"/>
      <c r="AC33" s="9"/>
      <c r="AD33" s="16"/>
      <c r="AE33" s="10"/>
      <c r="AF33" s="10"/>
      <c r="AG33" s="10"/>
      <c r="AH33" s="11"/>
      <c r="AI33" s="12"/>
      <c r="AJ33" s="17"/>
      <c r="AK33" s="13"/>
      <c r="AL33" s="13"/>
      <c r="AM33" s="13"/>
      <c r="AN33" s="14"/>
      <c r="AO33" s="9"/>
      <c r="AP33" s="16"/>
      <c r="AQ33" s="10"/>
      <c r="AR33" s="10"/>
      <c r="AS33" s="10"/>
      <c r="AT33" s="11"/>
      <c r="AU33" s="12"/>
      <c r="AV33" s="17"/>
      <c r="AW33" s="13"/>
      <c r="AX33" s="13"/>
      <c r="AY33" s="13"/>
      <c r="AZ33" s="14"/>
      <c r="BA33" s="9"/>
      <c r="BB33" s="16"/>
      <c r="BC33" s="10"/>
      <c r="BD33" s="10"/>
      <c r="BE33" s="10"/>
      <c r="BF33" s="11"/>
      <c r="BG33" s="12"/>
      <c r="BH33" s="17"/>
      <c r="BI33" s="13"/>
      <c r="BJ33" s="13"/>
      <c r="BK33" s="13"/>
      <c r="BL33" s="14"/>
      <c r="BM33" s="9"/>
      <c r="BN33" s="16"/>
      <c r="BO33" s="10"/>
      <c r="BP33" s="10"/>
      <c r="BQ33" s="10"/>
      <c r="BR33" s="11"/>
      <c r="BS33" s="12"/>
      <c r="BT33" s="17"/>
      <c r="BU33" s="13"/>
      <c r="BV33" s="13"/>
      <c r="BW33" s="13"/>
      <c r="BX33" s="14"/>
      <c r="BY33" s="9"/>
      <c r="BZ33" s="16"/>
      <c r="CA33" s="10"/>
      <c r="CB33" s="10"/>
      <c r="CC33" s="10"/>
      <c r="CD33" s="11"/>
      <c r="CE33" s="12"/>
      <c r="CF33" s="17"/>
      <c r="CG33" s="13"/>
      <c r="CH33" s="13"/>
      <c r="CI33" s="13"/>
      <c r="CJ33" s="14"/>
      <c r="CK33" s="9"/>
      <c r="CL33" s="16"/>
      <c r="CM33" s="10"/>
      <c r="CN33" s="10"/>
      <c r="CO33" s="10"/>
      <c r="CP33" s="11"/>
      <c r="CQ33" s="12"/>
      <c r="CR33" s="17"/>
      <c r="CS33" s="13"/>
      <c r="CT33" s="13"/>
      <c r="CU33" s="13"/>
      <c r="CV33" s="14"/>
      <c r="CW33" s="9"/>
      <c r="CX33" s="16"/>
      <c r="CY33" s="10"/>
      <c r="CZ33" s="10"/>
      <c r="DA33" s="10"/>
      <c r="DB33" s="11"/>
      <c r="DC33" s="12"/>
      <c r="DD33" s="17"/>
      <c r="DE33" s="13"/>
      <c r="DF33" s="13"/>
      <c r="DG33" s="13"/>
      <c r="DH33" s="14"/>
      <c r="DI33" s="8">
        <f t="shared" si="0"/>
        <v>35</v>
      </c>
      <c r="DJ33" s="8">
        <f t="shared" si="1"/>
        <v>7</v>
      </c>
      <c r="DK33" s="8">
        <f t="shared" si="2"/>
        <v>10</v>
      </c>
      <c r="DL33" s="8">
        <f t="shared" si="3"/>
        <v>25</v>
      </c>
      <c r="DM33" s="8">
        <f t="shared" si="4"/>
        <v>35</v>
      </c>
      <c r="DN33" s="8">
        <f t="shared" si="5"/>
        <v>7</v>
      </c>
      <c r="DO33" s="15">
        <f t="shared" si="6"/>
        <v>8.1791288135196965</v>
      </c>
      <c r="DP33" s="15" t="str">
        <f t="shared" si="7"/>
        <v>OK - No Upgrade</v>
      </c>
      <c r="DQ33" s="15" t="str">
        <f t="shared" si="8"/>
        <v>Need to Balance</v>
      </c>
    </row>
    <row r="34" spans="1:121" ht="15.75" customHeight="1" x14ac:dyDescent="0.25">
      <c r="A34" s="8" t="s">
        <v>904</v>
      </c>
      <c r="B34" s="8" t="s">
        <v>3232</v>
      </c>
      <c r="C34" s="8" t="s">
        <v>3284</v>
      </c>
      <c r="D34" s="8" t="s">
        <v>3316</v>
      </c>
      <c r="E34" s="8" t="s">
        <v>3317</v>
      </c>
      <c r="F34" s="8" t="s">
        <v>56</v>
      </c>
      <c r="G34" s="8"/>
      <c r="H34" s="8">
        <v>1000</v>
      </c>
      <c r="I34" s="8" t="s">
        <v>3318</v>
      </c>
      <c r="J34" s="8">
        <v>1</v>
      </c>
      <c r="K34" s="8">
        <v>243</v>
      </c>
      <c r="L34" s="8">
        <v>242</v>
      </c>
      <c r="M34" s="8">
        <v>245</v>
      </c>
      <c r="N34" s="8">
        <v>421</v>
      </c>
      <c r="O34" s="8">
        <v>422</v>
      </c>
      <c r="P34" s="8">
        <v>426</v>
      </c>
      <c r="Q34" s="9" t="s">
        <v>47</v>
      </c>
      <c r="R34" s="16"/>
      <c r="S34" s="10">
        <v>118</v>
      </c>
      <c r="T34" s="10">
        <v>144</v>
      </c>
      <c r="U34" s="10">
        <v>107</v>
      </c>
      <c r="V34" s="11">
        <v>39</v>
      </c>
      <c r="W34" s="12" t="s">
        <v>47</v>
      </c>
      <c r="X34" s="17"/>
      <c r="Y34" s="13">
        <v>37</v>
      </c>
      <c r="Z34" s="13">
        <v>6</v>
      </c>
      <c r="AA34" s="13">
        <v>20</v>
      </c>
      <c r="AB34" s="14">
        <v>21</v>
      </c>
      <c r="AC34" s="9" t="s">
        <v>47</v>
      </c>
      <c r="AD34" s="16"/>
      <c r="AE34" s="10">
        <v>59</v>
      </c>
      <c r="AF34" s="10">
        <v>118</v>
      </c>
      <c r="AG34" s="10">
        <v>53</v>
      </c>
      <c r="AH34" s="11">
        <v>52</v>
      </c>
      <c r="AI34" s="12" t="s">
        <v>47</v>
      </c>
      <c r="AJ34" s="17"/>
      <c r="AK34" s="13">
        <v>109</v>
      </c>
      <c r="AL34" s="13">
        <v>81</v>
      </c>
      <c r="AM34" s="13">
        <v>102</v>
      </c>
      <c r="AN34" s="14">
        <v>27</v>
      </c>
      <c r="AO34" s="9" t="s">
        <v>47</v>
      </c>
      <c r="AP34" s="16"/>
      <c r="AQ34" s="10">
        <v>118</v>
      </c>
      <c r="AR34" s="10">
        <v>129</v>
      </c>
      <c r="AS34" s="10">
        <v>118</v>
      </c>
      <c r="AT34" s="11">
        <v>34</v>
      </c>
      <c r="AU34" s="12"/>
      <c r="AV34" s="17"/>
      <c r="AW34" s="13"/>
      <c r="AX34" s="13"/>
      <c r="AY34" s="13"/>
      <c r="AZ34" s="14"/>
      <c r="BA34" s="9"/>
      <c r="BB34" s="16"/>
      <c r="BC34" s="10"/>
      <c r="BD34" s="10"/>
      <c r="BE34" s="10"/>
      <c r="BF34" s="11"/>
      <c r="BG34" s="12"/>
      <c r="BH34" s="17"/>
      <c r="BI34" s="13"/>
      <c r="BJ34" s="13"/>
      <c r="BK34" s="13"/>
      <c r="BL34" s="14"/>
      <c r="BM34" s="9"/>
      <c r="BN34" s="16"/>
      <c r="BO34" s="10"/>
      <c r="BP34" s="10"/>
      <c r="BQ34" s="10"/>
      <c r="BR34" s="11"/>
      <c r="BS34" s="12"/>
      <c r="BT34" s="17"/>
      <c r="BU34" s="13"/>
      <c r="BV34" s="13"/>
      <c r="BW34" s="13"/>
      <c r="BX34" s="14"/>
      <c r="BY34" s="9"/>
      <c r="BZ34" s="16"/>
      <c r="CA34" s="10"/>
      <c r="CB34" s="10"/>
      <c r="CC34" s="10"/>
      <c r="CD34" s="11"/>
      <c r="CE34" s="12"/>
      <c r="CF34" s="17"/>
      <c r="CG34" s="13"/>
      <c r="CH34" s="13"/>
      <c r="CI34" s="13"/>
      <c r="CJ34" s="14"/>
      <c r="CK34" s="9"/>
      <c r="CL34" s="16"/>
      <c r="CM34" s="10"/>
      <c r="CN34" s="10"/>
      <c r="CO34" s="10"/>
      <c r="CP34" s="11"/>
      <c r="CQ34" s="12"/>
      <c r="CR34" s="17"/>
      <c r="CS34" s="13"/>
      <c r="CT34" s="13"/>
      <c r="CU34" s="13"/>
      <c r="CV34" s="14"/>
      <c r="CW34" s="9"/>
      <c r="CX34" s="16"/>
      <c r="CY34" s="10"/>
      <c r="CZ34" s="10"/>
      <c r="DA34" s="10"/>
      <c r="DB34" s="11"/>
      <c r="DC34" s="12"/>
      <c r="DD34" s="17"/>
      <c r="DE34" s="13"/>
      <c r="DF34" s="13"/>
      <c r="DG34" s="13"/>
      <c r="DH34" s="14"/>
      <c r="DI34" s="8">
        <f t="shared" si="0"/>
        <v>441</v>
      </c>
      <c r="DJ34" s="8">
        <f t="shared" si="1"/>
        <v>478</v>
      </c>
      <c r="DK34" s="8">
        <f t="shared" si="2"/>
        <v>400</v>
      </c>
      <c r="DL34" s="8">
        <f t="shared" si="3"/>
        <v>173</v>
      </c>
      <c r="DM34" s="8">
        <f t="shared" si="4"/>
        <v>478</v>
      </c>
      <c r="DN34" s="8">
        <f t="shared" si="5"/>
        <v>400</v>
      </c>
      <c r="DO34" s="15">
        <f t="shared" si="6"/>
        <v>34.855444041354573</v>
      </c>
      <c r="DP34" s="15" t="str">
        <f t="shared" si="7"/>
        <v>OK - No Upgrade</v>
      </c>
      <c r="DQ34" s="15" t="str">
        <f t="shared" si="8"/>
        <v>OK - Balanced</v>
      </c>
    </row>
    <row r="35" spans="1:121" ht="15.75" customHeight="1" x14ac:dyDescent="0.25">
      <c r="A35" s="8" t="s">
        <v>904</v>
      </c>
      <c r="B35" s="8" t="s">
        <v>3232</v>
      </c>
      <c r="C35" s="8" t="s">
        <v>3284</v>
      </c>
      <c r="D35" s="8" t="s">
        <v>3319</v>
      </c>
      <c r="E35" s="8" t="s">
        <v>3320</v>
      </c>
      <c r="F35" s="8" t="s">
        <v>56</v>
      </c>
      <c r="G35" s="8"/>
      <c r="H35" s="8">
        <v>1000</v>
      </c>
      <c r="I35" s="8" t="s">
        <v>3321</v>
      </c>
      <c r="J35" s="8">
        <v>1</v>
      </c>
      <c r="K35" s="8">
        <v>243</v>
      </c>
      <c r="L35" s="8">
        <v>245</v>
      </c>
      <c r="M35" s="8">
        <v>243</v>
      </c>
      <c r="N35" s="8">
        <v>425</v>
      </c>
      <c r="O35" s="8">
        <v>425</v>
      </c>
      <c r="P35" s="8">
        <v>420</v>
      </c>
      <c r="Q35" s="9" t="s">
        <v>46</v>
      </c>
      <c r="R35" s="16"/>
      <c r="S35" s="10">
        <v>59</v>
      </c>
      <c r="T35" s="10">
        <v>87</v>
      </c>
      <c r="U35" s="10">
        <v>45</v>
      </c>
      <c r="V35" s="11">
        <v>43</v>
      </c>
      <c r="W35" s="12" t="s">
        <v>47</v>
      </c>
      <c r="X35" s="17"/>
      <c r="Y35" s="13">
        <v>48</v>
      </c>
      <c r="Z35" s="13">
        <v>26</v>
      </c>
      <c r="AA35" s="13">
        <v>34</v>
      </c>
      <c r="AB35" s="14">
        <v>19</v>
      </c>
      <c r="AC35" s="9" t="s">
        <v>46</v>
      </c>
      <c r="AD35" s="16"/>
      <c r="AE35" s="10">
        <v>14</v>
      </c>
      <c r="AF35" s="10">
        <v>13</v>
      </c>
      <c r="AG35" s="10">
        <v>8</v>
      </c>
      <c r="AH35" s="11">
        <v>4</v>
      </c>
      <c r="AI35" s="12" t="s">
        <v>47</v>
      </c>
      <c r="AJ35" s="17"/>
      <c r="AK35" s="13">
        <v>59</v>
      </c>
      <c r="AL35" s="13">
        <v>39</v>
      </c>
      <c r="AM35" s="13">
        <v>38</v>
      </c>
      <c r="AN35" s="14">
        <v>31</v>
      </c>
      <c r="AO35" s="9"/>
      <c r="AP35" s="16"/>
      <c r="AQ35" s="10"/>
      <c r="AR35" s="10"/>
      <c r="AS35" s="10"/>
      <c r="AT35" s="11"/>
      <c r="AU35" s="12"/>
      <c r="AV35" s="17"/>
      <c r="AW35" s="13"/>
      <c r="AX35" s="13"/>
      <c r="AY35" s="13"/>
      <c r="AZ35" s="14"/>
      <c r="BA35" s="9"/>
      <c r="BB35" s="16"/>
      <c r="BC35" s="10"/>
      <c r="BD35" s="10"/>
      <c r="BE35" s="10"/>
      <c r="BF35" s="11"/>
      <c r="BG35" s="12"/>
      <c r="BH35" s="17"/>
      <c r="BI35" s="13"/>
      <c r="BJ35" s="13"/>
      <c r="BK35" s="13"/>
      <c r="BL35" s="14"/>
      <c r="BM35" s="9"/>
      <c r="BN35" s="16"/>
      <c r="BO35" s="10"/>
      <c r="BP35" s="10"/>
      <c r="BQ35" s="10"/>
      <c r="BR35" s="11"/>
      <c r="BS35" s="12"/>
      <c r="BT35" s="17"/>
      <c r="BU35" s="13"/>
      <c r="BV35" s="13"/>
      <c r="BW35" s="13"/>
      <c r="BX35" s="14"/>
      <c r="BY35" s="9"/>
      <c r="BZ35" s="16"/>
      <c r="CA35" s="10"/>
      <c r="CB35" s="10"/>
      <c r="CC35" s="10"/>
      <c r="CD35" s="11"/>
      <c r="CE35" s="12"/>
      <c r="CF35" s="17"/>
      <c r="CG35" s="13"/>
      <c r="CH35" s="13"/>
      <c r="CI35" s="13"/>
      <c r="CJ35" s="14"/>
      <c r="CK35" s="9"/>
      <c r="CL35" s="16"/>
      <c r="CM35" s="10"/>
      <c r="CN35" s="10"/>
      <c r="CO35" s="10"/>
      <c r="CP35" s="11"/>
      <c r="CQ35" s="12"/>
      <c r="CR35" s="17"/>
      <c r="CS35" s="13"/>
      <c r="CT35" s="13"/>
      <c r="CU35" s="13"/>
      <c r="CV35" s="14"/>
      <c r="CW35" s="9"/>
      <c r="CX35" s="16"/>
      <c r="CY35" s="10"/>
      <c r="CZ35" s="10"/>
      <c r="DA35" s="10"/>
      <c r="DB35" s="11"/>
      <c r="DC35" s="12"/>
      <c r="DD35" s="17"/>
      <c r="DE35" s="13"/>
      <c r="DF35" s="13"/>
      <c r="DG35" s="13"/>
      <c r="DH35" s="14"/>
      <c r="DI35" s="8">
        <f t="shared" si="0"/>
        <v>180</v>
      </c>
      <c r="DJ35" s="8">
        <f t="shared" si="1"/>
        <v>165</v>
      </c>
      <c r="DK35" s="8">
        <f t="shared" si="2"/>
        <v>125</v>
      </c>
      <c r="DL35" s="8">
        <f t="shared" si="3"/>
        <v>97</v>
      </c>
      <c r="DM35" s="8">
        <f t="shared" si="4"/>
        <v>180</v>
      </c>
      <c r="DN35" s="8">
        <f t="shared" si="5"/>
        <v>125</v>
      </c>
      <c r="DO35" s="15">
        <f t="shared" si="6"/>
        <v>13.250188677901912</v>
      </c>
      <c r="DP35" s="15" t="str">
        <f t="shared" si="7"/>
        <v>OK - No Upgrade</v>
      </c>
      <c r="DQ35" s="15" t="str">
        <f t="shared" si="8"/>
        <v>Need to Balance</v>
      </c>
    </row>
    <row r="36" spans="1:121" ht="15.75" customHeight="1" x14ac:dyDescent="0.25">
      <c r="A36" s="8" t="s">
        <v>904</v>
      </c>
      <c r="B36" s="8" t="s">
        <v>3232</v>
      </c>
      <c r="C36" s="8" t="s">
        <v>3284</v>
      </c>
      <c r="D36" s="8" t="s">
        <v>3322</v>
      </c>
      <c r="E36" s="8" t="s">
        <v>3323</v>
      </c>
      <c r="F36" s="8" t="s">
        <v>56</v>
      </c>
      <c r="G36" s="8"/>
      <c r="H36" s="8">
        <v>1000</v>
      </c>
      <c r="I36" s="8" t="s">
        <v>3324</v>
      </c>
      <c r="J36" s="8">
        <v>1</v>
      </c>
      <c r="K36" s="8">
        <v>245</v>
      </c>
      <c r="L36" s="8">
        <v>246</v>
      </c>
      <c r="M36" s="8">
        <v>248</v>
      </c>
      <c r="N36" s="8">
        <v>427</v>
      </c>
      <c r="O36" s="8">
        <v>428</v>
      </c>
      <c r="P36" s="8">
        <v>431</v>
      </c>
      <c r="Q36" s="9"/>
      <c r="R36" s="16"/>
      <c r="S36" s="10"/>
      <c r="T36" s="10"/>
      <c r="U36" s="10"/>
      <c r="V36" s="11"/>
      <c r="W36" s="12" t="s">
        <v>47</v>
      </c>
      <c r="X36" s="17"/>
      <c r="Y36" s="13">
        <v>0</v>
      </c>
      <c r="Z36" s="13">
        <v>0</v>
      </c>
      <c r="AA36" s="13">
        <v>0</v>
      </c>
      <c r="AB36" s="14">
        <v>0</v>
      </c>
      <c r="AC36" s="9" t="s">
        <v>47</v>
      </c>
      <c r="AD36" s="16"/>
      <c r="AE36" s="10">
        <v>23</v>
      </c>
      <c r="AF36" s="10">
        <v>77</v>
      </c>
      <c r="AG36" s="10">
        <v>22</v>
      </c>
      <c r="AH36" s="11">
        <v>54</v>
      </c>
      <c r="AI36" s="12" t="s">
        <v>47</v>
      </c>
      <c r="AJ36" s="17"/>
      <c r="AK36" s="13">
        <v>117</v>
      </c>
      <c r="AL36" s="13">
        <v>78</v>
      </c>
      <c r="AM36" s="13">
        <v>129</v>
      </c>
      <c r="AN36" s="14">
        <v>59</v>
      </c>
      <c r="AO36" s="9"/>
      <c r="AP36" s="16"/>
      <c r="AQ36" s="10"/>
      <c r="AR36" s="10"/>
      <c r="AS36" s="10"/>
      <c r="AT36" s="11"/>
      <c r="AU36" s="12"/>
      <c r="AV36" s="17"/>
      <c r="AW36" s="13"/>
      <c r="AX36" s="13"/>
      <c r="AY36" s="13"/>
      <c r="AZ36" s="14"/>
      <c r="BA36" s="9"/>
      <c r="BB36" s="16"/>
      <c r="BC36" s="10"/>
      <c r="BD36" s="10"/>
      <c r="BE36" s="10"/>
      <c r="BF36" s="11"/>
      <c r="BG36" s="12"/>
      <c r="BH36" s="17"/>
      <c r="BI36" s="13"/>
      <c r="BJ36" s="13"/>
      <c r="BK36" s="13"/>
      <c r="BL36" s="14"/>
      <c r="BM36" s="9"/>
      <c r="BN36" s="16"/>
      <c r="BO36" s="10"/>
      <c r="BP36" s="10"/>
      <c r="BQ36" s="10"/>
      <c r="BR36" s="11"/>
      <c r="BS36" s="12"/>
      <c r="BT36" s="17"/>
      <c r="BU36" s="13"/>
      <c r="BV36" s="13"/>
      <c r="BW36" s="13"/>
      <c r="BX36" s="14"/>
      <c r="BY36" s="9"/>
      <c r="BZ36" s="16"/>
      <c r="CA36" s="10"/>
      <c r="CB36" s="10"/>
      <c r="CC36" s="10"/>
      <c r="CD36" s="11"/>
      <c r="CE36" s="12"/>
      <c r="CF36" s="17"/>
      <c r="CG36" s="13"/>
      <c r="CH36" s="13"/>
      <c r="CI36" s="13"/>
      <c r="CJ36" s="14"/>
      <c r="CK36" s="9"/>
      <c r="CL36" s="16"/>
      <c r="CM36" s="10"/>
      <c r="CN36" s="10"/>
      <c r="CO36" s="10"/>
      <c r="CP36" s="11"/>
      <c r="CQ36" s="12"/>
      <c r="CR36" s="17"/>
      <c r="CS36" s="13"/>
      <c r="CT36" s="13"/>
      <c r="CU36" s="13"/>
      <c r="CV36" s="14"/>
      <c r="CW36" s="9"/>
      <c r="CX36" s="16"/>
      <c r="CY36" s="10"/>
      <c r="CZ36" s="10"/>
      <c r="DA36" s="10"/>
      <c r="DB36" s="11"/>
      <c r="DC36" s="12"/>
      <c r="DD36" s="17"/>
      <c r="DE36" s="13"/>
      <c r="DF36" s="13"/>
      <c r="DG36" s="13"/>
      <c r="DH36" s="14"/>
      <c r="DI36" s="8">
        <f t="shared" ref="DI36:DI61" si="9">SUM(S36,Y36,AE36,AK36,AQ36,AW36,BC36,BI36,BO36,BU36,CA36,CG36,CM36,CS36,CY36,DE36)</f>
        <v>140</v>
      </c>
      <c r="DJ36" s="8">
        <f t="shared" ref="DJ36:DJ61" si="10">SUM(T36,Z36,AF36,AL36,AR36,AX36,BD36,BJ36,BP36,BV36,CB36,CH36,CN36,CT36,CZ36,DF36)</f>
        <v>155</v>
      </c>
      <c r="DK36" s="8">
        <f t="shared" ref="DK36:DK61" si="11">SUM(U36,AA36,AG36,AM36,AS36,AY36,BE36,BK36,BQ36,BW36,CC36,CI36,CO36,CU36,DA36,DG36)</f>
        <v>151</v>
      </c>
      <c r="DL36" s="8">
        <f t="shared" ref="DL36:DL61" si="12">SUM(V36,AB36,AH36,AN36,AT36,AZ36,BF36,BL36,BR36,BX36,CD36,CJ36,CP36,CV36,DB36,DH36)</f>
        <v>113</v>
      </c>
      <c r="DM36" s="8">
        <f t="shared" ref="DM36:DM61" si="13">MAX(DI36:DK36)</f>
        <v>155</v>
      </c>
      <c r="DN36" s="8">
        <f t="shared" ref="DN36:DN61" si="14">MIN(DI36:DK36)</f>
        <v>140</v>
      </c>
      <c r="DO36" s="15">
        <f t="shared" ref="DO36:DO61" si="15">IF(H36&gt;0,(DM36*SQRT(3)*IF(N36&gt;0,N36,IF(O36&gt;0,O36,IF(P36&gt;0,P36,415)))/(H36*1000))*100,0)</f>
        <v>11.463578269894613</v>
      </c>
      <c r="DP36" s="15" t="str">
        <f t="shared" ref="DP36:DP67" si="16">IF(DO36&gt;70,"Upgrade","OK - No Upgrade")</f>
        <v>OK - No Upgrade</v>
      </c>
      <c r="DQ36" s="15" t="str">
        <f t="shared" ref="DQ36:DQ61" si="17">IF(IF(AVERAGE(DI36:DK36)&gt;0,((DM36-AVERAGE(DI36:DK36))/AVERAGE(DI36:DK36))*100,0)&gt;10,"Need to Balance","OK - Balanced")</f>
        <v>OK - Balanced</v>
      </c>
    </row>
    <row r="37" spans="1:121" ht="15.75" customHeight="1" x14ac:dyDescent="0.25">
      <c r="A37" s="8" t="s">
        <v>904</v>
      </c>
      <c r="B37" s="8" t="s">
        <v>3232</v>
      </c>
      <c r="C37" s="8" t="s">
        <v>3284</v>
      </c>
      <c r="D37" s="8" t="s">
        <v>3325</v>
      </c>
      <c r="E37" s="8" t="s">
        <v>3326</v>
      </c>
      <c r="F37" s="8" t="s">
        <v>56</v>
      </c>
      <c r="G37" s="8"/>
      <c r="H37" s="8">
        <v>1000</v>
      </c>
      <c r="I37" s="8" t="s">
        <v>3327</v>
      </c>
      <c r="J37" s="8">
        <v>1</v>
      </c>
      <c r="K37" s="8">
        <v>246</v>
      </c>
      <c r="L37" s="8">
        <v>245</v>
      </c>
      <c r="M37" s="8">
        <v>248</v>
      </c>
      <c r="N37" s="8">
        <v>424</v>
      </c>
      <c r="O37" s="8">
        <v>428</v>
      </c>
      <c r="P37" s="8">
        <v>430</v>
      </c>
      <c r="Q37" s="9" t="s">
        <v>47</v>
      </c>
      <c r="R37" s="16"/>
      <c r="S37" s="10">
        <v>45</v>
      </c>
      <c r="T37" s="10">
        <v>17</v>
      </c>
      <c r="U37" s="10">
        <v>62</v>
      </c>
      <c r="V37" s="11">
        <v>33</v>
      </c>
      <c r="W37" s="12" t="s">
        <v>47</v>
      </c>
      <c r="X37" s="17"/>
      <c r="Y37" s="13">
        <v>33</v>
      </c>
      <c r="Z37" s="13">
        <v>60</v>
      </c>
      <c r="AA37" s="13">
        <v>92</v>
      </c>
      <c r="AB37" s="14">
        <v>51</v>
      </c>
      <c r="AC37" s="9" t="s">
        <v>47</v>
      </c>
      <c r="AD37" s="16"/>
      <c r="AE37" s="10">
        <v>35</v>
      </c>
      <c r="AF37" s="10">
        <v>4</v>
      </c>
      <c r="AG37" s="10">
        <v>36</v>
      </c>
      <c r="AH37" s="11">
        <v>40</v>
      </c>
      <c r="AI37" s="12" t="s">
        <v>46</v>
      </c>
      <c r="AJ37" s="17"/>
      <c r="AK37" s="13">
        <v>97</v>
      </c>
      <c r="AL37" s="13">
        <v>41</v>
      </c>
      <c r="AM37" s="13">
        <v>5</v>
      </c>
      <c r="AN37" s="14">
        <v>80</v>
      </c>
      <c r="AO37" s="9" t="s">
        <v>46</v>
      </c>
      <c r="AP37" s="16"/>
      <c r="AQ37" s="10">
        <v>65</v>
      </c>
      <c r="AR37" s="10">
        <v>51</v>
      </c>
      <c r="AS37" s="10">
        <v>77</v>
      </c>
      <c r="AT37" s="11">
        <v>24</v>
      </c>
      <c r="AU37" s="12" t="s">
        <v>47</v>
      </c>
      <c r="AV37" s="17"/>
      <c r="AW37" s="13">
        <v>131</v>
      </c>
      <c r="AX37" s="13">
        <v>40</v>
      </c>
      <c r="AY37" s="13">
        <v>39</v>
      </c>
      <c r="AZ37" s="14">
        <v>90</v>
      </c>
      <c r="BA37" s="9" t="s">
        <v>46</v>
      </c>
      <c r="BB37" s="16"/>
      <c r="BC37" s="10">
        <v>27</v>
      </c>
      <c r="BD37" s="10">
        <v>76</v>
      </c>
      <c r="BE37" s="10">
        <v>62</v>
      </c>
      <c r="BF37" s="11">
        <v>44</v>
      </c>
      <c r="BG37" s="12" t="s">
        <v>47</v>
      </c>
      <c r="BH37" s="17"/>
      <c r="BI37" s="13">
        <v>20</v>
      </c>
      <c r="BJ37" s="13">
        <v>36</v>
      </c>
      <c r="BK37" s="13">
        <v>2</v>
      </c>
      <c r="BL37" s="14">
        <v>30</v>
      </c>
      <c r="BM37" s="9"/>
      <c r="BN37" s="16"/>
      <c r="BO37" s="10"/>
      <c r="BP37" s="10"/>
      <c r="BQ37" s="10"/>
      <c r="BR37" s="11"/>
      <c r="BS37" s="12"/>
      <c r="BT37" s="17"/>
      <c r="BU37" s="13"/>
      <c r="BV37" s="13"/>
      <c r="BW37" s="13"/>
      <c r="BX37" s="14"/>
      <c r="BY37" s="9"/>
      <c r="BZ37" s="16"/>
      <c r="CA37" s="10"/>
      <c r="CB37" s="10"/>
      <c r="CC37" s="10"/>
      <c r="CD37" s="11"/>
      <c r="CE37" s="12"/>
      <c r="CF37" s="17"/>
      <c r="CG37" s="13"/>
      <c r="CH37" s="13"/>
      <c r="CI37" s="13"/>
      <c r="CJ37" s="14"/>
      <c r="CK37" s="9"/>
      <c r="CL37" s="16"/>
      <c r="CM37" s="10"/>
      <c r="CN37" s="10"/>
      <c r="CO37" s="10"/>
      <c r="CP37" s="11"/>
      <c r="CQ37" s="12"/>
      <c r="CR37" s="17"/>
      <c r="CS37" s="13"/>
      <c r="CT37" s="13"/>
      <c r="CU37" s="13"/>
      <c r="CV37" s="14"/>
      <c r="CW37" s="9"/>
      <c r="CX37" s="16"/>
      <c r="CY37" s="10"/>
      <c r="CZ37" s="10"/>
      <c r="DA37" s="10"/>
      <c r="DB37" s="11"/>
      <c r="DC37" s="12"/>
      <c r="DD37" s="17"/>
      <c r="DE37" s="13"/>
      <c r="DF37" s="13"/>
      <c r="DG37" s="13"/>
      <c r="DH37" s="14"/>
      <c r="DI37" s="8">
        <f t="shared" si="9"/>
        <v>453</v>
      </c>
      <c r="DJ37" s="8">
        <f t="shared" si="10"/>
        <v>325</v>
      </c>
      <c r="DK37" s="8">
        <f t="shared" si="11"/>
        <v>375</v>
      </c>
      <c r="DL37" s="8">
        <f t="shared" si="12"/>
        <v>392</v>
      </c>
      <c r="DM37" s="8">
        <f t="shared" si="13"/>
        <v>453</v>
      </c>
      <c r="DN37" s="8">
        <f t="shared" si="14"/>
        <v>325</v>
      </c>
      <c r="DO37" s="15">
        <f t="shared" si="15"/>
        <v>33.267846271136939</v>
      </c>
      <c r="DP37" s="15" t="str">
        <f t="shared" si="16"/>
        <v>OK - No Upgrade</v>
      </c>
      <c r="DQ37" s="15" t="str">
        <f t="shared" si="17"/>
        <v>Need to Balance</v>
      </c>
    </row>
    <row r="38" spans="1:121" ht="15.75" customHeight="1" x14ac:dyDescent="0.25">
      <c r="A38" s="8" t="s">
        <v>904</v>
      </c>
      <c r="B38" s="8" t="s">
        <v>3232</v>
      </c>
      <c r="C38" s="8" t="s">
        <v>3284</v>
      </c>
      <c r="D38" s="8" t="s">
        <v>3328</v>
      </c>
      <c r="E38" s="8" t="s">
        <v>3329</v>
      </c>
      <c r="F38" s="8" t="s">
        <v>56</v>
      </c>
      <c r="G38" s="8"/>
      <c r="H38" s="8">
        <v>1000</v>
      </c>
      <c r="I38" s="8" t="s">
        <v>3330</v>
      </c>
      <c r="J38" s="8">
        <v>1</v>
      </c>
      <c r="K38" s="8">
        <v>246</v>
      </c>
      <c r="L38" s="8">
        <v>250</v>
      </c>
      <c r="M38" s="8">
        <v>254</v>
      </c>
      <c r="N38" s="8">
        <v>421</v>
      </c>
      <c r="O38" s="8">
        <v>431</v>
      </c>
      <c r="P38" s="8">
        <v>438</v>
      </c>
      <c r="Q38" s="9" t="s">
        <v>47</v>
      </c>
      <c r="R38" s="16"/>
      <c r="S38" s="10">
        <v>95</v>
      </c>
      <c r="T38" s="10">
        <v>57</v>
      </c>
      <c r="U38" s="10">
        <v>52</v>
      </c>
      <c r="V38" s="11">
        <v>17</v>
      </c>
      <c r="W38" s="12" t="s">
        <v>47</v>
      </c>
      <c r="X38" s="17"/>
      <c r="Y38" s="13">
        <v>89</v>
      </c>
      <c r="Z38" s="13">
        <v>5</v>
      </c>
      <c r="AA38" s="13">
        <v>40</v>
      </c>
      <c r="AB38" s="14">
        <v>84</v>
      </c>
      <c r="AC38" s="9" t="s">
        <v>46</v>
      </c>
      <c r="AD38" s="16"/>
      <c r="AE38" s="10">
        <v>33</v>
      </c>
      <c r="AF38" s="10">
        <v>5</v>
      </c>
      <c r="AG38" s="10">
        <v>13</v>
      </c>
      <c r="AH38" s="11">
        <v>25</v>
      </c>
      <c r="AI38" s="12" t="s">
        <v>47</v>
      </c>
      <c r="AJ38" s="17"/>
      <c r="AK38" s="13">
        <v>28</v>
      </c>
      <c r="AL38" s="13">
        <v>27</v>
      </c>
      <c r="AM38" s="13">
        <v>20</v>
      </c>
      <c r="AN38" s="14">
        <v>7</v>
      </c>
      <c r="AO38" s="9" t="s">
        <v>47</v>
      </c>
      <c r="AP38" s="16"/>
      <c r="AQ38" s="10">
        <v>17</v>
      </c>
      <c r="AR38" s="10">
        <v>12</v>
      </c>
      <c r="AS38" s="10">
        <v>0</v>
      </c>
      <c r="AT38" s="11">
        <v>19</v>
      </c>
      <c r="AU38" s="12" t="s">
        <v>47</v>
      </c>
      <c r="AV38" s="17"/>
      <c r="AW38" s="13">
        <v>58</v>
      </c>
      <c r="AX38" s="13">
        <v>91</v>
      </c>
      <c r="AY38" s="13">
        <v>120</v>
      </c>
      <c r="AZ38" s="14">
        <v>37</v>
      </c>
      <c r="BA38" s="9" t="s">
        <v>47</v>
      </c>
      <c r="BB38" s="16"/>
      <c r="BC38" s="10">
        <v>40</v>
      </c>
      <c r="BD38" s="10">
        <v>55</v>
      </c>
      <c r="BE38" s="10">
        <v>84</v>
      </c>
      <c r="BF38" s="11">
        <v>43</v>
      </c>
      <c r="BG38" s="12" t="s">
        <v>47</v>
      </c>
      <c r="BH38" s="17"/>
      <c r="BI38" s="13">
        <v>76</v>
      </c>
      <c r="BJ38" s="13">
        <v>75</v>
      </c>
      <c r="BK38" s="13">
        <v>75</v>
      </c>
      <c r="BL38" s="14">
        <v>12</v>
      </c>
      <c r="BM38" s="9"/>
      <c r="BN38" s="16"/>
      <c r="BO38" s="10"/>
      <c r="BP38" s="10"/>
      <c r="BQ38" s="10"/>
      <c r="BR38" s="11"/>
      <c r="BS38" s="12"/>
      <c r="BT38" s="17"/>
      <c r="BU38" s="13"/>
      <c r="BV38" s="13"/>
      <c r="BW38" s="13"/>
      <c r="BX38" s="14"/>
      <c r="BY38" s="9"/>
      <c r="BZ38" s="16"/>
      <c r="CA38" s="10"/>
      <c r="CB38" s="10"/>
      <c r="CC38" s="10"/>
      <c r="CD38" s="11"/>
      <c r="CE38" s="12"/>
      <c r="CF38" s="17"/>
      <c r="CG38" s="13"/>
      <c r="CH38" s="13"/>
      <c r="CI38" s="13"/>
      <c r="CJ38" s="14"/>
      <c r="CK38" s="9"/>
      <c r="CL38" s="16"/>
      <c r="CM38" s="10"/>
      <c r="CN38" s="10"/>
      <c r="CO38" s="10"/>
      <c r="CP38" s="11"/>
      <c r="CQ38" s="12"/>
      <c r="CR38" s="17"/>
      <c r="CS38" s="13"/>
      <c r="CT38" s="13"/>
      <c r="CU38" s="13"/>
      <c r="CV38" s="14"/>
      <c r="CW38" s="9"/>
      <c r="CX38" s="16"/>
      <c r="CY38" s="10"/>
      <c r="CZ38" s="10"/>
      <c r="DA38" s="10"/>
      <c r="DB38" s="11"/>
      <c r="DC38" s="12"/>
      <c r="DD38" s="17"/>
      <c r="DE38" s="13"/>
      <c r="DF38" s="13"/>
      <c r="DG38" s="13"/>
      <c r="DH38" s="14"/>
      <c r="DI38" s="8">
        <f t="shared" si="9"/>
        <v>436</v>
      </c>
      <c r="DJ38" s="8">
        <f t="shared" si="10"/>
        <v>327</v>
      </c>
      <c r="DK38" s="8">
        <f t="shared" si="11"/>
        <v>404</v>
      </c>
      <c r="DL38" s="8">
        <f t="shared" si="12"/>
        <v>244</v>
      </c>
      <c r="DM38" s="8">
        <f t="shared" si="13"/>
        <v>436</v>
      </c>
      <c r="DN38" s="8">
        <f t="shared" si="14"/>
        <v>327</v>
      </c>
      <c r="DO38" s="15">
        <f t="shared" si="15"/>
        <v>31.792831803411286</v>
      </c>
      <c r="DP38" s="15" t="str">
        <f t="shared" si="16"/>
        <v>OK - No Upgrade</v>
      </c>
      <c r="DQ38" s="15" t="str">
        <f t="shared" si="17"/>
        <v>Need to Balance</v>
      </c>
    </row>
    <row r="39" spans="1:121" ht="15.75" customHeight="1" x14ac:dyDescent="0.25">
      <c r="A39" s="8" t="s">
        <v>904</v>
      </c>
      <c r="B39" s="8" t="s">
        <v>3232</v>
      </c>
      <c r="C39" s="8" t="s">
        <v>3284</v>
      </c>
      <c r="D39" s="8" t="s">
        <v>3331</v>
      </c>
      <c r="E39" s="8" t="s">
        <v>75</v>
      </c>
      <c r="F39" s="8" t="s">
        <v>56</v>
      </c>
      <c r="G39" s="8"/>
      <c r="H39" s="8">
        <v>1000</v>
      </c>
      <c r="I39" s="8" t="s">
        <v>3332</v>
      </c>
      <c r="J39" s="8">
        <v>1</v>
      </c>
      <c r="K39" s="8">
        <v>248</v>
      </c>
      <c r="L39" s="8">
        <v>246</v>
      </c>
      <c r="M39" s="8">
        <v>250</v>
      </c>
      <c r="N39" s="8">
        <v>428</v>
      </c>
      <c r="O39" s="8">
        <v>431</v>
      </c>
      <c r="P39" s="8">
        <v>434</v>
      </c>
      <c r="Q39" s="9"/>
      <c r="R39" s="16"/>
      <c r="S39" s="10"/>
      <c r="T39" s="10"/>
      <c r="U39" s="10"/>
      <c r="V39" s="11"/>
      <c r="W39" s="12"/>
      <c r="X39" s="17"/>
      <c r="Y39" s="13"/>
      <c r="Z39" s="13"/>
      <c r="AA39" s="13"/>
      <c r="AB39" s="14"/>
      <c r="AC39" s="9" t="s">
        <v>47</v>
      </c>
      <c r="AD39" s="16"/>
      <c r="AE39" s="10">
        <v>81</v>
      </c>
      <c r="AF39" s="10">
        <v>95</v>
      </c>
      <c r="AG39" s="10">
        <v>28</v>
      </c>
      <c r="AH39" s="11">
        <v>37</v>
      </c>
      <c r="AI39" s="12" t="s">
        <v>47</v>
      </c>
      <c r="AJ39" s="17"/>
      <c r="AK39" s="13">
        <v>57</v>
      </c>
      <c r="AL39" s="13">
        <v>130</v>
      </c>
      <c r="AM39" s="13">
        <v>95</v>
      </c>
      <c r="AN39" s="14">
        <v>65</v>
      </c>
      <c r="AO39" s="9" t="s">
        <v>47</v>
      </c>
      <c r="AP39" s="16"/>
      <c r="AQ39" s="10">
        <v>104</v>
      </c>
      <c r="AR39" s="10">
        <v>72</v>
      </c>
      <c r="AS39" s="10">
        <v>21</v>
      </c>
      <c r="AT39" s="11">
        <v>55</v>
      </c>
      <c r="AU39" s="12"/>
      <c r="AV39" s="17"/>
      <c r="AW39" s="13"/>
      <c r="AX39" s="13"/>
      <c r="AY39" s="13"/>
      <c r="AZ39" s="14"/>
      <c r="BA39" s="9"/>
      <c r="BB39" s="16"/>
      <c r="BC39" s="10"/>
      <c r="BD39" s="10"/>
      <c r="BE39" s="10"/>
      <c r="BF39" s="11"/>
      <c r="BG39" s="12"/>
      <c r="BH39" s="17"/>
      <c r="BI39" s="13"/>
      <c r="BJ39" s="13"/>
      <c r="BK39" s="13"/>
      <c r="BL39" s="14"/>
      <c r="BM39" s="9"/>
      <c r="BN39" s="16"/>
      <c r="BO39" s="10"/>
      <c r="BP39" s="10"/>
      <c r="BQ39" s="10"/>
      <c r="BR39" s="11"/>
      <c r="BS39" s="12"/>
      <c r="BT39" s="17"/>
      <c r="BU39" s="13"/>
      <c r="BV39" s="13"/>
      <c r="BW39" s="13"/>
      <c r="BX39" s="14"/>
      <c r="BY39" s="9"/>
      <c r="BZ39" s="16"/>
      <c r="CA39" s="10"/>
      <c r="CB39" s="10"/>
      <c r="CC39" s="10"/>
      <c r="CD39" s="11"/>
      <c r="CE39" s="12"/>
      <c r="CF39" s="17"/>
      <c r="CG39" s="13"/>
      <c r="CH39" s="13"/>
      <c r="CI39" s="13"/>
      <c r="CJ39" s="14"/>
      <c r="CK39" s="9"/>
      <c r="CL39" s="16"/>
      <c r="CM39" s="10"/>
      <c r="CN39" s="10"/>
      <c r="CO39" s="10"/>
      <c r="CP39" s="11"/>
      <c r="CQ39" s="12"/>
      <c r="CR39" s="17"/>
      <c r="CS39" s="13"/>
      <c r="CT39" s="13"/>
      <c r="CU39" s="13"/>
      <c r="CV39" s="14"/>
      <c r="CW39" s="9"/>
      <c r="CX39" s="16"/>
      <c r="CY39" s="10"/>
      <c r="CZ39" s="10"/>
      <c r="DA39" s="10"/>
      <c r="DB39" s="11"/>
      <c r="DC39" s="12"/>
      <c r="DD39" s="17"/>
      <c r="DE39" s="13"/>
      <c r="DF39" s="13"/>
      <c r="DG39" s="13"/>
      <c r="DH39" s="14"/>
      <c r="DI39" s="8">
        <f t="shared" si="9"/>
        <v>242</v>
      </c>
      <c r="DJ39" s="8">
        <f t="shared" si="10"/>
        <v>297</v>
      </c>
      <c r="DK39" s="8">
        <f t="shared" si="11"/>
        <v>144</v>
      </c>
      <c r="DL39" s="8">
        <f t="shared" si="12"/>
        <v>157</v>
      </c>
      <c r="DM39" s="8">
        <f t="shared" si="13"/>
        <v>297</v>
      </c>
      <c r="DN39" s="8">
        <f t="shared" si="14"/>
        <v>144</v>
      </c>
      <c r="DO39" s="15">
        <f t="shared" si="15"/>
        <v>22.017137045492539</v>
      </c>
      <c r="DP39" s="15" t="str">
        <f t="shared" si="16"/>
        <v>OK - No Upgrade</v>
      </c>
      <c r="DQ39" s="15" t="str">
        <f t="shared" si="17"/>
        <v>Need to Balance</v>
      </c>
    </row>
    <row r="40" spans="1:121" ht="15.75" customHeight="1" x14ac:dyDescent="0.25">
      <c r="A40" s="8" t="s">
        <v>904</v>
      </c>
      <c r="B40" s="8" t="s">
        <v>3232</v>
      </c>
      <c r="C40" s="8" t="s">
        <v>2948</v>
      </c>
      <c r="D40" s="8" t="s">
        <v>3333</v>
      </c>
      <c r="E40" s="8" t="s">
        <v>3334</v>
      </c>
      <c r="F40" s="8" t="s">
        <v>56</v>
      </c>
      <c r="G40" s="8"/>
      <c r="H40" s="8">
        <v>1000</v>
      </c>
      <c r="I40" s="8" t="s">
        <v>3335</v>
      </c>
      <c r="J40" s="8">
        <v>1</v>
      </c>
      <c r="K40" s="8">
        <v>243</v>
      </c>
      <c r="L40" s="8">
        <v>242</v>
      </c>
      <c r="M40" s="8">
        <v>246</v>
      </c>
      <c r="N40" s="8">
        <v>424</v>
      </c>
      <c r="O40" s="8">
        <v>422</v>
      </c>
      <c r="P40" s="8">
        <v>424</v>
      </c>
      <c r="Q40" s="9" t="s">
        <v>47</v>
      </c>
      <c r="R40" s="16"/>
      <c r="S40" s="10">
        <v>135</v>
      </c>
      <c r="T40" s="10">
        <v>110</v>
      </c>
      <c r="U40" s="10">
        <v>136</v>
      </c>
      <c r="V40" s="11">
        <v>52</v>
      </c>
      <c r="W40" s="12" t="s">
        <v>47</v>
      </c>
      <c r="X40" s="17"/>
      <c r="Y40" s="13">
        <v>132</v>
      </c>
      <c r="Z40" s="13">
        <v>3</v>
      </c>
      <c r="AA40" s="13">
        <v>53</v>
      </c>
      <c r="AB40" s="14">
        <v>23</v>
      </c>
      <c r="AC40" s="9" t="s">
        <v>47</v>
      </c>
      <c r="AD40" s="16"/>
      <c r="AE40" s="10">
        <v>118</v>
      </c>
      <c r="AF40" s="10">
        <v>50</v>
      </c>
      <c r="AG40" s="10">
        <v>30</v>
      </c>
      <c r="AH40" s="11">
        <v>60</v>
      </c>
      <c r="AI40" s="12" t="s">
        <v>47</v>
      </c>
      <c r="AJ40" s="17"/>
      <c r="AK40" s="13">
        <v>7</v>
      </c>
      <c r="AL40" s="13">
        <v>4</v>
      </c>
      <c r="AM40" s="13">
        <v>28</v>
      </c>
      <c r="AN40" s="14">
        <v>28</v>
      </c>
      <c r="AO40" s="9" t="s">
        <v>47</v>
      </c>
      <c r="AP40" s="16"/>
      <c r="AQ40" s="10">
        <v>50</v>
      </c>
      <c r="AR40" s="10">
        <v>61</v>
      </c>
      <c r="AS40" s="10">
        <v>30</v>
      </c>
      <c r="AT40" s="11">
        <v>30</v>
      </c>
      <c r="AU40" s="12" t="s">
        <v>47</v>
      </c>
      <c r="AV40" s="17"/>
      <c r="AW40" s="13">
        <v>0</v>
      </c>
      <c r="AX40" s="13">
        <v>0</v>
      </c>
      <c r="AY40" s="13">
        <v>0</v>
      </c>
      <c r="AZ40" s="14">
        <v>0</v>
      </c>
      <c r="BA40" s="9"/>
      <c r="BB40" s="16"/>
      <c r="BC40" s="10"/>
      <c r="BD40" s="10"/>
      <c r="BE40" s="10"/>
      <c r="BF40" s="11"/>
      <c r="BG40" s="12"/>
      <c r="BH40" s="17"/>
      <c r="BI40" s="13"/>
      <c r="BJ40" s="13"/>
      <c r="BK40" s="13"/>
      <c r="BL40" s="14"/>
      <c r="BM40" s="9"/>
      <c r="BN40" s="16"/>
      <c r="BO40" s="10"/>
      <c r="BP40" s="10"/>
      <c r="BQ40" s="10"/>
      <c r="BR40" s="11"/>
      <c r="BS40" s="12"/>
      <c r="BT40" s="17"/>
      <c r="BU40" s="13"/>
      <c r="BV40" s="13"/>
      <c r="BW40" s="13"/>
      <c r="BX40" s="14"/>
      <c r="BY40" s="9"/>
      <c r="BZ40" s="16"/>
      <c r="CA40" s="10"/>
      <c r="CB40" s="10"/>
      <c r="CC40" s="10"/>
      <c r="CD40" s="11"/>
      <c r="CE40" s="12"/>
      <c r="CF40" s="17"/>
      <c r="CG40" s="13"/>
      <c r="CH40" s="13"/>
      <c r="CI40" s="13"/>
      <c r="CJ40" s="14"/>
      <c r="CK40" s="9"/>
      <c r="CL40" s="16"/>
      <c r="CM40" s="10"/>
      <c r="CN40" s="10"/>
      <c r="CO40" s="10"/>
      <c r="CP40" s="11"/>
      <c r="CQ40" s="12"/>
      <c r="CR40" s="17"/>
      <c r="CS40" s="13"/>
      <c r="CT40" s="13"/>
      <c r="CU40" s="13"/>
      <c r="CV40" s="14"/>
      <c r="CW40" s="9"/>
      <c r="CX40" s="16"/>
      <c r="CY40" s="10"/>
      <c r="CZ40" s="10"/>
      <c r="DA40" s="10"/>
      <c r="DB40" s="11"/>
      <c r="DC40" s="12"/>
      <c r="DD40" s="17"/>
      <c r="DE40" s="13"/>
      <c r="DF40" s="13"/>
      <c r="DG40" s="13"/>
      <c r="DH40" s="14"/>
      <c r="DI40" s="8">
        <f t="shared" si="9"/>
        <v>442</v>
      </c>
      <c r="DJ40" s="8">
        <f t="shared" si="10"/>
        <v>228</v>
      </c>
      <c r="DK40" s="8">
        <f t="shared" si="11"/>
        <v>277</v>
      </c>
      <c r="DL40" s="8">
        <f t="shared" si="12"/>
        <v>193</v>
      </c>
      <c r="DM40" s="8">
        <f t="shared" si="13"/>
        <v>442</v>
      </c>
      <c r="DN40" s="8">
        <f t="shared" si="14"/>
        <v>228</v>
      </c>
      <c r="DO40" s="15">
        <f t="shared" si="15"/>
        <v>32.460017774486815</v>
      </c>
      <c r="DP40" s="15" t="str">
        <f t="shared" si="16"/>
        <v>OK - No Upgrade</v>
      </c>
      <c r="DQ40" s="15" t="str">
        <f t="shared" si="17"/>
        <v>Need to Balance</v>
      </c>
    </row>
    <row r="41" spans="1:121" ht="15.75" customHeight="1" x14ac:dyDescent="0.25">
      <c r="A41" s="8" t="s">
        <v>904</v>
      </c>
      <c r="B41" s="8" t="s">
        <v>3232</v>
      </c>
      <c r="C41" s="8" t="s">
        <v>2296</v>
      </c>
      <c r="D41" s="8" t="s">
        <v>3336</v>
      </c>
      <c r="E41" s="8" t="s">
        <v>3337</v>
      </c>
      <c r="F41" s="8" t="s">
        <v>43</v>
      </c>
      <c r="G41" s="8"/>
      <c r="H41" s="8">
        <v>315</v>
      </c>
      <c r="I41" s="8" t="s">
        <v>1963</v>
      </c>
      <c r="J41" s="8">
        <v>1</v>
      </c>
      <c r="K41" s="8">
        <v>239</v>
      </c>
      <c r="L41" s="8">
        <v>242</v>
      </c>
      <c r="M41" s="8">
        <v>243</v>
      </c>
      <c r="N41" s="8">
        <v>418</v>
      </c>
      <c r="O41" s="8">
        <v>418</v>
      </c>
      <c r="P41" s="8">
        <v>422</v>
      </c>
      <c r="Q41" s="9" t="s">
        <v>47</v>
      </c>
      <c r="R41" s="16"/>
      <c r="S41" s="10">
        <v>74</v>
      </c>
      <c r="T41" s="10">
        <v>30</v>
      </c>
      <c r="U41" s="10">
        <v>33</v>
      </c>
      <c r="V41" s="11">
        <v>33</v>
      </c>
      <c r="W41" s="12" t="s">
        <v>47</v>
      </c>
      <c r="X41" s="17"/>
      <c r="Y41" s="13">
        <v>111</v>
      </c>
      <c r="Z41" s="13">
        <v>102</v>
      </c>
      <c r="AA41" s="13">
        <v>83</v>
      </c>
      <c r="AB41" s="14">
        <v>29</v>
      </c>
      <c r="AC41" s="9"/>
      <c r="AD41" s="16"/>
      <c r="AE41" s="10"/>
      <c r="AF41" s="10"/>
      <c r="AG41" s="10"/>
      <c r="AH41" s="11"/>
      <c r="AI41" s="12"/>
      <c r="AJ41" s="17"/>
      <c r="AK41" s="13"/>
      <c r="AL41" s="13"/>
      <c r="AM41" s="13"/>
      <c r="AN41" s="14"/>
      <c r="AO41" s="9"/>
      <c r="AP41" s="16"/>
      <c r="AQ41" s="10"/>
      <c r="AR41" s="10"/>
      <c r="AS41" s="10"/>
      <c r="AT41" s="11"/>
      <c r="AU41" s="12"/>
      <c r="AV41" s="17"/>
      <c r="AW41" s="13"/>
      <c r="AX41" s="13"/>
      <c r="AY41" s="13"/>
      <c r="AZ41" s="14"/>
      <c r="BA41" s="9"/>
      <c r="BB41" s="16"/>
      <c r="BC41" s="10"/>
      <c r="BD41" s="10"/>
      <c r="BE41" s="10"/>
      <c r="BF41" s="11"/>
      <c r="BG41" s="12"/>
      <c r="BH41" s="17"/>
      <c r="BI41" s="13"/>
      <c r="BJ41" s="13"/>
      <c r="BK41" s="13"/>
      <c r="BL41" s="14"/>
      <c r="BM41" s="9"/>
      <c r="BN41" s="16"/>
      <c r="BO41" s="10"/>
      <c r="BP41" s="10"/>
      <c r="BQ41" s="10"/>
      <c r="BR41" s="11"/>
      <c r="BS41" s="12"/>
      <c r="BT41" s="17"/>
      <c r="BU41" s="13"/>
      <c r="BV41" s="13"/>
      <c r="BW41" s="13"/>
      <c r="BX41" s="14"/>
      <c r="BY41" s="9"/>
      <c r="BZ41" s="16"/>
      <c r="CA41" s="10"/>
      <c r="CB41" s="10"/>
      <c r="CC41" s="10"/>
      <c r="CD41" s="11"/>
      <c r="CE41" s="12"/>
      <c r="CF41" s="17"/>
      <c r="CG41" s="13"/>
      <c r="CH41" s="13"/>
      <c r="CI41" s="13"/>
      <c r="CJ41" s="14"/>
      <c r="CK41" s="9"/>
      <c r="CL41" s="16"/>
      <c r="CM41" s="10"/>
      <c r="CN41" s="10"/>
      <c r="CO41" s="10"/>
      <c r="CP41" s="11"/>
      <c r="CQ41" s="12"/>
      <c r="CR41" s="17"/>
      <c r="CS41" s="13"/>
      <c r="CT41" s="13"/>
      <c r="CU41" s="13"/>
      <c r="CV41" s="14"/>
      <c r="CW41" s="9"/>
      <c r="CX41" s="16"/>
      <c r="CY41" s="10"/>
      <c r="CZ41" s="10"/>
      <c r="DA41" s="10"/>
      <c r="DB41" s="11"/>
      <c r="DC41" s="12"/>
      <c r="DD41" s="17"/>
      <c r="DE41" s="13"/>
      <c r="DF41" s="13"/>
      <c r="DG41" s="13"/>
      <c r="DH41" s="14"/>
      <c r="DI41" s="8">
        <f t="shared" si="9"/>
        <v>185</v>
      </c>
      <c r="DJ41" s="8">
        <f t="shared" si="10"/>
        <v>132</v>
      </c>
      <c r="DK41" s="8">
        <f t="shared" si="11"/>
        <v>116</v>
      </c>
      <c r="DL41" s="8">
        <f t="shared" si="12"/>
        <v>62</v>
      </c>
      <c r="DM41" s="8">
        <f t="shared" si="13"/>
        <v>185</v>
      </c>
      <c r="DN41" s="8">
        <f t="shared" si="14"/>
        <v>116</v>
      </c>
      <c r="DO41" s="15">
        <f t="shared" si="15"/>
        <v>42.520472682317866</v>
      </c>
      <c r="DP41" s="15" t="str">
        <f t="shared" si="16"/>
        <v>OK - No Upgrade</v>
      </c>
      <c r="DQ41" s="15" t="str">
        <f t="shared" si="17"/>
        <v>Need to Balance</v>
      </c>
    </row>
    <row r="42" spans="1:121" ht="15.75" customHeight="1" x14ac:dyDescent="0.25">
      <c r="A42" s="8" t="s">
        <v>904</v>
      </c>
      <c r="B42" s="8" t="s">
        <v>3232</v>
      </c>
      <c r="C42" s="8" t="s">
        <v>2296</v>
      </c>
      <c r="D42" s="8" t="s">
        <v>3338</v>
      </c>
      <c r="E42" s="8" t="s">
        <v>3339</v>
      </c>
      <c r="F42" s="8" t="s">
        <v>56</v>
      </c>
      <c r="G42" s="8"/>
      <c r="H42" s="8">
        <v>1000</v>
      </c>
      <c r="I42" s="8" t="s">
        <v>608</v>
      </c>
      <c r="J42" s="8">
        <v>1</v>
      </c>
      <c r="K42" s="8">
        <v>241</v>
      </c>
      <c r="L42" s="8">
        <v>243</v>
      </c>
      <c r="M42" s="8">
        <v>244</v>
      </c>
      <c r="N42" s="8">
        <v>420</v>
      </c>
      <c r="O42" s="8">
        <v>422</v>
      </c>
      <c r="P42" s="8">
        <v>423</v>
      </c>
      <c r="Q42" s="9"/>
      <c r="R42" s="16"/>
      <c r="S42" s="10"/>
      <c r="T42" s="10"/>
      <c r="U42" s="10"/>
      <c r="V42" s="11"/>
      <c r="W42" s="12"/>
      <c r="X42" s="17"/>
      <c r="Y42" s="13"/>
      <c r="Z42" s="13"/>
      <c r="AA42" s="13"/>
      <c r="AB42" s="14"/>
      <c r="AC42" s="9"/>
      <c r="AD42" s="16"/>
      <c r="AE42" s="10"/>
      <c r="AF42" s="10"/>
      <c r="AG42" s="10"/>
      <c r="AH42" s="11"/>
      <c r="AI42" s="12"/>
      <c r="AJ42" s="17"/>
      <c r="AK42" s="13"/>
      <c r="AL42" s="13"/>
      <c r="AM42" s="13"/>
      <c r="AN42" s="14"/>
      <c r="AO42" s="9"/>
      <c r="AP42" s="16"/>
      <c r="AQ42" s="10"/>
      <c r="AR42" s="10"/>
      <c r="AS42" s="10"/>
      <c r="AT42" s="11"/>
      <c r="AU42" s="12"/>
      <c r="AV42" s="17"/>
      <c r="AW42" s="13"/>
      <c r="AX42" s="13"/>
      <c r="AY42" s="13"/>
      <c r="AZ42" s="14"/>
      <c r="BA42" s="9" t="s">
        <v>47</v>
      </c>
      <c r="BB42" s="16"/>
      <c r="BC42" s="10">
        <v>35</v>
      </c>
      <c r="BD42" s="10">
        <v>77</v>
      </c>
      <c r="BE42" s="10">
        <v>55</v>
      </c>
      <c r="BF42" s="11">
        <v>37</v>
      </c>
      <c r="BG42" s="12" t="s">
        <v>47</v>
      </c>
      <c r="BH42" s="17"/>
      <c r="BI42" s="13">
        <v>170</v>
      </c>
      <c r="BJ42" s="13">
        <v>158</v>
      </c>
      <c r="BK42" s="13">
        <v>155</v>
      </c>
      <c r="BL42" s="14">
        <v>27</v>
      </c>
      <c r="BM42" s="9"/>
      <c r="BN42" s="16"/>
      <c r="BO42" s="10"/>
      <c r="BP42" s="10"/>
      <c r="BQ42" s="10"/>
      <c r="BR42" s="11"/>
      <c r="BS42" s="12"/>
      <c r="BT42" s="17"/>
      <c r="BU42" s="13"/>
      <c r="BV42" s="13"/>
      <c r="BW42" s="13"/>
      <c r="BX42" s="14"/>
      <c r="BY42" s="9"/>
      <c r="BZ42" s="16"/>
      <c r="CA42" s="10"/>
      <c r="CB42" s="10"/>
      <c r="CC42" s="10"/>
      <c r="CD42" s="11"/>
      <c r="CE42" s="12"/>
      <c r="CF42" s="17"/>
      <c r="CG42" s="13"/>
      <c r="CH42" s="13"/>
      <c r="CI42" s="13"/>
      <c r="CJ42" s="14"/>
      <c r="CK42" s="9"/>
      <c r="CL42" s="16"/>
      <c r="CM42" s="10"/>
      <c r="CN42" s="10"/>
      <c r="CO42" s="10"/>
      <c r="CP42" s="11"/>
      <c r="CQ42" s="12"/>
      <c r="CR42" s="17"/>
      <c r="CS42" s="13"/>
      <c r="CT42" s="13"/>
      <c r="CU42" s="13"/>
      <c r="CV42" s="14"/>
      <c r="CW42" s="9"/>
      <c r="CX42" s="16"/>
      <c r="CY42" s="10"/>
      <c r="CZ42" s="10"/>
      <c r="DA42" s="10"/>
      <c r="DB42" s="11"/>
      <c r="DC42" s="12"/>
      <c r="DD42" s="17"/>
      <c r="DE42" s="13"/>
      <c r="DF42" s="13"/>
      <c r="DG42" s="13"/>
      <c r="DH42" s="14"/>
      <c r="DI42" s="8">
        <f t="shared" si="9"/>
        <v>205</v>
      </c>
      <c r="DJ42" s="8">
        <f t="shared" si="10"/>
        <v>235</v>
      </c>
      <c r="DK42" s="8">
        <f t="shared" si="11"/>
        <v>210</v>
      </c>
      <c r="DL42" s="8">
        <f t="shared" si="12"/>
        <v>64</v>
      </c>
      <c r="DM42" s="8">
        <f t="shared" si="13"/>
        <v>235</v>
      </c>
      <c r="DN42" s="8">
        <f t="shared" si="14"/>
        <v>205</v>
      </c>
      <c r="DO42" s="15">
        <f t="shared" si="15"/>
        <v>17.09534147070482</v>
      </c>
      <c r="DP42" s="15" t="str">
        <f t="shared" si="16"/>
        <v>OK - No Upgrade</v>
      </c>
      <c r="DQ42" s="15" t="str">
        <f t="shared" si="17"/>
        <v>OK - Balanced</v>
      </c>
    </row>
    <row r="43" spans="1:121" ht="15.75" customHeight="1" x14ac:dyDescent="0.25">
      <c r="A43" s="8" t="s">
        <v>904</v>
      </c>
      <c r="B43" s="8" t="s">
        <v>3232</v>
      </c>
      <c r="C43" s="8" t="s">
        <v>2948</v>
      </c>
      <c r="D43" s="8" t="s">
        <v>3340</v>
      </c>
      <c r="E43" s="8" t="s">
        <v>3341</v>
      </c>
      <c r="F43" s="8" t="s">
        <v>56</v>
      </c>
      <c r="G43" s="8"/>
      <c r="H43" s="8">
        <v>1000</v>
      </c>
      <c r="I43" s="8" t="s">
        <v>1966</v>
      </c>
      <c r="J43" s="8">
        <v>1</v>
      </c>
      <c r="K43" s="8">
        <v>242</v>
      </c>
      <c r="L43" s="8">
        <v>245</v>
      </c>
      <c r="M43" s="8">
        <v>243</v>
      </c>
      <c r="N43" s="8">
        <v>423</v>
      </c>
      <c r="O43" s="8">
        <v>419</v>
      </c>
      <c r="P43" s="8">
        <v>422</v>
      </c>
      <c r="Q43" s="9"/>
      <c r="R43" s="16"/>
      <c r="S43" s="10"/>
      <c r="T43" s="10"/>
      <c r="U43" s="10"/>
      <c r="V43" s="11"/>
      <c r="W43" s="12" t="s">
        <v>47</v>
      </c>
      <c r="X43" s="17"/>
      <c r="Y43" s="13">
        <v>105</v>
      </c>
      <c r="Z43" s="13">
        <v>49</v>
      </c>
      <c r="AA43" s="13">
        <v>20</v>
      </c>
      <c r="AB43" s="14">
        <v>50</v>
      </c>
      <c r="AC43" s="9" t="s">
        <v>47</v>
      </c>
      <c r="AD43" s="16"/>
      <c r="AE43" s="10">
        <v>60</v>
      </c>
      <c r="AF43" s="10">
        <v>57</v>
      </c>
      <c r="AG43" s="10">
        <v>67</v>
      </c>
      <c r="AH43" s="11">
        <v>35</v>
      </c>
      <c r="AI43" s="12" t="s">
        <v>47</v>
      </c>
      <c r="AJ43" s="17"/>
      <c r="AK43" s="13">
        <v>100</v>
      </c>
      <c r="AL43" s="13">
        <v>150</v>
      </c>
      <c r="AM43" s="13">
        <v>244</v>
      </c>
      <c r="AN43" s="14">
        <v>70</v>
      </c>
      <c r="AO43" s="9" t="s">
        <v>47</v>
      </c>
      <c r="AP43" s="16"/>
      <c r="AQ43" s="10">
        <v>80</v>
      </c>
      <c r="AR43" s="10">
        <v>13</v>
      </c>
      <c r="AS43" s="10">
        <v>30</v>
      </c>
      <c r="AT43" s="11">
        <v>35</v>
      </c>
      <c r="AU43" s="12" t="s">
        <v>47</v>
      </c>
      <c r="AV43" s="17"/>
      <c r="AW43" s="13">
        <v>100</v>
      </c>
      <c r="AX43" s="13">
        <v>85</v>
      </c>
      <c r="AY43" s="13">
        <v>156</v>
      </c>
      <c r="AZ43" s="14">
        <v>77</v>
      </c>
      <c r="BA43" s="9"/>
      <c r="BB43" s="16"/>
      <c r="BC43" s="10"/>
      <c r="BD43" s="10"/>
      <c r="BE43" s="10"/>
      <c r="BF43" s="11"/>
      <c r="BG43" s="12" t="s">
        <v>47</v>
      </c>
      <c r="BH43" s="17"/>
      <c r="BI43" s="13">
        <v>115</v>
      </c>
      <c r="BJ43" s="13">
        <v>100</v>
      </c>
      <c r="BK43" s="13">
        <v>100</v>
      </c>
      <c r="BL43" s="14">
        <v>40</v>
      </c>
      <c r="BM43" s="9"/>
      <c r="BN43" s="16"/>
      <c r="BO43" s="10"/>
      <c r="BP43" s="10"/>
      <c r="BQ43" s="10"/>
      <c r="BR43" s="11"/>
      <c r="BS43" s="12"/>
      <c r="BT43" s="17"/>
      <c r="BU43" s="13"/>
      <c r="BV43" s="13"/>
      <c r="BW43" s="13"/>
      <c r="BX43" s="14"/>
      <c r="BY43" s="9"/>
      <c r="BZ43" s="16"/>
      <c r="CA43" s="10"/>
      <c r="CB43" s="10"/>
      <c r="CC43" s="10"/>
      <c r="CD43" s="11"/>
      <c r="CE43" s="12"/>
      <c r="CF43" s="17"/>
      <c r="CG43" s="13"/>
      <c r="CH43" s="13"/>
      <c r="CI43" s="13"/>
      <c r="CJ43" s="14"/>
      <c r="CK43" s="9"/>
      <c r="CL43" s="16"/>
      <c r="CM43" s="10"/>
      <c r="CN43" s="10"/>
      <c r="CO43" s="10"/>
      <c r="CP43" s="11"/>
      <c r="CQ43" s="12"/>
      <c r="CR43" s="17"/>
      <c r="CS43" s="13"/>
      <c r="CT43" s="13"/>
      <c r="CU43" s="13"/>
      <c r="CV43" s="14"/>
      <c r="CW43" s="9"/>
      <c r="CX43" s="16"/>
      <c r="CY43" s="10"/>
      <c r="CZ43" s="10"/>
      <c r="DA43" s="10"/>
      <c r="DB43" s="11"/>
      <c r="DC43" s="12"/>
      <c r="DD43" s="17"/>
      <c r="DE43" s="13"/>
      <c r="DF43" s="13"/>
      <c r="DG43" s="13"/>
      <c r="DH43" s="14"/>
      <c r="DI43" s="8">
        <f t="shared" si="9"/>
        <v>560</v>
      </c>
      <c r="DJ43" s="8">
        <f t="shared" si="10"/>
        <v>454</v>
      </c>
      <c r="DK43" s="8">
        <f t="shared" si="11"/>
        <v>617</v>
      </c>
      <c r="DL43" s="8">
        <f t="shared" si="12"/>
        <v>307</v>
      </c>
      <c r="DM43" s="8">
        <f t="shared" si="13"/>
        <v>617</v>
      </c>
      <c r="DN43" s="8">
        <f t="shared" si="14"/>
        <v>454</v>
      </c>
      <c r="DO43" s="15">
        <f t="shared" si="15"/>
        <v>45.204967231820881</v>
      </c>
      <c r="DP43" s="15" t="str">
        <f t="shared" si="16"/>
        <v>OK - No Upgrade</v>
      </c>
      <c r="DQ43" s="15" t="str">
        <f t="shared" si="17"/>
        <v>Need to Balance</v>
      </c>
    </row>
    <row r="44" spans="1:121" ht="15.75" customHeight="1" x14ac:dyDescent="0.25">
      <c r="A44" s="8" t="s">
        <v>904</v>
      </c>
      <c r="B44" s="8" t="s">
        <v>3232</v>
      </c>
      <c r="C44" s="8" t="s">
        <v>2948</v>
      </c>
      <c r="D44" s="8" t="s">
        <v>3342</v>
      </c>
      <c r="E44" s="8" t="s">
        <v>3343</v>
      </c>
      <c r="F44" s="8" t="s">
        <v>56</v>
      </c>
      <c r="G44" s="8"/>
      <c r="H44" s="8">
        <v>1000</v>
      </c>
      <c r="I44" s="8" t="s">
        <v>1972</v>
      </c>
      <c r="J44" s="8">
        <v>1</v>
      </c>
      <c r="K44" s="8">
        <v>243</v>
      </c>
      <c r="L44" s="8">
        <v>241</v>
      </c>
      <c r="M44" s="8">
        <v>243</v>
      </c>
      <c r="N44" s="8">
        <v>423</v>
      </c>
      <c r="O44" s="8">
        <v>420</v>
      </c>
      <c r="P44" s="8">
        <v>424</v>
      </c>
      <c r="Q44" s="9" t="s">
        <v>47</v>
      </c>
      <c r="R44" s="16"/>
      <c r="S44" s="10">
        <v>40</v>
      </c>
      <c r="T44" s="10">
        <v>120</v>
      </c>
      <c r="U44" s="10">
        <v>63</v>
      </c>
      <c r="V44" s="11">
        <v>70</v>
      </c>
      <c r="W44" s="12" t="s">
        <v>47</v>
      </c>
      <c r="X44" s="17"/>
      <c r="Y44" s="13">
        <v>30</v>
      </c>
      <c r="Z44" s="13">
        <v>10</v>
      </c>
      <c r="AA44" s="13">
        <v>33</v>
      </c>
      <c r="AB44" s="14">
        <v>30</v>
      </c>
      <c r="AC44" s="9" t="s">
        <v>47</v>
      </c>
      <c r="AD44" s="16"/>
      <c r="AE44" s="10">
        <v>100</v>
      </c>
      <c r="AF44" s="10">
        <v>100</v>
      </c>
      <c r="AG44" s="10">
        <v>223</v>
      </c>
      <c r="AH44" s="11">
        <v>100</v>
      </c>
      <c r="AI44" s="12" t="s">
        <v>47</v>
      </c>
      <c r="AJ44" s="17"/>
      <c r="AK44" s="13">
        <v>90</v>
      </c>
      <c r="AL44" s="13">
        <v>30</v>
      </c>
      <c r="AM44" s="13">
        <v>50</v>
      </c>
      <c r="AN44" s="14">
        <v>50</v>
      </c>
      <c r="AO44" s="9" t="s">
        <v>47</v>
      </c>
      <c r="AP44" s="16"/>
      <c r="AQ44" s="10">
        <v>40</v>
      </c>
      <c r="AR44" s="10">
        <v>30</v>
      </c>
      <c r="AS44" s="10">
        <v>13</v>
      </c>
      <c r="AT44" s="11">
        <v>15</v>
      </c>
      <c r="AU44" s="12" t="s">
        <v>47</v>
      </c>
      <c r="AV44" s="17"/>
      <c r="AW44" s="13">
        <v>30</v>
      </c>
      <c r="AX44" s="13">
        <v>5</v>
      </c>
      <c r="AY44" s="13">
        <v>10</v>
      </c>
      <c r="AZ44" s="14">
        <v>15</v>
      </c>
      <c r="BA44" s="9" t="s">
        <v>47</v>
      </c>
      <c r="BB44" s="16"/>
      <c r="BC44" s="10">
        <v>40</v>
      </c>
      <c r="BD44" s="10">
        <v>30</v>
      </c>
      <c r="BE44" s="10">
        <v>50</v>
      </c>
      <c r="BF44" s="11">
        <v>25</v>
      </c>
      <c r="BG44" s="12" t="s">
        <v>47</v>
      </c>
      <c r="BH44" s="17"/>
      <c r="BI44" s="13">
        <v>60</v>
      </c>
      <c r="BJ44" s="13">
        <v>65</v>
      </c>
      <c r="BK44" s="13">
        <v>60</v>
      </c>
      <c r="BL44" s="14">
        <v>30</v>
      </c>
      <c r="BM44" s="9"/>
      <c r="BN44" s="16"/>
      <c r="BO44" s="10"/>
      <c r="BP44" s="10"/>
      <c r="BQ44" s="10"/>
      <c r="BR44" s="11"/>
      <c r="BS44" s="12"/>
      <c r="BT44" s="17"/>
      <c r="BU44" s="13"/>
      <c r="BV44" s="13"/>
      <c r="BW44" s="13"/>
      <c r="BX44" s="14"/>
      <c r="BY44" s="9"/>
      <c r="BZ44" s="16"/>
      <c r="CA44" s="10"/>
      <c r="CB44" s="10"/>
      <c r="CC44" s="10"/>
      <c r="CD44" s="11"/>
      <c r="CE44" s="12"/>
      <c r="CF44" s="17"/>
      <c r="CG44" s="13"/>
      <c r="CH44" s="13"/>
      <c r="CI44" s="13"/>
      <c r="CJ44" s="14"/>
      <c r="CK44" s="9"/>
      <c r="CL44" s="16"/>
      <c r="CM44" s="10"/>
      <c r="CN44" s="10"/>
      <c r="CO44" s="10"/>
      <c r="CP44" s="11"/>
      <c r="CQ44" s="12"/>
      <c r="CR44" s="17"/>
      <c r="CS44" s="13"/>
      <c r="CT44" s="13"/>
      <c r="CU44" s="13"/>
      <c r="CV44" s="14"/>
      <c r="CW44" s="9"/>
      <c r="CX44" s="16"/>
      <c r="CY44" s="10"/>
      <c r="CZ44" s="10"/>
      <c r="DA44" s="10"/>
      <c r="DB44" s="11"/>
      <c r="DC44" s="12"/>
      <c r="DD44" s="17"/>
      <c r="DE44" s="13"/>
      <c r="DF44" s="13"/>
      <c r="DG44" s="13"/>
      <c r="DH44" s="14"/>
      <c r="DI44" s="8">
        <f t="shared" si="9"/>
        <v>430</v>
      </c>
      <c r="DJ44" s="8">
        <f t="shared" si="10"/>
        <v>390</v>
      </c>
      <c r="DK44" s="8">
        <f t="shared" si="11"/>
        <v>502</v>
      </c>
      <c r="DL44" s="8">
        <f t="shared" si="12"/>
        <v>335</v>
      </c>
      <c r="DM44" s="8">
        <f t="shared" si="13"/>
        <v>502</v>
      </c>
      <c r="DN44" s="8">
        <f t="shared" si="14"/>
        <v>390</v>
      </c>
      <c r="DO44" s="15">
        <f t="shared" si="15"/>
        <v>36.779406078402083</v>
      </c>
      <c r="DP44" s="15" t="str">
        <f t="shared" si="16"/>
        <v>OK - No Upgrade</v>
      </c>
      <c r="DQ44" s="15" t="str">
        <f t="shared" si="17"/>
        <v>Need to Balance</v>
      </c>
    </row>
    <row r="45" spans="1:121" ht="15.75" customHeight="1" x14ac:dyDescent="0.25">
      <c r="A45" s="8" t="s">
        <v>904</v>
      </c>
      <c r="B45" s="8" t="s">
        <v>3232</v>
      </c>
      <c r="C45" s="8" t="s">
        <v>2296</v>
      </c>
      <c r="D45" s="8" t="s">
        <v>3344</v>
      </c>
      <c r="E45" s="8" t="s">
        <v>3345</v>
      </c>
      <c r="F45" s="8" t="s">
        <v>56</v>
      </c>
      <c r="G45" s="8"/>
      <c r="H45" s="8">
        <v>1000</v>
      </c>
      <c r="I45" s="8" t="s">
        <v>3346</v>
      </c>
      <c r="J45" s="8">
        <v>1</v>
      </c>
      <c r="K45" s="8">
        <v>243</v>
      </c>
      <c r="L45" s="8">
        <v>242</v>
      </c>
      <c r="M45" s="8">
        <v>244</v>
      </c>
      <c r="N45" s="8">
        <v>420</v>
      </c>
      <c r="O45" s="8">
        <v>425</v>
      </c>
      <c r="P45" s="8">
        <v>422</v>
      </c>
      <c r="Q45" s="9"/>
      <c r="R45" s="16"/>
      <c r="S45" s="10"/>
      <c r="T45" s="10"/>
      <c r="U45" s="10"/>
      <c r="V45" s="11"/>
      <c r="W45" s="12"/>
      <c r="X45" s="17"/>
      <c r="Y45" s="13"/>
      <c r="Z45" s="13"/>
      <c r="AA45" s="13"/>
      <c r="AB45" s="14"/>
      <c r="AC45" s="9" t="s">
        <v>47</v>
      </c>
      <c r="AD45" s="16"/>
      <c r="AE45" s="10">
        <v>0</v>
      </c>
      <c r="AF45" s="10">
        <v>0</v>
      </c>
      <c r="AG45" s="10">
        <v>0</v>
      </c>
      <c r="AH45" s="11">
        <v>0</v>
      </c>
      <c r="AI45" s="12" t="s">
        <v>47</v>
      </c>
      <c r="AJ45" s="17"/>
      <c r="AK45" s="13">
        <v>44</v>
      </c>
      <c r="AL45" s="13">
        <v>58</v>
      </c>
      <c r="AM45" s="13">
        <v>28</v>
      </c>
      <c r="AN45" s="14">
        <v>27</v>
      </c>
      <c r="AO45" s="9" t="s">
        <v>47</v>
      </c>
      <c r="AP45" s="16"/>
      <c r="AQ45" s="10">
        <v>30</v>
      </c>
      <c r="AR45" s="10">
        <v>11</v>
      </c>
      <c r="AS45" s="10">
        <v>32</v>
      </c>
      <c r="AT45" s="11">
        <v>20</v>
      </c>
      <c r="AU45" s="12" t="s">
        <v>47</v>
      </c>
      <c r="AV45" s="17"/>
      <c r="AW45" s="13">
        <v>42</v>
      </c>
      <c r="AX45" s="13">
        <v>25</v>
      </c>
      <c r="AY45" s="13">
        <v>41</v>
      </c>
      <c r="AZ45" s="14">
        <v>17</v>
      </c>
      <c r="BA45" s="9"/>
      <c r="BB45" s="16"/>
      <c r="BC45" s="10">
        <v>131</v>
      </c>
      <c r="BD45" s="10">
        <v>81</v>
      </c>
      <c r="BE45" s="10">
        <v>125</v>
      </c>
      <c r="BF45" s="11">
        <v>47</v>
      </c>
      <c r="BG45" s="12"/>
      <c r="BH45" s="17"/>
      <c r="BI45" s="13"/>
      <c r="BJ45" s="13"/>
      <c r="BK45" s="13"/>
      <c r="BL45" s="14"/>
      <c r="BM45" s="9"/>
      <c r="BN45" s="16"/>
      <c r="BO45" s="10"/>
      <c r="BP45" s="10"/>
      <c r="BQ45" s="10"/>
      <c r="BR45" s="11"/>
      <c r="BS45" s="12"/>
      <c r="BT45" s="17"/>
      <c r="BU45" s="13"/>
      <c r="BV45" s="13"/>
      <c r="BW45" s="13"/>
      <c r="BX45" s="14"/>
      <c r="BY45" s="9"/>
      <c r="BZ45" s="16"/>
      <c r="CA45" s="10"/>
      <c r="CB45" s="10"/>
      <c r="CC45" s="10"/>
      <c r="CD45" s="11"/>
      <c r="CE45" s="12"/>
      <c r="CF45" s="17"/>
      <c r="CG45" s="13"/>
      <c r="CH45" s="13"/>
      <c r="CI45" s="13"/>
      <c r="CJ45" s="14"/>
      <c r="CK45" s="9"/>
      <c r="CL45" s="16"/>
      <c r="CM45" s="10"/>
      <c r="CN45" s="10"/>
      <c r="CO45" s="10"/>
      <c r="CP45" s="11"/>
      <c r="CQ45" s="12"/>
      <c r="CR45" s="17"/>
      <c r="CS45" s="13"/>
      <c r="CT45" s="13"/>
      <c r="CU45" s="13"/>
      <c r="CV45" s="14"/>
      <c r="CW45" s="9"/>
      <c r="CX45" s="16"/>
      <c r="CY45" s="10"/>
      <c r="CZ45" s="10"/>
      <c r="DA45" s="10"/>
      <c r="DB45" s="11"/>
      <c r="DC45" s="12"/>
      <c r="DD45" s="17"/>
      <c r="DE45" s="13"/>
      <c r="DF45" s="13"/>
      <c r="DG45" s="13"/>
      <c r="DH45" s="14"/>
      <c r="DI45" s="8">
        <f t="shared" si="9"/>
        <v>247</v>
      </c>
      <c r="DJ45" s="8">
        <f t="shared" si="10"/>
        <v>175</v>
      </c>
      <c r="DK45" s="8">
        <f t="shared" si="11"/>
        <v>226</v>
      </c>
      <c r="DL45" s="8">
        <f t="shared" si="12"/>
        <v>111</v>
      </c>
      <c r="DM45" s="8">
        <f t="shared" si="13"/>
        <v>247</v>
      </c>
      <c r="DN45" s="8">
        <f t="shared" si="14"/>
        <v>175</v>
      </c>
      <c r="DO45" s="15">
        <f t="shared" si="15"/>
        <v>17.968295077719532</v>
      </c>
      <c r="DP45" s="15" t="str">
        <f t="shared" si="16"/>
        <v>OK - No Upgrade</v>
      </c>
      <c r="DQ45" s="15" t="str">
        <f t="shared" si="17"/>
        <v>Need to Balance</v>
      </c>
    </row>
    <row r="46" spans="1:121" ht="15.75" customHeight="1" x14ac:dyDescent="0.25">
      <c r="A46" s="8" t="s">
        <v>904</v>
      </c>
      <c r="B46" s="8" t="s">
        <v>3232</v>
      </c>
      <c r="C46" s="8" t="s">
        <v>2948</v>
      </c>
      <c r="D46" s="8" t="s">
        <v>3347</v>
      </c>
      <c r="E46" s="8" t="s">
        <v>3348</v>
      </c>
      <c r="F46" s="8" t="s">
        <v>56</v>
      </c>
      <c r="G46" s="8"/>
      <c r="H46" s="8">
        <v>1000</v>
      </c>
      <c r="I46" s="8" t="s">
        <v>3349</v>
      </c>
      <c r="J46" s="8">
        <v>1</v>
      </c>
      <c r="K46" s="8">
        <v>242</v>
      </c>
      <c r="L46" s="8">
        <v>246</v>
      </c>
      <c r="M46" s="8">
        <v>244</v>
      </c>
      <c r="N46" s="8">
        <v>421</v>
      </c>
      <c r="O46" s="8">
        <v>422</v>
      </c>
      <c r="P46" s="8">
        <v>426</v>
      </c>
      <c r="Q46" s="9" t="s">
        <v>46</v>
      </c>
      <c r="R46" s="16"/>
      <c r="S46" s="10">
        <v>100</v>
      </c>
      <c r="T46" s="10">
        <v>7</v>
      </c>
      <c r="U46" s="10">
        <v>77</v>
      </c>
      <c r="V46" s="11">
        <v>93</v>
      </c>
      <c r="W46" s="12"/>
      <c r="X46" s="17"/>
      <c r="Y46" s="13"/>
      <c r="Z46" s="13"/>
      <c r="AA46" s="13"/>
      <c r="AB46" s="14"/>
      <c r="AC46" s="9" t="s">
        <v>46</v>
      </c>
      <c r="AD46" s="16"/>
      <c r="AE46" s="10">
        <v>76</v>
      </c>
      <c r="AF46" s="10">
        <v>50</v>
      </c>
      <c r="AG46" s="10">
        <v>83</v>
      </c>
      <c r="AH46" s="11">
        <v>40</v>
      </c>
      <c r="AI46" s="12" t="s">
        <v>47</v>
      </c>
      <c r="AJ46" s="17"/>
      <c r="AK46" s="13">
        <v>33</v>
      </c>
      <c r="AL46" s="13">
        <v>20</v>
      </c>
      <c r="AM46" s="13">
        <v>42</v>
      </c>
      <c r="AN46" s="14">
        <v>15</v>
      </c>
      <c r="AO46" s="9" t="s">
        <v>47</v>
      </c>
      <c r="AP46" s="16"/>
      <c r="AQ46" s="10">
        <v>20</v>
      </c>
      <c r="AR46" s="10">
        <v>35</v>
      </c>
      <c r="AS46" s="10">
        <v>37</v>
      </c>
      <c r="AT46" s="11">
        <v>20</v>
      </c>
      <c r="AU46" s="12" t="s">
        <v>47</v>
      </c>
      <c r="AV46" s="17"/>
      <c r="AW46" s="13">
        <v>70</v>
      </c>
      <c r="AX46" s="13">
        <v>60</v>
      </c>
      <c r="AY46" s="13">
        <v>50</v>
      </c>
      <c r="AZ46" s="14">
        <v>40</v>
      </c>
      <c r="BA46" s="9" t="s">
        <v>46</v>
      </c>
      <c r="BB46" s="16"/>
      <c r="BC46" s="10">
        <v>70</v>
      </c>
      <c r="BD46" s="10">
        <v>60</v>
      </c>
      <c r="BE46" s="10">
        <v>50</v>
      </c>
      <c r="BF46" s="11">
        <v>30</v>
      </c>
      <c r="BG46" s="12" t="s">
        <v>46</v>
      </c>
      <c r="BH46" s="17"/>
      <c r="BI46" s="13">
        <v>100</v>
      </c>
      <c r="BJ46" s="13">
        <v>120</v>
      </c>
      <c r="BK46" s="13">
        <v>70</v>
      </c>
      <c r="BL46" s="14">
        <v>60</v>
      </c>
      <c r="BM46" s="9"/>
      <c r="BN46" s="16"/>
      <c r="BO46" s="10"/>
      <c r="BP46" s="10"/>
      <c r="BQ46" s="10"/>
      <c r="BR46" s="11"/>
      <c r="BS46" s="12"/>
      <c r="BT46" s="17"/>
      <c r="BU46" s="13"/>
      <c r="BV46" s="13"/>
      <c r="BW46" s="13"/>
      <c r="BX46" s="14"/>
      <c r="BY46" s="9"/>
      <c r="BZ46" s="16"/>
      <c r="CA46" s="10"/>
      <c r="CB46" s="10"/>
      <c r="CC46" s="10"/>
      <c r="CD46" s="11"/>
      <c r="CE46" s="12"/>
      <c r="CF46" s="17"/>
      <c r="CG46" s="13"/>
      <c r="CH46" s="13"/>
      <c r="CI46" s="13"/>
      <c r="CJ46" s="14"/>
      <c r="CK46" s="9"/>
      <c r="CL46" s="16"/>
      <c r="CM46" s="10"/>
      <c r="CN46" s="10"/>
      <c r="CO46" s="10"/>
      <c r="CP46" s="11"/>
      <c r="CQ46" s="12"/>
      <c r="CR46" s="17"/>
      <c r="CS46" s="13"/>
      <c r="CT46" s="13"/>
      <c r="CU46" s="13"/>
      <c r="CV46" s="14"/>
      <c r="CW46" s="9"/>
      <c r="CX46" s="16"/>
      <c r="CY46" s="10"/>
      <c r="CZ46" s="10"/>
      <c r="DA46" s="10"/>
      <c r="DB46" s="11"/>
      <c r="DC46" s="12"/>
      <c r="DD46" s="17"/>
      <c r="DE46" s="13"/>
      <c r="DF46" s="13"/>
      <c r="DG46" s="13"/>
      <c r="DH46" s="14"/>
      <c r="DI46" s="8">
        <f t="shared" si="9"/>
        <v>469</v>
      </c>
      <c r="DJ46" s="8">
        <f t="shared" si="10"/>
        <v>352</v>
      </c>
      <c r="DK46" s="8">
        <f t="shared" si="11"/>
        <v>409</v>
      </c>
      <c r="DL46" s="8">
        <f t="shared" si="12"/>
        <v>298</v>
      </c>
      <c r="DM46" s="8">
        <f t="shared" si="13"/>
        <v>469</v>
      </c>
      <c r="DN46" s="8">
        <f t="shared" si="14"/>
        <v>352</v>
      </c>
      <c r="DO46" s="15">
        <f t="shared" si="15"/>
        <v>34.199169990366727</v>
      </c>
      <c r="DP46" s="15" t="str">
        <f t="shared" si="16"/>
        <v>OK - No Upgrade</v>
      </c>
      <c r="DQ46" s="15" t="str">
        <f t="shared" si="17"/>
        <v>Need to Balance</v>
      </c>
    </row>
    <row r="47" spans="1:121" ht="15.75" customHeight="1" x14ac:dyDescent="0.25">
      <c r="A47" s="8" t="s">
        <v>904</v>
      </c>
      <c r="B47" s="8" t="s">
        <v>3232</v>
      </c>
      <c r="C47" s="8" t="s">
        <v>2296</v>
      </c>
      <c r="D47" s="8" t="s">
        <v>3350</v>
      </c>
      <c r="E47" s="8" t="s">
        <v>3351</v>
      </c>
      <c r="F47" s="8" t="s">
        <v>56</v>
      </c>
      <c r="G47" s="8"/>
      <c r="H47" s="8">
        <v>1000</v>
      </c>
      <c r="I47" s="8" t="s">
        <v>3352</v>
      </c>
      <c r="J47" s="8">
        <v>1</v>
      </c>
      <c r="K47" s="8">
        <v>243</v>
      </c>
      <c r="L47" s="8">
        <v>242</v>
      </c>
      <c r="M47" s="8">
        <v>244</v>
      </c>
      <c r="N47" s="8">
        <v>421</v>
      </c>
      <c r="O47" s="8">
        <v>424</v>
      </c>
      <c r="P47" s="8">
        <v>423</v>
      </c>
      <c r="Q47" s="9"/>
      <c r="R47" s="16"/>
      <c r="S47" s="10"/>
      <c r="T47" s="10"/>
      <c r="U47" s="10"/>
      <c r="V47" s="11"/>
      <c r="W47" s="12"/>
      <c r="X47" s="17"/>
      <c r="Y47" s="13"/>
      <c r="Z47" s="13"/>
      <c r="AA47" s="13"/>
      <c r="AB47" s="14"/>
      <c r="AC47" s="9"/>
      <c r="AD47" s="16"/>
      <c r="AE47" s="10"/>
      <c r="AF47" s="10"/>
      <c r="AG47" s="10"/>
      <c r="AH47" s="11"/>
      <c r="AI47" s="12"/>
      <c r="AJ47" s="17"/>
      <c r="AK47" s="13"/>
      <c r="AL47" s="13"/>
      <c r="AM47" s="13"/>
      <c r="AN47" s="14"/>
      <c r="AO47" s="9" t="s">
        <v>47</v>
      </c>
      <c r="AP47" s="16"/>
      <c r="AQ47" s="10">
        <v>10</v>
      </c>
      <c r="AR47" s="10">
        <v>0</v>
      </c>
      <c r="AS47" s="10">
        <v>1</v>
      </c>
      <c r="AT47" s="11">
        <v>10</v>
      </c>
      <c r="AU47" s="12" t="s">
        <v>47</v>
      </c>
      <c r="AV47" s="17"/>
      <c r="AW47" s="13">
        <v>128</v>
      </c>
      <c r="AX47" s="13">
        <v>91</v>
      </c>
      <c r="AY47" s="13">
        <v>78</v>
      </c>
      <c r="AZ47" s="14">
        <v>32</v>
      </c>
      <c r="BA47" s="9" t="s">
        <v>47</v>
      </c>
      <c r="BB47" s="16"/>
      <c r="BC47" s="10">
        <v>24</v>
      </c>
      <c r="BD47" s="10">
        <v>12</v>
      </c>
      <c r="BE47" s="10">
        <v>64</v>
      </c>
      <c r="BF47" s="11">
        <v>46</v>
      </c>
      <c r="BG47" s="12" t="s">
        <v>47</v>
      </c>
      <c r="BH47" s="17"/>
      <c r="BI47" s="13">
        <v>59</v>
      </c>
      <c r="BJ47" s="13">
        <v>52</v>
      </c>
      <c r="BK47" s="13">
        <v>38</v>
      </c>
      <c r="BL47" s="14">
        <v>22</v>
      </c>
      <c r="BM47" s="9"/>
      <c r="BN47" s="16"/>
      <c r="BO47" s="10"/>
      <c r="BP47" s="10"/>
      <c r="BQ47" s="10"/>
      <c r="BR47" s="11"/>
      <c r="BS47" s="12"/>
      <c r="BT47" s="17"/>
      <c r="BU47" s="13"/>
      <c r="BV47" s="13"/>
      <c r="BW47" s="13"/>
      <c r="BX47" s="14"/>
      <c r="BY47" s="9"/>
      <c r="BZ47" s="16"/>
      <c r="CA47" s="10"/>
      <c r="CB47" s="10"/>
      <c r="CC47" s="10"/>
      <c r="CD47" s="11"/>
      <c r="CE47" s="12"/>
      <c r="CF47" s="17"/>
      <c r="CG47" s="13"/>
      <c r="CH47" s="13"/>
      <c r="CI47" s="13"/>
      <c r="CJ47" s="14"/>
      <c r="CK47" s="9"/>
      <c r="CL47" s="16"/>
      <c r="CM47" s="10"/>
      <c r="CN47" s="10"/>
      <c r="CO47" s="10"/>
      <c r="CP47" s="11"/>
      <c r="CQ47" s="12"/>
      <c r="CR47" s="17"/>
      <c r="CS47" s="13"/>
      <c r="CT47" s="13"/>
      <c r="CU47" s="13"/>
      <c r="CV47" s="14"/>
      <c r="CW47" s="9"/>
      <c r="CX47" s="16"/>
      <c r="CY47" s="10"/>
      <c r="CZ47" s="10"/>
      <c r="DA47" s="10"/>
      <c r="DB47" s="11"/>
      <c r="DC47" s="12"/>
      <c r="DD47" s="17"/>
      <c r="DE47" s="13"/>
      <c r="DF47" s="13"/>
      <c r="DG47" s="13"/>
      <c r="DH47" s="14"/>
      <c r="DI47" s="8">
        <f t="shared" si="9"/>
        <v>221</v>
      </c>
      <c r="DJ47" s="8">
        <f t="shared" si="10"/>
        <v>155</v>
      </c>
      <c r="DK47" s="8">
        <f t="shared" si="11"/>
        <v>181</v>
      </c>
      <c r="DL47" s="8">
        <f t="shared" si="12"/>
        <v>110</v>
      </c>
      <c r="DM47" s="8">
        <f t="shared" si="13"/>
        <v>221</v>
      </c>
      <c r="DN47" s="8">
        <f t="shared" si="14"/>
        <v>155</v>
      </c>
      <c r="DO47" s="15">
        <f t="shared" si="15"/>
        <v>16.115173918701593</v>
      </c>
      <c r="DP47" s="15" t="str">
        <f t="shared" si="16"/>
        <v>OK - No Upgrade</v>
      </c>
      <c r="DQ47" s="15" t="str">
        <f t="shared" si="17"/>
        <v>Need to Balance</v>
      </c>
    </row>
    <row r="48" spans="1:121" ht="15.75" customHeight="1" x14ac:dyDescent="0.25">
      <c r="A48" s="8" t="s">
        <v>904</v>
      </c>
      <c r="B48" s="8" t="s">
        <v>3232</v>
      </c>
      <c r="C48" s="8" t="s">
        <v>2948</v>
      </c>
      <c r="D48" s="8" t="s">
        <v>3353</v>
      </c>
      <c r="E48" s="8" t="s">
        <v>3354</v>
      </c>
      <c r="F48" s="8" t="s">
        <v>56</v>
      </c>
      <c r="G48" s="8"/>
      <c r="H48" s="8">
        <v>1000</v>
      </c>
      <c r="I48" s="8" t="s">
        <v>3355</v>
      </c>
      <c r="J48" s="8">
        <v>1</v>
      </c>
      <c r="K48" s="8">
        <v>240</v>
      </c>
      <c r="L48" s="8">
        <v>243</v>
      </c>
      <c r="M48" s="8">
        <v>242</v>
      </c>
      <c r="N48" s="8">
        <v>417</v>
      </c>
      <c r="O48" s="8">
        <v>420</v>
      </c>
      <c r="P48" s="8">
        <v>423</v>
      </c>
      <c r="Q48" s="9" t="s">
        <v>47</v>
      </c>
      <c r="R48" s="16"/>
      <c r="S48" s="10">
        <v>9</v>
      </c>
      <c r="T48" s="10">
        <v>0</v>
      </c>
      <c r="U48" s="10">
        <v>14</v>
      </c>
      <c r="V48" s="11">
        <v>14</v>
      </c>
      <c r="W48" s="12" t="s">
        <v>132</v>
      </c>
      <c r="X48" s="17"/>
      <c r="Y48" s="13">
        <v>0</v>
      </c>
      <c r="Z48" s="13">
        <v>0</v>
      </c>
      <c r="AA48" s="13">
        <v>0</v>
      </c>
      <c r="AB48" s="14">
        <v>0</v>
      </c>
      <c r="AC48" s="9" t="s">
        <v>70</v>
      </c>
      <c r="AD48" s="16"/>
      <c r="AE48" s="10">
        <v>40</v>
      </c>
      <c r="AF48" s="10">
        <v>16</v>
      </c>
      <c r="AG48" s="10">
        <v>25</v>
      </c>
      <c r="AH48" s="11">
        <v>10</v>
      </c>
      <c r="AI48" s="12" t="s">
        <v>47</v>
      </c>
      <c r="AJ48" s="17"/>
      <c r="AK48" s="13">
        <v>80</v>
      </c>
      <c r="AL48" s="13">
        <v>70</v>
      </c>
      <c r="AM48" s="13">
        <v>60</v>
      </c>
      <c r="AN48" s="14">
        <v>40</v>
      </c>
      <c r="AO48" s="9" t="s">
        <v>47</v>
      </c>
      <c r="AP48" s="16"/>
      <c r="AQ48" s="10">
        <v>50</v>
      </c>
      <c r="AR48" s="10">
        <v>8</v>
      </c>
      <c r="AS48" s="10">
        <v>40</v>
      </c>
      <c r="AT48" s="11">
        <v>21</v>
      </c>
      <c r="AU48" s="12" t="s">
        <v>47</v>
      </c>
      <c r="AV48" s="17"/>
      <c r="AW48" s="13">
        <v>25</v>
      </c>
      <c r="AX48" s="13">
        <v>16</v>
      </c>
      <c r="AY48" s="13">
        <v>36</v>
      </c>
      <c r="AZ48" s="14">
        <v>25</v>
      </c>
      <c r="BA48" s="9" t="s">
        <v>47</v>
      </c>
      <c r="BB48" s="16"/>
      <c r="BC48" s="10">
        <v>31</v>
      </c>
      <c r="BD48" s="10">
        <v>62</v>
      </c>
      <c r="BE48" s="10">
        <v>63</v>
      </c>
      <c r="BF48" s="11">
        <v>24</v>
      </c>
      <c r="BG48" s="12"/>
      <c r="BH48" s="17"/>
      <c r="BI48" s="13"/>
      <c r="BJ48" s="13"/>
      <c r="BK48" s="13"/>
      <c r="BL48" s="14"/>
      <c r="BM48" s="9"/>
      <c r="BN48" s="16"/>
      <c r="BO48" s="10"/>
      <c r="BP48" s="10"/>
      <c r="BQ48" s="10"/>
      <c r="BR48" s="11"/>
      <c r="BS48" s="12"/>
      <c r="BT48" s="17"/>
      <c r="BU48" s="13"/>
      <c r="BV48" s="13"/>
      <c r="BW48" s="13"/>
      <c r="BX48" s="14"/>
      <c r="BY48" s="9"/>
      <c r="BZ48" s="16"/>
      <c r="CA48" s="10"/>
      <c r="CB48" s="10"/>
      <c r="CC48" s="10"/>
      <c r="CD48" s="11"/>
      <c r="CE48" s="12"/>
      <c r="CF48" s="17"/>
      <c r="CG48" s="13"/>
      <c r="CH48" s="13"/>
      <c r="CI48" s="13"/>
      <c r="CJ48" s="14"/>
      <c r="CK48" s="9"/>
      <c r="CL48" s="16"/>
      <c r="CM48" s="10"/>
      <c r="CN48" s="10"/>
      <c r="CO48" s="10"/>
      <c r="CP48" s="11"/>
      <c r="CQ48" s="12"/>
      <c r="CR48" s="17"/>
      <c r="CS48" s="13"/>
      <c r="CT48" s="13"/>
      <c r="CU48" s="13"/>
      <c r="CV48" s="14"/>
      <c r="CW48" s="9"/>
      <c r="CX48" s="16"/>
      <c r="CY48" s="10"/>
      <c r="CZ48" s="10"/>
      <c r="DA48" s="10"/>
      <c r="DB48" s="11"/>
      <c r="DC48" s="12"/>
      <c r="DD48" s="17"/>
      <c r="DE48" s="13"/>
      <c r="DF48" s="13"/>
      <c r="DG48" s="13"/>
      <c r="DH48" s="14"/>
      <c r="DI48" s="8">
        <f t="shared" si="9"/>
        <v>235</v>
      </c>
      <c r="DJ48" s="8">
        <f t="shared" si="10"/>
        <v>172</v>
      </c>
      <c r="DK48" s="8">
        <f t="shared" si="11"/>
        <v>238</v>
      </c>
      <c r="DL48" s="8">
        <f t="shared" si="12"/>
        <v>134</v>
      </c>
      <c r="DM48" s="8">
        <f t="shared" si="13"/>
        <v>238</v>
      </c>
      <c r="DN48" s="8">
        <f t="shared" si="14"/>
        <v>172</v>
      </c>
      <c r="DO48" s="15">
        <f t="shared" si="15"/>
        <v>17.189911444798081</v>
      </c>
      <c r="DP48" s="15" t="str">
        <f t="shared" si="16"/>
        <v>OK - No Upgrade</v>
      </c>
      <c r="DQ48" s="15" t="str">
        <f t="shared" si="17"/>
        <v>Need to Balance</v>
      </c>
    </row>
    <row r="49" spans="1:121" ht="15.75" customHeight="1" x14ac:dyDescent="0.25">
      <c r="A49" s="8" t="s">
        <v>904</v>
      </c>
      <c r="B49" s="8" t="s">
        <v>3232</v>
      </c>
      <c r="C49" s="8" t="s">
        <v>2948</v>
      </c>
      <c r="D49" s="8" t="s">
        <v>3356</v>
      </c>
      <c r="E49" s="8" t="s">
        <v>3357</v>
      </c>
      <c r="F49" s="8" t="s">
        <v>43</v>
      </c>
      <c r="G49" s="8"/>
      <c r="H49" s="8">
        <v>315</v>
      </c>
      <c r="I49" s="8" t="s">
        <v>3358</v>
      </c>
      <c r="J49" s="8">
        <v>1</v>
      </c>
      <c r="K49" s="8">
        <v>241</v>
      </c>
      <c r="L49" s="8">
        <v>244</v>
      </c>
      <c r="M49" s="8">
        <v>243</v>
      </c>
      <c r="N49" s="8">
        <v>420</v>
      </c>
      <c r="O49" s="8">
        <v>419</v>
      </c>
      <c r="P49" s="8">
        <v>421</v>
      </c>
      <c r="Q49" s="9" t="s">
        <v>47</v>
      </c>
      <c r="R49" s="16"/>
      <c r="S49" s="10">
        <v>1</v>
      </c>
      <c r="T49" s="10">
        <v>3</v>
      </c>
      <c r="U49" s="10">
        <v>0</v>
      </c>
      <c r="V49" s="11">
        <v>5</v>
      </c>
      <c r="W49" s="12" t="s">
        <v>47</v>
      </c>
      <c r="X49" s="17"/>
      <c r="Y49" s="13">
        <v>30</v>
      </c>
      <c r="Z49" s="13">
        <v>3</v>
      </c>
      <c r="AA49" s="13">
        <v>0</v>
      </c>
      <c r="AB49" s="14">
        <v>22</v>
      </c>
      <c r="AC49" s="9"/>
      <c r="AD49" s="16"/>
      <c r="AE49" s="10"/>
      <c r="AF49" s="10"/>
      <c r="AG49" s="10"/>
      <c r="AH49" s="11"/>
      <c r="AI49" s="12"/>
      <c r="AJ49" s="17"/>
      <c r="AK49" s="13"/>
      <c r="AL49" s="13"/>
      <c r="AM49" s="13"/>
      <c r="AN49" s="14"/>
      <c r="AO49" s="9"/>
      <c r="AP49" s="16"/>
      <c r="AQ49" s="10"/>
      <c r="AR49" s="10"/>
      <c r="AS49" s="10"/>
      <c r="AT49" s="11"/>
      <c r="AU49" s="12"/>
      <c r="AV49" s="17"/>
      <c r="AW49" s="13"/>
      <c r="AX49" s="13"/>
      <c r="AY49" s="13"/>
      <c r="AZ49" s="14"/>
      <c r="BA49" s="9"/>
      <c r="BB49" s="16"/>
      <c r="BC49" s="10"/>
      <c r="BD49" s="10"/>
      <c r="BE49" s="10"/>
      <c r="BF49" s="11"/>
      <c r="BG49" s="12"/>
      <c r="BH49" s="17"/>
      <c r="BI49" s="13"/>
      <c r="BJ49" s="13"/>
      <c r="BK49" s="13"/>
      <c r="BL49" s="14"/>
      <c r="BM49" s="9"/>
      <c r="BN49" s="16"/>
      <c r="BO49" s="10"/>
      <c r="BP49" s="10"/>
      <c r="BQ49" s="10"/>
      <c r="BR49" s="11"/>
      <c r="BS49" s="12"/>
      <c r="BT49" s="17"/>
      <c r="BU49" s="13"/>
      <c r="BV49" s="13"/>
      <c r="BW49" s="13"/>
      <c r="BX49" s="14"/>
      <c r="BY49" s="9"/>
      <c r="BZ49" s="16"/>
      <c r="CA49" s="10"/>
      <c r="CB49" s="10"/>
      <c r="CC49" s="10"/>
      <c r="CD49" s="11"/>
      <c r="CE49" s="12"/>
      <c r="CF49" s="17"/>
      <c r="CG49" s="13"/>
      <c r="CH49" s="13"/>
      <c r="CI49" s="13"/>
      <c r="CJ49" s="14"/>
      <c r="CK49" s="9"/>
      <c r="CL49" s="16"/>
      <c r="CM49" s="10"/>
      <c r="CN49" s="10"/>
      <c r="CO49" s="10"/>
      <c r="CP49" s="11"/>
      <c r="CQ49" s="12"/>
      <c r="CR49" s="17"/>
      <c r="CS49" s="13"/>
      <c r="CT49" s="13"/>
      <c r="CU49" s="13"/>
      <c r="CV49" s="14"/>
      <c r="CW49" s="9"/>
      <c r="CX49" s="16"/>
      <c r="CY49" s="10"/>
      <c r="CZ49" s="10"/>
      <c r="DA49" s="10"/>
      <c r="DB49" s="11"/>
      <c r="DC49" s="12"/>
      <c r="DD49" s="17"/>
      <c r="DE49" s="13"/>
      <c r="DF49" s="13"/>
      <c r="DG49" s="13"/>
      <c r="DH49" s="14"/>
      <c r="DI49" s="8">
        <f t="shared" si="9"/>
        <v>31</v>
      </c>
      <c r="DJ49" s="8">
        <f t="shared" si="10"/>
        <v>6</v>
      </c>
      <c r="DK49" s="8">
        <f t="shared" si="11"/>
        <v>0</v>
      </c>
      <c r="DL49" s="8">
        <f t="shared" si="12"/>
        <v>27</v>
      </c>
      <c r="DM49" s="8">
        <f t="shared" si="13"/>
        <v>31</v>
      </c>
      <c r="DN49" s="8">
        <f t="shared" si="14"/>
        <v>0</v>
      </c>
      <c r="DO49" s="15">
        <f t="shared" si="15"/>
        <v>7.1591433379513596</v>
      </c>
      <c r="DP49" s="15" t="str">
        <f t="shared" si="16"/>
        <v>OK - No Upgrade</v>
      </c>
      <c r="DQ49" s="15" t="str">
        <f t="shared" si="17"/>
        <v>Need to Balance</v>
      </c>
    </row>
    <row r="50" spans="1:121" ht="15.75" customHeight="1" x14ac:dyDescent="0.25">
      <c r="A50" s="8" t="s">
        <v>904</v>
      </c>
      <c r="B50" s="8" t="s">
        <v>3232</v>
      </c>
      <c r="C50" s="8" t="s">
        <v>2296</v>
      </c>
      <c r="D50" s="8" t="s">
        <v>3359</v>
      </c>
      <c r="E50" s="8" t="s">
        <v>3360</v>
      </c>
      <c r="F50" s="8" t="s">
        <v>56</v>
      </c>
      <c r="G50" s="8"/>
      <c r="H50" s="8">
        <v>1000</v>
      </c>
      <c r="I50" s="8" t="s">
        <v>625</v>
      </c>
      <c r="J50" s="8">
        <v>1</v>
      </c>
      <c r="K50" s="8">
        <v>239</v>
      </c>
      <c r="L50" s="8">
        <v>237</v>
      </c>
      <c r="M50" s="8">
        <v>240</v>
      </c>
      <c r="N50" s="8">
        <v>413</v>
      </c>
      <c r="O50" s="8">
        <v>416</v>
      </c>
      <c r="P50" s="8">
        <v>413</v>
      </c>
      <c r="Q50" s="9" t="s">
        <v>46</v>
      </c>
      <c r="R50" s="16"/>
      <c r="S50" s="10"/>
      <c r="T50" s="10"/>
      <c r="U50" s="10"/>
      <c r="V50" s="11"/>
      <c r="W50" s="12" t="s">
        <v>46</v>
      </c>
      <c r="X50" s="17"/>
      <c r="Y50" s="13">
        <v>96</v>
      </c>
      <c r="Z50" s="13">
        <v>97</v>
      </c>
      <c r="AA50" s="13">
        <v>95</v>
      </c>
      <c r="AB50" s="14">
        <v>17</v>
      </c>
      <c r="AC50" s="9" t="s">
        <v>47</v>
      </c>
      <c r="AD50" s="16"/>
      <c r="AE50" s="10">
        <v>0</v>
      </c>
      <c r="AF50" s="10">
        <v>0</v>
      </c>
      <c r="AG50" s="10">
        <v>0</v>
      </c>
      <c r="AH50" s="11">
        <v>0</v>
      </c>
      <c r="AI50" s="12" t="s">
        <v>47</v>
      </c>
      <c r="AJ50" s="17"/>
      <c r="AK50" s="13">
        <v>140</v>
      </c>
      <c r="AL50" s="13">
        <v>145</v>
      </c>
      <c r="AM50" s="13">
        <v>81</v>
      </c>
      <c r="AN50" s="14">
        <v>53</v>
      </c>
      <c r="AO50" s="9" t="s">
        <v>46</v>
      </c>
      <c r="AP50" s="16"/>
      <c r="AQ50" s="10">
        <v>86</v>
      </c>
      <c r="AR50" s="10">
        <v>63</v>
      </c>
      <c r="AS50" s="10">
        <v>52</v>
      </c>
      <c r="AT50" s="11">
        <v>24</v>
      </c>
      <c r="AU50" s="12" t="s">
        <v>46</v>
      </c>
      <c r="AV50" s="17"/>
      <c r="AW50" s="13">
        <v>42</v>
      </c>
      <c r="AX50" s="13">
        <v>89</v>
      </c>
      <c r="AY50" s="13">
        <v>170</v>
      </c>
      <c r="AZ50" s="14">
        <v>103</v>
      </c>
      <c r="BA50" s="9" t="s">
        <v>46</v>
      </c>
      <c r="BB50" s="16"/>
      <c r="BC50" s="10">
        <v>21</v>
      </c>
      <c r="BD50" s="10">
        <v>45</v>
      </c>
      <c r="BE50" s="10">
        <v>34</v>
      </c>
      <c r="BF50" s="11">
        <v>18</v>
      </c>
      <c r="BG50" s="12" t="s">
        <v>70</v>
      </c>
      <c r="BH50" s="17"/>
      <c r="BI50" s="13">
        <v>23</v>
      </c>
      <c r="BJ50" s="13">
        <v>173</v>
      </c>
      <c r="BK50" s="13">
        <v>87</v>
      </c>
      <c r="BL50" s="14">
        <v>68</v>
      </c>
      <c r="BM50" s="9"/>
      <c r="BN50" s="16"/>
      <c r="BO50" s="10"/>
      <c r="BP50" s="10"/>
      <c r="BQ50" s="10"/>
      <c r="BR50" s="11"/>
      <c r="BS50" s="12"/>
      <c r="BT50" s="17"/>
      <c r="BU50" s="13"/>
      <c r="BV50" s="13"/>
      <c r="BW50" s="13"/>
      <c r="BX50" s="14"/>
      <c r="BY50" s="9"/>
      <c r="BZ50" s="16"/>
      <c r="CA50" s="10"/>
      <c r="CB50" s="10"/>
      <c r="CC50" s="10"/>
      <c r="CD50" s="11"/>
      <c r="CE50" s="12"/>
      <c r="CF50" s="17"/>
      <c r="CG50" s="13"/>
      <c r="CH50" s="13"/>
      <c r="CI50" s="13"/>
      <c r="CJ50" s="14"/>
      <c r="CK50" s="9"/>
      <c r="CL50" s="16"/>
      <c r="CM50" s="10"/>
      <c r="CN50" s="10"/>
      <c r="CO50" s="10"/>
      <c r="CP50" s="11"/>
      <c r="CQ50" s="12"/>
      <c r="CR50" s="17"/>
      <c r="CS50" s="13"/>
      <c r="CT50" s="13"/>
      <c r="CU50" s="13"/>
      <c r="CV50" s="14"/>
      <c r="CW50" s="9"/>
      <c r="CX50" s="16"/>
      <c r="CY50" s="10"/>
      <c r="CZ50" s="10"/>
      <c r="DA50" s="10"/>
      <c r="DB50" s="11"/>
      <c r="DC50" s="12"/>
      <c r="DD50" s="17"/>
      <c r="DE50" s="13"/>
      <c r="DF50" s="13"/>
      <c r="DG50" s="13"/>
      <c r="DH50" s="14"/>
      <c r="DI50" s="8">
        <f t="shared" si="9"/>
        <v>408</v>
      </c>
      <c r="DJ50" s="8">
        <f t="shared" si="10"/>
        <v>612</v>
      </c>
      <c r="DK50" s="8">
        <f t="shared" si="11"/>
        <v>519</v>
      </c>
      <c r="DL50" s="8">
        <f t="shared" si="12"/>
        <v>283</v>
      </c>
      <c r="DM50" s="8">
        <f t="shared" si="13"/>
        <v>612</v>
      </c>
      <c r="DN50" s="8">
        <f t="shared" si="14"/>
        <v>408</v>
      </c>
      <c r="DO50" s="15">
        <f t="shared" si="15"/>
        <v>43.778623391787917</v>
      </c>
      <c r="DP50" s="15" t="str">
        <f t="shared" si="16"/>
        <v>OK - No Upgrade</v>
      </c>
      <c r="DQ50" s="15" t="str">
        <f t="shared" si="17"/>
        <v>Need to Balance</v>
      </c>
    </row>
    <row r="51" spans="1:121" ht="15.75" customHeight="1" x14ac:dyDescent="0.25">
      <c r="A51" s="8" t="s">
        <v>904</v>
      </c>
      <c r="B51" s="8" t="s">
        <v>3232</v>
      </c>
      <c r="C51" s="8" t="s">
        <v>2948</v>
      </c>
      <c r="D51" s="8" t="s">
        <v>3361</v>
      </c>
      <c r="E51" s="8" t="s">
        <v>3362</v>
      </c>
      <c r="F51" s="8" t="s">
        <v>56</v>
      </c>
      <c r="G51" s="8"/>
      <c r="H51" s="8">
        <v>1000</v>
      </c>
      <c r="I51" s="8" t="s">
        <v>636</v>
      </c>
      <c r="J51" s="8">
        <v>1</v>
      </c>
      <c r="K51" s="8">
        <v>242</v>
      </c>
      <c r="L51" s="8">
        <v>244</v>
      </c>
      <c r="M51" s="8">
        <v>243</v>
      </c>
      <c r="N51" s="8">
        <v>421</v>
      </c>
      <c r="O51" s="8">
        <v>420</v>
      </c>
      <c r="P51" s="8">
        <v>426</v>
      </c>
      <c r="Q51" s="9"/>
      <c r="R51" s="16"/>
      <c r="S51" s="10"/>
      <c r="T51" s="10"/>
      <c r="U51" s="10"/>
      <c r="V51" s="11"/>
      <c r="W51" s="12"/>
      <c r="X51" s="17"/>
      <c r="Y51" s="13"/>
      <c r="Z51" s="13"/>
      <c r="AA51" s="13"/>
      <c r="AB51" s="14"/>
      <c r="AC51" s="9"/>
      <c r="AD51" s="16"/>
      <c r="AE51" s="10"/>
      <c r="AF51" s="10"/>
      <c r="AG51" s="10"/>
      <c r="AH51" s="11"/>
      <c r="AI51" s="12" t="s">
        <v>47</v>
      </c>
      <c r="AJ51" s="17"/>
      <c r="AK51" s="13">
        <v>9</v>
      </c>
      <c r="AL51" s="13">
        <v>10</v>
      </c>
      <c r="AM51" s="13">
        <v>22</v>
      </c>
      <c r="AN51" s="14">
        <v>12</v>
      </c>
      <c r="AO51" s="9" t="s">
        <v>46</v>
      </c>
      <c r="AP51" s="16"/>
      <c r="AQ51" s="10">
        <v>4</v>
      </c>
      <c r="AR51" s="10">
        <v>0</v>
      </c>
      <c r="AS51" s="10">
        <v>0</v>
      </c>
      <c r="AT51" s="11">
        <v>4</v>
      </c>
      <c r="AU51" s="12" t="s">
        <v>46</v>
      </c>
      <c r="AV51" s="17"/>
      <c r="AW51" s="13">
        <v>1</v>
      </c>
      <c r="AX51" s="13">
        <v>1</v>
      </c>
      <c r="AY51" s="13">
        <v>0</v>
      </c>
      <c r="AZ51" s="14">
        <v>1</v>
      </c>
      <c r="BA51" s="9" t="s">
        <v>46</v>
      </c>
      <c r="BB51" s="16"/>
      <c r="BC51" s="10">
        <v>0</v>
      </c>
      <c r="BD51" s="10">
        <v>0</v>
      </c>
      <c r="BE51" s="10">
        <v>0</v>
      </c>
      <c r="BF51" s="11">
        <v>0</v>
      </c>
      <c r="BG51" s="12"/>
      <c r="BH51" s="17"/>
      <c r="BI51" s="13"/>
      <c r="BJ51" s="13"/>
      <c r="BK51" s="13"/>
      <c r="BL51" s="14"/>
      <c r="BM51" s="9"/>
      <c r="BN51" s="16"/>
      <c r="BO51" s="10"/>
      <c r="BP51" s="10"/>
      <c r="BQ51" s="10"/>
      <c r="BR51" s="11"/>
      <c r="BS51" s="12"/>
      <c r="BT51" s="17"/>
      <c r="BU51" s="13"/>
      <c r="BV51" s="13"/>
      <c r="BW51" s="13"/>
      <c r="BX51" s="14"/>
      <c r="BY51" s="9"/>
      <c r="BZ51" s="16"/>
      <c r="CA51" s="10"/>
      <c r="CB51" s="10"/>
      <c r="CC51" s="10"/>
      <c r="CD51" s="11"/>
      <c r="CE51" s="12"/>
      <c r="CF51" s="17"/>
      <c r="CG51" s="13"/>
      <c r="CH51" s="13"/>
      <c r="CI51" s="13"/>
      <c r="CJ51" s="14"/>
      <c r="CK51" s="9"/>
      <c r="CL51" s="16"/>
      <c r="CM51" s="10"/>
      <c r="CN51" s="10"/>
      <c r="CO51" s="10"/>
      <c r="CP51" s="11"/>
      <c r="CQ51" s="12"/>
      <c r="CR51" s="17"/>
      <c r="CS51" s="13"/>
      <c r="CT51" s="13"/>
      <c r="CU51" s="13"/>
      <c r="CV51" s="14"/>
      <c r="CW51" s="9"/>
      <c r="CX51" s="16"/>
      <c r="CY51" s="10"/>
      <c r="CZ51" s="10"/>
      <c r="DA51" s="10"/>
      <c r="DB51" s="11"/>
      <c r="DC51" s="12"/>
      <c r="DD51" s="17"/>
      <c r="DE51" s="13"/>
      <c r="DF51" s="13"/>
      <c r="DG51" s="13"/>
      <c r="DH51" s="14"/>
      <c r="DI51" s="8">
        <f t="shared" si="9"/>
        <v>14</v>
      </c>
      <c r="DJ51" s="8">
        <f t="shared" si="10"/>
        <v>11</v>
      </c>
      <c r="DK51" s="8">
        <f t="shared" si="11"/>
        <v>22</v>
      </c>
      <c r="DL51" s="8">
        <f t="shared" si="12"/>
        <v>17</v>
      </c>
      <c r="DM51" s="8">
        <f t="shared" si="13"/>
        <v>22</v>
      </c>
      <c r="DN51" s="8">
        <f t="shared" si="14"/>
        <v>11</v>
      </c>
      <c r="DO51" s="15">
        <f t="shared" si="15"/>
        <v>1.6042254579702941</v>
      </c>
      <c r="DP51" s="15" t="str">
        <f t="shared" si="16"/>
        <v>OK - No Upgrade</v>
      </c>
      <c r="DQ51" s="15" t="str">
        <f t="shared" si="17"/>
        <v>Need to Balance</v>
      </c>
    </row>
    <row r="52" spans="1:121" ht="15.75" customHeight="1" x14ac:dyDescent="0.25">
      <c r="A52" s="8" t="s">
        <v>904</v>
      </c>
      <c r="B52" s="8" t="s">
        <v>3232</v>
      </c>
      <c r="C52" s="8" t="s">
        <v>2296</v>
      </c>
      <c r="D52" s="8" t="s">
        <v>3363</v>
      </c>
      <c r="E52" s="8" t="s">
        <v>3364</v>
      </c>
      <c r="F52" s="8" t="s">
        <v>43</v>
      </c>
      <c r="G52" s="8"/>
      <c r="H52" s="8">
        <v>315</v>
      </c>
      <c r="I52" s="8" t="s">
        <v>3365</v>
      </c>
      <c r="J52" s="8">
        <v>1</v>
      </c>
      <c r="K52" s="8">
        <v>236</v>
      </c>
      <c r="L52" s="8">
        <v>240</v>
      </c>
      <c r="M52" s="8">
        <v>239</v>
      </c>
      <c r="N52" s="8">
        <v>413</v>
      </c>
      <c r="O52" s="8">
        <v>414</v>
      </c>
      <c r="P52" s="8">
        <v>411</v>
      </c>
      <c r="Q52" s="9" t="s">
        <v>46</v>
      </c>
      <c r="R52" s="16"/>
      <c r="S52" s="10">
        <v>193</v>
      </c>
      <c r="T52" s="10">
        <v>83</v>
      </c>
      <c r="U52" s="10">
        <v>178</v>
      </c>
      <c r="V52" s="11">
        <v>116</v>
      </c>
      <c r="W52" s="12"/>
      <c r="X52" s="17"/>
      <c r="Y52" s="13"/>
      <c r="Z52" s="13"/>
      <c r="AA52" s="13"/>
      <c r="AB52" s="14"/>
      <c r="AC52" s="9"/>
      <c r="AD52" s="16"/>
      <c r="AE52" s="10"/>
      <c r="AF52" s="10"/>
      <c r="AG52" s="10"/>
      <c r="AH52" s="11"/>
      <c r="AI52" s="12"/>
      <c r="AJ52" s="17"/>
      <c r="AK52" s="13"/>
      <c r="AL52" s="13"/>
      <c r="AM52" s="13"/>
      <c r="AN52" s="14"/>
      <c r="AO52" s="9"/>
      <c r="AP52" s="16"/>
      <c r="AQ52" s="10"/>
      <c r="AR52" s="10"/>
      <c r="AS52" s="10"/>
      <c r="AT52" s="11"/>
      <c r="AU52" s="12"/>
      <c r="AV52" s="17"/>
      <c r="AW52" s="13"/>
      <c r="AX52" s="13"/>
      <c r="AY52" s="13"/>
      <c r="AZ52" s="14"/>
      <c r="BA52" s="9"/>
      <c r="BB52" s="16"/>
      <c r="BC52" s="10"/>
      <c r="BD52" s="10"/>
      <c r="BE52" s="10"/>
      <c r="BF52" s="11"/>
      <c r="BG52" s="12"/>
      <c r="BH52" s="17"/>
      <c r="BI52" s="13"/>
      <c r="BJ52" s="13"/>
      <c r="BK52" s="13"/>
      <c r="BL52" s="14"/>
      <c r="BM52" s="9"/>
      <c r="BN52" s="16"/>
      <c r="BO52" s="10"/>
      <c r="BP52" s="10"/>
      <c r="BQ52" s="10"/>
      <c r="BR52" s="11"/>
      <c r="BS52" s="12"/>
      <c r="BT52" s="17"/>
      <c r="BU52" s="13"/>
      <c r="BV52" s="13"/>
      <c r="BW52" s="13"/>
      <c r="BX52" s="14"/>
      <c r="BY52" s="9"/>
      <c r="BZ52" s="16"/>
      <c r="CA52" s="10"/>
      <c r="CB52" s="10"/>
      <c r="CC52" s="10"/>
      <c r="CD52" s="11"/>
      <c r="CE52" s="12"/>
      <c r="CF52" s="17"/>
      <c r="CG52" s="13"/>
      <c r="CH52" s="13"/>
      <c r="CI52" s="13"/>
      <c r="CJ52" s="14"/>
      <c r="CK52" s="9"/>
      <c r="CL52" s="16"/>
      <c r="CM52" s="10"/>
      <c r="CN52" s="10"/>
      <c r="CO52" s="10"/>
      <c r="CP52" s="11"/>
      <c r="CQ52" s="12"/>
      <c r="CR52" s="17"/>
      <c r="CS52" s="13"/>
      <c r="CT52" s="13"/>
      <c r="CU52" s="13"/>
      <c r="CV52" s="14"/>
      <c r="CW52" s="9"/>
      <c r="CX52" s="16"/>
      <c r="CY52" s="10"/>
      <c r="CZ52" s="10"/>
      <c r="DA52" s="10"/>
      <c r="DB52" s="11"/>
      <c r="DC52" s="12"/>
      <c r="DD52" s="17"/>
      <c r="DE52" s="13"/>
      <c r="DF52" s="13"/>
      <c r="DG52" s="13"/>
      <c r="DH52" s="14"/>
      <c r="DI52" s="8">
        <f t="shared" si="9"/>
        <v>193</v>
      </c>
      <c r="DJ52" s="8">
        <f t="shared" si="10"/>
        <v>83</v>
      </c>
      <c r="DK52" s="8">
        <f t="shared" si="11"/>
        <v>178</v>
      </c>
      <c r="DL52" s="8">
        <f t="shared" si="12"/>
        <v>116</v>
      </c>
      <c r="DM52" s="8">
        <f t="shared" si="13"/>
        <v>193</v>
      </c>
      <c r="DN52" s="8">
        <f t="shared" si="14"/>
        <v>83</v>
      </c>
      <c r="DO52" s="15">
        <f t="shared" si="15"/>
        <v>43.828583435081789</v>
      </c>
      <c r="DP52" s="15" t="str">
        <f t="shared" si="16"/>
        <v>OK - No Upgrade</v>
      </c>
      <c r="DQ52" s="15" t="str">
        <f t="shared" si="17"/>
        <v>Need to Balance</v>
      </c>
    </row>
    <row r="53" spans="1:121" ht="15.75" customHeight="1" x14ac:dyDescent="0.25">
      <c r="A53" s="8" t="s">
        <v>904</v>
      </c>
      <c r="B53" s="8" t="s">
        <v>3232</v>
      </c>
      <c r="C53" s="8" t="s">
        <v>2948</v>
      </c>
      <c r="D53" s="8" t="s">
        <v>3366</v>
      </c>
      <c r="E53" s="8" t="s">
        <v>3367</v>
      </c>
      <c r="F53" s="8" t="s">
        <v>56</v>
      </c>
      <c r="G53" s="8"/>
      <c r="H53" s="8">
        <v>1000</v>
      </c>
      <c r="I53" s="8" t="s">
        <v>3368</v>
      </c>
      <c r="J53" s="8">
        <v>1</v>
      </c>
      <c r="K53" s="8">
        <v>239</v>
      </c>
      <c r="L53" s="8">
        <v>243</v>
      </c>
      <c r="M53" s="8">
        <v>241</v>
      </c>
      <c r="N53" s="8">
        <v>417</v>
      </c>
      <c r="O53" s="8">
        <v>416</v>
      </c>
      <c r="P53" s="8">
        <v>420</v>
      </c>
      <c r="Q53" s="9"/>
      <c r="R53" s="16"/>
      <c r="S53" s="10"/>
      <c r="T53" s="10"/>
      <c r="U53" s="10"/>
      <c r="V53" s="11"/>
      <c r="W53" s="12" t="s">
        <v>47</v>
      </c>
      <c r="X53" s="17"/>
      <c r="Y53" s="13">
        <v>100</v>
      </c>
      <c r="Z53" s="13">
        <v>50</v>
      </c>
      <c r="AA53" s="13">
        <v>90</v>
      </c>
      <c r="AB53" s="14">
        <v>47</v>
      </c>
      <c r="AC53" s="9" t="s">
        <v>47</v>
      </c>
      <c r="AD53" s="16"/>
      <c r="AE53" s="10">
        <v>140</v>
      </c>
      <c r="AF53" s="10">
        <v>160</v>
      </c>
      <c r="AG53" s="10">
        <v>135</v>
      </c>
      <c r="AH53" s="11">
        <v>90</v>
      </c>
      <c r="AI53" s="12" t="s">
        <v>47</v>
      </c>
      <c r="AJ53" s="17"/>
      <c r="AK53" s="13">
        <v>40</v>
      </c>
      <c r="AL53" s="13">
        <v>125</v>
      </c>
      <c r="AM53" s="13">
        <v>40</v>
      </c>
      <c r="AN53" s="14">
        <v>77</v>
      </c>
      <c r="AO53" s="9"/>
      <c r="AP53" s="16"/>
      <c r="AQ53" s="10"/>
      <c r="AR53" s="10"/>
      <c r="AS53" s="10"/>
      <c r="AT53" s="11"/>
      <c r="AU53" s="12" t="s">
        <v>46</v>
      </c>
      <c r="AV53" s="17"/>
      <c r="AW53" s="13">
        <v>90</v>
      </c>
      <c r="AX53" s="13">
        <v>60</v>
      </c>
      <c r="AY53" s="13">
        <v>80</v>
      </c>
      <c r="AZ53" s="14">
        <v>50</v>
      </c>
      <c r="BA53" s="9" t="s">
        <v>46</v>
      </c>
      <c r="BB53" s="16"/>
      <c r="BC53" s="10">
        <v>170</v>
      </c>
      <c r="BD53" s="10">
        <v>118</v>
      </c>
      <c r="BE53" s="10">
        <v>122</v>
      </c>
      <c r="BF53" s="11">
        <v>50</v>
      </c>
      <c r="BG53" s="12" t="s">
        <v>46</v>
      </c>
      <c r="BH53" s="17"/>
      <c r="BI53" s="13">
        <v>45</v>
      </c>
      <c r="BJ53" s="13">
        <v>63</v>
      </c>
      <c r="BK53" s="13">
        <v>48</v>
      </c>
      <c r="BL53" s="14">
        <v>43</v>
      </c>
      <c r="BM53" s="9"/>
      <c r="BN53" s="16"/>
      <c r="BO53" s="10"/>
      <c r="BP53" s="10"/>
      <c r="BQ53" s="10"/>
      <c r="BR53" s="11"/>
      <c r="BS53" s="12"/>
      <c r="BT53" s="17"/>
      <c r="BU53" s="13"/>
      <c r="BV53" s="13"/>
      <c r="BW53" s="13"/>
      <c r="BX53" s="14"/>
      <c r="BY53" s="9"/>
      <c r="BZ53" s="16"/>
      <c r="CA53" s="10"/>
      <c r="CB53" s="10"/>
      <c r="CC53" s="10"/>
      <c r="CD53" s="11"/>
      <c r="CE53" s="12"/>
      <c r="CF53" s="17"/>
      <c r="CG53" s="13"/>
      <c r="CH53" s="13"/>
      <c r="CI53" s="13"/>
      <c r="CJ53" s="14"/>
      <c r="CK53" s="9"/>
      <c r="CL53" s="16"/>
      <c r="CM53" s="10"/>
      <c r="CN53" s="10"/>
      <c r="CO53" s="10"/>
      <c r="CP53" s="11"/>
      <c r="CQ53" s="12"/>
      <c r="CR53" s="17"/>
      <c r="CS53" s="13"/>
      <c r="CT53" s="13"/>
      <c r="CU53" s="13"/>
      <c r="CV53" s="14"/>
      <c r="CW53" s="9"/>
      <c r="CX53" s="16"/>
      <c r="CY53" s="10"/>
      <c r="CZ53" s="10"/>
      <c r="DA53" s="10"/>
      <c r="DB53" s="11"/>
      <c r="DC53" s="12"/>
      <c r="DD53" s="17"/>
      <c r="DE53" s="13"/>
      <c r="DF53" s="13"/>
      <c r="DG53" s="13"/>
      <c r="DH53" s="14"/>
      <c r="DI53" s="8">
        <f t="shared" si="9"/>
        <v>585</v>
      </c>
      <c r="DJ53" s="8">
        <f t="shared" si="10"/>
        <v>576</v>
      </c>
      <c r="DK53" s="8">
        <f t="shared" si="11"/>
        <v>515</v>
      </c>
      <c r="DL53" s="8">
        <f t="shared" si="12"/>
        <v>357</v>
      </c>
      <c r="DM53" s="8">
        <f t="shared" si="13"/>
        <v>585</v>
      </c>
      <c r="DN53" s="8">
        <f t="shared" si="14"/>
        <v>515</v>
      </c>
      <c r="DO53" s="15">
        <f t="shared" si="15"/>
        <v>42.252513425238973</v>
      </c>
      <c r="DP53" s="15" t="str">
        <f t="shared" si="16"/>
        <v>OK - No Upgrade</v>
      </c>
      <c r="DQ53" s="15" t="str">
        <f t="shared" si="17"/>
        <v>OK - Balanced</v>
      </c>
    </row>
    <row r="54" spans="1:121" ht="15.75" customHeight="1" x14ac:dyDescent="0.25">
      <c r="A54" s="8" t="s">
        <v>904</v>
      </c>
      <c r="B54" s="8" t="s">
        <v>3232</v>
      </c>
      <c r="C54" s="8" t="s">
        <v>2296</v>
      </c>
      <c r="D54" s="8" t="s">
        <v>3369</v>
      </c>
      <c r="E54" s="8" t="s">
        <v>3370</v>
      </c>
      <c r="F54" s="8" t="s">
        <v>43</v>
      </c>
      <c r="G54" s="8"/>
      <c r="H54" s="8">
        <v>315</v>
      </c>
      <c r="I54" s="8" t="s">
        <v>3371</v>
      </c>
      <c r="J54" s="8">
        <v>1</v>
      </c>
      <c r="K54" s="8">
        <v>238</v>
      </c>
      <c r="L54" s="8">
        <v>240</v>
      </c>
      <c r="M54" s="8">
        <v>242</v>
      </c>
      <c r="N54" s="8">
        <v>415</v>
      </c>
      <c r="O54" s="8">
        <v>416</v>
      </c>
      <c r="P54" s="8">
        <v>420</v>
      </c>
      <c r="Q54" s="9" t="s">
        <v>46</v>
      </c>
      <c r="R54" s="16"/>
      <c r="S54" s="10">
        <v>78</v>
      </c>
      <c r="T54" s="10">
        <v>46</v>
      </c>
      <c r="U54" s="10">
        <v>46</v>
      </c>
      <c r="V54" s="11">
        <v>28</v>
      </c>
      <c r="W54" s="12" t="s">
        <v>46</v>
      </c>
      <c r="X54" s="17"/>
      <c r="Y54" s="13">
        <v>117</v>
      </c>
      <c r="Z54" s="13">
        <v>103</v>
      </c>
      <c r="AA54" s="13">
        <v>78</v>
      </c>
      <c r="AB54" s="14">
        <v>38</v>
      </c>
      <c r="AC54" s="9"/>
      <c r="AD54" s="16"/>
      <c r="AE54" s="10"/>
      <c r="AF54" s="10"/>
      <c r="AG54" s="10"/>
      <c r="AH54" s="11"/>
      <c r="AI54" s="12"/>
      <c r="AJ54" s="17"/>
      <c r="AK54" s="13"/>
      <c r="AL54" s="13"/>
      <c r="AM54" s="13"/>
      <c r="AN54" s="14"/>
      <c r="AO54" s="9"/>
      <c r="AP54" s="16"/>
      <c r="AQ54" s="10"/>
      <c r="AR54" s="10"/>
      <c r="AS54" s="10"/>
      <c r="AT54" s="11"/>
      <c r="AU54" s="12"/>
      <c r="AV54" s="17"/>
      <c r="AW54" s="13"/>
      <c r="AX54" s="13"/>
      <c r="AY54" s="13"/>
      <c r="AZ54" s="14"/>
      <c r="BA54" s="9"/>
      <c r="BB54" s="16"/>
      <c r="BC54" s="10"/>
      <c r="BD54" s="10"/>
      <c r="BE54" s="10"/>
      <c r="BF54" s="11"/>
      <c r="BG54" s="12"/>
      <c r="BH54" s="17"/>
      <c r="BI54" s="13"/>
      <c r="BJ54" s="13"/>
      <c r="BK54" s="13"/>
      <c r="BL54" s="14"/>
      <c r="BM54" s="9"/>
      <c r="BN54" s="16"/>
      <c r="BO54" s="10"/>
      <c r="BP54" s="10"/>
      <c r="BQ54" s="10"/>
      <c r="BR54" s="11"/>
      <c r="BS54" s="12"/>
      <c r="BT54" s="17"/>
      <c r="BU54" s="13"/>
      <c r="BV54" s="13"/>
      <c r="BW54" s="13"/>
      <c r="BX54" s="14"/>
      <c r="BY54" s="9"/>
      <c r="BZ54" s="16"/>
      <c r="CA54" s="10"/>
      <c r="CB54" s="10"/>
      <c r="CC54" s="10"/>
      <c r="CD54" s="11"/>
      <c r="CE54" s="12"/>
      <c r="CF54" s="17"/>
      <c r="CG54" s="13"/>
      <c r="CH54" s="13"/>
      <c r="CI54" s="13"/>
      <c r="CJ54" s="14"/>
      <c r="CK54" s="9"/>
      <c r="CL54" s="16"/>
      <c r="CM54" s="10"/>
      <c r="CN54" s="10"/>
      <c r="CO54" s="10"/>
      <c r="CP54" s="11"/>
      <c r="CQ54" s="12"/>
      <c r="CR54" s="17"/>
      <c r="CS54" s="13"/>
      <c r="CT54" s="13"/>
      <c r="CU54" s="13"/>
      <c r="CV54" s="14"/>
      <c r="CW54" s="9"/>
      <c r="CX54" s="16"/>
      <c r="CY54" s="10"/>
      <c r="CZ54" s="10"/>
      <c r="DA54" s="10"/>
      <c r="DB54" s="11"/>
      <c r="DC54" s="12"/>
      <c r="DD54" s="17"/>
      <c r="DE54" s="13"/>
      <c r="DF54" s="13"/>
      <c r="DG54" s="13"/>
      <c r="DH54" s="14"/>
      <c r="DI54" s="8">
        <f t="shared" si="9"/>
        <v>195</v>
      </c>
      <c r="DJ54" s="8">
        <f t="shared" si="10"/>
        <v>149</v>
      </c>
      <c r="DK54" s="8">
        <f t="shared" si="11"/>
        <v>124</v>
      </c>
      <c r="DL54" s="8">
        <f t="shared" si="12"/>
        <v>66</v>
      </c>
      <c r="DM54" s="8">
        <f t="shared" si="13"/>
        <v>195</v>
      </c>
      <c r="DN54" s="8">
        <f t="shared" si="14"/>
        <v>124</v>
      </c>
      <c r="DO54" s="15">
        <f t="shared" si="15"/>
        <v>44.497210032543293</v>
      </c>
      <c r="DP54" s="15" t="str">
        <f t="shared" si="16"/>
        <v>OK - No Upgrade</v>
      </c>
      <c r="DQ54" s="15" t="str">
        <f t="shared" si="17"/>
        <v>Need to Balance</v>
      </c>
    </row>
    <row r="55" spans="1:121" ht="15.75" customHeight="1" x14ac:dyDescent="0.25">
      <c r="A55" s="8" t="s">
        <v>904</v>
      </c>
      <c r="B55" s="8" t="s">
        <v>3232</v>
      </c>
      <c r="C55" s="8" t="s">
        <v>2948</v>
      </c>
      <c r="D55" s="8" t="s">
        <v>3372</v>
      </c>
      <c r="E55" s="8" t="s">
        <v>3373</v>
      </c>
      <c r="F55" s="8" t="s">
        <v>56</v>
      </c>
      <c r="G55" s="8"/>
      <c r="H55" s="8">
        <v>1000</v>
      </c>
      <c r="I55" s="8" t="s">
        <v>3374</v>
      </c>
      <c r="J55" s="8">
        <v>1</v>
      </c>
      <c r="K55" s="8">
        <v>240</v>
      </c>
      <c r="L55" s="8">
        <v>241</v>
      </c>
      <c r="M55" s="8">
        <v>243</v>
      </c>
      <c r="N55" s="8">
        <v>413</v>
      </c>
      <c r="O55" s="8">
        <v>421</v>
      </c>
      <c r="P55" s="8">
        <v>416</v>
      </c>
      <c r="Q55" s="9"/>
      <c r="R55" s="16"/>
      <c r="S55" s="10"/>
      <c r="T55" s="10"/>
      <c r="U55" s="10"/>
      <c r="V55" s="11"/>
      <c r="W55" s="12" t="s">
        <v>47</v>
      </c>
      <c r="X55" s="17"/>
      <c r="Y55" s="13">
        <v>53</v>
      </c>
      <c r="Z55" s="13">
        <v>26</v>
      </c>
      <c r="AA55" s="13">
        <v>30</v>
      </c>
      <c r="AB55" s="14">
        <v>23</v>
      </c>
      <c r="AC55" s="9" t="s">
        <v>47</v>
      </c>
      <c r="AD55" s="16"/>
      <c r="AE55" s="10">
        <v>85</v>
      </c>
      <c r="AF55" s="10">
        <v>73</v>
      </c>
      <c r="AG55" s="10">
        <v>40</v>
      </c>
      <c r="AH55" s="11">
        <v>20</v>
      </c>
      <c r="AI55" s="12" t="s">
        <v>47</v>
      </c>
      <c r="AJ55" s="17"/>
      <c r="AK55" s="13">
        <v>114</v>
      </c>
      <c r="AL55" s="13">
        <v>85</v>
      </c>
      <c r="AM55" s="13">
        <v>100</v>
      </c>
      <c r="AN55" s="14">
        <v>25</v>
      </c>
      <c r="AO55" s="9" t="s">
        <v>47</v>
      </c>
      <c r="AP55" s="16"/>
      <c r="AQ55" s="10">
        <v>0</v>
      </c>
      <c r="AR55" s="10">
        <v>11</v>
      </c>
      <c r="AS55" s="10">
        <v>3</v>
      </c>
      <c r="AT55" s="11">
        <v>8</v>
      </c>
      <c r="AU55" s="12" t="s">
        <v>47</v>
      </c>
      <c r="AV55" s="17"/>
      <c r="AW55" s="13">
        <v>190</v>
      </c>
      <c r="AX55" s="13">
        <v>130</v>
      </c>
      <c r="AY55" s="13">
        <v>70</v>
      </c>
      <c r="AZ55" s="14">
        <v>111</v>
      </c>
      <c r="BA55" s="9" t="s">
        <v>47</v>
      </c>
      <c r="BB55" s="16"/>
      <c r="BC55" s="10">
        <v>100</v>
      </c>
      <c r="BD55" s="10">
        <v>130</v>
      </c>
      <c r="BE55" s="10">
        <v>50</v>
      </c>
      <c r="BF55" s="11">
        <v>30</v>
      </c>
      <c r="BG55" s="12" t="s">
        <v>47</v>
      </c>
      <c r="BH55" s="17"/>
      <c r="BI55" s="13">
        <v>70</v>
      </c>
      <c r="BJ55" s="13">
        <v>30</v>
      </c>
      <c r="BK55" s="13">
        <v>60</v>
      </c>
      <c r="BL55" s="14">
        <v>150</v>
      </c>
      <c r="BM55" s="9"/>
      <c r="BN55" s="16"/>
      <c r="BO55" s="10"/>
      <c r="BP55" s="10"/>
      <c r="BQ55" s="10"/>
      <c r="BR55" s="11"/>
      <c r="BS55" s="12"/>
      <c r="BT55" s="17"/>
      <c r="BU55" s="13"/>
      <c r="BV55" s="13"/>
      <c r="BW55" s="13"/>
      <c r="BX55" s="14"/>
      <c r="BY55" s="9"/>
      <c r="BZ55" s="16"/>
      <c r="CA55" s="10"/>
      <c r="CB55" s="10"/>
      <c r="CC55" s="10"/>
      <c r="CD55" s="11"/>
      <c r="CE55" s="12"/>
      <c r="CF55" s="17"/>
      <c r="CG55" s="13"/>
      <c r="CH55" s="13"/>
      <c r="CI55" s="13"/>
      <c r="CJ55" s="14"/>
      <c r="CK55" s="9"/>
      <c r="CL55" s="16"/>
      <c r="CM55" s="10"/>
      <c r="CN55" s="10"/>
      <c r="CO55" s="10"/>
      <c r="CP55" s="11"/>
      <c r="CQ55" s="12"/>
      <c r="CR55" s="17"/>
      <c r="CS55" s="13"/>
      <c r="CT55" s="13"/>
      <c r="CU55" s="13"/>
      <c r="CV55" s="14"/>
      <c r="CW55" s="9"/>
      <c r="CX55" s="16"/>
      <c r="CY55" s="10"/>
      <c r="CZ55" s="10"/>
      <c r="DA55" s="10"/>
      <c r="DB55" s="11"/>
      <c r="DC55" s="12"/>
      <c r="DD55" s="17"/>
      <c r="DE55" s="13"/>
      <c r="DF55" s="13"/>
      <c r="DG55" s="13"/>
      <c r="DH55" s="14"/>
      <c r="DI55" s="8">
        <f t="shared" si="9"/>
        <v>612</v>
      </c>
      <c r="DJ55" s="8">
        <f t="shared" si="10"/>
        <v>485</v>
      </c>
      <c r="DK55" s="8">
        <f t="shared" si="11"/>
        <v>353</v>
      </c>
      <c r="DL55" s="8">
        <f t="shared" si="12"/>
        <v>367</v>
      </c>
      <c r="DM55" s="8">
        <f t="shared" si="13"/>
        <v>612</v>
      </c>
      <c r="DN55" s="8">
        <f t="shared" si="14"/>
        <v>353</v>
      </c>
      <c r="DO55" s="15">
        <f t="shared" si="15"/>
        <v>43.778623391787917</v>
      </c>
      <c r="DP55" s="15" t="str">
        <f t="shared" si="16"/>
        <v>OK - No Upgrade</v>
      </c>
      <c r="DQ55" s="15" t="str">
        <f t="shared" si="17"/>
        <v>Need to Balance</v>
      </c>
    </row>
    <row r="56" spans="1:121" ht="15.75" customHeight="1" x14ac:dyDescent="0.25">
      <c r="A56" s="8" t="s">
        <v>904</v>
      </c>
      <c r="B56" s="8" t="s">
        <v>3232</v>
      </c>
      <c r="C56" s="8" t="s">
        <v>2296</v>
      </c>
      <c r="D56" s="8" t="s">
        <v>3375</v>
      </c>
      <c r="E56" s="8" t="s">
        <v>3364</v>
      </c>
      <c r="F56" s="8" t="s">
        <v>43</v>
      </c>
      <c r="G56" s="8"/>
      <c r="H56" s="8">
        <v>200</v>
      </c>
      <c r="I56" s="8" t="s">
        <v>3376</v>
      </c>
      <c r="J56" s="8">
        <v>1</v>
      </c>
      <c r="K56" s="8">
        <v>238</v>
      </c>
      <c r="L56" s="8">
        <v>241</v>
      </c>
      <c r="M56" s="8">
        <v>239</v>
      </c>
      <c r="N56" s="8">
        <v>416</v>
      </c>
      <c r="O56" s="8">
        <v>414</v>
      </c>
      <c r="P56" s="8">
        <v>415</v>
      </c>
      <c r="Q56" s="9" t="s">
        <v>46</v>
      </c>
      <c r="R56" s="16"/>
      <c r="S56" s="10">
        <v>130</v>
      </c>
      <c r="T56" s="10">
        <v>71</v>
      </c>
      <c r="U56" s="10">
        <v>179</v>
      </c>
      <c r="V56" s="11">
        <v>102</v>
      </c>
      <c r="W56" s="12"/>
      <c r="X56" s="17"/>
      <c r="Y56" s="13"/>
      <c r="Z56" s="13"/>
      <c r="AA56" s="13"/>
      <c r="AB56" s="14"/>
      <c r="AC56" s="9"/>
      <c r="AD56" s="16"/>
      <c r="AE56" s="10"/>
      <c r="AF56" s="10"/>
      <c r="AG56" s="10"/>
      <c r="AH56" s="11"/>
      <c r="AI56" s="12"/>
      <c r="AJ56" s="17"/>
      <c r="AK56" s="13"/>
      <c r="AL56" s="13"/>
      <c r="AM56" s="13"/>
      <c r="AN56" s="14"/>
      <c r="AO56" s="9"/>
      <c r="AP56" s="16"/>
      <c r="AQ56" s="10"/>
      <c r="AR56" s="10"/>
      <c r="AS56" s="10"/>
      <c r="AT56" s="11"/>
      <c r="AU56" s="12"/>
      <c r="AV56" s="17"/>
      <c r="AW56" s="13"/>
      <c r="AX56" s="13"/>
      <c r="AY56" s="13"/>
      <c r="AZ56" s="14"/>
      <c r="BA56" s="9"/>
      <c r="BB56" s="16"/>
      <c r="BC56" s="10"/>
      <c r="BD56" s="10"/>
      <c r="BE56" s="10"/>
      <c r="BF56" s="11"/>
      <c r="BG56" s="12"/>
      <c r="BH56" s="17"/>
      <c r="BI56" s="13"/>
      <c r="BJ56" s="13"/>
      <c r="BK56" s="13"/>
      <c r="BL56" s="14"/>
      <c r="BM56" s="9"/>
      <c r="BN56" s="16"/>
      <c r="BO56" s="10"/>
      <c r="BP56" s="10"/>
      <c r="BQ56" s="10"/>
      <c r="BR56" s="11"/>
      <c r="BS56" s="12"/>
      <c r="BT56" s="17"/>
      <c r="BU56" s="13"/>
      <c r="BV56" s="13"/>
      <c r="BW56" s="13"/>
      <c r="BX56" s="14"/>
      <c r="BY56" s="9"/>
      <c r="BZ56" s="16"/>
      <c r="CA56" s="10"/>
      <c r="CB56" s="10"/>
      <c r="CC56" s="10"/>
      <c r="CD56" s="11"/>
      <c r="CE56" s="12"/>
      <c r="CF56" s="17"/>
      <c r="CG56" s="13"/>
      <c r="CH56" s="13"/>
      <c r="CI56" s="13"/>
      <c r="CJ56" s="14"/>
      <c r="CK56" s="9"/>
      <c r="CL56" s="16"/>
      <c r="CM56" s="10"/>
      <c r="CN56" s="10"/>
      <c r="CO56" s="10"/>
      <c r="CP56" s="11"/>
      <c r="CQ56" s="12"/>
      <c r="CR56" s="17"/>
      <c r="CS56" s="13"/>
      <c r="CT56" s="13"/>
      <c r="CU56" s="13"/>
      <c r="CV56" s="14"/>
      <c r="CW56" s="9"/>
      <c r="CX56" s="16"/>
      <c r="CY56" s="10"/>
      <c r="CZ56" s="10"/>
      <c r="DA56" s="10"/>
      <c r="DB56" s="11"/>
      <c r="DC56" s="12"/>
      <c r="DD56" s="17"/>
      <c r="DE56" s="13"/>
      <c r="DF56" s="13"/>
      <c r="DG56" s="13"/>
      <c r="DH56" s="14"/>
      <c r="DI56" s="8">
        <f t="shared" si="9"/>
        <v>130</v>
      </c>
      <c r="DJ56" s="8">
        <f t="shared" si="10"/>
        <v>71</v>
      </c>
      <c r="DK56" s="8">
        <f t="shared" si="11"/>
        <v>179</v>
      </c>
      <c r="DL56" s="8">
        <f t="shared" si="12"/>
        <v>102</v>
      </c>
      <c r="DM56" s="8">
        <f t="shared" si="13"/>
        <v>179</v>
      </c>
      <c r="DN56" s="8">
        <f t="shared" si="14"/>
        <v>71</v>
      </c>
      <c r="DO56" s="15">
        <f t="shared" si="15"/>
        <v>64.48771566740443</v>
      </c>
      <c r="DP56" s="15" t="str">
        <f t="shared" si="16"/>
        <v>OK - No Upgrade</v>
      </c>
      <c r="DQ56" s="15" t="str">
        <f t="shared" si="17"/>
        <v>Need to Balance</v>
      </c>
    </row>
    <row r="57" spans="1:121" ht="15.75" customHeight="1" x14ac:dyDescent="0.25">
      <c r="A57" s="8" t="s">
        <v>904</v>
      </c>
      <c r="B57" s="8" t="s">
        <v>3232</v>
      </c>
      <c r="C57" s="8" t="s">
        <v>2948</v>
      </c>
      <c r="D57" s="8" t="s">
        <v>3377</v>
      </c>
      <c r="E57" s="8" t="s">
        <v>3378</v>
      </c>
      <c r="F57" s="8" t="s">
        <v>56</v>
      </c>
      <c r="G57" s="8"/>
      <c r="H57" s="8">
        <v>1000</v>
      </c>
      <c r="I57" s="8" t="s">
        <v>2000</v>
      </c>
      <c r="J57" s="8">
        <v>1</v>
      </c>
      <c r="K57" s="8">
        <v>242</v>
      </c>
      <c r="L57" s="8">
        <v>244</v>
      </c>
      <c r="M57" s="8">
        <v>243</v>
      </c>
      <c r="N57" s="8">
        <v>421</v>
      </c>
      <c r="O57" s="8">
        <v>420</v>
      </c>
      <c r="P57" s="8">
        <v>425</v>
      </c>
      <c r="Q57" s="9"/>
      <c r="R57" s="16"/>
      <c r="S57" s="10"/>
      <c r="T57" s="10"/>
      <c r="U57" s="10"/>
      <c r="V57" s="11"/>
      <c r="W57" s="12"/>
      <c r="X57" s="17"/>
      <c r="Y57" s="13"/>
      <c r="Z57" s="13"/>
      <c r="AA57" s="13"/>
      <c r="AB57" s="14"/>
      <c r="AC57" s="9" t="s">
        <v>70</v>
      </c>
      <c r="AD57" s="16"/>
      <c r="AE57" s="10">
        <v>245</v>
      </c>
      <c r="AF57" s="10">
        <v>230</v>
      </c>
      <c r="AG57" s="10">
        <v>208</v>
      </c>
      <c r="AH57" s="11">
        <v>50</v>
      </c>
      <c r="AI57" s="12" t="s">
        <v>47</v>
      </c>
      <c r="AJ57" s="17"/>
      <c r="AK57" s="13">
        <v>25</v>
      </c>
      <c r="AL57" s="13">
        <v>20</v>
      </c>
      <c r="AM57" s="13">
        <v>30</v>
      </c>
      <c r="AN57" s="14">
        <v>12</v>
      </c>
      <c r="AO57" s="9" t="s">
        <v>47</v>
      </c>
      <c r="AP57" s="16"/>
      <c r="AQ57" s="10">
        <v>1</v>
      </c>
      <c r="AR57" s="10">
        <v>1</v>
      </c>
      <c r="AS57" s="10">
        <v>0</v>
      </c>
      <c r="AT57" s="11">
        <v>2</v>
      </c>
      <c r="AU57" s="12"/>
      <c r="AV57" s="17"/>
      <c r="AW57" s="13"/>
      <c r="AX57" s="13"/>
      <c r="AY57" s="13"/>
      <c r="AZ57" s="14"/>
      <c r="BA57" s="9"/>
      <c r="BB57" s="16"/>
      <c r="BC57" s="10"/>
      <c r="BD57" s="10"/>
      <c r="BE57" s="10"/>
      <c r="BF57" s="11"/>
      <c r="BG57" s="12"/>
      <c r="BH57" s="17"/>
      <c r="BI57" s="13"/>
      <c r="BJ57" s="13"/>
      <c r="BK57" s="13"/>
      <c r="BL57" s="14"/>
      <c r="BM57" s="9"/>
      <c r="BN57" s="16"/>
      <c r="BO57" s="10"/>
      <c r="BP57" s="10"/>
      <c r="BQ57" s="10"/>
      <c r="BR57" s="11"/>
      <c r="BS57" s="12"/>
      <c r="BT57" s="17"/>
      <c r="BU57" s="13"/>
      <c r="BV57" s="13"/>
      <c r="BW57" s="13"/>
      <c r="BX57" s="14"/>
      <c r="BY57" s="9"/>
      <c r="BZ57" s="16"/>
      <c r="CA57" s="10"/>
      <c r="CB57" s="10"/>
      <c r="CC57" s="10"/>
      <c r="CD57" s="11"/>
      <c r="CE57" s="12"/>
      <c r="CF57" s="17"/>
      <c r="CG57" s="13"/>
      <c r="CH57" s="13"/>
      <c r="CI57" s="13"/>
      <c r="CJ57" s="14"/>
      <c r="CK57" s="9"/>
      <c r="CL57" s="16"/>
      <c r="CM57" s="10"/>
      <c r="CN57" s="10"/>
      <c r="CO57" s="10"/>
      <c r="CP57" s="11"/>
      <c r="CQ57" s="12"/>
      <c r="CR57" s="17"/>
      <c r="CS57" s="13"/>
      <c r="CT57" s="13"/>
      <c r="CU57" s="13"/>
      <c r="CV57" s="14"/>
      <c r="CW57" s="9"/>
      <c r="CX57" s="16"/>
      <c r="CY57" s="10"/>
      <c r="CZ57" s="10"/>
      <c r="DA57" s="10"/>
      <c r="DB57" s="11"/>
      <c r="DC57" s="12"/>
      <c r="DD57" s="17"/>
      <c r="DE57" s="13"/>
      <c r="DF57" s="13"/>
      <c r="DG57" s="13"/>
      <c r="DH57" s="14"/>
      <c r="DI57" s="8">
        <f t="shared" si="9"/>
        <v>271</v>
      </c>
      <c r="DJ57" s="8">
        <f t="shared" si="10"/>
        <v>251</v>
      </c>
      <c r="DK57" s="8">
        <f t="shared" si="11"/>
        <v>238</v>
      </c>
      <c r="DL57" s="8">
        <f t="shared" si="12"/>
        <v>64</v>
      </c>
      <c r="DM57" s="8">
        <f t="shared" si="13"/>
        <v>271</v>
      </c>
      <c r="DN57" s="8">
        <f t="shared" si="14"/>
        <v>238</v>
      </c>
      <c r="DO57" s="15">
        <f t="shared" si="15"/>
        <v>19.761140868634076</v>
      </c>
      <c r="DP57" s="15" t="str">
        <f t="shared" si="16"/>
        <v>OK - No Upgrade</v>
      </c>
      <c r="DQ57" s="15" t="str">
        <f t="shared" si="17"/>
        <v>OK - Balanced</v>
      </c>
    </row>
    <row r="58" spans="1:121" ht="15.75" customHeight="1" x14ac:dyDescent="0.25">
      <c r="A58" s="8" t="s">
        <v>904</v>
      </c>
      <c r="B58" s="8" t="s">
        <v>3232</v>
      </c>
      <c r="C58" s="8" t="s">
        <v>2296</v>
      </c>
      <c r="D58" s="8" t="s">
        <v>3379</v>
      </c>
      <c r="E58" s="8" t="s">
        <v>3380</v>
      </c>
      <c r="F58" s="8" t="s">
        <v>43</v>
      </c>
      <c r="G58" s="8"/>
      <c r="H58" s="8">
        <v>315</v>
      </c>
      <c r="I58" s="8"/>
      <c r="J58" s="8">
        <v>1</v>
      </c>
      <c r="K58" s="8"/>
      <c r="L58" s="8"/>
      <c r="M58" s="8"/>
      <c r="N58" s="8"/>
      <c r="O58" s="8"/>
      <c r="P58" s="8"/>
      <c r="Q58" s="9"/>
      <c r="R58" s="16"/>
      <c r="S58" s="10"/>
      <c r="T58" s="10"/>
      <c r="U58" s="10"/>
      <c r="V58" s="11"/>
      <c r="W58" s="12"/>
      <c r="X58" s="17"/>
      <c r="Y58" s="13"/>
      <c r="Z58" s="13"/>
      <c r="AA58" s="13"/>
      <c r="AB58" s="14"/>
      <c r="AC58" s="9"/>
      <c r="AD58" s="16"/>
      <c r="AE58" s="10"/>
      <c r="AF58" s="10"/>
      <c r="AG58" s="10"/>
      <c r="AH58" s="11"/>
      <c r="AI58" s="12"/>
      <c r="AJ58" s="17"/>
      <c r="AK58" s="13"/>
      <c r="AL58" s="13"/>
      <c r="AM58" s="13"/>
      <c r="AN58" s="14"/>
      <c r="AO58" s="9"/>
      <c r="AP58" s="16"/>
      <c r="AQ58" s="10"/>
      <c r="AR58" s="10"/>
      <c r="AS58" s="10"/>
      <c r="AT58" s="11"/>
      <c r="AU58" s="12"/>
      <c r="AV58" s="17"/>
      <c r="AW58" s="13"/>
      <c r="AX58" s="13"/>
      <c r="AY58" s="13"/>
      <c r="AZ58" s="14"/>
      <c r="BA58" s="9"/>
      <c r="BB58" s="16"/>
      <c r="BC58" s="10"/>
      <c r="BD58" s="10"/>
      <c r="BE58" s="10"/>
      <c r="BF58" s="11"/>
      <c r="BG58" s="12"/>
      <c r="BH58" s="17"/>
      <c r="BI58" s="13"/>
      <c r="BJ58" s="13"/>
      <c r="BK58" s="13"/>
      <c r="BL58" s="14"/>
      <c r="BM58" s="9"/>
      <c r="BN58" s="16"/>
      <c r="BO58" s="10"/>
      <c r="BP58" s="10"/>
      <c r="BQ58" s="10"/>
      <c r="BR58" s="11"/>
      <c r="BS58" s="12"/>
      <c r="BT58" s="17"/>
      <c r="BU58" s="13"/>
      <c r="BV58" s="13"/>
      <c r="BW58" s="13"/>
      <c r="BX58" s="14"/>
      <c r="BY58" s="9"/>
      <c r="BZ58" s="16"/>
      <c r="CA58" s="10"/>
      <c r="CB58" s="10"/>
      <c r="CC58" s="10"/>
      <c r="CD58" s="11"/>
      <c r="CE58" s="12"/>
      <c r="CF58" s="17"/>
      <c r="CG58" s="13"/>
      <c r="CH58" s="13"/>
      <c r="CI58" s="13"/>
      <c r="CJ58" s="14"/>
      <c r="CK58" s="9"/>
      <c r="CL58" s="16"/>
      <c r="CM58" s="10"/>
      <c r="CN58" s="10"/>
      <c r="CO58" s="10"/>
      <c r="CP58" s="11"/>
      <c r="CQ58" s="12"/>
      <c r="CR58" s="17"/>
      <c r="CS58" s="13"/>
      <c r="CT58" s="13"/>
      <c r="CU58" s="13"/>
      <c r="CV58" s="14"/>
      <c r="CW58" s="9"/>
      <c r="CX58" s="16"/>
      <c r="CY58" s="10"/>
      <c r="CZ58" s="10"/>
      <c r="DA58" s="10"/>
      <c r="DB58" s="11"/>
      <c r="DC58" s="12"/>
      <c r="DD58" s="17"/>
      <c r="DE58" s="13"/>
      <c r="DF58" s="13"/>
      <c r="DG58" s="13"/>
      <c r="DH58" s="14"/>
      <c r="DI58" s="8">
        <f t="shared" si="9"/>
        <v>0</v>
      </c>
      <c r="DJ58" s="8">
        <f t="shared" si="10"/>
        <v>0</v>
      </c>
      <c r="DK58" s="8">
        <f t="shared" si="11"/>
        <v>0</v>
      </c>
      <c r="DL58" s="8">
        <f t="shared" si="12"/>
        <v>0</v>
      </c>
      <c r="DM58" s="8">
        <f t="shared" si="13"/>
        <v>0</v>
      </c>
      <c r="DN58" s="8">
        <f t="shared" si="14"/>
        <v>0</v>
      </c>
      <c r="DO58" s="15">
        <f t="shared" si="15"/>
        <v>0</v>
      </c>
      <c r="DP58" s="15" t="str">
        <f t="shared" si="16"/>
        <v>OK - No Upgrade</v>
      </c>
      <c r="DQ58" s="15" t="str">
        <f t="shared" si="17"/>
        <v>OK - Balanced</v>
      </c>
    </row>
    <row r="59" spans="1:121" ht="15.75" customHeight="1" x14ac:dyDescent="0.25">
      <c r="A59" s="8" t="s">
        <v>904</v>
      </c>
      <c r="B59" s="8" t="s">
        <v>3232</v>
      </c>
      <c r="C59" s="8" t="s">
        <v>2948</v>
      </c>
      <c r="D59" s="8" t="s">
        <v>3381</v>
      </c>
      <c r="E59" s="8" t="s">
        <v>3382</v>
      </c>
      <c r="F59" s="8" t="s">
        <v>43</v>
      </c>
      <c r="G59" s="8"/>
      <c r="H59" s="8">
        <v>315</v>
      </c>
      <c r="I59" s="8" t="s">
        <v>3383</v>
      </c>
      <c r="J59" s="8">
        <v>1</v>
      </c>
      <c r="K59" s="8">
        <v>238</v>
      </c>
      <c r="L59" s="8">
        <v>237</v>
      </c>
      <c r="M59" s="8">
        <v>236</v>
      </c>
      <c r="N59" s="8">
        <v>413</v>
      </c>
      <c r="O59" s="8">
        <v>409</v>
      </c>
      <c r="P59" s="8">
        <v>412</v>
      </c>
      <c r="Q59" s="9" t="s">
        <v>46</v>
      </c>
      <c r="R59" s="16"/>
      <c r="S59" s="10">
        <v>66</v>
      </c>
      <c r="T59" s="10">
        <v>40</v>
      </c>
      <c r="U59" s="10">
        <v>50</v>
      </c>
      <c r="V59" s="11">
        <v>25</v>
      </c>
      <c r="W59" s="12" t="s">
        <v>47</v>
      </c>
      <c r="X59" s="17"/>
      <c r="Y59" s="13">
        <v>25</v>
      </c>
      <c r="Z59" s="13">
        <v>60</v>
      </c>
      <c r="AA59" s="13">
        <v>50</v>
      </c>
      <c r="AB59" s="14">
        <v>15</v>
      </c>
      <c r="AC59" s="9"/>
      <c r="AD59" s="16"/>
      <c r="AE59" s="10"/>
      <c r="AF59" s="10"/>
      <c r="AG59" s="10"/>
      <c r="AH59" s="11"/>
      <c r="AI59" s="12"/>
      <c r="AJ59" s="17"/>
      <c r="AK59" s="13"/>
      <c r="AL59" s="13"/>
      <c r="AM59" s="13"/>
      <c r="AN59" s="14"/>
      <c r="AO59" s="9"/>
      <c r="AP59" s="16"/>
      <c r="AQ59" s="10"/>
      <c r="AR59" s="10"/>
      <c r="AS59" s="10"/>
      <c r="AT59" s="11"/>
      <c r="AU59" s="12"/>
      <c r="AV59" s="17"/>
      <c r="AW59" s="13"/>
      <c r="AX59" s="13"/>
      <c r="AY59" s="13"/>
      <c r="AZ59" s="14"/>
      <c r="BA59" s="9"/>
      <c r="BB59" s="16"/>
      <c r="BC59" s="10"/>
      <c r="BD59" s="10"/>
      <c r="BE59" s="10"/>
      <c r="BF59" s="11"/>
      <c r="BG59" s="12"/>
      <c r="BH59" s="17"/>
      <c r="BI59" s="13"/>
      <c r="BJ59" s="13"/>
      <c r="BK59" s="13"/>
      <c r="BL59" s="14"/>
      <c r="BM59" s="9"/>
      <c r="BN59" s="16"/>
      <c r="BO59" s="10"/>
      <c r="BP59" s="10"/>
      <c r="BQ59" s="10"/>
      <c r="BR59" s="11"/>
      <c r="BS59" s="12"/>
      <c r="BT59" s="17"/>
      <c r="BU59" s="13"/>
      <c r="BV59" s="13"/>
      <c r="BW59" s="13"/>
      <c r="BX59" s="14"/>
      <c r="BY59" s="9"/>
      <c r="BZ59" s="16"/>
      <c r="CA59" s="10"/>
      <c r="CB59" s="10"/>
      <c r="CC59" s="10"/>
      <c r="CD59" s="11"/>
      <c r="CE59" s="12"/>
      <c r="CF59" s="17"/>
      <c r="CG59" s="13"/>
      <c r="CH59" s="13"/>
      <c r="CI59" s="13"/>
      <c r="CJ59" s="14"/>
      <c r="CK59" s="9"/>
      <c r="CL59" s="16"/>
      <c r="CM59" s="10"/>
      <c r="CN59" s="10"/>
      <c r="CO59" s="10"/>
      <c r="CP59" s="11"/>
      <c r="CQ59" s="12"/>
      <c r="CR59" s="17"/>
      <c r="CS59" s="13"/>
      <c r="CT59" s="13"/>
      <c r="CU59" s="13"/>
      <c r="CV59" s="14"/>
      <c r="CW59" s="9"/>
      <c r="CX59" s="16"/>
      <c r="CY59" s="10"/>
      <c r="CZ59" s="10"/>
      <c r="DA59" s="10"/>
      <c r="DB59" s="11"/>
      <c r="DC59" s="12"/>
      <c r="DD59" s="17"/>
      <c r="DE59" s="13"/>
      <c r="DF59" s="13"/>
      <c r="DG59" s="13"/>
      <c r="DH59" s="14"/>
      <c r="DI59" s="8">
        <f t="shared" si="9"/>
        <v>91</v>
      </c>
      <c r="DJ59" s="8">
        <f t="shared" si="10"/>
        <v>100</v>
      </c>
      <c r="DK59" s="8">
        <f t="shared" si="11"/>
        <v>100</v>
      </c>
      <c r="DL59" s="8">
        <f t="shared" si="12"/>
        <v>40</v>
      </c>
      <c r="DM59" s="8">
        <f t="shared" si="13"/>
        <v>100</v>
      </c>
      <c r="DN59" s="8">
        <f t="shared" si="14"/>
        <v>91</v>
      </c>
      <c r="DO59" s="15">
        <f t="shared" si="15"/>
        <v>22.709110588125277</v>
      </c>
      <c r="DP59" s="15" t="str">
        <f t="shared" si="16"/>
        <v>OK - No Upgrade</v>
      </c>
      <c r="DQ59" s="15" t="str">
        <f t="shared" si="17"/>
        <v>OK - Balanced</v>
      </c>
    </row>
    <row r="60" spans="1:121" ht="15.75" customHeight="1" x14ac:dyDescent="0.25">
      <c r="A60" s="8" t="s">
        <v>904</v>
      </c>
      <c r="B60" s="8" t="s">
        <v>3232</v>
      </c>
      <c r="C60" s="8" t="s">
        <v>2948</v>
      </c>
      <c r="D60" s="8" t="s">
        <v>3384</v>
      </c>
      <c r="E60" s="8" t="s">
        <v>3385</v>
      </c>
      <c r="F60" s="8" t="s">
        <v>56</v>
      </c>
      <c r="G60" s="8"/>
      <c r="H60" s="8">
        <v>1000</v>
      </c>
      <c r="I60" s="8" t="s">
        <v>3386</v>
      </c>
      <c r="J60" s="8">
        <v>1</v>
      </c>
      <c r="K60" s="8">
        <v>247</v>
      </c>
      <c r="L60" s="8">
        <v>243</v>
      </c>
      <c r="M60" s="8">
        <v>246</v>
      </c>
      <c r="N60" s="8">
        <v>422</v>
      </c>
      <c r="O60" s="8">
        <v>428</v>
      </c>
      <c r="P60" s="8">
        <v>424</v>
      </c>
      <c r="Q60" s="9" t="s">
        <v>47</v>
      </c>
      <c r="R60" s="16"/>
      <c r="S60" s="10">
        <v>106</v>
      </c>
      <c r="T60" s="10">
        <v>85</v>
      </c>
      <c r="U60" s="10">
        <v>113</v>
      </c>
      <c r="V60" s="11">
        <v>24</v>
      </c>
      <c r="W60" s="12" t="s">
        <v>47</v>
      </c>
      <c r="X60" s="17"/>
      <c r="Y60" s="13">
        <v>5</v>
      </c>
      <c r="Z60" s="13">
        <v>0</v>
      </c>
      <c r="AA60" s="13">
        <v>0</v>
      </c>
      <c r="AB60" s="14">
        <v>5</v>
      </c>
      <c r="AC60" s="9"/>
      <c r="AD60" s="16"/>
      <c r="AE60" s="10"/>
      <c r="AF60" s="10"/>
      <c r="AG60" s="10"/>
      <c r="AH60" s="11"/>
      <c r="AI60" s="12"/>
      <c r="AJ60" s="17"/>
      <c r="AK60" s="13"/>
      <c r="AL60" s="13"/>
      <c r="AM60" s="13"/>
      <c r="AN60" s="14"/>
      <c r="AO60" s="9"/>
      <c r="AP60" s="16"/>
      <c r="AQ60" s="10"/>
      <c r="AR60" s="10"/>
      <c r="AS60" s="10"/>
      <c r="AT60" s="11"/>
      <c r="AU60" s="12"/>
      <c r="AV60" s="17"/>
      <c r="AW60" s="13"/>
      <c r="AX60" s="13"/>
      <c r="AY60" s="13"/>
      <c r="AZ60" s="14"/>
      <c r="BA60" s="9"/>
      <c r="BB60" s="16"/>
      <c r="BC60" s="10"/>
      <c r="BD60" s="10"/>
      <c r="BE60" s="10"/>
      <c r="BF60" s="11"/>
      <c r="BG60" s="12"/>
      <c r="BH60" s="17"/>
      <c r="BI60" s="13"/>
      <c r="BJ60" s="13"/>
      <c r="BK60" s="13"/>
      <c r="BL60" s="14"/>
      <c r="BM60" s="9"/>
      <c r="BN60" s="16"/>
      <c r="BO60" s="10"/>
      <c r="BP60" s="10"/>
      <c r="BQ60" s="10"/>
      <c r="BR60" s="11"/>
      <c r="BS60" s="12"/>
      <c r="BT60" s="17"/>
      <c r="BU60" s="13"/>
      <c r="BV60" s="13"/>
      <c r="BW60" s="13"/>
      <c r="BX60" s="14"/>
      <c r="BY60" s="9"/>
      <c r="BZ60" s="16"/>
      <c r="CA60" s="10"/>
      <c r="CB60" s="10"/>
      <c r="CC60" s="10"/>
      <c r="CD60" s="11"/>
      <c r="CE60" s="12"/>
      <c r="CF60" s="17"/>
      <c r="CG60" s="13"/>
      <c r="CH60" s="13"/>
      <c r="CI60" s="13"/>
      <c r="CJ60" s="14"/>
      <c r="CK60" s="9"/>
      <c r="CL60" s="16"/>
      <c r="CM60" s="10"/>
      <c r="CN60" s="10"/>
      <c r="CO60" s="10"/>
      <c r="CP60" s="11"/>
      <c r="CQ60" s="12"/>
      <c r="CR60" s="17"/>
      <c r="CS60" s="13"/>
      <c r="CT60" s="13"/>
      <c r="CU60" s="13"/>
      <c r="CV60" s="14"/>
      <c r="CW60" s="9"/>
      <c r="CX60" s="16"/>
      <c r="CY60" s="10"/>
      <c r="CZ60" s="10"/>
      <c r="DA60" s="10"/>
      <c r="DB60" s="11"/>
      <c r="DC60" s="12"/>
      <c r="DD60" s="17"/>
      <c r="DE60" s="13"/>
      <c r="DF60" s="13"/>
      <c r="DG60" s="13"/>
      <c r="DH60" s="14"/>
      <c r="DI60" s="8">
        <f t="shared" si="9"/>
        <v>111</v>
      </c>
      <c r="DJ60" s="8">
        <f t="shared" si="10"/>
        <v>85</v>
      </c>
      <c r="DK60" s="8">
        <f t="shared" si="11"/>
        <v>113</v>
      </c>
      <c r="DL60" s="8">
        <f t="shared" si="12"/>
        <v>29</v>
      </c>
      <c r="DM60" s="8">
        <f t="shared" si="13"/>
        <v>113</v>
      </c>
      <c r="DN60" s="8">
        <f t="shared" si="14"/>
        <v>85</v>
      </c>
      <c r="DO60" s="15">
        <f t="shared" si="15"/>
        <v>8.2594574809729462</v>
      </c>
      <c r="DP60" s="15" t="str">
        <f t="shared" si="16"/>
        <v>OK - No Upgrade</v>
      </c>
      <c r="DQ60" s="15" t="str">
        <f t="shared" si="17"/>
        <v>OK - Balanced</v>
      </c>
    </row>
    <row r="61" spans="1:121" ht="15.75" customHeight="1" x14ac:dyDescent="0.25">
      <c r="A61" s="8" t="s">
        <v>904</v>
      </c>
      <c r="B61" s="8" t="s">
        <v>3232</v>
      </c>
      <c r="C61" s="8" t="s">
        <v>905</v>
      </c>
      <c r="D61" s="8" t="s">
        <v>3387</v>
      </c>
      <c r="E61" s="8" t="s">
        <v>3388</v>
      </c>
      <c r="F61" s="8" t="s">
        <v>56</v>
      </c>
      <c r="G61" s="8"/>
      <c r="H61" s="8">
        <v>1000</v>
      </c>
      <c r="I61" s="8" t="s">
        <v>3389</v>
      </c>
      <c r="J61" s="8">
        <v>1</v>
      </c>
      <c r="K61" s="8">
        <v>244</v>
      </c>
      <c r="L61" s="8">
        <v>244</v>
      </c>
      <c r="M61" s="8">
        <v>245</v>
      </c>
      <c r="N61" s="8">
        <v>421</v>
      </c>
      <c r="O61" s="8">
        <v>426</v>
      </c>
      <c r="P61" s="8">
        <v>425</v>
      </c>
      <c r="Q61" s="9" t="s">
        <v>47</v>
      </c>
      <c r="R61" s="16"/>
      <c r="S61" s="10"/>
      <c r="T61" s="10"/>
      <c r="U61" s="10"/>
      <c r="V61" s="11"/>
      <c r="W61" s="12" t="s">
        <v>47</v>
      </c>
      <c r="X61" s="17"/>
      <c r="Y61" s="13">
        <v>29</v>
      </c>
      <c r="Z61" s="13">
        <v>63</v>
      </c>
      <c r="AA61" s="13">
        <v>33</v>
      </c>
      <c r="AB61" s="14">
        <v>26</v>
      </c>
      <c r="AC61" s="9"/>
      <c r="AD61" s="16"/>
      <c r="AE61" s="10"/>
      <c r="AF61" s="10"/>
      <c r="AG61" s="10"/>
      <c r="AH61" s="11"/>
      <c r="AI61" s="12"/>
      <c r="AJ61" s="17"/>
      <c r="AK61" s="13"/>
      <c r="AL61" s="13"/>
      <c r="AM61" s="13"/>
      <c r="AN61" s="14"/>
      <c r="AO61" s="9"/>
      <c r="AP61" s="16"/>
      <c r="AQ61" s="10"/>
      <c r="AR61" s="10"/>
      <c r="AS61" s="10"/>
      <c r="AT61" s="11"/>
      <c r="AU61" s="12" t="s">
        <v>47</v>
      </c>
      <c r="AV61" s="17"/>
      <c r="AW61" s="13">
        <v>0</v>
      </c>
      <c r="AX61" s="13">
        <v>0</v>
      </c>
      <c r="AY61" s="13">
        <v>0</v>
      </c>
      <c r="AZ61" s="14">
        <v>0</v>
      </c>
      <c r="BA61" s="9"/>
      <c r="BB61" s="16"/>
      <c r="BC61" s="10"/>
      <c r="BD61" s="10"/>
      <c r="BE61" s="10"/>
      <c r="BF61" s="11"/>
      <c r="BG61" s="12"/>
      <c r="BH61" s="17"/>
      <c r="BI61" s="13"/>
      <c r="BJ61" s="13"/>
      <c r="BK61" s="13"/>
      <c r="BL61" s="14"/>
      <c r="BM61" s="9"/>
      <c r="BN61" s="16"/>
      <c r="BO61" s="10"/>
      <c r="BP61" s="10"/>
      <c r="BQ61" s="10"/>
      <c r="BR61" s="11"/>
      <c r="BS61" s="12"/>
      <c r="BT61" s="17"/>
      <c r="BU61" s="13"/>
      <c r="BV61" s="13"/>
      <c r="BW61" s="13"/>
      <c r="BX61" s="14"/>
      <c r="BY61" s="9"/>
      <c r="BZ61" s="16"/>
      <c r="CA61" s="10"/>
      <c r="CB61" s="10"/>
      <c r="CC61" s="10"/>
      <c r="CD61" s="11"/>
      <c r="CE61" s="12"/>
      <c r="CF61" s="17"/>
      <c r="CG61" s="13"/>
      <c r="CH61" s="13"/>
      <c r="CI61" s="13"/>
      <c r="CJ61" s="14"/>
      <c r="CK61" s="9"/>
      <c r="CL61" s="16"/>
      <c r="CM61" s="10"/>
      <c r="CN61" s="10"/>
      <c r="CO61" s="10"/>
      <c r="CP61" s="11"/>
      <c r="CQ61" s="12"/>
      <c r="CR61" s="17"/>
      <c r="CS61" s="13"/>
      <c r="CT61" s="13"/>
      <c r="CU61" s="13"/>
      <c r="CV61" s="14"/>
      <c r="CW61" s="9"/>
      <c r="CX61" s="16"/>
      <c r="CY61" s="10"/>
      <c r="CZ61" s="10"/>
      <c r="DA61" s="10"/>
      <c r="DB61" s="11"/>
      <c r="DC61" s="12"/>
      <c r="DD61" s="17"/>
      <c r="DE61" s="13"/>
      <c r="DF61" s="13"/>
      <c r="DG61" s="13"/>
      <c r="DH61" s="14"/>
      <c r="DI61" s="8">
        <f t="shared" si="9"/>
        <v>29</v>
      </c>
      <c r="DJ61" s="8">
        <f t="shared" si="10"/>
        <v>63</v>
      </c>
      <c r="DK61" s="8">
        <f t="shared" si="11"/>
        <v>33</v>
      </c>
      <c r="DL61" s="8">
        <f t="shared" si="12"/>
        <v>26</v>
      </c>
      <c r="DM61" s="8">
        <f t="shared" si="13"/>
        <v>63</v>
      </c>
      <c r="DN61" s="8">
        <f t="shared" si="14"/>
        <v>29</v>
      </c>
      <c r="DO61" s="15">
        <f t="shared" si="15"/>
        <v>4.5939183569149327</v>
      </c>
      <c r="DP61" s="15" t="str">
        <f t="shared" si="16"/>
        <v>OK - No Upgrade</v>
      </c>
      <c r="DQ61" s="15" t="str">
        <f t="shared" si="17"/>
        <v>Need to Balance</v>
      </c>
    </row>
  </sheetData>
  <mergeCells count="135">
    <mergeCell ref="DD2:DD3"/>
    <mergeCell ref="DO1:DO3"/>
    <mergeCell ref="AJ2:AJ3"/>
    <mergeCell ref="AY2:AY3"/>
    <mergeCell ref="DQ1:DQ3"/>
    <mergeCell ref="J1:J3"/>
    <mergeCell ref="DA2:DA3"/>
    <mergeCell ref="BK2:BK3"/>
    <mergeCell ref="DC1:DH1"/>
    <mergeCell ref="BY1:CD1"/>
    <mergeCell ref="CY2:CY3"/>
    <mergeCell ref="R2:R3"/>
    <mergeCell ref="AZ2:AZ3"/>
    <mergeCell ref="BB2:BB3"/>
    <mergeCell ref="BL2:BL3"/>
    <mergeCell ref="BN2:BN3"/>
    <mergeCell ref="AU1:AZ1"/>
    <mergeCell ref="CW1:DB1"/>
    <mergeCell ref="CO2:CO3"/>
    <mergeCell ref="BR2:BR3"/>
    <mergeCell ref="AL2:AL3"/>
    <mergeCell ref="A1:A3"/>
    <mergeCell ref="BA1:BF1"/>
    <mergeCell ref="CP2:CP3"/>
    <mergeCell ref="H1:H3"/>
    <mergeCell ref="AR2:AR3"/>
    <mergeCell ref="AT2:AT3"/>
    <mergeCell ref="E1:E3"/>
    <mergeCell ref="DK2:DK3"/>
    <mergeCell ref="BF2:BF3"/>
    <mergeCell ref="BZ2:BZ3"/>
    <mergeCell ref="BI2:BI3"/>
    <mergeCell ref="AE2:AE3"/>
    <mergeCell ref="AG2:AG3"/>
    <mergeCell ref="CX2:CX3"/>
    <mergeCell ref="CG2:CG3"/>
    <mergeCell ref="Y2:Y3"/>
    <mergeCell ref="AQ2:AQ3"/>
    <mergeCell ref="CI2:CI3"/>
    <mergeCell ref="AS2:AS3"/>
    <mergeCell ref="CA2:CA3"/>
    <mergeCell ref="K2:M2"/>
    <mergeCell ref="F1:F3"/>
    <mergeCell ref="CU2:CU3"/>
    <mergeCell ref="CW2:CW3"/>
    <mergeCell ref="DN1:DN3"/>
    <mergeCell ref="CV2:CV3"/>
    <mergeCell ref="Q2:Q3"/>
    <mergeCell ref="CH2:CH3"/>
    <mergeCell ref="AI2:AI3"/>
    <mergeCell ref="AK2:AK3"/>
    <mergeCell ref="DB2:DB3"/>
    <mergeCell ref="AU2:AU3"/>
    <mergeCell ref="AW2:AW3"/>
    <mergeCell ref="CE2:CE3"/>
    <mergeCell ref="DF2:DF3"/>
    <mergeCell ref="DH2:DH3"/>
    <mergeCell ref="S2:S3"/>
    <mergeCell ref="BA2:BA3"/>
    <mergeCell ref="BC2:BC3"/>
    <mergeCell ref="BU2:BU3"/>
    <mergeCell ref="DM1:DM3"/>
    <mergeCell ref="BW2:BW3"/>
    <mergeCell ref="BM2:BM3"/>
    <mergeCell ref="DE2:DE3"/>
    <mergeCell ref="BO2:BO3"/>
    <mergeCell ref="BM1:BR1"/>
    <mergeCell ref="W1:AB1"/>
    <mergeCell ref="Q1:V1"/>
    <mergeCell ref="DC2:DC3"/>
    <mergeCell ref="AV2:AV3"/>
    <mergeCell ref="AX2:AX3"/>
    <mergeCell ref="I1:I3"/>
    <mergeCell ref="BH2:BH3"/>
    <mergeCell ref="BJ2:BJ3"/>
    <mergeCell ref="CD2:CD3"/>
    <mergeCell ref="DL2:DL3"/>
    <mergeCell ref="AF2:AF3"/>
    <mergeCell ref="AH2:AH3"/>
    <mergeCell ref="CJ2:CJ3"/>
    <mergeCell ref="K1:P1"/>
    <mergeCell ref="BP2:BP3"/>
    <mergeCell ref="AC1:AH1"/>
    <mergeCell ref="CE1:CJ1"/>
    <mergeCell ref="AO1:AT1"/>
    <mergeCell ref="BY2:BY3"/>
    <mergeCell ref="Z2:Z3"/>
    <mergeCell ref="CQ1:CV1"/>
    <mergeCell ref="AB2:AB3"/>
    <mergeCell ref="AD2:AD3"/>
    <mergeCell ref="T2:T3"/>
    <mergeCell ref="CS2:CS3"/>
    <mergeCell ref="CK2:CK3"/>
    <mergeCell ref="B1:B3"/>
    <mergeCell ref="CQ2:CQ3"/>
    <mergeCell ref="AI1:AN1"/>
    <mergeCell ref="CK1:CP1"/>
    <mergeCell ref="CC2:CC3"/>
    <mergeCell ref="V2:V3"/>
    <mergeCell ref="X2:X3"/>
    <mergeCell ref="CB2:CB3"/>
    <mergeCell ref="BG1:BL1"/>
    <mergeCell ref="BD2:BD3"/>
    <mergeCell ref="BS1:BX1"/>
    <mergeCell ref="C1:C3"/>
    <mergeCell ref="D1:D2"/>
    <mergeCell ref="AN2:AN3"/>
    <mergeCell ref="CM2:CM3"/>
    <mergeCell ref="BV2:BV3"/>
    <mergeCell ref="AP2:AP3"/>
    <mergeCell ref="BX2:BX3"/>
    <mergeCell ref="CL2:CL3"/>
    <mergeCell ref="CN2:CN3"/>
    <mergeCell ref="N2:P2"/>
    <mergeCell ref="G1:G3"/>
    <mergeCell ref="DP1:DP3"/>
    <mergeCell ref="CF2:CF3"/>
    <mergeCell ref="CZ2:CZ3"/>
    <mergeCell ref="U2:U3"/>
    <mergeCell ref="CR2:CR3"/>
    <mergeCell ref="DJ2:DJ3"/>
    <mergeCell ref="BT2:BT3"/>
    <mergeCell ref="BE2:BE3"/>
    <mergeCell ref="W2:W3"/>
    <mergeCell ref="BG2:BG3"/>
    <mergeCell ref="DG2:DG3"/>
    <mergeCell ref="BQ2:BQ3"/>
    <mergeCell ref="DI2:DI3"/>
    <mergeCell ref="BS2:BS3"/>
    <mergeCell ref="AA2:AA3"/>
    <mergeCell ref="AC2:AC3"/>
    <mergeCell ref="CT2:CT3"/>
    <mergeCell ref="AM2:AM3"/>
    <mergeCell ref="AO2:AO3"/>
    <mergeCell ref="DI1:DL1"/>
  </mergeCells>
  <dataValidations count="1">
    <dataValidation type="list" allowBlank="1" errorTitle="Invalid value" error="Please choose Cu or Al" promptTitle="Cable Type" prompt="Choose cable material" sqref="R4:R61 DD4:DD61 CX4:CX61 CR4:CR61 CL4:CL61 CF4:CF61 BZ4:BZ61 BT4:BT61 BN4:BN61 BH4:BH61 BB4:BB61 AV4:AV61 AP4:AP61 AJ4:AJ61 AD4:AD61 X4:X61" xr:uid="{00000000-0002-0000-1100-000000000000}">
      <formula1>"Cu,Al"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U135"/>
  <sheetViews>
    <sheetView workbookViewId="0"/>
  </sheetViews>
  <sheetFormatPr defaultRowHeight="15" x14ac:dyDescent="0.25"/>
  <cols>
    <col min="1" max="1" width="12.85546875" customWidth="1"/>
    <col min="2" max="2" width="14.85546875" customWidth="1"/>
    <col min="3" max="3" width="9.85546875" customWidth="1"/>
    <col min="4" max="4" width="20.85546875" customWidth="1"/>
    <col min="5" max="5" width="8.85546875" customWidth="1"/>
    <col min="6" max="6" width="10.85546875" customWidth="1"/>
    <col min="7" max="7" width="5.85546875" customWidth="1"/>
    <col min="8" max="8" width="9.85546875" customWidth="1"/>
    <col min="9" max="9" width="10.85546875" customWidth="1"/>
    <col min="10" max="10" width="5.85546875" customWidth="1"/>
    <col min="11" max="11" width="7.85546875" customWidth="1"/>
    <col min="12" max="16" width="6.85546875" customWidth="1"/>
    <col min="17" max="17" width="8.85546875" customWidth="1"/>
    <col min="18" max="21" width="6.85546875" customWidth="1"/>
    <col min="22" max="22" width="8.85546875" customWidth="1"/>
    <col min="23" max="26" width="6.85546875" customWidth="1"/>
    <col min="27" max="27" width="8.85546875" customWidth="1"/>
    <col min="28" max="31" width="6.85546875" customWidth="1"/>
    <col min="32" max="32" width="8.85546875" customWidth="1"/>
    <col min="33" max="36" width="6.85546875" customWidth="1"/>
    <col min="37" max="37" width="8.85546875" customWidth="1"/>
    <col min="38" max="41" width="6.85546875" customWidth="1"/>
    <col min="42" max="42" width="8.85546875" customWidth="1"/>
    <col min="43" max="46" width="6.85546875" customWidth="1"/>
    <col min="47" max="47" width="8.85546875" customWidth="1"/>
    <col min="48" max="51" width="6.85546875" customWidth="1"/>
    <col min="52" max="52" width="8.85546875" customWidth="1"/>
    <col min="53" max="60" width="6.85546875" customWidth="1"/>
    <col min="61" max="62" width="7.85546875" customWidth="1"/>
    <col min="63" max="63" width="9.85546875" customWidth="1"/>
    <col min="64" max="65" width="24.85546875" customWidth="1"/>
  </cols>
  <sheetData>
    <row r="1" spans="1:73" ht="19.5" customHeight="1" x14ac:dyDescent="0.25">
      <c r="A1" s="21" t="s">
        <v>0</v>
      </c>
      <c r="B1" s="21" t="s">
        <v>1</v>
      </c>
      <c r="C1" s="21" t="s">
        <v>2</v>
      </c>
      <c r="D1" s="38" t="s">
        <v>3</v>
      </c>
      <c r="E1" s="21" t="s">
        <v>4</v>
      </c>
      <c r="F1" s="40" t="s">
        <v>5</v>
      </c>
      <c r="G1" s="21" t="s">
        <v>6</v>
      </c>
      <c r="H1" s="21" t="s">
        <v>7</v>
      </c>
      <c r="I1" s="21" t="s">
        <v>8</v>
      </c>
      <c r="J1" s="41" t="s">
        <v>9</v>
      </c>
      <c r="K1" s="18" t="s">
        <v>10</v>
      </c>
      <c r="L1" s="19"/>
      <c r="M1" s="19"/>
      <c r="N1" s="19"/>
      <c r="O1" s="19"/>
      <c r="P1" s="20"/>
      <c r="Q1" s="29" t="s">
        <v>11</v>
      </c>
      <c r="R1" s="30"/>
      <c r="S1" s="30"/>
      <c r="T1" s="30"/>
      <c r="U1" s="30"/>
      <c r="V1" s="31"/>
      <c r="W1" s="29" t="s">
        <v>12</v>
      </c>
      <c r="X1" s="30"/>
      <c r="Y1" s="30"/>
      <c r="Z1" s="30"/>
      <c r="AA1" s="30"/>
      <c r="AB1" s="31"/>
      <c r="AC1" s="29" t="s">
        <v>13</v>
      </c>
      <c r="AD1" s="30"/>
      <c r="AE1" s="30"/>
      <c r="AF1" s="30"/>
      <c r="AG1" s="30"/>
      <c r="AH1" s="31"/>
      <c r="AI1" s="29" t="s">
        <v>14</v>
      </c>
      <c r="AJ1" s="30"/>
      <c r="AK1" s="30"/>
      <c r="AL1" s="30"/>
      <c r="AM1" s="30"/>
      <c r="AN1" s="31"/>
      <c r="AO1" s="29" t="s">
        <v>15</v>
      </c>
      <c r="AP1" s="30"/>
      <c r="AQ1" s="30"/>
      <c r="AR1" s="30"/>
      <c r="AS1" s="30"/>
      <c r="AT1" s="31"/>
      <c r="AU1" s="29" t="s">
        <v>16</v>
      </c>
      <c r="AV1" s="30"/>
      <c r="AW1" s="30"/>
      <c r="AX1" s="30"/>
      <c r="AY1" s="30"/>
      <c r="AZ1" s="31"/>
      <c r="BA1" s="29" t="s">
        <v>17</v>
      </c>
      <c r="BB1" s="30"/>
      <c r="BC1" s="30"/>
      <c r="BD1" s="30"/>
      <c r="BE1" s="30"/>
      <c r="BF1" s="31"/>
      <c r="BG1" s="29" t="s">
        <v>18</v>
      </c>
      <c r="BH1" s="30"/>
      <c r="BI1" s="30"/>
      <c r="BJ1" s="30"/>
      <c r="BK1" s="30"/>
      <c r="BL1" s="31"/>
      <c r="BM1" s="37" t="s">
        <v>19</v>
      </c>
      <c r="BN1" s="19"/>
      <c r="BO1" s="19"/>
      <c r="BP1" s="20"/>
      <c r="BQ1" s="18" t="s">
        <v>20</v>
      </c>
      <c r="BR1" s="18" t="s">
        <v>21</v>
      </c>
      <c r="BS1" s="39" t="s">
        <v>22</v>
      </c>
      <c r="BT1" s="26" t="s">
        <v>23</v>
      </c>
      <c r="BU1" s="26" t="s">
        <v>24</v>
      </c>
    </row>
    <row r="2" spans="1:73" ht="19.5" customHeight="1" x14ac:dyDescent="0.25">
      <c r="A2" s="22"/>
      <c r="B2" s="22"/>
      <c r="C2" s="22"/>
      <c r="D2" s="23"/>
      <c r="E2" s="22"/>
      <c r="F2" s="22"/>
      <c r="G2" s="22"/>
      <c r="H2" s="22"/>
      <c r="I2" s="22"/>
      <c r="J2" s="22"/>
      <c r="K2" s="18" t="s">
        <v>25</v>
      </c>
      <c r="L2" s="19"/>
      <c r="M2" s="20"/>
      <c r="N2" s="18" t="s">
        <v>26</v>
      </c>
      <c r="O2" s="19"/>
      <c r="P2" s="20"/>
      <c r="Q2" s="27" t="s">
        <v>27</v>
      </c>
      <c r="R2" s="34" t="s">
        <v>5</v>
      </c>
      <c r="S2" s="36" t="s">
        <v>28</v>
      </c>
      <c r="T2" s="35" t="s">
        <v>29</v>
      </c>
      <c r="U2" s="24" t="s">
        <v>30</v>
      </c>
      <c r="V2" s="32" t="s">
        <v>31</v>
      </c>
      <c r="W2" s="27" t="s">
        <v>27</v>
      </c>
      <c r="X2" s="34" t="s">
        <v>5</v>
      </c>
      <c r="Y2" s="36" t="s">
        <v>28</v>
      </c>
      <c r="Z2" s="35" t="s">
        <v>29</v>
      </c>
      <c r="AA2" s="24" t="s">
        <v>30</v>
      </c>
      <c r="AB2" s="32" t="s">
        <v>31</v>
      </c>
      <c r="AC2" s="27" t="s">
        <v>27</v>
      </c>
      <c r="AD2" s="34" t="s">
        <v>5</v>
      </c>
      <c r="AE2" s="36" t="s">
        <v>28</v>
      </c>
      <c r="AF2" s="35" t="s">
        <v>29</v>
      </c>
      <c r="AG2" s="24" t="s">
        <v>30</v>
      </c>
      <c r="AH2" s="32" t="s">
        <v>31</v>
      </c>
      <c r="AI2" s="27" t="s">
        <v>27</v>
      </c>
      <c r="AJ2" s="34" t="s">
        <v>5</v>
      </c>
      <c r="AK2" s="36" t="s">
        <v>28</v>
      </c>
      <c r="AL2" s="35" t="s">
        <v>29</v>
      </c>
      <c r="AM2" s="24" t="s">
        <v>30</v>
      </c>
      <c r="AN2" s="32" t="s">
        <v>31</v>
      </c>
      <c r="AO2" s="27" t="s">
        <v>27</v>
      </c>
      <c r="AP2" s="34" t="s">
        <v>5</v>
      </c>
      <c r="AQ2" s="36" t="s">
        <v>28</v>
      </c>
      <c r="AR2" s="35" t="s">
        <v>29</v>
      </c>
      <c r="AS2" s="24" t="s">
        <v>30</v>
      </c>
      <c r="AT2" s="32" t="s">
        <v>31</v>
      </c>
      <c r="AU2" s="27" t="s">
        <v>27</v>
      </c>
      <c r="AV2" s="34" t="s">
        <v>5</v>
      </c>
      <c r="AW2" s="36" t="s">
        <v>28</v>
      </c>
      <c r="AX2" s="35" t="s">
        <v>29</v>
      </c>
      <c r="AY2" s="24" t="s">
        <v>30</v>
      </c>
      <c r="AZ2" s="32" t="s">
        <v>31</v>
      </c>
      <c r="BA2" s="27" t="s">
        <v>27</v>
      </c>
      <c r="BB2" s="34" t="s">
        <v>5</v>
      </c>
      <c r="BC2" s="36" t="s">
        <v>28</v>
      </c>
      <c r="BD2" s="35" t="s">
        <v>29</v>
      </c>
      <c r="BE2" s="24" t="s">
        <v>30</v>
      </c>
      <c r="BF2" s="32" t="s">
        <v>31</v>
      </c>
      <c r="BG2" s="27" t="s">
        <v>27</v>
      </c>
      <c r="BH2" s="34" t="s">
        <v>5</v>
      </c>
      <c r="BI2" s="36" t="s">
        <v>28</v>
      </c>
      <c r="BJ2" s="35" t="s">
        <v>29</v>
      </c>
      <c r="BK2" s="24" t="s">
        <v>30</v>
      </c>
      <c r="BL2" s="32" t="s">
        <v>31</v>
      </c>
      <c r="BM2" s="37" t="s">
        <v>28</v>
      </c>
      <c r="BN2" s="37" t="s">
        <v>29</v>
      </c>
      <c r="BO2" s="37" t="s">
        <v>30</v>
      </c>
      <c r="BP2" s="37" t="s">
        <v>31</v>
      </c>
      <c r="BQ2" s="22"/>
      <c r="BR2" s="22"/>
      <c r="BS2" s="22"/>
      <c r="BT2" s="22"/>
      <c r="BU2" s="22"/>
    </row>
    <row r="3" spans="1:73" ht="19.5" customHeight="1" x14ac:dyDescent="0.25">
      <c r="A3" s="23"/>
      <c r="B3" s="23"/>
      <c r="C3" s="23"/>
      <c r="D3" s="1"/>
      <c r="E3" s="23"/>
      <c r="F3" s="23"/>
      <c r="G3" s="23"/>
      <c r="H3" s="23"/>
      <c r="I3" s="23"/>
      <c r="J3" s="23"/>
      <c r="K3" s="2" t="s">
        <v>32</v>
      </c>
      <c r="L3" s="3" t="s">
        <v>33</v>
      </c>
      <c r="M3" s="4" t="s">
        <v>34</v>
      </c>
      <c r="N3" s="5" t="s">
        <v>35</v>
      </c>
      <c r="O3" s="6" t="s">
        <v>36</v>
      </c>
      <c r="P3" s="7" t="s">
        <v>37</v>
      </c>
      <c r="Q3" s="28"/>
      <c r="R3" s="25"/>
      <c r="S3" s="25"/>
      <c r="T3" s="25"/>
      <c r="U3" s="25"/>
      <c r="V3" s="33"/>
      <c r="W3" s="28"/>
      <c r="X3" s="25"/>
      <c r="Y3" s="25"/>
      <c r="Z3" s="25"/>
      <c r="AA3" s="25"/>
      <c r="AB3" s="33"/>
      <c r="AC3" s="28"/>
      <c r="AD3" s="25"/>
      <c r="AE3" s="25"/>
      <c r="AF3" s="25"/>
      <c r="AG3" s="25"/>
      <c r="AH3" s="33"/>
      <c r="AI3" s="28"/>
      <c r="AJ3" s="25"/>
      <c r="AK3" s="25"/>
      <c r="AL3" s="25"/>
      <c r="AM3" s="25"/>
      <c r="AN3" s="33"/>
      <c r="AO3" s="28"/>
      <c r="AP3" s="25"/>
      <c r="AQ3" s="25"/>
      <c r="AR3" s="25"/>
      <c r="AS3" s="25"/>
      <c r="AT3" s="33"/>
      <c r="AU3" s="28"/>
      <c r="AV3" s="25"/>
      <c r="AW3" s="25"/>
      <c r="AX3" s="25"/>
      <c r="AY3" s="25"/>
      <c r="AZ3" s="33"/>
      <c r="BA3" s="28"/>
      <c r="BB3" s="25"/>
      <c r="BC3" s="25"/>
      <c r="BD3" s="25"/>
      <c r="BE3" s="25"/>
      <c r="BF3" s="33"/>
      <c r="BG3" s="28"/>
      <c r="BH3" s="25"/>
      <c r="BI3" s="25"/>
      <c r="BJ3" s="25"/>
      <c r="BK3" s="25"/>
      <c r="BL3" s="33"/>
      <c r="BM3" s="23"/>
      <c r="BN3" s="23"/>
      <c r="BO3" s="23"/>
      <c r="BP3" s="23"/>
      <c r="BQ3" s="23"/>
      <c r="BR3" s="23"/>
      <c r="BS3" s="23"/>
      <c r="BT3" s="23"/>
      <c r="BU3" s="23"/>
    </row>
    <row r="4" spans="1:73" ht="15.75" customHeight="1" x14ac:dyDescent="0.25">
      <c r="A4" s="8" t="s">
        <v>3005</v>
      </c>
      <c r="B4" s="8" t="s">
        <v>3390</v>
      </c>
      <c r="C4" s="8" t="s">
        <v>389</v>
      </c>
      <c r="D4" s="8" t="s">
        <v>3391</v>
      </c>
      <c r="E4" s="8" t="s">
        <v>3392</v>
      </c>
      <c r="F4" s="8" t="s">
        <v>43</v>
      </c>
      <c r="G4" s="8" t="s">
        <v>1077</v>
      </c>
      <c r="H4" s="8">
        <v>100</v>
      </c>
      <c r="I4" s="8" t="s">
        <v>3393</v>
      </c>
      <c r="J4" s="8">
        <v>1</v>
      </c>
      <c r="K4" s="8">
        <v>256</v>
      </c>
      <c r="L4" s="8">
        <v>260</v>
      </c>
      <c r="M4" s="8">
        <v>258</v>
      </c>
      <c r="N4" s="8">
        <v>449</v>
      </c>
      <c r="O4" s="8">
        <v>449</v>
      </c>
      <c r="P4" s="8">
        <v>451</v>
      </c>
      <c r="Q4" s="9" t="s">
        <v>46</v>
      </c>
      <c r="R4" s="16"/>
      <c r="S4" s="10">
        <v>23</v>
      </c>
      <c r="T4" s="10">
        <v>26</v>
      </c>
      <c r="U4" s="10">
        <v>27</v>
      </c>
      <c r="V4" s="11">
        <v>15</v>
      </c>
      <c r="W4" s="12" t="s">
        <v>46</v>
      </c>
      <c r="X4" s="17"/>
      <c r="Y4" s="13">
        <v>12</v>
      </c>
      <c r="Z4" s="13">
        <v>25</v>
      </c>
      <c r="AA4" s="13">
        <v>26</v>
      </c>
      <c r="AB4" s="14">
        <v>17</v>
      </c>
      <c r="AC4" s="9"/>
      <c r="AD4" s="16"/>
      <c r="AE4" s="10"/>
      <c r="AF4" s="10"/>
      <c r="AG4" s="10"/>
      <c r="AH4" s="11"/>
      <c r="AI4" s="12"/>
      <c r="AJ4" s="17"/>
      <c r="AK4" s="13"/>
      <c r="AL4" s="13"/>
      <c r="AM4" s="13"/>
      <c r="AN4" s="14"/>
      <c r="AO4" s="9"/>
      <c r="AP4" s="16"/>
      <c r="AQ4" s="10"/>
      <c r="AR4" s="10"/>
      <c r="AS4" s="10"/>
      <c r="AT4" s="11"/>
      <c r="AU4" s="12"/>
      <c r="AV4" s="17"/>
      <c r="AW4" s="13"/>
      <c r="AX4" s="13"/>
      <c r="AY4" s="13"/>
      <c r="AZ4" s="14"/>
      <c r="BA4" s="9"/>
      <c r="BB4" s="16"/>
      <c r="BC4" s="10"/>
      <c r="BD4" s="10"/>
      <c r="BE4" s="10"/>
      <c r="BF4" s="11"/>
      <c r="BG4" s="12"/>
      <c r="BH4" s="17"/>
      <c r="BI4" s="13"/>
      <c r="BJ4" s="13"/>
      <c r="BK4" s="13"/>
      <c r="BL4" s="14"/>
      <c r="BM4" s="8">
        <f t="shared" ref="BM4:BM35" si="0">SUM(S4,Y4,AE4,AK4,AQ4,AW4,BC4,BI4)</f>
        <v>35</v>
      </c>
      <c r="BN4" s="8">
        <f t="shared" ref="BN4:BN35" si="1">SUM(T4,Z4,AF4,AL4,AR4,AX4,BD4,BJ4)</f>
        <v>51</v>
      </c>
      <c r="BO4" s="8">
        <f t="shared" ref="BO4:BO35" si="2">SUM(U4,AA4,AG4,AM4,AS4,AY4,BE4,BK4)</f>
        <v>53</v>
      </c>
      <c r="BP4" s="8">
        <f t="shared" ref="BP4:BP35" si="3">SUM(V4,AB4,AH4,AN4,AT4,AZ4,BF4,BL4)</f>
        <v>32</v>
      </c>
      <c r="BQ4" s="8">
        <f t="shared" ref="BQ4:BQ35" si="4">MAX(BM4:BO4)</f>
        <v>53</v>
      </c>
      <c r="BR4" s="8">
        <f t="shared" ref="BR4:BR35" si="5">MIN(BM4:BO4)</f>
        <v>35</v>
      </c>
      <c r="BS4" s="15">
        <f t="shared" ref="BS4:BS35" si="6">IF(H4&gt;0,(BQ4*SQRT(3)*IF(N4&gt;0,N4,IF(O4&gt;0,O4,IF(P4&gt;0,P4,415)))/(H4*1000))*100,0)</f>
        <v>41.21761306771657</v>
      </c>
      <c r="BT4" s="15" t="str">
        <f t="shared" ref="BT4:BT35" si="7">IF(BS4&gt;70,"Upgrade","OK - No Upgrade")</f>
        <v>OK - No Upgrade</v>
      </c>
      <c r="BU4" s="15" t="str">
        <f t="shared" ref="BU4:BU35" si="8">IF(IF(AVERAGE(BM4:BO4)&gt;0,((BQ4-AVERAGE(BM4:BO4))/AVERAGE(BM4:BO4))*100,0)&gt;10,"Need to Balance","OK - Balanced")</f>
        <v>Need to Balance</v>
      </c>
    </row>
    <row r="5" spans="1:73" ht="15.75" customHeight="1" x14ac:dyDescent="0.25">
      <c r="A5" s="8" t="s">
        <v>3005</v>
      </c>
      <c r="B5" s="8" t="s">
        <v>3390</v>
      </c>
      <c r="C5" s="8" t="s">
        <v>389</v>
      </c>
      <c r="D5" s="8" t="s">
        <v>3394</v>
      </c>
      <c r="E5" s="8" t="s">
        <v>3395</v>
      </c>
      <c r="F5" s="8" t="s">
        <v>43</v>
      </c>
      <c r="G5" s="8" t="s">
        <v>44</v>
      </c>
      <c r="H5" s="8">
        <v>100</v>
      </c>
      <c r="I5" s="8" t="s">
        <v>3396</v>
      </c>
      <c r="J5" s="8">
        <v>1</v>
      </c>
      <c r="K5" s="8">
        <v>243</v>
      </c>
      <c r="L5" s="8">
        <v>247</v>
      </c>
      <c r="M5" s="8">
        <v>245</v>
      </c>
      <c r="N5" s="8">
        <v>427</v>
      </c>
      <c r="O5" s="8">
        <v>425</v>
      </c>
      <c r="P5" s="8">
        <v>428</v>
      </c>
      <c r="Q5" s="9" t="s">
        <v>46</v>
      </c>
      <c r="R5" s="16"/>
      <c r="S5" s="10">
        <v>16</v>
      </c>
      <c r="T5" s="10">
        <v>9</v>
      </c>
      <c r="U5" s="10">
        <v>7</v>
      </c>
      <c r="V5" s="11">
        <v>10</v>
      </c>
      <c r="W5" s="12"/>
      <c r="X5" s="17"/>
      <c r="Y5" s="13"/>
      <c r="Z5" s="13"/>
      <c r="AA5" s="13"/>
      <c r="AB5" s="14"/>
      <c r="AC5" s="9"/>
      <c r="AD5" s="16"/>
      <c r="AE5" s="10"/>
      <c r="AF5" s="10"/>
      <c r="AG5" s="10"/>
      <c r="AH5" s="11"/>
      <c r="AI5" s="12"/>
      <c r="AJ5" s="17"/>
      <c r="AK5" s="13"/>
      <c r="AL5" s="13"/>
      <c r="AM5" s="13"/>
      <c r="AN5" s="14"/>
      <c r="AO5" s="9"/>
      <c r="AP5" s="16"/>
      <c r="AQ5" s="10"/>
      <c r="AR5" s="10"/>
      <c r="AS5" s="10"/>
      <c r="AT5" s="11"/>
      <c r="AU5" s="12"/>
      <c r="AV5" s="17"/>
      <c r="AW5" s="13"/>
      <c r="AX5" s="13"/>
      <c r="AY5" s="13"/>
      <c r="AZ5" s="14"/>
      <c r="BA5" s="9"/>
      <c r="BB5" s="16"/>
      <c r="BC5" s="10"/>
      <c r="BD5" s="10"/>
      <c r="BE5" s="10"/>
      <c r="BF5" s="11"/>
      <c r="BG5" s="12"/>
      <c r="BH5" s="17"/>
      <c r="BI5" s="13"/>
      <c r="BJ5" s="13"/>
      <c r="BK5" s="13"/>
      <c r="BL5" s="14"/>
      <c r="BM5" s="8">
        <f t="shared" si="0"/>
        <v>16</v>
      </c>
      <c r="BN5" s="8">
        <f t="shared" si="1"/>
        <v>9</v>
      </c>
      <c r="BO5" s="8">
        <f t="shared" si="2"/>
        <v>7</v>
      </c>
      <c r="BP5" s="8">
        <f t="shared" si="3"/>
        <v>10</v>
      </c>
      <c r="BQ5" s="8">
        <f t="shared" si="4"/>
        <v>16</v>
      </c>
      <c r="BR5" s="8">
        <f t="shared" si="5"/>
        <v>7</v>
      </c>
      <c r="BS5" s="15">
        <f t="shared" si="6"/>
        <v>11.83337111731057</v>
      </c>
      <c r="BT5" s="15" t="str">
        <f t="shared" si="7"/>
        <v>OK - No Upgrade</v>
      </c>
      <c r="BU5" s="15" t="str">
        <f t="shared" si="8"/>
        <v>Need to Balance</v>
      </c>
    </row>
    <row r="6" spans="1:73" ht="15.75" customHeight="1" x14ac:dyDescent="0.25">
      <c r="A6" s="8" t="s">
        <v>3005</v>
      </c>
      <c r="B6" s="8" t="s">
        <v>3390</v>
      </c>
      <c r="C6" s="8" t="s">
        <v>389</v>
      </c>
      <c r="D6" s="8" t="s">
        <v>3397</v>
      </c>
      <c r="E6" s="8" t="s">
        <v>3398</v>
      </c>
      <c r="F6" s="8" t="s">
        <v>43</v>
      </c>
      <c r="G6" s="8" t="s">
        <v>44</v>
      </c>
      <c r="H6" s="8">
        <v>100</v>
      </c>
      <c r="I6" s="8" t="s">
        <v>3399</v>
      </c>
      <c r="J6" s="8">
        <v>1</v>
      </c>
      <c r="K6" s="8">
        <v>237</v>
      </c>
      <c r="L6" s="8">
        <v>241</v>
      </c>
      <c r="M6" s="8">
        <v>237</v>
      </c>
      <c r="N6" s="8">
        <v>415</v>
      </c>
      <c r="O6" s="8">
        <v>411</v>
      </c>
      <c r="P6" s="8">
        <v>417</v>
      </c>
      <c r="Q6" s="9" t="s">
        <v>46</v>
      </c>
      <c r="R6" s="16"/>
      <c r="S6" s="10">
        <v>35</v>
      </c>
      <c r="T6" s="10">
        <v>31</v>
      </c>
      <c r="U6" s="10">
        <v>48</v>
      </c>
      <c r="V6" s="11">
        <v>42</v>
      </c>
      <c r="W6" s="12"/>
      <c r="X6" s="17"/>
      <c r="Y6" s="13"/>
      <c r="Z6" s="13"/>
      <c r="AA6" s="13"/>
      <c r="AB6" s="14"/>
      <c r="AC6" s="9"/>
      <c r="AD6" s="16"/>
      <c r="AE6" s="10"/>
      <c r="AF6" s="10"/>
      <c r="AG6" s="10"/>
      <c r="AH6" s="11"/>
      <c r="AI6" s="12"/>
      <c r="AJ6" s="17"/>
      <c r="AK6" s="13"/>
      <c r="AL6" s="13"/>
      <c r="AM6" s="13"/>
      <c r="AN6" s="14"/>
      <c r="AO6" s="9"/>
      <c r="AP6" s="16"/>
      <c r="AQ6" s="10"/>
      <c r="AR6" s="10"/>
      <c r="AS6" s="10"/>
      <c r="AT6" s="11"/>
      <c r="AU6" s="12"/>
      <c r="AV6" s="17"/>
      <c r="AW6" s="13"/>
      <c r="AX6" s="13"/>
      <c r="AY6" s="13"/>
      <c r="AZ6" s="14"/>
      <c r="BA6" s="9"/>
      <c r="BB6" s="16"/>
      <c r="BC6" s="10"/>
      <c r="BD6" s="10"/>
      <c r="BE6" s="10"/>
      <c r="BF6" s="11"/>
      <c r="BG6" s="12"/>
      <c r="BH6" s="17"/>
      <c r="BI6" s="13"/>
      <c r="BJ6" s="13"/>
      <c r="BK6" s="13"/>
      <c r="BL6" s="14"/>
      <c r="BM6" s="8">
        <f t="shared" si="0"/>
        <v>35</v>
      </c>
      <c r="BN6" s="8">
        <f t="shared" si="1"/>
        <v>31</v>
      </c>
      <c r="BO6" s="8">
        <f t="shared" si="2"/>
        <v>48</v>
      </c>
      <c r="BP6" s="8">
        <f t="shared" si="3"/>
        <v>42</v>
      </c>
      <c r="BQ6" s="8">
        <f t="shared" si="4"/>
        <v>48</v>
      </c>
      <c r="BR6" s="8">
        <f t="shared" si="5"/>
        <v>31</v>
      </c>
      <c r="BS6" s="15">
        <f t="shared" si="6"/>
        <v>34.502452086772031</v>
      </c>
      <c r="BT6" s="15" t="str">
        <f t="shared" si="7"/>
        <v>OK - No Upgrade</v>
      </c>
      <c r="BU6" s="15" t="str">
        <f t="shared" si="8"/>
        <v>Need to Balance</v>
      </c>
    </row>
    <row r="7" spans="1:73" ht="15.75" customHeight="1" x14ac:dyDescent="0.25">
      <c r="A7" s="8" t="s">
        <v>3005</v>
      </c>
      <c r="B7" s="8" t="s">
        <v>3390</v>
      </c>
      <c r="C7" s="8" t="s">
        <v>389</v>
      </c>
      <c r="D7" s="8" t="s">
        <v>3400</v>
      </c>
      <c r="E7" s="8" t="s">
        <v>3401</v>
      </c>
      <c r="F7" s="8" t="s">
        <v>43</v>
      </c>
      <c r="G7" s="8" t="s">
        <v>44</v>
      </c>
      <c r="H7" s="8">
        <v>100</v>
      </c>
      <c r="I7" s="8" t="s">
        <v>3402</v>
      </c>
      <c r="J7" s="8">
        <v>1</v>
      </c>
      <c r="K7" s="8">
        <v>246</v>
      </c>
      <c r="L7" s="8">
        <v>246</v>
      </c>
      <c r="M7" s="8">
        <v>244</v>
      </c>
      <c r="N7" s="8">
        <v>424</v>
      </c>
      <c r="O7" s="8">
        <v>423</v>
      </c>
      <c r="P7" s="8">
        <v>424</v>
      </c>
      <c r="Q7" s="9" t="s">
        <v>46</v>
      </c>
      <c r="R7" s="16"/>
      <c r="S7" s="10">
        <v>62</v>
      </c>
      <c r="T7" s="10">
        <v>32</v>
      </c>
      <c r="U7" s="10">
        <v>36</v>
      </c>
      <c r="V7" s="11">
        <v>33</v>
      </c>
      <c r="W7" s="12"/>
      <c r="X7" s="17"/>
      <c r="Y7" s="13"/>
      <c r="Z7" s="13"/>
      <c r="AA7" s="13"/>
      <c r="AB7" s="14"/>
      <c r="AC7" s="9"/>
      <c r="AD7" s="16"/>
      <c r="AE7" s="10"/>
      <c r="AF7" s="10"/>
      <c r="AG7" s="10"/>
      <c r="AH7" s="11"/>
      <c r="AI7" s="12"/>
      <c r="AJ7" s="17"/>
      <c r="AK7" s="13"/>
      <c r="AL7" s="13"/>
      <c r="AM7" s="13"/>
      <c r="AN7" s="14"/>
      <c r="AO7" s="9"/>
      <c r="AP7" s="16"/>
      <c r="AQ7" s="10"/>
      <c r="AR7" s="10"/>
      <c r="AS7" s="10"/>
      <c r="AT7" s="11"/>
      <c r="AU7" s="12"/>
      <c r="AV7" s="17"/>
      <c r="AW7" s="13"/>
      <c r="AX7" s="13"/>
      <c r="AY7" s="13"/>
      <c r="AZ7" s="14"/>
      <c r="BA7" s="9"/>
      <c r="BB7" s="16"/>
      <c r="BC7" s="10"/>
      <c r="BD7" s="10"/>
      <c r="BE7" s="10"/>
      <c r="BF7" s="11"/>
      <c r="BG7" s="12"/>
      <c r="BH7" s="17"/>
      <c r="BI7" s="13"/>
      <c r="BJ7" s="13"/>
      <c r="BK7" s="13"/>
      <c r="BL7" s="14"/>
      <c r="BM7" s="8">
        <f t="shared" si="0"/>
        <v>62</v>
      </c>
      <c r="BN7" s="8">
        <f t="shared" si="1"/>
        <v>32</v>
      </c>
      <c r="BO7" s="8">
        <f t="shared" si="2"/>
        <v>36</v>
      </c>
      <c r="BP7" s="8">
        <f t="shared" si="3"/>
        <v>33</v>
      </c>
      <c r="BQ7" s="8">
        <f t="shared" si="4"/>
        <v>62</v>
      </c>
      <c r="BR7" s="8">
        <f t="shared" si="5"/>
        <v>32</v>
      </c>
      <c r="BS7" s="15">
        <f t="shared" si="6"/>
        <v>45.532151629370645</v>
      </c>
      <c r="BT7" s="15" t="str">
        <f t="shared" si="7"/>
        <v>OK - No Upgrade</v>
      </c>
      <c r="BU7" s="15" t="str">
        <f t="shared" si="8"/>
        <v>Need to Balance</v>
      </c>
    </row>
    <row r="8" spans="1:73" ht="15.75" customHeight="1" x14ac:dyDescent="0.25">
      <c r="A8" s="8" t="s">
        <v>3005</v>
      </c>
      <c r="B8" s="8" t="s">
        <v>3390</v>
      </c>
      <c r="C8" s="8" t="s">
        <v>389</v>
      </c>
      <c r="D8" s="8" t="s">
        <v>3403</v>
      </c>
      <c r="E8" s="8" t="s">
        <v>3404</v>
      </c>
      <c r="F8" s="8" t="s">
        <v>43</v>
      </c>
      <c r="G8" s="8" t="s">
        <v>44</v>
      </c>
      <c r="H8" s="8">
        <v>100</v>
      </c>
      <c r="I8" s="8" t="s">
        <v>3405</v>
      </c>
      <c r="J8" s="8">
        <v>1</v>
      </c>
      <c r="K8" s="8">
        <v>244</v>
      </c>
      <c r="L8" s="8">
        <v>247</v>
      </c>
      <c r="M8" s="8">
        <v>245</v>
      </c>
      <c r="N8" s="8">
        <v>429</v>
      </c>
      <c r="O8" s="8">
        <v>426</v>
      </c>
      <c r="P8" s="8">
        <v>429</v>
      </c>
      <c r="Q8" s="9" t="s">
        <v>46</v>
      </c>
      <c r="R8" s="16"/>
      <c r="S8" s="10">
        <v>10</v>
      </c>
      <c r="T8" s="10">
        <v>9</v>
      </c>
      <c r="U8" s="10">
        <v>9</v>
      </c>
      <c r="V8" s="11">
        <v>8</v>
      </c>
      <c r="W8" s="12"/>
      <c r="X8" s="17"/>
      <c r="Y8" s="13"/>
      <c r="Z8" s="13"/>
      <c r="AA8" s="13"/>
      <c r="AB8" s="14"/>
      <c r="AC8" s="9"/>
      <c r="AD8" s="16"/>
      <c r="AE8" s="10"/>
      <c r="AF8" s="10"/>
      <c r="AG8" s="10"/>
      <c r="AH8" s="11"/>
      <c r="AI8" s="12"/>
      <c r="AJ8" s="17"/>
      <c r="AK8" s="13"/>
      <c r="AL8" s="13"/>
      <c r="AM8" s="13"/>
      <c r="AN8" s="14"/>
      <c r="AO8" s="9"/>
      <c r="AP8" s="16"/>
      <c r="AQ8" s="10"/>
      <c r="AR8" s="10"/>
      <c r="AS8" s="10"/>
      <c r="AT8" s="11"/>
      <c r="AU8" s="12"/>
      <c r="AV8" s="17"/>
      <c r="AW8" s="13"/>
      <c r="AX8" s="13"/>
      <c r="AY8" s="13"/>
      <c r="AZ8" s="14"/>
      <c r="BA8" s="9"/>
      <c r="BB8" s="16"/>
      <c r="BC8" s="10"/>
      <c r="BD8" s="10"/>
      <c r="BE8" s="10"/>
      <c r="BF8" s="11"/>
      <c r="BG8" s="12"/>
      <c r="BH8" s="17"/>
      <c r="BI8" s="13"/>
      <c r="BJ8" s="13"/>
      <c r="BK8" s="13"/>
      <c r="BL8" s="14"/>
      <c r="BM8" s="8">
        <f t="shared" si="0"/>
        <v>10</v>
      </c>
      <c r="BN8" s="8">
        <f t="shared" si="1"/>
        <v>9</v>
      </c>
      <c r="BO8" s="8">
        <f t="shared" si="2"/>
        <v>9</v>
      </c>
      <c r="BP8" s="8">
        <f t="shared" si="3"/>
        <v>8</v>
      </c>
      <c r="BQ8" s="8">
        <f t="shared" si="4"/>
        <v>10</v>
      </c>
      <c r="BR8" s="8">
        <f t="shared" si="5"/>
        <v>9</v>
      </c>
      <c r="BS8" s="15">
        <f t="shared" si="6"/>
        <v>7.4304979644704821</v>
      </c>
      <c r="BT8" s="15" t="str">
        <f t="shared" si="7"/>
        <v>OK - No Upgrade</v>
      </c>
      <c r="BU8" s="15" t="str">
        <f t="shared" si="8"/>
        <v>OK - Balanced</v>
      </c>
    </row>
    <row r="9" spans="1:73" ht="15.75" customHeight="1" x14ac:dyDescent="0.25">
      <c r="A9" s="8" t="s">
        <v>3005</v>
      </c>
      <c r="B9" s="8" t="s">
        <v>3390</v>
      </c>
      <c r="C9" s="8" t="s">
        <v>389</v>
      </c>
      <c r="D9" s="8" t="s">
        <v>3406</v>
      </c>
      <c r="E9" s="8" t="s">
        <v>3407</v>
      </c>
      <c r="F9" s="8" t="s">
        <v>43</v>
      </c>
      <c r="G9" s="8" t="s">
        <v>44</v>
      </c>
      <c r="H9" s="8">
        <v>315</v>
      </c>
      <c r="I9" s="8" t="s">
        <v>3408</v>
      </c>
      <c r="J9" s="8">
        <v>1</v>
      </c>
      <c r="K9" s="8">
        <v>243</v>
      </c>
      <c r="L9" s="8">
        <v>245</v>
      </c>
      <c r="M9" s="8">
        <v>244</v>
      </c>
      <c r="N9" s="8">
        <v>427</v>
      </c>
      <c r="O9" s="8">
        <v>423</v>
      </c>
      <c r="P9" s="8">
        <v>426</v>
      </c>
      <c r="Q9" s="9" t="s">
        <v>46</v>
      </c>
      <c r="R9" s="16"/>
      <c r="S9" s="10">
        <v>50</v>
      </c>
      <c r="T9" s="10">
        <v>67</v>
      </c>
      <c r="U9" s="10">
        <v>34</v>
      </c>
      <c r="V9" s="11">
        <v>43</v>
      </c>
      <c r="W9" s="12"/>
      <c r="X9" s="17"/>
      <c r="Y9" s="13"/>
      <c r="Z9" s="13"/>
      <c r="AA9" s="13"/>
      <c r="AB9" s="14"/>
      <c r="AC9" s="9"/>
      <c r="AD9" s="16"/>
      <c r="AE9" s="10"/>
      <c r="AF9" s="10"/>
      <c r="AG9" s="10"/>
      <c r="AH9" s="11"/>
      <c r="AI9" s="12"/>
      <c r="AJ9" s="17"/>
      <c r="AK9" s="13"/>
      <c r="AL9" s="13"/>
      <c r="AM9" s="13"/>
      <c r="AN9" s="14"/>
      <c r="AO9" s="9"/>
      <c r="AP9" s="16"/>
      <c r="AQ9" s="10"/>
      <c r="AR9" s="10"/>
      <c r="AS9" s="10"/>
      <c r="AT9" s="11"/>
      <c r="AU9" s="12"/>
      <c r="AV9" s="17"/>
      <c r="AW9" s="13"/>
      <c r="AX9" s="13"/>
      <c r="AY9" s="13"/>
      <c r="AZ9" s="14"/>
      <c r="BA9" s="9"/>
      <c r="BB9" s="16"/>
      <c r="BC9" s="10"/>
      <c r="BD9" s="10"/>
      <c r="BE9" s="10"/>
      <c r="BF9" s="11"/>
      <c r="BG9" s="12"/>
      <c r="BH9" s="17"/>
      <c r="BI9" s="13"/>
      <c r="BJ9" s="13"/>
      <c r="BK9" s="13"/>
      <c r="BL9" s="14"/>
      <c r="BM9" s="8">
        <f t="shared" si="0"/>
        <v>50</v>
      </c>
      <c r="BN9" s="8">
        <f t="shared" si="1"/>
        <v>67</v>
      </c>
      <c r="BO9" s="8">
        <f t="shared" si="2"/>
        <v>34</v>
      </c>
      <c r="BP9" s="8">
        <f t="shared" si="3"/>
        <v>43</v>
      </c>
      <c r="BQ9" s="8">
        <f t="shared" si="4"/>
        <v>67</v>
      </c>
      <c r="BR9" s="8">
        <f t="shared" si="5"/>
        <v>34</v>
      </c>
      <c r="BS9" s="15">
        <f t="shared" si="6"/>
        <v>15.730870334520002</v>
      </c>
      <c r="BT9" s="15" t="str">
        <f t="shared" si="7"/>
        <v>OK - No Upgrade</v>
      </c>
      <c r="BU9" s="15" t="str">
        <f t="shared" si="8"/>
        <v>Need to Balance</v>
      </c>
    </row>
    <row r="10" spans="1:73" ht="15.75" customHeight="1" x14ac:dyDescent="0.25">
      <c r="A10" s="8" t="s">
        <v>3005</v>
      </c>
      <c r="B10" s="8" t="s">
        <v>3390</v>
      </c>
      <c r="C10" s="8" t="s">
        <v>389</v>
      </c>
      <c r="D10" s="8" t="s">
        <v>3409</v>
      </c>
      <c r="E10" s="8" t="s">
        <v>3410</v>
      </c>
      <c r="F10" s="8" t="s">
        <v>43</v>
      </c>
      <c r="G10" s="8" t="s">
        <v>44</v>
      </c>
      <c r="H10" s="8">
        <v>100</v>
      </c>
      <c r="I10" s="8" t="s">
        <v>3411</v>
      </c>
      <c r="J10" s="8">
        <v>1</v>
      </c>
      <c r="K10" s="8">
        <v>247</v>
      </c>
      <c r="L10" s="8">
        <v>250</v>
      </c>
      <c r="M10" s="8">
        <v>248</v>
      </c>
      <c r="N10" s="8">
        <v>433</v>
      </c>
      <c r="O10" s="8">
        <v>430</v>
      </c>
      <c r="P10" s="8">
        <v>434</v>
      </c>
      <c r="Q10" s="9" t="s">
        <v>46</v>
      </c>
      <c r="R10" s="16"/>
      <c r="S10" s="10">
        <v>0</v>
      </c>
      <c r="T10" s="10">
        <v>0</v>
      </c>
      <c r="U10" s="10">
        <v>0</v>
      </c>
      <c r="V10" s="11">
        <v>0</v>
      </c>
      <c r="W10" s="12"/>
      <c r="X10" s="17"/>
      <c r="Y10" s="13">
        <v>0</v>
      </c>
      <c r="Z10" s="13">
        <v>0</v>
      </c>
      <c r="AA10" s="13">
        <v>0</v>
      </c>
      <c r="AB10" s="14">
        <v>0</v>
      </c>
      <c r="AC10" s="9"/>
      <c r="AD10" s="16"/>
      <c r="AE10" s="10"/>
      <c r="AF10" s="10"/>
      <c r="AG10" s="10"/>
      <c r="AH10" s="11"/>
      <c r="AI10" s="12"/>
      <c r="AJ10" s="17"/>
      <c r="AK10" s="13"/>
      <c r="AL10" s="13"/>
      <c r="AM10" s="13"/>
      <c r="AN10" s="14"/>
      <c r="AO10" s="9"/>
      <c r="AP10" s="16"/>
      <c r="AQ10" s="10"/>
      <c r="AR10" s="10"/>
      <c r="AS10" s="10"/>
      <c r="AT10" s="11"/>
      <c r="AU10" s="12"/>
      <c r="AV10" s="17"/>
      <c r="AW10" s="13"/>
      <c r="AX10" s="13"/>
      <c r="AY10" s="13"/>
      <c r="AZ10" s="14"/>
      <c r="BA10" s="9"/>
      <c r="BB10" s="16"/>
      <c r="BC10" s="10"/>
      <c r="BD10" s="10"/>
      <c r="BE10" s="10"/>
      <c r="BF10" s="11"/>
      <c r="BG10" s="12"/>
      <c r="BH10" s="17"/>
      <c r="BI10" s="13"/>
      <c r="BJ10" s="13"/>
      <c r="BK10" s="13"/>
      <c r="BL10" s="14"/>
      <c r="BM10" s="8">
        <f t="shared" si="0"/>
        <v>0</v>
      </c>
      <c r="BN10" s="8">
        <f t="shared" si="1"/>
        <v>0</v>
      </c>
      <c r="BO10" s="8">
        <f t="shared" si="2"/>
        <v>0</v>
      </c>
      <c r="BP10" s="8">
        <f t="shared" si="3"/>
        <v>0</v>
      </c>
      <c r="BQ10" s="8">
        <f t="shared" si="4"/>
        <v>0</v>
      </c>
      <c r="BR10" s="8">
        <f t="shared" si="5"/>
        <v>0</v>
      </c>
      <c r="BS10" s="15">
        <f t="shared" si="6"/>
        <v>0</v>
      </c>
      <c r="BT10" s="15" t="str">
        <f t="shared" si="7"/>
        <v>OK - No Upgrade</v>
      </c>
      <c r="BU10" s="15" t="str">
        <f t="shared" si="8"/>
        <v>OK - Balanced</v>
      </c>
    </row>
    <row r="11" spans="1:73" ht="15.75" customHeight="1" x14ac:dyDescent="0.25">
      <c r="A11" s="8" t="s">
        <v>3005</v>
      </c>
      <c r="B11" s="8" t="s">
        <v>3390</v>
      </c>
      <c r="C11" s="8" t="s">
        <v>389</v>
      </c>
      <c r="D11" s="8" t="s">
        <v>3412</v>
      </c>
      <c r="E11" s="8" t="s">
        <v>3413</v>
      </c>
      <c r="F11" s="8" t="s">
        <v>43</v>
      </c>
      <c r="G11" s="8" t="s">
        <v>44</v>
      </c>
      <c r="H11" s="8">
        <v>315</v>
      </c>
      <c r="I11" s="8" t="s">
        <v>3414</v>
      </c>
      <c r="J11" s="8">
        <v>1</v>
      </c>
      <c r="K11" s="8">
        <v>246</v>
      </c>
      <c r="L11" s="8">
        <v>248</v>
      </c>
      <c r="M11" s="8">
        <v>247</v>
      </c>
      <c r="N11" s="8">
        <v>430</v>
      </c>
      <c r="O11" s="8">
        <v>428</v>
      </c>
      <c r="P11" s="8">
        <v>433</v>
      </c>
      <c r="Q11" s="9" t="s">
        <v>46</v>
      </c>
      <c r="R11" s="16"/>
      <c r="S11" s="10">
        <v>66</v>
      </c>
      <c r="T11" s="10">
        <v>84</v>
      </c>
      <c r="U11" s="10">
        <v>97</v>
      </c>
      <c r="V11" s="11">
        <v>30</v>
      </c>
      <c r="W11" s="12"/>
      <c r="X11" s="17"/>
      <c r="Y11" s="13"/>
      <c r="Z11" s="13"/>
      <c r="AA11" s="13"/>
      <c r="AB11" s="14"/>
      <c r="AC11" s="9"/>
      <c r="AD11" s="16"/>
      <c r="AE11" s="10"/>
      <c r="AF11" s="10"/>
      <c r="AG11" s="10"/>
      <c r="AH11" s="11"/>
      <c r="AI11" s="12"/>
      <c r="AJ11" s="17"/>
      <c r="AK11" s="13"/>
      <c r="AL11" s="13"/>
      <c r="AM11" s="13"/>
      <c r="AN11" s="14"/>
      <c r="AO11" s="9"/>
      <c r="AP11" s="16"/>
      <c r="AQ11" s="10"/>
      <c r="AR11" s="10"/>
      <c r="AS11" s="10"/>
      <c r="AT11" s="11"/>
      <c r="AU11" s="12"/>
      <c r="AV11" s="17"/>
      <c r="AW11" s="13"/>
      <c r="AX11" s="13"/>
      <c r="AY11" s="13"/>
      <c r="AZ11" s="14"/>
      <c r="BA11" s="9"/>
      <c r="BB11" s="16"/>
      <c r="BC11" s="10"/>
      <c r="BD11" s="10"/>
      <c r="BE11" s="10"/>
      <c r="BF11" s="11"/>
      <c r="BG11" s="12"/>
      <c r="BH11" s="17"/>
      <c r="BI11" s="13"/>
      <c r="BJ11" s="13"/>
      <c r="BK11" s="13"/>
      <c r="BL11" s="14"/>
      <c r="BM11" s="8">
        <f t="shared" si="0"/>
        <v>66</v>
      </c>
      <c r="BN11" s="8">
        <f t="shared" si="1"/>
        <v>84</v>
      </c>
      <c r="BO11" s="8">
        <f t="shared" si="2"/>
        <v>97</v>
      </c>
      <c r="BP11" s="8">
        <f t="shared" si="3"/>
        <v>30</v>
      </c>
      <c r="BQ11" s="8">
        <f t="shared" si="4"/>
        <v>97</v>
      </c>
      <c r="BR11" s="8">
        <f t="shared" si="5"/>
        <v>66</v>
      </c>
      <c r="BS11" s="15">
        <f t="shared" si="6"/>
        <v>22.934552121808849</v>
      </c>
      <c r="BT11" s="15" t="str">
        <f t="shared" si="7"/>
        <v>OK - No Upgrade</v>
      </c>
      <c r="BU11" s="15" t="str">
        <f t="shared" si="8"/>
        <v>Need to Balance</v>
      </c>
    </row>
    <row r="12" spans="1:73" ht="15.75" customHeight="1" x14ac:dyDescent="0.25">
      <c r="A12" s="8" t="s">
        <v>3005</v>
      </c>
      <c r="B12" s="8" t="s">
        <v>3390</v>
      </c>
      <c r="C12" s="8" t="s">
        <v>389</v>
      </c>
      <c r="D12" s="8" t="s">
        <v>3415</v>
      </c>
      <c r="E12" s="8" t="s">
        <v>3416</v>
      </c>
      <c r="F12" s="8" t="s">
        <v>43</v>
      </c>
      <c r="G12" s="8" t="s">
        <v>2525</v>
      </c>
      <c r="H12" s="8">
        <v>50</v>
      </c>
      <c r="I12" s="8" t="s">
        <v>3417</v>
      </c>
      <c r="J12" s="8">
        <v>1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9"/>
      <c r="R12" s="16"/>
      <c r="S12" s="10">
        <v>0</v>
      </c>
      <c r="T12" s="10">
        <v>0</v>
      </c>
      <c r="U12" s="10">
        <v>0</v>
      </c>
      <c r="V12" s="11">
        <v>0</v>
      </c>
      <c r="W12" s="12"/>
      <c r="X12" s="17"/>
      <c r="Y12" s="13"/>
      <c r="Z12" s="13"/>
      <c r="AA12" s="13"/>
      <c r="AB12" s="14"/>
      <c r="AC12" s="9"/>
      <c r="AD12" s="16"/>
      <c r="AE12" s="10"/>
      <c r="AF12" s="10"/>
      <c r="AG12" s="10"/>
      <c r="AH12" s="11"/>
      <c r="AI12" s="12"/>
      <c r="AJ12" s="17"/>
      <c r="AK12" s="13"/>
      <c r="AL12" s="13"/>
      <c r="AM12" s="13"/>
      <c r="AN12" s="14"/>
      <c r="AO12" s="9"/>
      <c r="AP12" s="16"/>
      <c r="AQ12" s="10"/>
      <c r="AR12" s="10"/>
      <c r="AS12" s="10"/>
      <c r="AT12" s="11"/>
      <c r="AU12" s="12"/>
      <c r="AV12" s="17"/>
      <c r="AW12" s="13"/>
      <c r="AX12" s="13"/>
      <c r="AY12" s="13"/>
      <c r="AZ12" s="14"/>
      <c r="BA12" s="9"/>
      <c r="BB12" s="16"/>
      <c r="BC12" s="10"/>
      <c r="BD12" s="10"/>
      <c r="BE12" s="10"/>
      <c r="BF12" s="11"/>
      <c r="BG12" s="12"/>
      <c r="BH12" s="17"/>
      <c r="BI12" s="13"/>
      <c r="BJ12" s="13"/>
      <c r="BK12" s="13"/>
      <c r="BL12" s="14"/>
      <c r="BM12" s="8">
        <f t="shared" si="0"/>
        <v>0</v>
      </c>
      <c r="BN12" s="8">
        <f t="shared" si="1"/>
        <v>0</v>
      </c>
      <c r="BO12" s="8">
        <f t="shared" si="2"/>
        <v>0</v>
      </c>
      <c r="BP12" s="8">
        <f t="shared" si="3"/>
        <v>0</v>
      </c>
      <c r="BQ12" s="8">
        <f t="shared" si="4"/>
        <v>0</v>
      </c>
      <c r="BR12" s="8">
        <f t="shared" si="5"/>
        <v>0</v>
      </c>
      <c r="BS12" s="15">
        <f t="shared" si="6"/>
        <v>0</v>
      </c>
      <c r="BT12" s="15" t="str">
        <f t="shared" si="7"/>
        <v>OK - No Upgrade</v>
      </c>
      <c r="BU12" s="15" t="str">
        <f t="shared" si="8"/>
        <v>OK - Balanced</v>
      </c>
    </row>
    <row r="13" spans="1:73" ht="15.75" customHeight="1" x14ac:dyDescent="0.25">
      <c r="A13" s="8" t="s">
        <v>3005</v>
      </c>
      <c r="B13" s="8" t="s">
        <v>3390</v>
      </c>
      <c r="C13" s="8" t="s">
        <v>389</v>
      </c>
      <c r="D13" s="8" t="s">
        <v>3418</v>
      </c>
      <c r="E13" s="8" t="s">
        <v>1038</v>
      </c>
      <c r="F13" s="8" t="s">
        <v>43</v>
      </c>
      <c r="G13" s="8"/>
      <c r="H13" s="8">
        <v>50</v>
      </c>
      <c r="I13" s="8"/>
      <c r="J13" s="8">
        <v>1</v>
      </c>
      <c r="K13" s="8"/>
      <c r="L13" s="8"/>
      <c r="M13" s="8"/>
      <c r="N13" s="8"/>
      <c r="O13" s="8"/>
      <c r="P13" s="8"/>
      <c r="Q13" s="9"/>
      <c r="R13" s="16"/>
      <c r="S13" s="10"/>
      <c r="T13" s="10"/>
      <c r="U13" s="10"/>
      <c r="V13" s="11"/>
      <c r="W13" s="12"/>
      <c r="X13" s="17"/>
      <c r="Y13" s="13"/>
      <c r="Z13" s="13"/>
      <c r="AA13" s="13"/>
      <c r="AB13" s="14"/>
      <c r="AC13" s="9"/>
      <c r="AD13" s="16"/>
      <c r="AE13" s="10"/>
      <c r="AF13" s="10"/>
      <c r="AG13" s="10"/>
      <c r="AH13" s="11"/>
      <c r="AI13" s="12"/>
      <c r="AJ13" s="17"/>
      <c r="AK13" s="13"/>
      <c r="AL13" s="13"/>
      <c r="AM13" s="13"/>
      <c r="AN13" s="14"/>
      <c r="AO13" s="9"/>
      <c r="AP13" s="16"/>
      <c r="AQ13" s="10"/>
      <c r="AR13" s="10"/>
      <c r="AS13" s="10"/>
      <c r="AT13" s="11"/>
      <c r="AU13" s="12"/>
      <c r="AV13" s="17"/>
      <c r="AW13" s="13"/>
      <c r="AX13" s="13"/>
      <c r="AY13" s="13"/>
      <c r="AZ13" s="14"/>
      <c r="BA13" s="9"/>
      <c r="BB13" s="16"/>
      <c r="BC13" s="10"/>
      <c r="BD13" s="10"/>
      <c r="BE13" s="10"/>
      <c r="BF13" s="11"/>
      <c r="BG13" s="12"/>
      <c r="BH13" s="17"/>
      <c r="BI13" s="13"/>
      <c r="BJ13" s="13"/>
      <c r="BK13" s="13"/>
      <c r="BL13" s="14"/>
      <c r="BM13" s="8">
        <f t="shared" si="0"/>
        <v>0</v>
      </c>
      <c r="BN13" s="8">
        <f t="shared" si="1"/>
        <v>0</v>
      </c>
      <c r="BO13" s="8">
        <f t="shared" si="2"/>
        <v>0</v>
      </c>
      <c r="BP13" s="8">
        <f t="shared" si="3"/>
        <v>0</v>
      </c>
      <c r="BQ13" s="8">
        <f t="shared" si="4"/>
        <v>0</v>
      </c>
      <c r="BR13" s="8">
        <f t="shared" si="5"/>
        <v>0</v>
      </c>
      <c r="BS13" s="15">
        <f t="shared" si="6"/>
        <v>0</v>
      </c>
      <c r="BT13" s="15" t="str">
        <f t="shared" si="7"/>
        <v>OK - No Upgrade</v>
      </c>
      <c r="BU13" s="15" t="str">
        <f t="shared" si="8"/>
        <v>OK - Balanced</v>
      </c>
    </row>
    <row r="14" spans="1:73" ht="15.75" customHeight="1" x14ac:dyDescent="0.25">
      <c r="A14" s="8" t="s">
        <v>3005</v>
      </c>
      <c r="B14" s="8" t="s">
        <v>3390</v>
      </c>
      <c r="C14" s="8" t="s">
        <v>389</v>
      </c>
      <c r="D14" s="8" t="s">
        <v>3419</v>
      </c>
      <c r="E14" s="8" t="s">
        <v>3420</v>
      </c>
      <c r="F14" s="8" t="s">
        <v>43</v>
      </c>
      <c r="G14" s="8" t="s">
        <v>44</v>
      </c>
      <c r="H14" s="8">
        <v>100</v>
      </c>
      <c r="I14" s="8" t="s">
        <v>3421</v>
      </c>
      <c r="J14" s="8">
        <v>1</v>
      </c>
      <c r="K14" s="8">
        <v>250</v>
      </c>
      <c r="L14" s="8">
        <v>252</v>
      </c>
      <c r="M14" s="8">
        <v>251</v>
      </c>
      <c r="N14" s="8">
        <v>437</v>
      </c>
      <c r="O14" s="8">
        <v>436</v>
      </c>
      <c r="P14" s="8">
        <v>438</v>
      </c>
      <c r="Q14" s="9" t="s">
        <v>46</v>
      </c>
      <c r="R14" s="16"/>
      <c r="S14" s="10">
        <v>11</v>
      </c>
      <c r="T14" s="10">
        <v>9</v>
      </c>
      <c r="U14" s="10">
        <v>7</v>
      </c>
      <c r="V14" s="11">
        <v>12</v>
      </c>
      <c r="W14" s="12"/>
      <c r="X14" s="17"/>
      <c r="Y14" s="13"/>
      <c r="Z14" s="13"/>
      <c r="AA14" s="13"/>
      <c r="AB14" s="14"/>
      <c r="AC14" s="9"/>
      <c r="AD14" s="16"/>
      <c r="AE14" s="10"/>
      <c r="AF14" s="10"/>
      <c r="AG14" s="10"/>
      <c r="AH14" s="11"/>
      <c r="AI14" s="12"/>
      <c r="AJ14" s="17"/>
      <c r="AK14" s="13"/>
      <c r="AL14" s="13"/>
      <c r="AM14" s="13"/>
      <c r="AN14" s="14"/>
      <c r="AO14" s="9"/>
      <c r="AP14" s="16"/>
      <c r="AQ14" s="10"/>
      <c r="AR14" s="10"/>
      <c r="AS14" s="10"/>
      <c r="AT14" s="11"/>
      <c r="AU14" s="12"/>
      <c r="AV14" s="17"/>
      <c r="AW14" s="13"/>
      <c r="AX14" s="13"/>
      <c r="AY14" s="13"/>
      <c r="AZ14" s="14"/>
      <c r="BA14" s="9"/>
      <c r="BB14" s="16"/>
      <c r="BC14" s="10"/>
      <c r="BD14" s="10"/>
      <c r="BE14" s="10"/>
      <c r="BF14" s="11"/>
      <c r="BG14" s="12"/>
      <c r="BH14" s="17"/>
      <c r="BI14" s="13"/>
      <c r="BJ14" s="13"/>
      <c r="BK14" s="13"/>
      <c r="BL14" s="14"/>
      <c r="BM14" s="8">
        <f t="shared" si="0"/>
        <v>11</v>
      </c>
      <c r="BN14" s="8">
        <f t="shared" si="1"/>
        <v>9</v>
      </c>
      <c r="BO14" s="8">
        <f t="shared" si="2"/>
        <v>7</v>
      </c>
      <c r="BP14" s="8">
        <f t="shared" si="3"/>
        <v>12</v>
      </c>
      <c r="BQ14" s="8">
        <f t="shared" si="4"/>
        <v>11</v>
      </c>
      <c r="BR14" s="8">
        <f t="shared" si="5"/>
        <v>7</v>
      </c>
      <c r="BS14" s="15">
        <f t="shared" si="6"/>
        <v>8.3259682319835928</v>
      </c>
      <c r="BT14" s="15" t="str">
        <f t="shared" si="7"/>
        <v>OK - No Upgrade</v>
      </c>
      <c r="BU14" s="15" t="str">
        <f t="shared" si="8"/>
        <v>Need to Balance</v>
      </c>
    </row>
    <row r="15" spans="1:73" ht="15.75" customHeight="1" x14ac:dyDescent="0.25">
      <c r="A15" s="8" t="s">
        <v>3005</v>
      </c>
      <c r="B15" s="8" t="s">
        <v>3390</v>
      </c>
      <c r="C15" s="8" t="s">
        <v>389</v>
      </c>
      <c r="D15" s="8" t="s">
        <v>3422</v>
      </c>
      <c r="E15" s="8" t="s">
        <v>3423</v>
      </c>
      <c r="F15" s="8" t="s">
        <v>43</v>
      </c>
      <c r="G15" s="8" t="s">
        <v>1077</v>
      </c>
      <c r="H15" s="8">
        <v>315</v>
      </c>
      <c r="I15" s="8" t="s">
        <v>3424</v>
      </c>
      <c r="J15" s="8">
        <v>1</v>
      </c>
      <c r="K15" s="8">
        <v>250</v>
      </c>
      <c r="L15" s="8">
        <v>251</v>
      </c>
      <c r="M15" s="8">
        <v>252</v>
      </c>
      <c r="N15" s="8">
        <v>436</v>
      </c>
      <c r="O15" s="8">
        <v>437</v>
      </c>
      <c r="P15" s="8">
        <v>436</v>
      </c>
      <c r="Q15" s="9" t="s">
        <v>46</v>
      </c>
      <c r="R15" s="16"/>
      <c r="S15" s="10">
        <v>74</v>
      </c>
      <c r="T15" s="10">
        <v>139</v>
      </c>
      <c r="U15" s="10">
        <v>57</v>
      </c>
      <c r="V15" s="11">
        <v>92</v>
      </c>
      <c r="W15" s="12"/>
      <c r="X15" s="17"/>
      <c r="Y15" s="13"/>
      <c r="Z15" s="13"/>
      <c r="AA15" s="13"/>
      <c r="AB15" s="14"/>
      <c r="AC15" s="9"/>
      <c r="AD15" s="16"/>
      <c r="AE15" s="10"/>
      <c r="AF15" s="10"/>
      <c r="AG15" s="10"/>
      <c r="AH15" s="11"/>
      <c r="AI15" s="12"/>
      <c r="AJ15" s="17"/>
      <c r="AK15" s="13"/>
      <c r="AL15" s="13"/>
      <c r="AM15" s="13"/>
      <c r="AN15" s="14"/>
      <c r="AO15" s="9"/>
      <c r="AP15" s="16"/>
      <c r="AQ15" s="10"/>
      <c r="AR15" s="10"/>
      <c r="AS15" s="10"/>
      <c r="AT15" s="11"/>
      <c r="AU15" s="12"/>
      <c r="AV15" s="17"/>
      <c r="AW15" s="13"/>
      <c r="AX15" s="13"/>
      <c r="AY15" s="13"/>
      <c r="AZ15" s="14"/>
      <c r="BA15" s="9"/>
      <c r="BB15" s="16"/>
      <c r="BC15" s="10"/>
      <c r="BD15" s="10"/>
      <c r="BE15" s="10"/>
      <c r="BF15" s="11"/>
      <c r="BG15" s="12"/>
      <c r="BH15" s="17"/>
      <c r="BI15" s="13"/>
      <c r="BJ15" s="13"/>
      <c r="BK15" s="13"/>
      <c r="BL15" s="14"/>
      <c r="BM15" s="8">
        <f t="shared" si="0"/>
        <v>74</v>
      </c>
      <c r="BN15" s="8">
        <f t="shared" si="1"/>
        <v>139</v>
      </c>
      <c r="BO15" s="8">
        <f t="shared" si="2"/>
        <v>57</v>
      </c>
      <c r="BP15" s="8">
        <f t="shared" si="3"/>
        <v>92</v>
      </c>
      <c r="BQ15" s="8">
        <f t="shared" si="4"/>
        <v>139</v>
      </c>
      <c r="BR15" s="8">
        <f t="shared" si="5"/>
        <v>57</v>
      </c>
      <c r="BS15" s="15">
        <f t="shared" si="6"/>
        <v>33.323557822826736</v>
      </c>
      <c r="BT15" s="15" t="str">
        <f t="shared" si="7"/>
        <v>OK - No Upgrade</v>
      </c>
      <c r="BU15" s="15" t="str">
        <f t="shared" si="8"/>
        <v>Need to Balance</v>
      </c>
    </row>
    <row r="16" spans="1:73" ht="15.75" customHeight="1" x14ac:dyDescent="0.25">
      <c r="A16" s="8" t="s">
        <v>3005</v>
      </c>
      <c r="B16" s="8" t="s">
        <v>3390</v>
      </c>
      <c r="C16" s="8" t="s">
        <v>389</v>
      </c>
      <c r="D16" s="8" t="s">
        <v>3425</v>
      </c>
      <c r="E16" s="8" t="s">
        <v>3426</v>
      </c>
      <c r="F16" s="8" t="s">
        <v>43</v>
      </c>
      <c r="G16" s="8" t="s">
        <v>44</v>
      </c>
      <c r="H16" s="8">
        <v>100</v>
      </c>
      <c r="I16" s="8" t="s">
        <v>3427</v>
      </c>
      <c r="J16" s="8">
        <v>1</v>
      </c>
      <c r="K16" s="8">
        <v>251</v>
      </c>
      <c r="L16" s="8">
        <v>253</v>
      </c>
      <c r="M16" s="8">
        <v>253</v>
      </c>
      <c r="N16" s="8">
        <v>440</v>
      </c>
      <c r="O16" s="8">
        <v>440</v>
      </c>
      <c r="P16" s="8">
        <v>442</v>
      </c>
      <c r="Q16" s="9" t="s">
        <v>46</v>
      </c>
      <c r="R16" s="16"/>
      <c r="S16" s="10">
        <v>0</v>
      </c>
      <c r="T16" s="10">
        <v>0</v>
      </c>
      <c r="U16" s="10">
        <v>0</v>
      </c>
      <c r="V16" s="11">
        <v>0</v>
      </c>
      <c r="W16" s="12"/>
      <c r="X16" s="17"/>
      <c r="Y16" s="13"/>
      <c r="Z16" s="13"/>
      <c r="AA16" s="13"/>
      <c r="AB16" s="14"/>
      <c r="AC16" s="9"/>
      <c r="AD16" s="16"/>
      <c r="AE16" s="10"/>
      <c r="AF16" s="10"/>
      <c r="AG16" s="10"/>
      <c r="AH16" s="11"/>
      <c r="AI16" s="12"/>
      <c r="AJ16" s="17"/>
      <c r="AK16" s="13"/>
      <c r="AL16" s="13"/>
      <c r="AM16" s="13"/>
      <c r="AN16" s="14"/>
      <c r="AO16" s="9"/>
      <c r="AP16" s="16"/>
      <c r="AQ16" s="10"/>
      <c r="AR16" s="10"/>
      <c r="AS16" s="10"/>
      <c r="AT16" s="11"/>
      <c r="AU16" s="12"/>
      <c r="AV16" s="17"/>
      <c r="AW16" s="13"/>
      <c r="AX16" s="13"/>
      <c r="AY16" s="13"/>
      <c r="AZ16" s="14"/>
      <c r="BA16" s="9"/>
      <c r="BB16" s="16"/>
      <c r="BC16" s="10"/>
      <c r="BD16" s="10"/>
      <c r="BE16" s="10"/>
      <c r="BF16" s="11"/>
      <c r="BG16" s="12"/>
      <c r="BH16" s="17"/>
      <c r="BI16" s="13"/>
      <c r="BJ16" s="13"/>
      <c r="BK16" s="13"/>
      <c r="BL16" s="14"/>
      <c r="BM16" s="8">
        <f t="shared" si="0"/>
        <v>0</v>
      </c>
      <c r="BN16" s="8">
        <f t="shared" si="1"/>
        <v>0</v>
      </c>
      <c r="BO16" s="8">
        <f t="shared" si="2"/>
        <v>0</v>
      </c>
      <c r="BP16" s="8">
        <f t="shared" si="3"/>
        <v>0</v>
      </c>
      <c r="BQ16" s="8">
        <f t="shared" si="4"/>
        <v>0</v>
      </c>
      <c r="BR16" s="8">
        <f t="shared" si="5"/>
        <v>0</v>
      </c>
      <c r="BS16" s="15">
        <f t="shared" si="6"/>
        <v>0</v>
      </c>
      <c r="BT16" s="15" t="str">
        <f t="shared" si="7"/>
        <v>OK - No Upgrade</v>
      </c>
      <c r="BU16" s="15" t="str">
        <f t="shared" si="8"/>
        <v>OK - Balanced</v>
      </c>
    </row>
    <row r="17" spans="1:73" ht="15.75" customHeight="1" x14ac:dyDescent="0.25">
      <c r="A17" s="8" t="s">
        <v>3005</v>
      </c>
      <c r="B17" s="8" t="s">
        <v>3390</v>
      </c>
      <c r="C17" s="8" t="s">
        <v>389</v>
      </c>
      <c r="D17" s="8" t="s">
        <v>3428</v>
      </c>
      <c r="E17" s="8" t="s">
        <v>3429</v>
      </c>
      <c r="F17" s="8" t="s">
        <v>43</v>
      </c>
      <c r="G17" s="8" t="s">
        <v>44</v>
      </c>
      <c r="H17" s="8">
        <v>100</v>
      </c>
      <c r="I17" s="8" t="s">
        <v>3430</v>
      </c>
      <c r="J17" s="8">
        <v>1</v>
      </c>
      <c r="K17" s="8">
        <v>250</v>
      </c>
      <c r="L17" s="8">
        <v>254</v>
      </c>
      <c r="M17" s="8">
        <v>251</v>
      </c>
      <c r="N17" s="8">
        <v>438</v>
      </c>
      <c r="O17" s="8">
        <v>436</v>
      </c>
      <c r="P17" s="8">
        <v>438</v>
      </c>
      <c r="Q17" s="9" t="s">
        <v>46</v>
      </c>
      <c r="R17" s="16"/>
      <c r="S17" s="10">
        <v>0</v>
      </c>
      <c r="T17" s="10">
        <v>0</v>
      </c>
      <c r="U17" s="10">
        <v>0</v>
      </c>
      <c r="V17" s="11">
        <v>0</v>
      </c>
      <c r="W17" s="12"/>
      <c r="X17" s="17"/>
      <c r="Y17" s="13"/>
      <c r="Z17" s="13"/>
      <c r="AA17" s="13"/>
      <c r="AB17" s="14"/>
      <c r="AC17" s="9"/>
      <c r="AD17" s="16"/>
      <c r="AE17" s="10"/>
      <c r="AF17" s="10"/>
      <c r="AG17" s="10"/>
      <c r="AH17" s="11"/>
      <c r="AI17" s="12"/>
      <c r="AJ17" s="17"/>
      <c r="AK17" s="13"/>
      <c r="AL17" s="13"/>
      <c r="AM17" s="13"/>
      <c r="AN17" s="14"/>
      <c r="AO17" s="9"/>
      <c r="AP17" s="16"/>
      <c r="AQ17" s="10"/>
      <c r="AR17" s="10"/>
      <c r="AS17" s="10"/>
      <c r="AT17" s="11"/>
      <c r="AU17" s="12"/>
      <c r="AV17" s="17"/>
      <c r="AW17" s="13"/>
      <c r="AX17" s="13"/>
      <c r="AY17" s="13"/>
      <c r="AZ17" s="14"/>
      <c r="BA17" s="9"/>
      <c r="BB17" s="16"/>
      <c r="BC17" s="10"/>
      <c r="BD17" s="10"/>
      <c r="BE17" s="10"/>
      <c r="BF17" s="11"/>
      <c r="BG17" s="12"/>
      <c r="BH17" s="17"/>
      <c r="BI17" s="13"/>
      <c r="BJ17" s="13"/>
      <c r="BK17" s="13"/>
      <c r="BL17" s="14"/>
      <c r="BM17" s="8">
        <f t="shared" si="0"/>
        <v>0</v>
      </c>
      <c r="BN17" s="8">
        <f t="shared" si="1"/>
        <v>0</v>
      </c>
      <c r="BO17" s="8">
        <f t="shared" si="2"/>
        <v>0</v>
      </c>
      <c r="BP17" s="8">
        <f t="shared" si="3"/>
        <v>0</v>
      </c>
      <c r="BQ17" s="8">
        <f t="shared" si="4"/>
        <v>0</v>
      </c>
      <c r="BR17" s="8">
        <f t="shared" si="5"/>
        <v>0</v>
      </c>
      <c r="BS17" s="15">
        <f t="shared" si="6"/>
        <v>0</v>
      </c>
      <c r="BT17" s="15" t="str">
        <f t="shared" si="7"/>
        <v>OK - No Upgrade</v>
      </c>
      <c r="BU17" s="15" t="str">
        <f t="shared" si="8"/>
        <v>OK - Balanced</v>
      </c>
    </row>
    <row r="18" spans="1:73" ht="15.75" customHeight="1" x14ac:dyDescent="0.25">
      <c r="A18" s="8" t="s">
        <v>3005</v>
      </c>
      <c r="B18" s="8" t="s">
        <v>3390</v>
      </c>
      <c r="C18" s="8" t="s">
        <v>389</v>
      </c>
      <c r="D18" s="8" t="s">
        <v>3431</v>
      </c>
      <c r="E18" s="8" t="s">
        <v>3432</v>
      </c>
      <c r="F18" s="8" t="s">
        <v>43</v>
      </c>
      <c r="G18" s="8" t="s">
        <v>1077</v>
      </c>
      <c r="H18" s="8">
        <v>315</v>
      </c>
      <c r="I18" s="8" t="s">
        <v>3433</v>
      </c>
      <c r="J18" s="8">
        <v>1</v>
      </c>
      <c r="K18" s="8">
        <v>250</v>
      </c>
      <c r="L18" s="8">
        <v>251</v>
      </c>
      <c r="M18" s="8">
        <v>240</v>
      </c>
      <c r="N18" s="8">
        <v>436</v>
      </c>
      <c r="O18" s="8">
        <v>422</v>
      </c>
      <c r="P18" s="8">
        <v>415</v>
      </c>
      <c r="Q18" s="9" t="s">
        <v>46</v>
      </c>
      <c r="R18" s="16"/>
      <c r="S18" s="10">
        <v>79</v>
      </c>
      <c r="T18" s="10">
        <v>59</v>
      </c>
      <c r="U18" s="10">
        <v>67</v>
      </c>
      <c r="V18" s="11">
        <v>17</v>
      </c>
      <c r="W18" s="12"/>
      <c r="X18" s="17"/>
      <c r="Y18" s="13"/>
      <c r="Z18" s="13"/>
      <c r="AA18" s="13"/>
      <c r="AB18" s="14"/>
      <c r="AC18" s="9"/>
      <c r="AD18" s="16"/>
      <c r="AE18" s="10"/>
      <c r="AF18" s="10"/>
      <c r="AG18" s="10"/>
      <c r="AH18" s="11"/>
      <c r="AI18" s="12"/>
      <c r="AJ18" s="17"/>
      <c r="AK18" s="13"/>
      <c r="AL18" s="13"/>
      <c r="AM18" s="13"/>
      <c r="AN18" s="14"/>
      <c r="AO18" s="9"/>
      <c r="AP18" s="16"/>
      <c r="AQ18" s="10"/>
      <c r="AR18" s="10"/>
      <c r="AS18" s="10"/>
      <c r="AT18" s="11"/>
      <c r="AU18" s="12"/>
      <c r="AV18" s="17"/>
      <c r="AW18" s="13"/>
      <c r="AX18" s="13"/>
      <c r="AY18" s="13"/>
      <c r="AZ18" s="14"/>
      <c r="BA18" s="9"/>
      <c r="BB18" s="16"/>
      <c r="BC18" s="10"/>
      <c r="BD18" s="10"/>
      <c r="BE18" s="10"/>
      <c r="BF18" s="11"/>
      <c r="BG18" s="12"/>
      <c r="BH18" s="17"/>
      <c r="BI18" s="13"/>
      <c r="BJ18" s="13"/>
      <c r="BK18" s="13"/>
      <c r="BL18" s="14"/>
      <c r="BM18" s="8">
        <f t="shared" si="0"/>
        <v>79</v>
      </c>
      <c r="BN18" s="8">
        <f t="shared" si="1"/>
        <v>59</v>
      </c>
      <c r="BO18" s="8">
        <f t="shared" si="2"/>
        <v>67</v>
      </c>
      <c r="BP18" s="8">
        <f t="shared" si="3"/>
        <v>17</v>
      </c>
      <c r="BQ18" s="8">
        <f t="shared" si="4"/>
        <v>79</v>
      </c>
      <c r="BR18" s="8">
        <f t="shared" si="5"/>
        <v>59</v>
      </c>
      <c r="BS18" s="15">
        <f t="shared" si="6"/>
        <v>18.939288259016639</v>
      </c>
      <c r="BT18" s="15" t="str">
        <f t="shared" si="7"/>
        <v>OK - No Upgrade</v>
      </c>
      <c r="BU18" s="15" t="str">
        <f t="shared" si="8"/>
        <v>Need to Balance</v>
      </c>
    </row>
    <row r="19" spans="1:73" ht="15.75" customHeight="1" x14ac:dyDescent="0.25">
      <c r="A19" s="8" t="s">
        <v>3005</v>
      </c>
      <c r="B19" s="8" t="s">
        <v>3390</v>
      </c>
      <c r="C19" s="8" t="s">
        <v>389</v>
      </c>
      <c r="D19" s="8" t="s">
        <v>3434</v>
      </c>
      <c r="E19" s="8" t="s">
        <v>3435</v>
      </c>
      <c r="F19" s="8" t="s">
        <v>43</v>
      </c>
      <c r="G19" s="8" t="s">
        <v>44</v>
      </c>
      <c r="H19" s="8">
        <v>315</v>
      </c>
      <c r="I19" s="8" t="s">
        <v>3436</v>
      </c>
      <c r="J19" s="8">
        <v>1</v>
      </c>
      <c r="K19" s="8">
        <v>249</v>
      </c>
      <c r="L19" s="8">
        <v>253</v>
      </c>
      <c r="M19" s="8">
        <v>250</v>
      </c>
      <c r="N19" s="8">
        <v>435</v>
      </c>
      <c r="O19" s="8">
        <v>433</v>
      </c>
      <c r="P19" s="8">
        <v>438</v>
      </c>
      <c r="Q19" s="9" t="s">
        <v>46</v>
      </c>
      <c r="R19" s="16"/>
      <c r="S19" s="10">
        <v>51</v>
      </c>
      <c r="T19" s="10">
        <v>46</v>
      </c>
      <c r="U19" s="10">
        <v>28</v>
      </c>
      <c r="V19" s="11">
        <v>46</v>
      </c>
      <c r="W19" s="12" t="s">
        <v>46</v>
      </c>
      <c r="X19" s="17"/>
      <c r="Y19" s="13">
        <v>33</v>
      </c>
      <c r="Z19" s="13">
        <v>22</v>
      </c>
      <c r="AA19" s="13">
        <v>77</v>
      </c>
      <c r="AB19" s="14">
        <v>33</v>
      </c>
      <c r="AC19" s="9"/>
      <c r="AD19" s="16"/>
      <c r="AE19" s="10"/>
      <c r="AF19" s="10"/>
      <c r="AG19" s="10"/>
      <c r="AH19" s="11"/>
      <c r="AI19" s="12"/>
      <c r="AJ19" s="17"/>
      <c r="AK19" s="13"/>
      <c r="AL19" s="13"/>
      <c r="AM19" s="13"/>
      <c r="AN19" s="14"/>
      <c r="AO19" s="9"/>
      <c r="AP19" s="16"/>
      <c r="AQ19" s="10"/>
      <c r="AR19" s="10"/>
      <c r="AS19" s="10"/>
      <c r="AT19" s="11"/>
      <c r="AU19" s="12"/>
      <c r="AV19" s="17"/>
      <c r="AW19" s="13"/>
      <c r="AX19" s="13"/>
      <c r="AY19" s="13"/>
      <c r="AZ19" s="14"/>
      <c r="BA19" s="9"/>
      <c r="BB19" s="16"/>
      <c r="BC19" s="10"/>
      <c r="BD19" s="10"/>
      <c r="BE19" s="10"/>
      <c r="BF19" s="11"/>
      <c r="BG19" s="12"/>
      <c r="BH19" s="17"/>
      <c r="BI19" s="13"/>
      <c r="BJ19" s="13"/>
      <c r="BK19" s="13"/>
      <c r="BL19" s="14"/>
      <c r="BM19" s="8">
        <f t="shared" si="0"/>
        <v>84</v>
      </c>
      <c r="BN19" s="8">
        <f t="shared" si="1"/>
        <v>68</v>
      </c>
      <c r="BO19" s="8">
        <f t="shared" si="2"/>
        <v>105</v>
      </c>
      <c r="BP19" s="8">
        <f t="shared" si="3"/>
        <v>79</v>
      </c>
      <c r="BQ19" s="8">
        <f t="shared" si="4"/>
        <v>105</v>
      </c>
      <c r="BR19" s="8">
        <f t="shared" si="5"/>
        <v>68</v>
      </c>
      <c r="BS19" s="15">
        <f t="shared" si="6"/>
        <v>25.114736709748719</v>
      </c>
      <c r="BT19" s="15" t="str">
        <f t="shared" si="7"/>
        <v>OK - No Upgrade</v>
      </c>
      <c r="BU19" s="15" t="str">
        <f t="shared" si="8"/>
        <v>Need to Balance</v>
      </c>
    </row>
    <row r="20" spans="1:73" ht="15.75" customHeight="1" x14ac:dyDescent="0.25">
      <c r="A20" s="8" t="s">
        <v>3005</v>
      </c>
      <c r="B20" s="8" t="s">
        <v>3390</v>
      </c>
      <c r="C20" s="8" t="s">
        <v>389</v>
      </c>
      <c r="D20" s="8" t="s">
        <v>3437</v>
      </c>
      <c r="E20" s="8" t="s">
        <v>3438</v>
      </c>
      <c r="F20" s="8" t="s">
        <v>43</v>
      </c>
      <c r="G20" s="8" t="s">
        <v>44</v>
      </c>
      <c r="H20" s="8">
        <v>315</v>
      </c>
      <c r="I20" s="8" t="s">
        <v>3439</v>
      </c>
      <c r="J20" s="8">
        <v>1</v>
      </c>
      <c r="K20" s="8">
        <v>251</v>
      </c>
      <c r="L20" s="8">
        <v>249</v>
      </c>
      <c r="M20" s="8">
        <v>252</v>
      </c>
      <c r="N20" s="8">
        <v>427</v>
      </c>
      <c r="O20" s="8">
        <v>430</v>
      </c>
      <c r="P20" s="8">
        <v>437</v>
      </c>
      <c r="Q20" s="9" t="s">
        <v>46</v>
      </c>
      <c r="R20" s="16"/>
      <c r="S20" s="10">
        <v>21</v>
      </c>
      <c r="T20" s="10">
        <v>51</v>
      </c>
      <c r="U20" s="10">
        <v>14</v>
      </c>
      <c r="V20" s="11">
        <v>33</v>
      </c>
      <c r="W20" s="12" t="s">
        <v>46</v>
      </c>
      <c r="X20" s="17"/>
      <c r="Y20" s="13">
        <v>48</v>
      </c>
      <c r="Z20" s="13">
        <v>59</v>
      </c>
      <c r="AA20" s="13">
        <v>63</v>
      </c>
      <c r="AB20" s="14">
        <v>13</v>
      </c>
      <c r="AC20" s="9"/>
      <c r="AD20" s="16"/>
      <c r="AE20" s="10"/>
      <c r="AF20" s="10"/>
      <c r="AG20" s="10"/>
      <c r="AH20" s="11"/>
      <c r="AI20" s="12"/>
      <c r="AJ20" s="17"/>
      <c r="AK20" s="13"/>
      <c r="AL20" s="13"/>
      <c r="AM20" s="13"/>
      <c r="AN20" s="14"/>
      <c r="AO20" s="9"/>
      <c r="AP20" s="16"/>
      <c r="AQ20" s="10"/>
      <c r="AR20" s="10"/>
      <c r="AS20" s="10"/>
      <c r="AT20" s="11"/>
      <c r="AU20" s="12"/>
      <c r="AV20" s="17"/>
      <c r="AW20" s="13"/>
      <c r="AX20" s="13"/>
      <c r="AY20" s="13"/>
      <c r="AZ20" s="14"/>
      <c r="BA20" s="9"/>
      <c r="BB20" s="16"/>
      <c r="BC20" s="10"/>
      <c r="BD20" s="10"/>
      <c r="BE20" s="10"/>
      <c r="BF20" s="11"/>
      <c r="BG20" s="12"/>
      <c r="BH20" s="17"/>
      <c r="BI20" s="13"/>
      <c r="BJ20" s="13"/>
      <c r="BK20" s="13"/>
      <c r="BL20" s="14"/>
      <c r="BM20" s="8">
        <f t="shared" si="0"/>
        <v>69</v>
      </c>
      <c r="BN20" s="8">
        <f t="shared" si="1"/>
        <v>110</v>
      </c>
      <c r="BO20" s="8">
        <f t="shared" si="2"/>
        <v>77</v>
      </c>
      <c r="BP20" s="8">
        <f t="shared" si="3"/>
        <v>46</v>
      </c>
      <c r="BQ20" s="8">
        <f t="shared" si="4"/>
        <v>110</v>
      </c>
      <c r="BR20" s="8">
        <f t="shared" si="5"/>
        <v>69</v>
      </c>
      <c r="BS20" s="15">
        <f t="shared" si="6"/>
        <v>25.826802041749257</v>
      </c>
      <c r="BT20" s="15" t="str">
        <f t="shared" si="7"/>
        <v>OK - No Upgrade</v>
      </c>
      <c r="BU20" s="15" t="str">
        <f t="shared" si="8"/>
        <v>Need to Balance</v>
      </c>
    </row>
    <row r="21" spans="1:73" ht="15.75" customHeight="1" x14ac:dyDescent="0.25">
      <c r="A21" s="8" t="s">
        <v>3005</v>
      </c>
      <c r="B21" s="8" t="s">
        <v>3390</v>
      </c>
      <c r="C21" s="8" t="s">
        <v>389</v>
      </c>
      <c r="D21" s="8" t="s">
        <v>3440</v>
      </c>
      <c r="E21" s="8" t="s">
        <v>3441</v>
      </c>
      <c r="F21" s="8" t="s">
        <v>43</v>
      </c>
      <c r="G21" s="8" t="s">
        <v>44</v>
      </c>
      <c r="H21" s="8">
        <v>100</v>
      </c>
      <c r="I21" s="8" t="s">
        <v>3442</v>
      </c>
      <c r="J21" s="8">
        <v>1</v>
      </c>
      <c r="K21" s="8">
        <v>252</v>
      </c>
      <c r="L21" s="8">
        <v>254</v>
      </c>
      <c r="M21" s="8">
        <v>254</v>
      </c>
      <c r="N21" s="8">
        <v>440</v>
      </c>
      <c r="O21" s="8">
        <v>441</v>
      </c>
      <c r="P21" s="8">
        <v>442</v>
      </c>
      <c r="Q21" s="9" t="s">
        <v>46</v>
      </c>
      <c r="R21" s="16"/>
      <c r="S21" s="10">
        <v>7</v>
      </c>
      <c r="T21" s="10">
        <v>6</v>
      </c>
      <c r="U21" s="10">
        <v>5</v>
      </c>
      <c r="V21" s="11">
        <v>5</v>
      </c>
      <c r="W21" s="12"/>
      <c r="X21" s="17"/>
      <c r="Y21" s="13"/>
      <c r="Z21" s="13"/>
      <c r="AA21" s="13"/>
      <c r="AB21" s="14"/>
      <c r="AC21" s="9"/>
      <c r="AD21" s="16"/>
      <c r="AE21" s="10"/>
      <c r="AF21" s="10"/>
      <c r="AG21" s="10"/>
      <c r="AH21" s="11"/>
      <c r="AI21" s="12"/>
      <c r="AJ21" s="17"/>
      <c r="AK21" s="13"/>
      <c r="AL21" s="13"/>
      <c r="AM21" s="13"/>
      <c r="AN21" s="14"/>
      <c r="AO21" s="9"/>
      <c r="AP21" s="16"/>
      <c r="AQ21" s="10"/>
      <c r="AR21" s="10"/>
      <c r="AS21" s="10"/>
      <c r="AT21" s="11"/>
      <c r="AU21" s="12"/>
      <c r="AV21" s="17"/>
      <c r="AW21" s="13"/>
      <c r="AX21" s="13"/>
      <c r="AY21" s="13"/>
      <c r="AZ21" s="14"/>
      <c r="BA21" s="9"/>
      <c r="BB21" s="16"/>
      <c r="BC21" s="10"/>
      <c r="BD21" s="10"/>
      <c r="BE21" s="10"/>
      <c r="BF21" s="11"/>
      <c r="BG21" s="12"/>
      <c r="BH21" s="17"/>
      <c r="BI21" s="13"/>
      <c r="BJ21" s="13"/>
      <c r="BK21" s="13"/>
      <c r="BL21" s="14"/>
      <c r="BM21" s="8">
        <f t="shared" si="0"/>
        <v>7</v>
      </c>
      <c r="BN21" s="8">
        <f t="shared" si="1"/>
        <v>6</v>
      </c>
      <c r="BO21" s="8">
        <f t="shared" si="2"/>
        <v>5</v>
      </c>
      <c r="BP21" s="8">
        <f t="shared" si="3"/>
        <v>5</v>
      </c>
      <c r="BQ21" s="8">
        <f t="shared" si="4"/>
        <v>7</v>
      </c>
      <c r="BR21" s="8">
        <f t="shared" si="5"/>
        <v>5</v>
      </c>
      <c r="BS21" s="15">
        <f t="shared" si="6"/>
        <v>5.334716487312142</v>
      </c>
      <c r="BT21" s="15" t="str">
        <f t="shared" si="7"/>
        <v>OK - No Upgrade</v>
      </c>
      <c r="BU21" s="15" t="str">
        <f t="shared" si="8"/>
        <v>Need to Balance</v>
      </c>
    </row>
    <row r="22" spans="1:73" ht="15.75" customHeight="1" x14ac:dyDescent="0.25">
      <c r="A22" s="8" t="s">
        <v>3005</v>
      </c>
      <c r="B22" s="8" t="s">
        <v>3390</v>
      </c>
      <c r="C22" s="8" t="s">
        <v>389</v>
      </c>
      <c r="D22" s="8" t="s">
        <v>3443</v>
      </c>
      <c r="E22" s="8" t="s">
        <v>3444</v>
      </c>
      <c r="F22" s="8" t="s">
        <v>43</v>
      </c>
      <c r="G22" s="8" t="s">
        <v>44</v>
      </c>
      <c r="H22" s="8">
        <v>100</v>
      </c>
      <c r="I22" s="8" t="s">
        <v>2292</v>
      </c>
      <c r="J22" s="8">
        <v>1</v>
      </c>
      <c r="K22" s="8">
        <v>248</v>
      </c>
      <c r="L22" s="8">
        <v>251</v>
      </c>
      <c r="M22" s="8">
        <v>250</v>
      </c>
      <c r="N22" s="8">
        <v>430</v>
      </c>
      <c r="O22" s="8">
        <v>435</v>
      </c>
      <c r="P22" s="8">
        <v>436</v>
      </c>
      <c r="Q22" s="9" t="s">
        <v>46</v>
      </c>
      <c r="R22" s="16"/>
      <c r="S22" s="10">
        <v>27</v>
      </c>
      <c r="T22" s="10">
        <v>24</v>
      </c>
      <c r="U22" s="10">
        <v>20</v>
      </c>
      <c r="V22" s="11">
        <v>18</v>
      </c>
      <c r="W22" s="12"/>
      <c r="X22" s="17"/>
      <c r="Y22" s="13"/>
      <c r="Z22" s="13"/>
      <c r="AA22" s="13"/>
      <c r="AB22" s="14"/>
      <c r="AC22" s="9"/>
      <c r="AD22" s="16"/>
      <c r="AE22" s="10"/>
      <c r="AF22" s="10"/>
      <c r="AG22" s="10"/>
      <c r="AH22" s="11"/>
      <c r="AI22" s="12"/>
      <c r="AJ22" s="17"/>
      <c r="AK22" s="13"/>
      <c r="AL22" s="13"/>
      <c r="AM22" s="13"/>
      <c r="AN22" s="14"/>
      <c r="AO22" s="9"/>
      <c r="AP22" s="16"/>
      <c r="AQ22" s="10"/>
      <c r="AR22" s="10"/>
      <c r="AS22" s="10"/>
      <c r="AT22" s="11"/>
      <c r="AU22" s="12"/>
      <c r="AV22" s="17"/>
      <c r="AW22" s="13"/>
      <c r="AX22" s="13"/>
      <c r="AY22" s="13"/>
      <c r="AZ22" s="14"/>
      <c r="BA22" s="9"/>
      <c r="BB22" s="16"/>
      <c r="BC22" s="10"/>
      <c r="BD22" s="10"/>
      <c r="BE22" s="10"/>
      <c r="BF22" s="11"/>
      <c r="BG22" s="12"/>
      <c r="BH22" s="17"/>
      <c r="BI22" s="13"/>
      <c r="BJ22" s="13"/>
      <c r="BK22" s="13"/>
      <c r="BL22" s="14"/>
      <c r="BM22" s="8">
        <f t="shared" si="0"/>
        <v>27</v>
      </c>
      <c r="BN22" s="8">
        <f t="shared" si="1"/>
        <v>24</v>
      </c>
      <c r="BO22" s="8">
        <f t="shared" si="2"/>
        <v>20</v>
      </c>
      <c r="BP22" s="8">
        <f t="shared" si="3"/>
        <v>18</v>
      </c>
      <c r="BQ22" s="8">
        <f t="shared" si="4"/>
        <v>27</v>
      </c>
      <c r="BR22" s="8">
        <f t="shared" si="5"/>
        <v>20</v>
      </c>
      <c r="BS22" s="15">
        <f t="shared" si="6"/>
        <v>20.109109875874662</v>
      </c>
      <c r="BT22" s="15" t="str">
        <f t="shared" si="7"/>
        <v>OK - No Upgrade</v>
      </c>
      <c r="BU22" s="15" t="str">
        <f t="shared" si="8"/>
        <v>Need to Balance</v>
      </c>
    </row>
    <row r="23" spans="1:73" ht="15.75" customHeight="1" x14ac:dyDescent="0.25">
      <c r="A23" s="8" t="s">
        <v>3005</v>
      </c>
      <c r="B23" s="8" t="s">
        <v>3390</v>
      </c>
      <c r="C23" s="8" t="s">
        <v>389</v>
      </c>
      <c r="D23" s="8" t="s">
        <v>3445</v>
      </c>
      <c r="E23" s="8" t="s">
        <v>3446</v>
      </c>
      <c r="F23" s="8" t="s">
        <v>43</v>
      </c>
      <c r="G23" s="8" t="s">
        <v>44</v>
      </c>
      <c r="H23" s="8">
        <v>100</v>
      </c>
      <c r="I23" s="8" t="s">
        <v>2295</v>
      </c>
      <c r="J23" s="8">
        <v>1</v>
      </c>
      <c r="K23" s="8">
        <v>242</v>
      </c>
      <c r="L23" s="8">
        <v>243</v>
      </c>
      <c r="M23" s="8">
        <v>242</v>
      </c>
      <c r="N23" s="8">
        <v>426</v>
      </c>
      <c r="O23" s="8">
        <v>427</v>
      </c>
      <c r="P23" s="8">
        <v>429</v>
      </c>
      <c r="Q23" s="9" t="s">
        <v>46</v>
      </c>
      <c r="R23" s="16"/>
      <c r="S23" s="10">
        <v>100</v>
      </c>
      <c r="T23" s="10">
        <v>94</v>
      </c>
      <c r="U23" s="10">
        <v>84</v>
      </c>
      <c r="V23" s="11">
        <v>17</v>
      </c>
      <c r="W23" s="12"/>
      <c r="X23" s="17"/>
      <c r="Y23" s="13"/>
      <c r="Z23" s="13"/>
      <c r="AA23" s="13"/>
      <c r="AB23" s="14"/>
      <c r="AC23" s="9"/>
      <c r="AD23" s="16"/>
      <c r="AE23" s="10"/>
      <c r="AF23" s="10"/>
      <c r="AG23" s="10"/>
      <c r="AH23" s="11"/>
      <c r="AI23" s="12"/>
      <c r="AJ23" s="17"/>
      <c r="AK23" s="13"/>
      <c r="AL23" s="13"/>
      <c r="AM23" s="13"/>
      <c r="AN23" s="14"/>
      <c r="AO23" s="9"/>
      <c r="AP23" s="16"/>
      <c r="AQ23" s="10"/>
      <c r="AR23" s="10"/>
      <c r="AS23" s="10"/>
      <c r="AT23" s="11"/>
      <c r="AU23" s="12"/>
      <c r="AV23" s="17"/>
      <c r="AW23" s="13"/>
      <c r="AX23" s="13"/>
      <c r="AY23" s="13"/>
      <c r="AZ23" s="14"/>
      <c r="BA23" s="9"/>
      <c r="BB23" s="16"/>
      <c r="BC23" s="10"/>
      <c r="BD23" s="10"/>
      <c r="BE23" s="10"/>
      <c r="BF23" s="11"/>
      <c r="BG23" s="12"/>
      <c r="BH23" s="17"/>
      <c r="BI23" s="13"/>
      <c r="BJ23" s="13"/>
      <c r="BK23" s="13"/>
      <c r="BL23" s="14"/>
      <c r="BM23" s="8">
        <f t="shared" si="0"/>
        <v>100</v>
      </c>
      <c r="BN23" s="8">
        <f t="shared" si="1"/>
        <v>94</v>
      </c>
      <c r="BO23" s="8">
        <f t="shared" si="2"/>
        <v>84</v>
      </c>
      <c r="BP23" s="8">
        <f t="shared" si="3"/>
        <v>17</v>
      </c>
      <c r="BQ23" s="8">
        <f t="shared" si="4"/>
        <v>100</v>
      </c>
      <c r="BR23" s="8">
        <f t="shared" si="5"/>
        <v>84</v>
      </c>
      <c r="BS23" s="15">
        <f t="shared" si="6"/>
        <v>73.785364402434169</v>
      </c>
      <c r="BT23" s="15" t="str">
        <f t="shared" si="7"/>
        <v>Upgrade</v>
      </c>
      <c r="BU23" s="15" t="str">
        <f t="shared" si="8"/>
        <v>OK - Balanced</v>
      </c>
    </row>
    <row r="24" spans="1:73" ht="15.75" customHeight="1" x14ac:dyDescent="0.25">
      <c r="A24" s="8" t="s">
        <v>3005</v>
      </c>
      <c r="B24" s="8" t="s">
        <v>3390</v>
      </c>
      <c r="C24" s="8" t="s">
        <v>389</v>
      </c>
      <c r="D24" s="8" t="s">
        <v>3447</v>
      </c>
      <c r="E24" s="8" t="s">
        <v>3448</v>
      </c>
      <c r="F24" s="8" t="s">
        <v>43</v>
      </c>
      <c r="G24" s="8" t="s">
        <v>44</v>
      </c>
      <c r="H24" s="8">
        <v>100</v>
      </c>
      <c r="I24" s="8" t="s">
        <v>3449</v>
      </c>
      <c r="J24" s="8">
        <v>1</v>
      </c>
      <c r="K24" s="8">
        <v>245</v>
      </c>
      <c r="L24" s="8">
        <v>247</v>
      </c>
      <c r="M24" s="8">
        <v>248</v>
      </c>
      <c r="N24" s="8">
        <v>427</v>
      </c>
      <c r="O24" s="8">
        <v>432</v>
      </c>
      <c r="P24" s="8">
        <v>429</v>
      </c>
      <c r="Q24" s="9" t="s">
        <v>46</v>
      </c>
      <c r="R24" s="16"/>
      <c r="S24" s="10">
        <v>31</v>
      </c>
      <c r="T24" s="10">
        <v>27</v>
      </c>
      <c r="U24" s="10">
        <v>37</v>
      </c>
      <c r="V24" s="11">
        <v>12</v>
      </c>
      <c r="W24" s="12"/>
      <c r="X24" s="17"/>
      <c r="Y24" s="13"/>
      <c r="Z24" s="13"/>
      <c r="AA24" s="13"/>
      <c r="AB24" s="14"/>
      <c r="AC24" s="9"/>
      <c r="AD24" s="16"/>
      <c r="AE24" s="10"/>
      <c r="AF24" s="10"/>
      <c r="AG24" s="10"/>
      <c r="AH24" s="11"/>
      <c r="AI24" s="12"/>
      <c r="AJ24" s="17"/>
      <c r="AK24" s="13"/>
      <c r="AL24" s="13"/>
      <c r="AM24" s="13"/>
      <c r="AN24" s="14"/>
      <c r="AO24" s="9"/>
      <c r="AP24" s="16"/>
      <c r="AQ24" s="10"/>
      <c r="AR24" s="10"/>
      <c r="AS24" s="10"/>
      <c r="AT24" s="11"/>
      <c r="AU24" s="12"/>
      <c r="AV24" s="17"/>
      <c r="AW24" s="13"/>
      <c r="AX24" s="13"/>
      <c r="AY24" s="13"/>
      <c r="AZ24" s="14"/>
      <c r="BA24" s="9"/>
      <c r="BB24" s="16"/>
      <c r="BC24" s="10"/>
      <c r="BD24" s="10"/>
      <c r="BE24" s="10"/>
      <c r="BF24" s="11"/>
      <c r="BG24" s="12"/>
      <c r="BH24" s="17"/>
      <c r="BI24" s="13"/>
      <c r="BJ24" s="13"/>
      <c r="BK24" s="13"/>
      <c r="BL24" s="14"/>
      <c r="BM24" s="8">
        <f t="shared" si="0"/>
        <v>31</v>
      </c>
      <c r="BN24" s="8">
        <f t="shared" si="1"/>
        <v>27</v>
      </c>
      <c r="BO24" s="8">
        <f t="shared" si="2"/>
        <v>37</v>
      </c>
      <c r="BP24" s="8">
        <f t="shared" si="3"/>
        <v>12</v>
      </c>
      <c r="BQ24" s="8">
        <f t="shared" si="4"/>
        <v>37</v>
      </c>
      <c r="BR24" s="8">
        <f t="shared" si="5"/>
        <v>27</v>
      </c>
      <c r="BS24" s="15">
        <f t="shared" si="6"/>
        <v>27.364670708780693</v>
      </c>
      <c r="BT24" s="15" t="str">
        <f t="shared" si="7"/>
        <v>OK - No Upgrade</v>
      </c>
      <c r="BU24" s="15" t="str">
        <f t="shared" si="8"/>
        <v>Need to Balance</v>
      </c>
    </row>
    <row r="25" spans="1:73" ht="15.75" customHeight="1" x14ac:dyDescent="0.25">
      <c r="A25" s="8" t="s">
        <v>3005</v>
      </c>
      <c r="B25" s="8" t="s">
        <v>3390</v>
      </c>
      <c r="C25" s="8" t="s">
        <v>389</v>
      </c>
      <c r="D25" s="8" t="s">
        <v>3450</v>
      </c>
      <c r="E25" s="8" t="s">
        <v>3451</v>
      </c>
      <c r="F25" s="8" t="s">
        <v>43</v>
      </c>
      <c r="G25" s="8" t="s">
        <v>44</v>
      </c>
      <c r="H25" s="8">
        <v>100</v>
      </c>
      <c r="I25" s="8" t="s">
        <v>3452</v>
      </c>
      <c r="J25" s="8">
        <v>1</v>
      </c>
      <c r="K25" s="8">
        <v>245</v>
      </c>
      <c r="L25" s="8">
        <v>248</v>
      </c>
      <c r="M25" s="8">
        <v>248</v>
      </c>
      <c r="N25" s="8">
        <v>427</v>
      </c>
      <c r="O25" s="8">
        <v>434</v>
      </c>
      <c r="P25" s="8">
        <v>431</v>
      </c>
      <c r="Q25" s="9" t="s">
        <v>46</v>
      </c>
      <c r="R25" s="16"/>
      <c r="S25" s="10">
        <v>25</v>
      </c>
      <c r="T25" s="10">
        <v>20</v>
      </c>
      <c r="U25" s="10">
        <v>28</v>
      </c>
      <c r="V25" s="11">
        <v>15</v>
      </c>
      <c r="W25" s="12"/>
      <c r="X25" s="17"/>
      <c r="Y25" s="13"/>
      <c r="Z25" s="13"/>
      <c r="AA25" s="13"/>
      <c r="AB25" s="14"/>
      <c r="AC25" s="9"/>
      <c r="AD25" s="16"/>
      <c r="AE25" s="10"/>
      <c r="AF25" s="10"/>
      <c r="AG25" s="10"/>
      <c r="AH25" s="11"/>
      <c r="AI25" s="12"/>
      <c r="AJ25" s="17"/>
      <c r="AK25" s="13"/>
      <c r="AL25" s="13"/>
      <c r="AM25" s="13"/>
      <c r="AN25" s="14"/>
      <c r="AO25" s="9"/>
      <c r="AP25" s="16"/>
      <c r="AQ25" s="10"/>
      <c r="AR25" s="10"/>
      <c r="AS25" s="10"/>
      <c r="AT25" s="11"/>
      <c r="AU25" s="12"/>
      <c r="AV25" s="17"/>
      <c r="AW25" s="13"/>
      <c r="AX25" s="13"/>
      <c r="AY25" s="13"/>
      <c r="AZ25" s="14"/>
      <c r="BA25" s="9"/>
      <c r="BB25" s="16"/>
      <c r="BC25" s="10"/>
      <c r="BD25" s="10"/>
      <c r="BE25" s="10"/>
      <c r="BF25" s="11"/>
      <c r="BG25" s="12"/>
      <c r="BH25" s="17"/>
      <c r="BI25" s="13"/>
      <c r="BJ25" s="13"/>
      <c r="BK25" s="13"/>
      <c r="BL25" s="14"/>
      <c r="BM25" s="8">
        <f t="shared" si="0"/>
        <v>25</v>
      </c>
      <c r="BN25" s="8">
        <f t="shared" si="1"/>
        <v>20</v>
      </c>
      <c r="BO25" s="8">
        <f t="shared" si="2"/>
        <v>28</v>
      </c>
      <c r="BP25" s="8">
        <f t="shared" si="3"/>
        <v>15</v>
      </c>
      <c r="BQ25" s="8">
        <f t="shared" si="4"/>
        <v>28</v>
      </c>
      <c r="BR25" s="8">
        <f t="shared" si="5"/>
        <v>20</v>
      </c>
      <c r="BS25" s="15">
        <f t="shared" si="6"/>
        <v>20.708399455293495</v>
      </c>
      <c r="BT25" s="15" t="str">
        <f t="shared" si="7"/>
        <v>OK - No Upgrade</v>
      </c>
      <c r="BU25" s="15" t="str">
        <f t="shared" si="8"/>
        <v>Need to Balance</v>
      </c>
    </row>
    <row r="26" spans="1:73" ht="15.75" customHeight="1" x14ac:dyDescent="0.25">
      <c r="A26" s="8" t="s">
        <v>3005</v>
      </c>
      <c r="B26" s="8" t="s">
        <v>3390</v>
      </c>
      <c r="C26" s="8" t="s">
        <v>389</v>
      </c>
      <c r="D26" s="8" t="s">
        <v>3453</v>
      </c>
      <c r="E26" s="8" t="s">
        <v>3454</v>
      </c>
      <c r="F26" s="8" t="s">
        <v>43</v>
      </c>
      <c r="G26" s="8" t="s">
        <v>44</v>
      </c>
      <c r="H26" s="8">
        <v>100</v>
      </c>
      <c r="I26" s="8" t="s">
        <v>3455</v>
      </c>
      <c r="J26" s="8">
        <v>1</v>
      </c>
      <c r="K26" s="8">
        <v>246</v>
      </c>
      <c r="L26" s="8">
        <v>246</v>
      </c>
      <c r="M26" s="8">
        <v>249</v>
      </c>
      <c r="N26" s="8">
        <v>429</v>
      </c>
      <c r="O26" s="8">
        <v>433</v>
      </c>
      <c r="P26" s="8">
        <v>432</v>
      </c>
      <c r="Q26" s="9" t="s">
        <v>334</v>
      </c>
      <c r="R26" s="16"/>
      <c r="S26" s="10">
        <v>15</v>
      </c>
      <c r="T26" s="10">
        <v>15</v>
      </c>
      <c r="U26" s="10">
        <v>15</v>
      </c>
      <c r="V26" s="11">
        <v>8</v>
      </c>
      <c r="W26" s="12"/>
      <c r="X26" s="17"/>
      <c r="Y26" s="13"/>
      <c r="Z26" s="13"/>
      <c r="AA26" s="13"/>
      <c r="AB26" s="14"/>
      <c r="AC26" s="9"/>
      <c r="AD26" s="16"/>
      <c r="AE26" s="10"/>
      <c r="AF26" s="10"/>
      <c r="AG26" s="10"/>
      <c r="AH26" s="11"/>
      <c r="AI26" s="12"/>
      <c r="AJ26" s="17"/>
      <c r="AK26" s="13"/>
      <c r="AL26" s="13"/>
      <c r="AM26" s="13"/>
      <c r="AN26" s="14"/>
      <c r="AO26" s="9"/>
      <c r="AP26" s="16"/>
      <c r="AQ26" s="10"/>
      <c r="AR26" s="10"/>
      <c r="AS26" s="10"/>
      <c r="AT26" s="11"/>
      <c r="AU26" s="12"/>
      <c r="AV26" s="17"/>
      <c r="AW26" s="13"/>
      <c r="AX26" s="13"/>
      <c r="AY26" s="13"/>
      <c r="AZ26" s="14"/>
      <c r="BA26" s="9"/>
      <c r="BB26" s="16"/>
      <c r="BC26" s="10"/>
      <c r="BD26" s="10"/>
      <c r="BE26" s="10"/>
      <c r="BF26" s="11"/>
      <c r="BG26" s="12"/>
      <c r="BH26" s="17"/>
      <c r="BI26" s="13"/>
      <c r="BJ26" s="13"/>
      <c r="BK26" s="13"/>
      <c r="BL26" s="14"/>
      <c r="BM26" s="8">
        <f t="shared" si="0"/>
        <v>15</v>
      </c>
      <c r="BN26" s="8">
        <f t="shared" si="1"/>
        <v>15</v>
      </c>
      <c r="BO26" s="8">
        <f t="shared" si="2"/>
        <v>15</v>
      </c>
      <c r="BP26" s="8">
        <f t="shared" si="3"/>
        <v>8</v>
      </c>
      <c r="BQ26" s="8">
        <f t="shared" si="4"/>
        <v>15</v>
      </c>
      <c r="BR26" s="8">
        <f t="shared" si="5"/>
        <v>15</v>
      </c>
      <c r="BS26" s="15">
        <f t="shared" si="6"/>
        <v>11.145746946705723</v>
      </c>
      <c r="BT26" s="15" t="str">
        <f t="shared" si="7"/>
        <v>OK - No Upgrade</v>
      </c>
      <c r="BU26" s="15" t="str">
        <f t="shared" si="8"/>
        <v>OK - Balanced</v>
      </c>
    </row>
    <row r="27" spans="1:73" ht="15.75" customHeight="1" x14ac:dyDescent="0.25">
      <c r="A27" s="8" t="s">
        <v>3005</v>
      </c>
      <c r="B27" s="8" t="s">
        <v>3390</v>
      </c>
      <c r="C27" s="8" t="s">
        <v>389</v>
      </c>
      <c r="D27" s="8" t="s">
        <v>3456</v>
      </c>
      <c r="E27" s="8" t="s">
        <v>3457</v>
      </c>
      <c r="F27" s="8" t="s">
        <v>43</v>
      </c>
      <c r="G27" s="8" t="s">
        <v>44</v>
      </c>
      <c r="H27" s="8">
        <v>100</v>
      </c>
      <c r="I27" s="8" t="s">
        <v>3458</v>
      </c>
      <c r="J27" s="8">
        <v>1</v>
      </c>
      <c r="K27" s="8">
        <v>246</v>
      </c>
      <c r="L27" s="8">
        <v>248</v>
      </c>
      <c r="M27" s="8">
        <v>249</v>
      </c>
      <c r="N27" s="8">
        <v>428</v>
      </c>
      <c r="O27" s="8">
        <v>434</v>
      </c>
      <c r="P27" s="8">
        <v>433</v>
      </c>
      <c r="Q27" s="9" t="s">
        <v>46</v>
      </c>
      <c r="R27" s="16"/>
      <c r="S27" s="10">
        <v>32</v>
      </c>
      <c r="T27" s="10">
        <v>25</v>
      </c>
      <c r="U27" s="10">
        <v>26</v>
      </c>
      <c r="V27" s="11">
        <v>15</v>
      </c>
      <c r="W27" s="12"/>
      <c r="X27" s="17"/>
      <c r="Y27" s="13"/>
      <c r="Z27" s="13"/>
      <c r="AA27" s="13"/>
      <c r="AB27" s="14"/>
      <c r="AC27" s="9"/>
      <c r="AD27" s="16"/>
      <c r="AE27" s="10"/>
      <c r="AF27" s="10"/>
      <c r="AG27" s="10"/>
      <c r="AH27" s="11"/>
      <c r="AI27" s="12"/>
      <c r="AJ27" s="17"/>
      <c r="AK27" s="13"/>
      <c r="AL27" s="13"/>
      <c r="AM27" s="13"/>
      <c r="AN27" s="14"/>
      <c r="AO27" s="9"/>
      <c r="AP27" s="16"/>
      <c r="AQ27" s="10"/>
      <c r="AR27" s="10"/>
      <c r="AS27" s="10"/>
      <c r="AT27" s="11"/>
      <c r="AU27" s="12"/>
      <c r="AV27" s="17"/>
      <c r="AW27" s="13"/>
      <c r="AX27" s="13"/>
      <c r="AY27" s="13"/>
      <c r="AZ27" s="14"/>
      <c r="BA27" s="9"/>
      <c r="BB27" s="16"/>
      <c r="BC27" s="10"/>
      <c r="BD27" s="10"/>
      <c r="BE27" s="10"/>
      <c r="BF27" s="11"/>
      <c r="BG27" s="12"/>
      <c r="BH27" s="17"/>
      <c r="BI27" s="13"/>
      <c r="BJ27" s="13"/>
      <c r="BK27" s="13"/>
      <c r="BL27" s="14"/>
      <c r="BM27" s="8">
        <f t="shared" si="0"/>
        <v>32</v>
      </c>
      <c r="BN27" s="8">
        <f t="shared" si="1"/>
        <v>25</v>
      </c>
      <c r="BO27" s="8">
        <f t="shared" si="2"/>
        <v>26</v>
      </c>
      <c r="BP27" s="8">
        <f t="shared" si="3"/>
        <v>15</v>
      </c>
      <c r="BQ27" s="8">
        <f t="shared" si="4"/>
        <v>32</v>
      </c>
      <c r="BR27" s="8">
        <f t="shared" si="5"/>
        <v>25</v>
      </c>
      <c r="BS27" s="15">
        <f t="shared" si="6"/>
        <v>23.72216786046334</v>
      </c>
      <c r="BT27" s="15" t="str">
        <f t="shared" si="7"/>
        <v>OK - No Upgrade</v>
      </c>
      <c r="BU27" s="15" t="str">
        <f t="shared" si="8"/>
        <v>Need to Balance</v>
      </c>
    </row>
    <row r="28" spans="1:73" ht="15.75" customHeight="1" x14ac:dyDescent="0.25">
      <c r="A28" s="8" t="s">
        <v>3005</v>
      </c>
      <c r="B28" s="8" t="s">
        <v>3390</v>
      </c>
      <c r="C28" s="8" t="s">
        <v>389</v>
      </c>
      <c r="D28" s="8" t="s">
        <v>3459</v>
      </c>
      <c r="E28" s="8" t="s">
        <v>3460</v>
      </c>
      <c r="F28" s="8" t="s">
        <v>43</v>
      </c>
      <c r="G28" s="8" t="s">
        <v>44</v>
      </c>
      <c r="H28" s="8">
        <v>100</v>
      </c>
      <c r="I28" s="8" t="s">
        <v>3461</v>
      </c>
      <c r="J28" s="8">
        <v>1</v>
      </c>
      <c r="K28" s="8">
        <v>246</v>
      </c>
      <c r="L28" s="8">
        <v>248</v>
      </c>
      <c r="M28" s="8">
        <v>249</v>
      </c>
      <c r="N28" s="8">
        <v>429</v>
      </c>
      <c r="O28" s="8">
        <v>432</v>
      </c>
      <c r="P28" s="8">
        <v>432</v>
      </c>
      <c r="Q28" s="9" t="s">
        <v>46</v>
      </c>
      <c r="R28" s="16"/>
      <c r="S28" s="10">
        <v>10</v>
      </c>
      <c r="T28" s="10">
        <v>9</v>
      </c>
      <c r="U28" s="10">
        <v>7</v>
      </c>
      <c r="V28" s="11">
        <v>9</v>
      </c>
      <c r="W28" s="12"/>
      <c r="X28" s="17"/>
      <c r="Y28" s="13"/>
      <c r="Z28" s="13"/>
      <c r="AA28" s="13"/>
      <c r="AB28" s="14"/>
      <c r="AC28" s="9"/>
      <c r="AD28" s="16"/>
      <c r="AE28" s="10"/>
      <c r="AF28" s="10"/>
      <c r="AG28" s="10"/>
      <c r="AH28" s="11"/>
      <c r="AI28" s="12"/>
      <c r="AJ28" s="17"/>
      <c r="AK28" s="13"/>
      <c r="AL28" s="13"/>
      <c r="AM28" s="13"/>
      <c r="AN28" s="14"/>
      <c r="AO28" s="9"/>
      <c r="AP28" s="16"/>
      <c r="AQ28" s="10"/>
      <c r="AR28" s="10"/>
      <c r="AS28" s="10"/>
      <c r="AT28" s="11"/>
      <c r="AU28" s="12"/>
      <c r="AV28" s="17"/>
      <c r="AW28" s="13"/>
      <c r="AX28" s="13"/>
      <c r="AY28" s="13"/>
      <c r="AZ28" s="14"/>
      <c r="BA28" s="9"/>
      <c r="BB28" s="16"/>
      <c r="BC28" s="10"/>
      <c r="BD28" s="10"/>
      <c r="BE28" s="10"/>
      <c r="BF28" s="11"/>
      <c r="BG28" s="12"/>
      <c r="BH28" s="17"/>
      <c r="BI28" s="13"/>
      <c r="BJ28" s="13"/>
      <c r="BK28" s="13"/>
      <c r="BL28" s="14"/>
      <c r="BM28" s="8">
        <f t="shared" si="0"/>
        <v>10</v>
      </c>
      <c r="BN28" s="8">
        <f t="shared" si="1"/>
        <v>9</v>
      </c>
      <c r="BO28" s="8">
        <f t="shared" si="2"/>
        <v>7</v>
      </c>
      <c r="BP28" s="8">
        <f t="shared" si="3"/>
        <v>9</v>
      </c>
      <c r="BQ28" s="8">
        <f t="shared" si="4"/>
        <v>10</v>
      </c>
      <c r="BR28" s="8">
        <f t="shared" si="5"/>
        <v>7</v>
      </c>
      <c r="BS28" s="15">
        <f t="shared" si="6"/>
        <v>7.4304979644704821</v>
      </c>
      <c r="BT28" s="15" t="str">
        <f t="shared" si="7"/>
        <v>OK - No Upgrade</v>
      </c>
      <c r="BU28" s="15" t="str">
        <f t="shared" si="8"/>
        <v>Need to Balance</v>
      </c>
    </row>
    <row r="29" spans="1:73" ht="15.75" customHeight="1" x14ac:dyDescent="0.25">
      <c r="A29" s="8" t="s">
        <v>3005</v>
      </c>
      <c r="B29" s="8" t="s">
        <v>3390</v>
      </c>
      <c r="C29" s="8" t="s">
        <v>389</v>
      </c>
      <c r="D29" s="8" t="s">
        <v>3462</v>
      </c>
      <c r="E29" s="8" t="s">
        <v>3463</v>
      </c>
      <c r="F29" s="8" t="s">
        <v>43</v>
      </c>
      <c r="G29" s="8" t="s">
        <v>44</v>
      </c>
      <c r="H29" s="8">
        <v>100</v>
      </c>
      <c r="I29" s="8" t="s">
        <v>3464</v>
      </c>
      <c r="J29" s="8">
        <v>1</v>
      </c>
      <c r="K29" s="8">
        <v>247</v>
      </c>
      <c r="L29" s="8">
        <v>249</v>
      </c>
      <c r="M29" s="8">
        <v>248</v>
      </c>
      <c r="N29" s="8">
        <v>430</v>
      </c>
      <c r="O29" s="8">
        <v>436</v>
      </c>
      <c r="P29" s="8">
        <v>433</v>
      </c>
      <c r="Q29" s="9" t="s">
        <v>46</v>
      </c>
      <c r="R29" s="16"/>
      <c r="S29" s="10">
        <v>10</v>
      </c>
      <c r="T29" s="10">
        <v>11</v>
      </c>
      <c r="U29" s="10">
        <v>10</v>
      </c>
      <c r="V29" s="11">
        <v>12</v>
      </c>
      <c r="W29" s="12"/>
      <c r="X29" s="17"/>
      <c r="Y29" s="13"/>
      <c r="Z29" s="13"/>
      <c r="AA29" s="13"/>
      <c r="AB29" s="14"/>
      <c r="AC29" s="9"/>
      <c r="AD29" s="16"/>
      <c r="AE29" s="10"/>
      <c r="AF29" s="10"/>
      <c r="AG29" s="10"/>
      <c r="AH29" s="11"/>
      <c r="AI29" s="12"/>
      <c r="AJ29" s="17"/>
      <c r="AK29" s="13"/>
      <c r="AL29" s="13"/>
      <c r="AM29" s="13"/>
      <c r="AN29" s="14"/>
      <c r="AO29" s="9"/>
      <c r="AP29" s="16"/>
      <c r="AQ29" s="10"/>
      <c r="AR29" s="10"/>
      <c r="AS29" s="10"/>
      <c r="AT29" s="11"/>
      <c r="AU29" s="12"/>
      <c r="AV29" s="17"/>
      <c r="AW29" s="13"/>
      <c r="AX29" s="13"/>
      <c r="AY29" s="13"/>
      <c r="AZ29" s="14"/>
      <c r="BA29" s="9"/>
      <c r="BB29" s="16"/>
      <c r="BC29" s="10"/>
      <c r="BD29" s="10"/>
      <c r="BE29" s="10"/>
      <c r="BF29" s="11"/>
      <c r="BG29" s="12"/>
      <c r="BH29" s="17"/>
      <c r="BI29" s="13"/>
      <c r="BJ29" s="13"/>
      <c r="BK29" s="13"/>
      <c r="BL29" s="14"/>
      <c r="BM29" s="8">
        <f t="shared" si="0"/>
        <v>10</v>
      </c>
      <c r="BN29" s="8">
        <f t="shared" si="1"/>
        <v>11</v>
      </c>
      <c r="BO29" s="8">
        <f t="shared" si="2"/>
        <v>10</v>
      </c>
      <c r="BP29" s="8">
        <f t="shared" si="3"/>
        <v>12</v>
      </c>
      <c r="BQ29" s="8">
        <f t="shared" si="4"/>
        <v>11</v>
      </c>
      <c r="BR29" s="8">
        <f t="shared" si="5"/>
        <v>10</v>
      </c>
      <c r="BS29" s="15">
        <f t="shared" si="6"/>
        <v>8.1926003198007891</v>
      </c>
      <c r="BT29" s="15" t="str">
        <f t="shared" si="7"/>
        <v>OK - No Upgrade</v>
      </c>
      <c r="BU29" s="15" t="str">
        <f t="shared" si="8"/>
        <v>OK - Balanced</v>
      </c>
    </row>
    <row r="30" spans="1:73" ht="15.75" customHeight="1" x14ac:dyDescent="0.25">
      <c r="A30" s="8" t="s">
        <v>3005</v>
      </c>
      <c r="B30" s="8" t="s">
        <v>3390</v>
      </c>
      <c r="C30" s="8" t="s">
        <v>389</v>
      </c>
      <c r="D30" s="8" t="s">
        <v>3465</v>
      </c>
      <c r="E30" s="8" t="s">
        <v>3466</v>
      </c>
      <c r="F30" s="8" t="s">
        <v>43</v>
      </c>
      <c r="G30" s="8" t="s">
        <v>44</v>
      </c>
      <c r="H30" s="8">
        <v>100</v>
      </c>
      <c r="I30" s="8" t="s">
        <v>3467</v>
      </c>
      <c r="J30" s="8">
        <v>1</v>
      </c>
      <c r="K30" s="8">
        <v>245</v>
      </c>
      <c r="L30" s="8">
        <v>248</v>
      </c>
      <c r="M30" s="8">
        <v>249</v>
      </c>
      <c r="N30" s="8">
        <v>426</v>
      </c>
      <c r="O30" s="8">
        <v>432</v>
      </c>
      <c r="P30" s="8">
        <v>433</v>
      </c>
      <c r="Q30" s="9" t="s">
        <v>46</v>
      </c>
      <c r="R30" s="16"/>
      <c r="S30" s="10">
        <v>28</v>
      </c>
      <c r="T30" s="10">
        <v>10</v>
      </c>
      <c r="U30" s="10">
        <v>11</v>
      </c>
      <c r="V30" s="11">
        <v>15</v>
      </c>
      <c r="W30" s="12"/>
      <c r="X30" s="17"/>
      <c r="Y30" s="13"/>
      <c r="Z30" s="13"/>
      <c r="AA30" s="13"/>
      <c r="AB30" s="14"/>
      <c r="AC30" s="9"/>
      <c r="AD30" s="16"/>
      <c r="AE30" s="10"/>
      <c r="AF30" s="10"/>
      <c r="AG30" s="10"/>
      <c r="AH30" s="11"/>
      <c r="AI30" s="12"/>
      <c r="AJ30" s="17"/>
      <c r="AK30" s="13"/>
      <c r="AL30" s="13"/>
      <c r="AM30" s="13"/>
      <c r="AN30" s="14"/>
      <c r="AO30" s="9"/>
      <c r="AP30" s="16"/>
      <c r="AQ30" s="10"/>
      <c r="AR30" s="10"/>
      <c r="AS30" s="10"/>
      <c r="AT30" s="11"/>
      <c r="AU30" s="12"/>
      <c r="AV30" s="17"/>
      <c r="AW30" s="13"/>
      <c r="AX30" s="13"/>
      <c r="AY30" s="13"/>
      <c r="AZ30" s="14"/>
      <c r="BA30" s="9"/>
      <c r="BB30" s="16"/>
      <c r="BC30" s="10"/>
      <c r="BD30" s="10"/>
      <c r="BE30" s="10"/>
      <c r="BF30" s="11"/>
      <c r="BG30" s="12"/>
      <c r="BH30" s="17"/>
      <c r="BI30" s="13"/>
      <c r="BJ30" s="13"/>
      <c r="BK30" s="13"/>
      <c r="BL30" s="14"/>
      <c r="BM30" s="8">
        <f t="shared" si="0"/>
        <v>28</v>
      </c>
      <c r="BN30" s="8">
        <f t="shared" si="1"/>
        <v>10</v>
      </c>
      <c r="BO30" s="8">
        <f t="shared" si="2"/>
        <v>11</v>
      </c>
      <c r="BP30" s="8">
        <f t="shared" si="3"/>
        <v>15</v>
      </c>
      <c r="BQ30" s="8">
        <f t="shared" si="4"/>
        <v>28</v>
      </c>
      <c r="BR30" s="8">
        <f t="shared" si="5"/>
        <v>10</v>
      </c>
      <c r="BS30" s="15">
        <f t="shared" si="6"/>
        <v>20.659902032681565</v>
      </c>
      <c r="BT30" s="15" t="str">
        <f t="shared" si="7"/>
        <v>OK - No Upgrade</v>
      </c>
      <c r="BU30" s="15" t="str">
        <f t="shared" si="8"/>
        <v>Need to Balance</v>
      </c>
    </row>
    <row r="31" spans="1:73" ht="15.75" customHeight="1" x14ac:dyDescent="0.25">
      <c r="A31" s="8" t="s">
        <v>3005</v>
      </c>
      <c r="B31" s="8" t="s">
        <v>3390</v>
      </c>
      <c r="C31" s="8" t="s">
        <v>389</v>
      </c>
      <c r="D31" s="8" t="s">
        <v>3468</v>
      </c>
      <c r="E31" s="8" t="s">
        <v>3469</v>
      </c>
      <c r="F31" s="8" t="s">
        <v>43</v>
      </c>
      <c r="G31" s="8" t="s">
        <v>44</v>
      </c>
      <c r="H31" s="8">
        <v>100</v>
      </c>
      <c r="I31" s="8" t="s">
        <v>3470</v>
      </c>
      <c r="J31" s="8">
        <v>1</v>
      </c>
      <c r="K31" s="8">
        <v>244</v>
      </c>
      <c r="L31" s="8">
        <v>245</v>
      </c>
      <c r="M31" s="8">
        <v>245</v>
      </c>
      <c r="N31" s="8">
        <v>420</v>
      </c>
      <c r="O31" s="8">
        <v>421</v>
      </c>
      <c r="P31" s="8">
        <v>422</v>
      </c>
      <c r="Q31" s="9" t="s">
        <v>46</v>
      </c>
      <c r="R31" s="16"/>
      <c r="S31" s="10">
        <v>15</v>
      </c>
      <c r="T31" s="10">
        <v>15</v>
      </c>
      <c r="U31" s="10">
        <v>16</v>
      </c>
      <c r="V31" s="11">
        <v>10</v>
      </c>
      <c r="W31" s="12"/>
      <c r="X31" s="17"/>
      <c r="Y31" s="13"/>
      <c r="Z31" s="13"/>
      <c r="AA31" s="13"/>
      <c r="AB31" s="14"/>
      <c r="AC31" s="9"/>
      <c r="AD31" s="16"/>
      <c r="AE31" s="10"/>
      <c r="AF31" s="10"/>
      <c r="AG31" s="10"/>
      <c r="AH31" s="11"/>
      <c r="AI31" s="12"/>
      <c r="AJ31" s="17"/>
      <c r="AK31" s="13"/>
      <c r="AL31" s="13"/>
      <c r="AM31" s="13"/>
      <c r="AN31" s="14"/>
      <c r="AO31" s="9"/>
      <c r="AP31" s="16"/>
      <c r="AQ31" s="10"/>
      <c r="AR31" s="10"/>
      <c r="AS31" s="10"/>
      <c r="AT31" s="11"/>
      <c r="AU31" s="12"/>
      <c r="AV31" s="17"/>
      <c r="AW31" s="13"/>
      <c r="AX31" s="13"/>
      <c r="AY31" s="13"/>
      <c r="AZ31" s="14"/>
      <c r="BA31" s="9"/>
      <c r="BB31" s="16"/>
      <c r="BC31" s="10"/>
      <c r="BD31" s="10"/>
      <c r="BE31" s="10"/>
      <c r="BF31" s="11"/>
      <c r="BG31" s="12"/>
      <c r="BH31" s="17"/>
      <c r="BI31" s="13"/>
      <c r="BJ31" s="13"/>
      <c r="BK31" s="13"/>
      <c r="BL31" s="14"/>
      <c r="BM31" s="8">
        <f t="shared" si="0"/>
        <v>15</v>
      </c>
      <c r="BN31" s="8">
        <f t="shared" si="1"/>
        <v>15</v>
      </c>
      <c r="BO31" s="8">
        <f t="shared" si="2"/>
        <v>16</v>
      </c>
      <c r="BP31" s="8">
        <f t="shared" si="3"/>
        <v>10</v>
      </c>
      <c r="BQ31" s="8">
        <f t="shared" si="4"/>
        <v>16</v>
      </c>
      <c r="BR31" s="8">
        <f t="shared" si="5"/>
        <v>15</v>
      </c>
      <c r="BS31" s="15">
        <f t="shared" si="6"/>
        <v>11.639381426862853</v>
      </c>
      <c r="BT31" s="15" t="str">
        <f t="shared" si="7"/>
        <v>OK - No Upgrade</v>
      </c>
      <c r="BU31" s="15" t="str">
        <f t="shared" si="8"/>
        <v>OK - Balanced</v>
      </c>
    </row>
    <row r="32" spans="1:73" ht="15.75" customHeight="1" x14ac:dyDescent="0.25">
      <c r="A32" s="8" t="s">
        <v>3005</v>
      </c>
      <c r="B32" s="8" t="s">
        <v>3390</v>
      </c>
      <c r="C32" s="8" t="s">
        <v>389</v>
      </c>
      <c r="D32" s="8" t="s">
        <v>3471</v>
      </c>
      <c r="E32" s="8" t="s">
        <v>3472</v>
      </c>
      <c r="F32" s="8" t="s">
        <v>43</v>
      </c>
      <c r="G32" s="8" t="s">
        <v>44</v>
      </c>
      <c r="H32" s="8">
        <v>100</v>
      </c>
      <c r="I32" s="8" t="s">
        <v>3473</v>
      </c>
      <c r="J32" s="8">
        <v>1</v>
      </c>
      <c r="K32" s="8">
        <v>246</v>
      </c>
      <c r="L32" s="8">
        <v>247</v>
      </c>
      <c r="M32" s="8">
        <v>247</v>
      </c>
      <c r="N32" s="8">
        <v>425</v>
      </c>
      <c r="O32" s="8">
        <v>424</v>
      </c>
      <c r="P32" s="8">
        <v>424</v>
      </c>
      <c r="Q32" s="9" t="s">
        <v>46</v>
      </c>
      <c r="R32" s="16"/>
      <c r="S32" s="10">
        <v>5</v>
      </c>
      <c r="T32" s="10">
        <v>5</v>
      </c>
      <c r="U32" s="10">
        <v>4</v>
      </c>
      <c r="V32" s="11">
        <v>5</v>
      </c>
      <c r="W32" s="12"/>
      <c r="X32" s="17"/>
      <c r="Y32" s="13"/>
      <c r="Z32" s="13"/>
      <c r="AA32" s="13"/>
      <c r="AB32" s="14"/>
      <c r="AC32" s="9"/>
      <c r="AD32" s="16"/>
      <c r="AE32" s="10"/>
      <c r="AF32" s="10"/>
      <c r="AG32" s="10"/>
      <c r="AH32" s="11"/>
      <c r="AI32" s="12"/>
      <c r="AJ32" s="17"/>
      <c r="AK32" s="13"/>
      <c r="AL32" s="13"/>
      <c r="AM32" s="13"/>
      <c r="AN32" s="14"/>
      <c r="AO32" s="9"/>
      <c r="AP32" s="16"/>
      <c r="AQ32" s="10"/>
      <c r="AR32" s="10"/>
      <c r="AS32" s="10"/>
      <c r="AT32" s="11"/>
      <c r="AU32" s="12"/>
      <c r="AV32" s="17"/>
      <c r="AW32" s="13"/>
      <c r="AX32" s="13"/>
      <c r="AY32" s="13"/>
      <c r="AZ32" s="14"/>
      <c r="BA32" s="9"/>
      <c r="BB32" s="16"/>
      <c r="BC32" s="10"/>
      <c r="BD32" s="10"/>
      <c r="BE32" s="10"/>
      <c r="BF32" s="11"/>
      <c r="BG32" s="12"/>
      <c r="BH32" s="17"/>
      <c r="BI32" s="13"/>
      <c r="BJ32" s="13"/>
      <c r="BK32" s="13"/>
      <c r="BL32" s="14"/>
      <c r="BM32" s="8">
        <f t="shared" si="0"/>
        <v>5</v>
      </c>
      <c r="BN32" s="8">
        <f t="shared" si="1"/>
        <v>5</v>
      </c>
      <c r="BO32" s="8">
        <f t="shared" si="2"/>
        <v>4</v>
      </c>
      <c r="BP32" s="8">
        <f t="shared" si="3"/>
        <v>5</v>
      </c>
      <c r="BQ32" s="8">
        <f t="shared" si="4"/>
        <v>5</v>
      </c>
      <c r="BR32" s="8">
        <f t="shared" si="5"/>
        <v>4</v>
      </c>
      <c r="BS32" s="15">
        <f t="shared" si="6"/>
        <v>3.6806079660838638</v>
      </c>
      <c r="BT32" s="15" t="str">
        <f t="shared" si="7"/>
        <v>OK - No Upgrade</v>
      </c>
      <c r="BU32" s="15" t="str">
        <f t="shared" si="8"/>
        <v>OK - Balanced</v>
      </c>
    </row>
    <row r="33" spans="1:73" ht="15.75" customHeight="1" x14ac:dyDescent="0.25">
      <c r="A33" s="8" t="s">
        <v>3005</v>
      </c>
      <c r="B33" s="8" t="s">
        <v>3390</v>
      </c>
      <c r="C33" s="8" t="s">
        <v>389</v>
      </c>
      <c r="D33" s="8" t="s">
        <v>3474</v>
      </c>
      <c r="E33" s="8" t="s">
        <v>3475</v>
      </c>
      <c r="F33" s="8" t="s">
        <v>43</v>
      </c>
      <c r="G33" s="8" t="s">
        <v>1077</v>
      </c>
      <c r="H33" s="8">
        <v>100</v>
      </c>
      <c r="I33" s="8" t="s">
        <v>3476</v>
      </c>
      <c r="J33" s="8">
        <v>1</v>
      </c>
      <c r="K33" s="8">
        <v>259</v>
      </c>
      <c r="L33" s="8">
        <v>258</v>
      </c>
      <c r="M33" s="8">
        <v>259</v>
      </c>
      <c r="N33" s="8">
        <v>445</v>
      </c>
      <c r="O33" s="8">
        <v>444</v>
      </c>
      <c r="P33" s="8">
        <v>445</v>
      </c>
      <c r="Q33" s="9" t="s">
        <v>46</v>
      </c>
      <c r="R33" s="16"/>
      <c r="S33" s="10">
        <v>27</v>
      </c>
      <c r="T33" s="10">
        <v>24</v>
      </c>
      <c r="U33" s="10">
        <v>29</v>
      </c>
      <c r="V33" s="11">
        <v>15</v>
      </c>
      <c r="W33" s="12" t="s">
        <v>46</v>
      </c>
      <c r="X33" s="17"/>
      <c r="Y33" s="13">
        <v>10</v>
      </c>
      <c r="Z33" s="13">
        <v>26</v>
      </c>
      <c r="AA33" s="13">
        <v>11</v>
      </c>
      <c r="AB33" s="14">
        <v>16</v>
      </c>
      <c r="AC33" s="9"/>
      <c r="AD33" s="16"/>
      <c r="AE33" s="10"/>
      <c r="AF33" s="10"/>
      <c r="AG33" s="10"/>
      <c r="AH33" s="11"/>
      <c r="AI33" s="12"/>
      <c r="AJ33" s="17"/>
      <c r="AK33" s="13"/>
      <c r="AL33" s="13"/>
      <c r="AM33" s="13"/>
      <c r="AN33" s="14"/>
      <c r="AO33" s="9"/>
      <c r="AP33" s="16"/>
      <c r="AQ33" s="10"/>
      <c r="AR33" s="10"/>
      <c r="AS33" s="10"/>
      <c r="AT33" s="11"/>
      <c r="AU33" s="12"/>
      <c r="AV33" s="17"/>
      <c r="AW33" s="13"/>
      <c r="AX33" s="13"/>
      <c r="AY33" s="13"/>
      <c r="AZ33" s="14"/>
      <c r="BA33" s="9"/>
      <c r="BB33" s="16"/>
      <c r="BC33" s="10"/>
      <c r="BD33" s="10"/>
      <c r="BE33" s="10"/>
      <c r="BF33" s="11"/>
      <c r="BG33" s="12"/>
      <c r="BH33" s="17"/>
      <c r="BI33" s="13"/>
      <c r="BJ33" s="13"/>
      <c r="BK33" s="13"/>
      <c r="BL33" s="14"/>
      <c r="BM33" s="8">
        <f t="shared" si="0"/>
        <v>37</v>
      </c>
      <c r="BN33" s="8">
        <f t="shared" si="1"/>
        <v>50</v>
      </c>
      <c r="BO33" s="8">
        <f t="shared" si="2"/>
        <v>40</v>
      </c>
      <c r="BP33" s="8">
        <f t="shared" si="3"/>
        <v>31</v>
      </c>
      <c r="BQ33" s="8">
        <f t="shared" si="4"/>
        <v>50</v>
      </c>
      <c r="BR33" s="8">
        <f t="shared" si="5"/>
        <v>37</v>
      </c>
      <c r="BS33" s="15">
        <f t="shared" si="6"/>
        <v>38.538130468407523</v>
      </c>
      <c r="BT33" s="15" t="str">
        <f t="shared" si="7"/>
        <v>OK - No Upgrade</v>
      </c>
      <c r="BU33" s="15" t="str">
        <f t="shared" si="8"/>
        <v>Need to Balance</v>
      </c>
    </row>
    <row r="34" spans="1:73" ht="15.75" customHeight="1" x14ac:dyDescent="0.25">
      <c r="A34" s="8" t="s">
        <v>3005</v>
      </c>
      <c r="B34" s="8" t="s">
        <v>3390</v>
      </c>
      <c r="C34" s="8" t="s">
        <v>389</v>
      </c>
      <c r="D34" s="8" t="s">
        <v>3477</v>
      </c>
      <c r="E34" s="8" t="s">
        <v>3478</v>
      </c>
      <c r="F34" s="8" t="s">
        <v>43</v>
      </c>
      <c r="G34" s="8" t="s">
        <v>44</v>
      </c>
      <c r="H34" s="8">
        <v>100</v>
      </c>
      <c r="I34" s="8" t="s">
        <v>3479</v>
      </c>
      <c r="J34" s="8">
        <v>1</v>
      </c>
      <c r="K34" s="8">
        <v>243</v>
      </c>
      <c r="L34" s="8">
        <v>249</v>
      </c>
      <c r="M34" s="8">
        <v>249</v>
      </c>
      <c r="N34" s="8">
        <v>431</v>
      </c>
      <c r="O34" s="8">
        <v>434</v>
      </c>
      <c r="P34" s="8">
        <v>432</v>
      </c>
      <c r="Q34" s="9" t="s">
        <v>334</v>
      </c>
      <c r="R34" s="16"/>
      <c r="S34" s="10">
        <v>7</v>
      </c>
      <c r="T34" s="10">
        <v>5</v>
      </c>
      <c r="U34" s="10">
        <v>5</v>
      </c>
      <c r="V34" s="11">
        <v>6</v>
      </c>
      <c r="W34" s="12"/>
      <c r="X34" s="17"/>
      <c r="Y34" s="13"/>
      <c r="Z34" s="13"/>
      <c r="AA34" s="13"/>
      <c r="AB34" s="14"/>
      <c r="AC34" s="9"/>
      <c r="AD34" s="16"/>
      <c r="AE34" s="10"/>
      <c r="AF34" s="10"/>
      <c r="AG34" s="10"/>
      <c r="AH34" s="11"/>
      <c r="AI34" s="12"/>
      <c r="AJ34" s="17"/>
      <c r="AK34" s="13"/>
      <c r="AL34" s="13"/>
      <c r="AM34" s="13"/>
      <c r="AN34" s="14"/>
      <c r="AO34" s="9"/>
      <c r="AP34" s="16"/>
      <c r="AQ34" s="10"/>
      <c r="AR34" s="10"/>
      <c r="AS34" s="10"/>
      <c r="AT34" s="11"/>
      <c r="AU34" s="12"/>
      <c r="AV34" s="17"/>
      <c r="AW34" s="13"/>
      <c r="AX34" s="13"/>
      <c r="AY34" s="13"/>
      <c r="AZ34" s="14"/>
      <c r="BA34" s="9"/>
      <c r="BB34" s="16"/>
      <c r="BC34" s="10"/>
      <c r="BD34" s="10"/>
      <c r="BE34" s="10"/>
      <c r="BF34" s="11"/>
      <c r="BG34" s="12"/>
      <c r="BH34" s="17"/>
      <c r="BI34" s="13"/>
      <c r="BJ34" s="13"/>
      <c r="BK34" s="13"/>
      <c r="BL34" s="14"/>
      <c r="BM34" s="8">
        <f t="shared" si="0"/>
        <v>7</v>
      </c>
      <c r="BN34" s="8">
        <f t="shared" si="1"/>
        <v>5</v>
      </c>
      <c r="BO34" s="8">
        <f t="shared" si="2"/>
        <v>5</v>
      </c>
      <c r="BP34" s="8">
        <f t="shared" si="3"/>
        <v>6</v>
      </c>
      <c r="BQ34" s="8">
        <f t="shared" si="4"/>
        <v>7</v>
      </c>
      <c r="BR34" s="8">
        <f t="shared" si="5"/>
        <v>5</v>
      </c>
      <c r="BS34" s="15">
        <f t="shared" si="6"/>
        <v>5.2255972864353026</v>
      </c>
      <c r="BT34" s="15" t="str">
        <f t="shared" si="7"/>
        <v>OK - No Upgrade</v>
      </c>
      <c r="BU34" s="15" t="str">
        <f t="shared" si="8"/>
        <v>Need to Balance</v>
      </c>
    </row>
    <row r="35" spans="1:73" ht="15.75" customHeight="1" x14ac:dyDescent="0.25">
      <c r="A35" s="8" t="s">
        <v>3005</v>
      </c>
      <c r="B35" s="8" t="s">
        <v>3390</v>
      </c>
      <c r="C35" s="8" t="s">
        <v>389</v>
      </c>
      <c r="D35" s="8" t="s">
        <v>3480</v>
      </c>
      <c r="E35" s="8" t="s">
        <v>3481</v>
      </c>
      <c r="F35" s="8" t="s">
        <v>43</v>
      </c>
      <c r="G35" s="8" t="s">
        <v>44</v>
      </c>
      <c r="H35" s="8">
        <v>100</v>
      </c>
      <c r="I35" s="8" t="s">
        <v>3482</v>
      </c>
      <c r="J35" s="8">
        <v>1</v>
      </c>
      <c r="K35" s="8">
        <v>245</v>
      </c>
      <c r="L35" s="8">
        <v>243</v>
      </c>
      <c r="M35" s="8">
        <v>242</v>
      </c>
      <c r="N35" s="8">
        <v>425</v>
      </c>
      <c r="O35" s="8">
        <v>426</v>
      </c>
      <c r="P35" s="8">
        <v>425</v>
      </c>
      <c r="Q35" s="9" t="s">
        <v>46</v>
      </c>
      <c r="R35" s="16"/>
      <c r="S35" s="10">
        <v>10</v>
      </c>
      <c r="T35" s="10">
        <v>8</v>
      </c>
      <c r="U35" s="10">
        <v>8</v>
      </c>
      <c r="V35" s="11">
        <v>7</v>
      </c>
      <c r="W35" s="12"/>
      <c r="X35" s="17"/>
      <c r="Y35" s="13"/>
      <c r="Z35" s="13"/>
      <c r="AA35" s="13"/>
      <c r="AB35" s="14"/>
      <c r="AC35" s="9"/>
      <c r="AD35" s="16"/>
      <c r="AE35" s="10"/>
      <c r="AF35" s="10"/>
      <c r="AG35" s="10"/>
      <c r="AH35" s="11"/>
      <c r="AI35" s="12"/>
      <c r="AJ35" s="17"/>
      <c r="AK35" s="13"/>
      <c r="AL35" s="13"/>
      <c r="AM35" s="13"/>
      <c r="AN35" s="14"/>
      <c r="AO35" s="9"/>
      <c r="AP35" s="16"/>
      <c r="AQ35" s="10"/>
      <c r="AR35" s="10"/>
      <c r="AS35" s="10"/>
      <c r="AT35" s="11"/>
      <c r="AU35" s="12"/>
      <c r="AV35" s="17"/>
      <c r="AW35" s="13"/>
      <c r="AX35" s="13"/>
      <c r="AY35" s="13"/>
      <c r="AZ35" s="14"/>
      <c r="BA35" s="9"/>
      <c r="BB35" s="16"/>
      <c r="BC35" s="10"/>
      <c r="BD35" s="10"/>
      <c r="BE35" s="10"/>
      <c r="BF35" s="11"/>
      <c r="BG35" s="12"/>
      <c r="BH35" s="17"/>
      <c r="BI35" s="13"/>
      <c r="BJ35" s="13"/>
      <c r="BK35" s="13"/>
      <c r="BL35" s="14"/>
      <c r="BM35" s="8">
        <f t="shared" si="0"/>
        <v>10</v>
      </c>
      <c r="BN35" s="8">
        <f t="shared" si="1"/>
        <v>8</v>
      </c>
      <c r="BO35" s="8">
        <f t="shared" si="2"/>
        <v>8</v>
      </c>
      <c r="BP35" s="8">
        <f t="shared" si="3"/>
        <v>7</v>
      </c>
      <c r="BQ35" s="8">
        <f t="shared" si="4"/>
        <v>10</v>
      </c>
      <c r="BR35" s="8">
        <f t="shared" si="5"/>
        <v>8</v>
      </c>
      <c r="BS35" s="15">
        <f t="shared" si="6"/>
        <v>7.3612159321677275</v>
      </c>
      <c r="BT35" s="15" t="str">
        <f t="shared" si="7"/>
        <v>OK - No Upgrade</v>
      </c>
      <c r="BU35" s="15" t="str">
        <f t="shared" si="8"/>
        <v>Need to Balance</v>
      </c>
    </row>
    <row r="36" spans="1:73" ht="15.75" customHeight="1" x14ac:dyDescent="0.25">
      <c r="A36" s="8" t="s">
        <v>3005</v>
      </c>
      <c r="B36" s="8" t="s">
        <v>3390</v>
      </c>
      <c r="C36" s="8" t="s">
        <v>389</v>
      </c>
      <c r="D36" s="8" t="s">
        <v>3483</v>
      </c>
      <c r="E36" s="8" t="s">
        <v>3484</v>
      </c>
      <c r="F36" s="8" t="s">
        <v>43</v>
      </c>
      <c r="G36" s="8" t="s">
        <v>469</v>
      </c>
      <c r="H36" s="8">
        <v>100</v>
      </c>
      <c r="I36" s="8" t="s">
        <v>3485</v>
      </c>
      <c r="J36" s="8">
        <v>1</v>
      </c>
      <c r="K36" s="8">
        <v>245</v>
      </c>
      <c r="L36" s="8">
        <v>249</v>
      </c>
      <c r="M36" s="8">
        <v>250</v>
      </c>
      <c r="N36" s="8">
        <v>430</v>
      </c>
      <c r="O36" s="8">
        <v>436</v>
      </c>
      <c r="P36" s="8">
        <v>432</v>
      </c>
      <c r="Q36" s="9" t="s">
        <v>46</v>
      </c>
      <c r="R36" s="16"/>
      <c r="S36" s="10">
        <v>31</v>
      </c>
      <c r="T36" s="10">
        <v>33</v>
      </c>
      <c r="U36" s="10">
        <v>23</v>
      </c>
      <c r="V36" s="11">
        <v>21</v>
      </c>
      <c r="W36" s="12"/>
      <c r="X36" s="17"/>
      <c r="Y36" s="13"/>
      <c r="Z36" s="13"/>
      <c r="AA36" s="13"/>
      <c r="AB36" s="14"/>
      <c r="AC36" s="9"/>
      <c r="AD36" s="16"/>
      <c r="AE36" s="10"/>
      <c r="AF36" s="10"/>
      <c r="AG36" s="10"/>
      <c r="AH36" s="11"/>
      <c r="AI36" s="12"/>
      <c r="AJ36" s="17"/>
      <c r="AK36" s="13"/>
      <c r="AL36" s="13"/>
      <c r="AM36" s="13"/>
      <c r="AN36" s="14"/>
      <c r="AO36" s="9"/>
      <c r="AP36" s="16"/>
      <c r="AQ36" s="10"/>
      <c r="AR36" s="10"/>
      <c r="AS36" s="10"/>
      <c r="AT36" s="11"/>
      <c r="AU36" s="12"/>
      <c r="AV36" s="17"/>
      <c r="AW36" s="13"/>
      <c r="AX36" s="13"/>
      <c r="AY36" s="13"/>
      <c r="AZ36" s="14"/>
      <c r="BA36" s="9"/>
      <c r="BB36" s="16"/>
      <c r="BC36" s="10"/>
      <c r="BD36" s="10"/>
      <c r="BE36" s="10"/>
      <c r="BF36" s="11"/>
      <c r="BG36" s="12"/>
      <c r="BH36" s="17"/>
      <c r="BI36" s="13"/>
      <c r="BJ36" s="13"/>
      <c r="BK36" s="13"/>
      <c r="BL36" s="14"/>
      <c r="BM36" s="8">
        <f t="shared" ref="BM36:BM67" si="9">SUM(S36,Y36,AE36,AK36,AQ36,AW36,BC36,BI36)</f>
        <v>31</v>
      </c>
      <c r="BN36" s="8">
        <f t="shared" ref="BN36:BN67" si="10">SUM(T36,Z36,AF36,AL36,AR36,AX36,BD36,BJ36)</f>
        <v>33</v>
      </c>
      <c r="BO36" s="8">
        <f t="shared" ref="BO36:BO67" si="11">SUM(U36,AA36,AG36,AM36,AS36,AY36,BE36,BK36)</f>
        <v>23</v>
      </c>
      <c r="BP36" s="8">
        <f t="shared" ref="BP36:BP67" si="12">SUM(V36,AB36,AH36,AN36,AT36,AZ36,BF36,BL36)</f>
        <v>21</v>
      </c>
      <c r="BQ36" s="8">
        <f t="shared" ref="BQ36:BQ67" si="13">MAX(BM36:BO36)</f>
        <v>33</v>
      </c>
      <c r="BR36" s="8">
        <f t="shared" ref="BR36:BR67" si="14">MIN(BM36:BO36)</f>
        <v>23</v>
      </c>
      <c r="BS36" s="15">
        <f t="shared" ref="BS36:BS67" si="15">IF(H36&gt;0,(BQ36*SQRT(3)*IF(N36&gt;0,N36,IF(O36&gt;0,O36,IF(P36&gt;0,P36,415)))/(H36*1000))*100,0)</f>
        <v>24.577800959402367</v>
      </c>
      <c r="BT36" s="15" t="str">
        <f t="shared" ref="BT36:BT67" si="16">IF(BS36&gt;70,"Upgrade","OK - No Upgrade")</f>
        <v>OK - No Upgrade</v>
      </c>
      <c r="BU36" s="15" t="str">
        <f t="shared" ref="BU36:BU67" si="17">IF(IF(AVERAGE(BM36:BO36)&gt;0,((BQ36-AVERAGE(BM36:BO36))/AVERAGE(BM36:BO36))*100,0)&gt;10,"Need to Balance","OK - Balanced")</f>
        <v>Need to Balance</v>
      </c>
    </row>
    <row r="37" spans="1:73" ht="15.75" customHeight="1" x14ac:dyDescent="0.25">
      <c r="A37" s="8" t="s">
        <v>3005</v>
      </c>
      <c r="B37" s="8" t="s">
        <v>3390</v>
      </c>
      <c r="C37" s="8" t="s">
        <v>389</v>
      </c>
      <c r="D37" s="8" t="s">
        <v>3486</v>
      </c>
      <c r="E37" s="8" t="s">
        <v>3487</v>
      </c>
      <c r="F37" s="8" t="s">
        <v>43</v>
      </c>
      <c r="G37" s="8" t="s">
        <v>44</v>
      </c>
      <c r="H37" s="8">
        <v>200</v>
      </c>
      <c r="I37" s="8" t="s">
        <v>3488</v>
      </c>
      <c r="J37" s="8">
        <v>1</v>
      </c>
      <c r="K37" s="8">
        <v>245</v>
      </c>
      <c r="L37" s="8">
        <v>247</v>
      </c>
      <c r="M37" s="8">
        <v>248</v>
      </c>
      <c r="N37" s="8">
        <v>429</v>
      </c>
      <c r="O37" s="8">
        <v>431</v>
      </c>
      <c r="P37" s="8">
        <v>430</v>
      </c>
      <c r="Q37" s="9" t="s">
        <v>46</v>
      </c>
      <c r="R37" s="16"/>
      <c r="S37" s="10">
        <v>41</v>
      </c>
      <c r="T37" s="10">
        <v>45</v>
      </c>
      <c r="U37" s="10">
        <v>49</v>
      </c>
      <c r="V37" s="11">
        <v>19</v>
      </c>
      <c r="W37" s="12" t="s">
        <v>46</v>
      </c>
      <c r="X37" s="17"/>
      <c r="Y37" s="13">
        <v>25</v>
      </c>
      <c r="Z37" s="13">
        <v>36</v>
      </c>
      <c r="AA37" s="13">
        <v>29</v>
      </c>
      <c r="AB37" s="14">
        <v>19</v>
      </c>
      <c r="AC37" s="9"/>
      <c r="AD37" s="16"/>
      <c r="AE37" s="10"/>
      <c r="AF37" s="10"/>
      <c r="AG37" s="10"/>
      <c r="AH37" s="11"/>
      <c r="AI37" s="12"/>
      <c r="AJ37" s="17"/>
      <c r="AK37" s="13"/>
      <c r="AL37" s="13"/>
      <c r="AM37" s="13"/>
      <c r="AN37" s="14"/>
      <c r="AO37" s="9"/>
      <c r="AP37" s="16"/>
      <c r="AQ37" s="10"/>
      <c r="AR37" s="10"/>
      <c r="AS37" s="10"/>
      <c r="AT37" s="11"/>
      <c r="AU37" s="12"/>
      <c r="AV37" s="17"/>
      <c r="AW37" s="13"/>
      <c r="AX37" s="13"/>
      <c r="AY37" s="13"/>
      <c r="AZ37" s="14"/>
      <c r="BA37" s="9"/>
      <c r="BB37" s="16"/>
      <c r="BC37" s="10"/>
      <c r="BD37" s="10"/>
      <c r="BE37" s="10"/>
      <c r="BF37" s="11"/>
      <c r="BG37" s="12"/>
      <c r="BH37" s="17"/>
      <c r="BI37" s="13"/>
      <c r="BJ37" s="13"/>
      <c r="BK37" s="13"/>
      <c r="BL37" s="14"/>
      <c r="BM37" s="8">
        <f t="shared" si="9"/>
        <v>66</v>
      </c>
      <c r="BN37" s="8">
        <f t="shared" si="10"/>
        <v>81</v>
      </c>
      <c r="BO37" s="8">
        <f t="shared" si="11"/>
        <v>78</v>
      </c>
      <c r="BP37" s="8">
        <f t="shared" si="12"/>
        <v>38</v>
      </c>
      <c r="BQ37" s="8">
        <f t="shared" si="13"/>
        <v>81</v>
      </c>
      <c r="BR37" s="8">
        <f t="shared" si="14"/>
        <v>66</v>
      </c>
      <c r="BS37" s="15">
        <f t="shared" si="15"/>
        <v>30.093516756105458</v>
      </c>
      <c r="BT37" s="15" t="str">
        <f t="shared" si="16"/>
        <v>OK - No Upgrade</v>
      </c>
      <c r="BU37" s="15" t="str">
        <f t="shared" si="17"/>
        <v>OK - Balanced</v>
      </c>
    </row>
    <row r="38" spans="1:73" ht="15.75" customHeight="1" x14ac:dyDescent="0.25">
      <c r="A38" s="8" t="s">
        <v>3005</v>
      </c>
      <c r="B38" s="8" t="s">
        <v>3390</v>
      </c>
      <c r="C38" s="8" t="s">
        <v>389</v>
      </c>
      <c r="D38" s="8" t="s">
        <v>3489</v>
      </c>
      <c r="E38" s="8" t="s">
        <v>3490</v>
      </c>
      <c r="F38" s="8" t="s">
        <v>43</v>
      </c>
      <c r="G38" s="8" t="s">
        <v>469</v>
      </c>
      <c r="H38" s="8">
        <v>100</v>
      </c>
      <c r="I38" s="8" t="s">
        <v>3491</v>
      </c>
      <c r="J38" s="8">
        <v>1</v>
      </c>
      <c r="K38" s="8">
        <v>248</v>
      </c>
      <c r="L38" s="8">
        <v>250</v>
      </c>
      <c r="M38" s="8">
        <v>250</v>
      </c>
      <c r="N38" s="8">
        <v>433</v>
      </c>
      <c r="O38" s="8">
        <v>437</v>
      </c>
      <c r="P38" s="8">
        <v>433</v>
      </c>
      <c r="Q38" s="9" t="s">
        <v>46</v>
      </c>
      <c r="R38" s="16"/>
      <c r="S38" s="10">
        <v>25</v>
      </c>
      <c r="T38" s="10">
        <v>31</v>
      </c>
      <c r="U38" s="10">
        <v>28</v>
      </c>
      <c r="V38" s="11">
        <v>11</v>
      </c>
      <c r="W38" s="12"/>
      <c r="X38" s="17"/>
      <c r="Y38" s="13"/>
      <c r="Z38" s="13"/>
      <c r="AA38" s="13"/>
      <c r="AB38" s="14"/>
      <c r="AC38" s="9"/>
      <c r="AD38" s="16"/>
      <c r="AE38" s="10"/>
      <c r="AF38" s="10"/>
      <c r="AG38" s="10"/>
      <c r="AH38" s="11"/>
      <c r="AI38" s="12"/>
      <c r="AJ38" s="17"/>
      <c r="AK38" s="13"/>
      <c r="AL38" s="13"/>
      <c r="AM38" s="13"/>
      <c r="AN38" s="14"/>
      <c r="AO38" s="9"/>
      <c r="AP38" s="16"/>
      <c r="AQ38" s="10"/>
      <c r="AR38" s="10"/>
      <c r="AS38" s="10"/>
      <c r="AT38" s="11"/>
      <c r="AU38" s="12"/>
      <c r="AV38" s="17"/>
      <c r="AW38" s="13"/>
      <c r="AX38" s="13"/>
      <c r="AY38" s="13"/>
      <c r="AZ38" s="14"/>
      <c r="BA38" s="9"/>
      <c r="BB38" s="16"/>
      <c r="BC38" s="10"/>
      <c r="BD38" s="10"/>
      <c r="BE38" s="10"/>
      <c r="BF38" s="11"/>
      <c r="BG38" s="12"/>
      <c r="BH38" s="17"/>
      <c r="BI38" s="13"/>
      <c r="BJ38" s="13"/>
      <c r="BK38" s="13"/>
      <c r="BL38" s="14"/>
      <c r="BM38" s="8">
        <f t="shared" si="9"/>
        <v>25</v>
      </c>
      <c r="BN38" s="8">
        <f t="shared" si="10"/>
        <v>31</v>
      </c>
      <c r="BO38" s="8">
        <f t="shared" si="11"/>
        <v>28</v>
      </c>
      <c r="BP38" s="8">
        <f t="shared" si="12"/>
        <v>11</v>
      </c>
      <c r="BQ38" s="8">
        <f t="shared" si="13"/>
        <v>31</v>
      </c>
      <c r="BR38" s="8">
        <f t="shared" si="14"/>
        <v>25</v>
      </c>
      <c r="BS38" s="15">
        <f t="shared" si="15"/>
        <v>23.249317989997039</v>
      </c>
      <c r="BT38" s="15" t="str">
        <f t="shared" si="16"/>
        <v>OK - No Upgrade</v>
      </c>
      <c r="BU38" s="15" t="str">
        <f t="shared" si="17"/>
        <v>Need to Balance</v>
      </c>
    </row>
    <row r="39" spans="1:73" ht="15.75" customHeight="1" x14ac:dyDescent="0.25">
      <c r="A39" s="8" t="s">
        <v>3005</v>
      </c>
      <c r="B39" s="8" t="s">
        <v>3390</v>
      </c>
      <c r="C39" s="8" t="s">
        <v>389</v>
      </c>
      <c r="D39" s="8" t="s">
        <v>3492</v>
      </c>
      <c r="E39" s="8" t="s">
        <v>3493</v>
      </c>
      <c r="F39" s="8" t="s">
        <v>43</v>
      </c>
      <c r="G39" s="8" t="s">
        <v>44</v>
      </c>
      <c r="H39" s="8">
        <v>100</v>
      </c>
      <c r="I39" s="8" t="s">
        <v>3494</v>
      </c>
      <c r="J39" s="8">
        <v>1</v>
      </c>
      <c r="K39" s="8">
        <v>247</v>
      </c>
      <c r="L39" s="8">
        <v>248</v>
      </c>
      <c r="M39" s="8">
        <v>249</v>
      </c>
      <c r="N39" s="8">
        <v>431</v>
      </c>
      <c r="O39" s="8">
        <v>433</v>
      </c>
      <c r="P39" s="8">
        <v>432</v>
      </c>
      <c r="Q39" s="9" t="s">
        <v>46</v>
      </c>
      <c r="R39" s="16"/>
      <c r="S39" s="10">
        <v>21</v>
      </c>
      <c r="T39" s="10">
        <v>28</v>
      </c>
      <c r="U39" s="10">
        <v>30</v>
      </c>
      <c r="V39" s="11">
        <v>22</v>
      </c>
      <c r="W39" s="12"/>
      <c r="X39" s="17"/>
      <c r="Y39" s="13"/>
      <c r="Z39" s="13"/>
      <c r="AA39" s="13"/>
      <c r="AB39" s="14"/>
      <c r="AC39" s="9"/>
      <c r="AD39" s="16"/>
      <c r="AE39" s="10"/>
      <c r="AF39" s="10"/>
      <c r="AG39" s="10"/>
      <c r="AH39" s="11"/>
      <c r="AI39" s="12"/>
      <c r="AJ39" s="17"/>
      <c r="AK39" s="13"/>
      <c r="AL39" s="13"/>
      <c r="AM39" s="13"/>
      <c r="AN39" s="14"/>
      <c r="AO39" s="9"/>
      <c r="AP39" s="16"/>
      <c r="AQ39" s="10"/>
      <c r="AR39" s="10"/>
      <c r="AS39" s="10"/>
      <c r="AT39" s="11"/>
      <c r="AU39" s="12"/>
      <c r="AV39" s="17"/>
      <c r="AW39" s="13"/>
      <c r="AX39" s="13"/>
      <c r="AY39" s="13"/>
      <c r="AZ39" s="14"/>
      <c r="BA39" s="9"/>
      <c r="BB39" s="16"/>
      <c r="BC39" s="10"/>
      <c r="BD39" s="10"/>
      <c r="BE39" s="10"/>
      <c r="BF39" s="11"/>
      <c r="BG39" s="12"/>
      <c r="BH39" s="17"/>
      <c r="BI39" s="13"/>
      <c r="BJ39" s="13"/>
      <c r="BK39" s="13"/>
      <c r="BL39" s="14"/>
      <c r="BM39" s="8">
        <f t="shared" si="9"/>
        <v>21</v>
      </c>
      <c r="BN39" s="8">
        <f t="shared" si="10"/>
        <v>28</v>
      </c>
      <c r="BO39" s="8">
        <f t="shared" si="11"/>
        <v>30</v>
      </c>
      <c r="BP39" s="8">
        <f t="shared" si="12"/>
        <v>22</v>
      </c>
      <c r="BQ39" s="8">
        <f t="shared" si="13"/>
        <v>30</v>
      </c>
      <c r="BR39" s="8">
        <f t="shared" si="14"/>
        <v>21</v>
      </c>
      <c r="BS39" s="15">
        <f t="shared" si="15"/>
        <v>22.39541694186558</v>
      </c>
      <c r="BT39" s="15" t="str">
        <f t="shared" si="16"/>
        <v>OK - No Upgrade</v>
      </c>
      <c r="BU39" s="15" t="str">
        <f t="shared" si="17"/>
        <v>Need to Balance</v>
      </c>
    </row>
    <row r="40" spans="1:73" ht="15.75" customHeight="1" x14ac:dyDescent="0.25">
      <c r="A40" s="8" t="s">
        <v>3005</v>
      </c>
      <c r="B40" s="8" t="s">
        <v>3390</v>
      </c>
      <c r="C40" s="8" t="s">
        <v>389</v>
      </c>
      <c r="D40" s="8" t="s">
        <v>3459</v>
      </c>
      <c r="E40" s="8" t="s">
        <v>3495</v>
      </c>
      <c r="F40" s="8" t="s">
        <v>43</v>
      </c>
      <c r="G40" s="8" t="s">
        <v>1381</v>
      </c>
      <c r="H40" s="8">
        <v>100</v>
      </c>
      <c r="I40" s="8" t="s">
        <v>3496</v>
      </c>
      <c r="J40" s="8">
        <v>1</v>
      </c>
      <c r="K40" s="8">
        <v>237</v>
      </c>
      <c r="L40" s="8">
        <v>236</v>
      </c>
      <c r="M40" s="8">
        <v>238</v>
      </c>
      <c r="N40" s="8">
        <v>412</v>
      </c>
      <c r="O40" s="8">
        <v>414</v>
      </c>
      <c r="P40" s="8">
        <v>413</v>
      </c>
      <c r="Q40" s="9" t="s">
        <v>46</v>
      </c>
      <c r="R40" s="16"/>
      <c r="S40" s="10">
        <v>20</v>
      </c>
      <c r="T40" s="10">
        <v>22</v>
      </c>
      <c r="U40" s="10">
        <v>21</v>
      </c>
      <c r="V40" s="11">
        <v>21</v>
      </c>
      <c r="W40" s="12" t="s">
        <v>46</v>
      </c>
      <c r="X40" s="17"/>
      <c r="Y40" s="13">
        <v>41</v>
      </c>
      <c r="Z40" s="13">
        <v>49</v>
      </c>
      <c r="AA40" s="13">
        <v>53</v>
      </c>
      <c r="AB40" s="14">
        <v>23</v>
      </c>
      <c r="AC40" s="9"/>
      <c r="AD40" s="16"/>
      <c r="AE40" s="10"/>
      <c r="AF40" s="10"/>
      <c r="AG40" s="10"/>
      <c r="AH40" s="11"/>
      <c r="AI40" s="12"/>
      <c r="AJ40" s="17"/>
      <c r="AK40" s="13"/>
      <c r="AL40" s="13"/>
      <c r="AM40" s="13"/>
      <c r="AN40" s="14"/>
      <c r="AO40" s="9"/>
      <c r="AP40" s="16"/>
      <c r="AQ40" s="10"/>
      <c r="AR40" s="10"/>
      <c r="AS40" s="10"/>
      <c r="AT40" s="11"/>
      <c r="AU40" s="12"/>
      <c r="AV40" s="17"/>
      <c r="AW40" s="13"/>
      <c r="AX40" s="13"/>
      <c r="AY40" s="13"/>
      <c r="AZ40" s="14"/>
      <c r="BA40" s="9"/>
      <c r="BB40" s="16"/>
      <c r="BC40" s="10"/>
      <c r="BD40" s="10"/>
      <c r="BE40" s="10"/>
      <c r="BF40" s="11"/>
      <c r="BG40" s="12"/>
      <c r="BH40" s="17"/>
      <c r="BI40" s="13"/>
      <c r="BJ40" s="13"/>
      <c r="BK40" s="13"/>
      <c r="BL40" s="14"/>
      <c r="BM40" s="8">
        <f t="shared" si="9"/>
        <v>61</v>
      </c>
      <c r="BN40" s="8">
        <f t="shared" si="10"/>
        <v>71</v>
      </c>
      <c r="BO40" s="8">
        <f t="shared" si="11"/>
        <v>74</v>
      </c>
      <c r="BP40" s="8">
        <f t="shared" si="12"/>
        <v>44</v>
      </c>
      <c r="BQ40" s="8">
        <f t="shared" si="13"/>
        <v>74</v>
      </c>
      <c r="BR40" s="8">
        <f t="shared" si="14"/>
        <v>61</v>
      </c>
      <c r="BS40" s="15">
        <f t="shared" si="15"/>
        <v>52.806765021159933</v>
      </c>
      <c r="BT40" s="15" t="str">
        <f t="shared" si="16"/>
        <v>OK - No Upgrade</v>
      </c>
      <c r="BU40" s="15" t="str">
        <f t="shared" si="17"/>
        <v>OK - Balanced</v>
      </c>
    </row>
    <row r="41" spans="1:73" ht="15.75" customHeight="1" x14ac:dyDescent="0.25">
      <c r="A41" s="8" t="s">
        <v>3005</v>
      </c>
      <c r="B41" s="8" t="s">
        <v>3390</v>
      </c>
      <c r="C41" s="8" t="s">
        <v>389</v>
      </c>
      <c r="D41" s="8" t="s">
        <v>3497</v>
      </c>
      <c r="E41" s="8" t="s">
        <v>3498</v>
      </c>
      <c r="F41" s="8" t="s">
        <v>43</v>
      </c>
      <c r="G41" s="8" t="s">
        <v>44</v>
      </c>
      <c r="H41" s="8">
        <v>100</v>
      </c>
      <c r="I41" s="8" t="s">
        <v>3499</v>
      </c>
      <c r="J41" s="8">
        <v>1</v>
      </c>
      <c r="K41" s="8">
        <v>244</v>
      </c>
      <c r="L41" s="8">
        <v>245</v>
      </c>
      <c r="M41" s="8">
        <v>247</v>
      </c>
      <c r="N41" s="8">
        <v>426</v>
      </c>
      <c r="O41" s="8">
        <v>428</v>
      </c>
      <c r="P41" s="8">
        <v>429</v>
      </c>
      <c r="Q41" s="9" t="s">
        <v>46</v>
      </c>
      <c r="R41" s="16"/>
      <c r="S41" s="10">
        <v>56</v>
      </c>
      <c r="T41" s="10">
        <v>59</v>
      </c>
      <c r="U41" s="10">
        <v>48</v>
      </c>
      <c r="V41" s="11">
        <v>10</v>
      </c>
      <c r="W41" s="12"/>
      <c r="X41" s="17"/>
      <c r="Y41" s="13"/>
      <c r="Z41" s="13"/>
      <c r="AA41" s="13"/>
      <c r="AB41" s="14"/>
      <c r="AC41" s="9"/>
      <c r="AD41" s="16"/>
      <c r="AE41" s="10"/>
      <c r="AF41" s="10"/>
      <c r="AG41" s="10"/>
      <c r="AH41" s="11"/>
      <c r="AI41" s="12"/>
      <c r="AJ41" s="17"/>
      <c r="AK41" s="13"/>
      <c r="AL41" s="13"/>
      <c r="AM41" s="13"/>
      <c r="AN41" s="14"/>
      <c r="AO41" s="9"/>
      <c r="AP41" s="16"/>
      <c r="AQ41" s="10"/>
      <c r="AR41" s="10"/>
      <c r="AS41" s="10"/>
      <c r="AT41" s="11"/>
      <c r="AU41" s="12"/>
      <c r="AV41" s="17"/>
      <c r="AW41" s="13"/>
      <c r="AX41" s="13"/>
      <c r="AY41" s="13"/>
      <c r="AZ41" s="14"/>
      <c r="BA41" s="9"/>
      <c r="BB41" s="16"/>
      <c r="BC41" s="10"/>
      <c r="BD41" s="10"/>
      <c r="BE41" s="10"/>
      <c r="BF41" s="11"/>
      <c r="BG41" s="12"/>
      <c r="BH41" s="17"/>
      <c r="BI41" s="13"/>
      <c r="BJ41" s="13"/>
      <c r="BK41" s="13"/>
      <c r="BL41" s="14"/>
      <c r="BM41" s="8">
        <f t="shared" si="9"/>
        <v>56</v>
      </c>
      <c r="BN41" s="8">
        <f t="shared" si="10"/>
        <v>59</v>
      </c>
      <c r="BO41" s="8">
        <f t="shared" si="11"/>
        <v>48</v>
      </c>
      <c r="BP41" s="8">
        <f t="shared" si="12"/>
        <v>10</v>
      </c>
      <c r="BQ41" s="8">
        <f t="shared" si="13"/>
        <v>59</v>
      </c>
      <c r="BR41" s="8">
        <f t="shared" si="14"/>
        <v>48</v>
      </c>
      <c r="BS41" s="15">
        <f t="shared" si="15"/>
        <v>43.533364997436166</v>
      </c>
      <c r="BT41" s="15" t="str">
        <f t="shared" si="16"/>
        <v>OK - No Upgrade</v>
      </c>
      <c r="BU41" s="15" t="str">
        <f t="shared" si="17"/>
        <v>OK - Balanced</v>
      </c>
    </row>
    <row r="42" spans="1:73" ht="15.75" customHeight="1" x14ac:dyDescent="0.25">
      <c r="A42" s="8" t="s">
        <v>3005</v>
      </c>
      <c r="B42" s="8" t="s">
        <v>3390</v>
      </c>
      <c r="C42" s="8" t="s">
        <v>389</v>
      </c>
      <c r="D42" s="8" t="s">
        <v>3480</v>
      </c>
      <c r="E42" s="8" t="s">
        <v>3500</v>
      </c>
      <c r="F42" s="8" t="s">
        <v>43</v>
      </c>
      <c r="G42" s="8" t="s">
        <v>44</v>
      </c>
      <c r="H42" s="8">
        <v>100</v>
      </c>
      <c r="I42" s="8" t="s">
        <v>3501</v>
      </c>
      <c r="J42" s="8">
        <v>1</v>
      </c>
      <c r="K42" s="8">
        <v>247</v>
      </c>
      <c r="L42" s="8">
        <v>249</v>
      </c>
      <c r="M42" s="8">
        <v>249</v>
      </c>
      <c r="N42" s="8">
        <v>432</v>
      </c>
      <c r="O42" s="8">
        <v>434</v>
      </c>
      <c r="P42" s="8">
        <v>432</v>
      </c>
      <c r="Q42" s="9" t="s">
        <v>46</v>
      </c>
      <c r="R42" s="16"/>
      <c r="S42" s="10">
        <v>28</v>
      </c>
      <c r="T42" s="10">
        <v>29</v>
      </c>
      <c r="U42" s="10">
        <v>28</v>
      </c>
      <c r="V42" s="11">
        <v>15</v>
      </c>
      <c r="W42" s="12" t="s">
        <v>46</v>
      </c>
      <c r="X42" s="17"/>
      <c r="Y42" s="13">
        <v>10</v>
      </c>
      <c r="Z42" s="13">
        <v>9</v>
      </c>
      <c r="AA42" s="13">
        <v>7</v>
      </c>
      <c r="AB42" s="14">
        <v>8</v>
      </c>
      <c r="AC42" s="9"/>
      <c r="AD42" s="16"/>
      <c r="AE42" s="10"/>
      <c r="AF42" s="10"/>
      <c r="AG42" s="10"/>
      <c r="AH42" s="11"/>
      <c r="AI42" s="12"/>
      <c r="AJ42" s="17"/>
      <c r="AK42" s="13"/>
      <c r="AL42" s="13"/>
      <c r="AM42" s="13"/>
      <c r="AN42" s="14"/>
      <c r="AO42" s="9"/>
      <c r="AP42" s="16"/>
      <c r="AQ42" s="10"/>
      <c r="AR42" s="10"/>
      <c r="AS42" s="10"/>
      <c r="AT42" s="11"/>
      <c r="AU42" s="12"/>
      <c r="AV42" s="17"/>
      <c r="AW42" s="13"/>
      <c r="AX42" s="13"/>
      <c r="AY42" s="13"/>
      <c r="AZ42" s="14"/>
      <c r="BA42" s="9"/>
      <c r="BB42" s="16"/>
      <c r="BC42" s="10"/>
      <c r="BD42" s="10"/>
      <c r="BE42" s="10"/>
      <c r="BF42" s="11"/>
      <c r="BG42" s="12"/>
      <c r="BH42" s="17"/>
      <c r="BI42" s="13"/>
      <c r="BJ42" s="13"/>
      <c r="BK42" s="13"/>
      <c r="BL42" s="14"/>
      <c r="BM42" s="8">
        <f t="shared" si="9"/>
        <v>38</v>
      </c>
      <c r="BN42" s="8">
        <f t="shared" si="10"/>
        <v>38</v>
      </c>
      <c r="BO42" s="8">
        <f t="shared" si="11"/>
        <v>35</v>
      </c>
      <c r="BP42" s="8">
        <f t="shared" si="12"/>
        <v>23</v>
      </c>
      <c r="BQ42" s="8">
        <f t="shared" si="13"/>
        <v>38</v>
      </c>
      <c r="BR42" s="8">
        <f t="shared" si="14"/>
        <v>35</v>
      </c>
      <c r="BS42" s="15">
        <f t="shared" si="15"/>
        <v>28.433346057050684</v>
      </c>
      <c r="BT42" s="15" t="str">
        <f t="shared" si="16"/>
        <v>OK - No Upgrade</v>
      </c>
      <c r="BU42" s="15" t="str">
        <f t="shared" si="17"/>
        <v>OK - Balanced</v>
      </c>
    </row>
    <row r="43" spans="1:73" ht="15.75" customHeight="1" x14ac:dyDescent="0.25">
      <c r="A43" s="8" t="s">
        <v>3005</v>
      </c>
      <c r="B43" s="8" t="s">
        <v>3390</v>
      </c>
      <c r="C43" s="8" t="s">
        <v>389</v>
      </c>
      <c r="D43" s="8" t="s">
        <v>3502</v>
      </c>
      <c r="E43" s="8" t="s">
        <v>3503</v>
      </c>
      <c r="F43" s="8" t="s">
        <v>43</v>
      </c>
      <c r="G43" s="8" t="s">
        <v>44</v>
      </c>
      <c r="H43" s="8">
        <v>100</v>
      </c>
      <c r="I43" s="8" t="s">
        <v>3504</v>
      </c>
      <c r="J43" s="8">
        <v>1</v>
      </c>
      <c r="K43" s="8">
        <v>248</v>
      </c>
      <c r="L43" s="8">
        <v>249</v>
      </c>
      <c r="M43" s="8">
        <v>249</v>
      </c>
      <c r="N43" s="8">
        <v>432</v>
      </c>
      <c r="O43" s="8">
        <v>434</v>
      </c>
      <c r="P43" s="8">
        <v>432</v>
      </c>
      <c r="Q43" s="9" t="s">
        <v>46</v>
      </c>
      <c r="R43" s="16"/>
      <c r="S43" s="10">
        <v>25</v>
      </c>
      <c r="T43" s="10">
        <v>31</v>
      </c>
      <c r="U43" s="10">
        <v>42</v>
      </c>
      <c r="V43" s="11">
        <v>22</v>
      </c>
      <c r="W43" s="12"/>
      <c r="X43" s="17"/>
      <c r="Y43" s="13"/>
      <c r="Z43" s="13"/>
      <c r="AA43" s="13"/>
      <c r="AB43" s="14"/>
      <c r="AC43" s="9"/>
      <c r="AD43" s="16"/>
      <c r="AE43" s="10"/>
      <c r="AF43" s="10"/>
      <c r="AG43" s="10"/>
      <c r="AH43" s="11"/>
      <c r="AI43" s="12"/>
      <c r="AJ43" s="17"/>
      <c r="AK43" s="13"/>
      <c r="AL43" s="13"/>
      <c r="AM43" s="13"/>
      <c r="AN43" s="14"/>
      <c r="AO43" s="9"/>
      <c r="AP43" s="16"/>
      <c r="AQ43" s="10"/>
      <c r="AR43" s="10"/>
      <c r="AS43" s="10"/>
      <c r="AT43" s="11"/>
      <c r="AU43" s="12"/>
      <c r="AV43" s="17"/>
      <c r="AW43" s="13"/>
      <c r="AX43" s="13"/>
      <c r="AY43" s="13"/>
      <c r="AZ43" s="14"/>
      <c r="BA43" s="9"/>
      <c r="BB43" s="16"/>
      <c r="BC43" s="10"/>
      <c r="BD43" s="10"/>
      <c r="BE43" s="10"/>
      <c r="BF43" s="11"/>
      <c r="BG43" s="12"/>
      <c r="BH43" s="17"/>
      <c r="BI43" s="13"/>
      <c r="BJ43" s="13"/>
      <c r="BK43" s="13"/>
      <c r="BL43" s="14"/>
      <c r="BM43" s="8">
        <f t="shared" si="9"/>
        <v>25</v>
      </c>
      <c r="BN43" s="8">
        <f t="shared" si="10"/>
        <v>31</v>
      </c>
      <c r="BO43" s="8">
        <f t="shared" si="11"/>
        <v>42</v>
      </c>
      <c r="BP43" s="8">
        <f t="shared" si="12"/>
        <v>22</v>
      </c>
      <c r="BQ43" s="8">
        <f t="shared" si="13"/>
        <v>42</v>
      </c>
      <c r="BR43" s="8">
        <f t="shared" si="14"/>
        <v>25</v>
      </c>
      <c r="BS43" s="15">
        <f t="shared" si="15"/>
        <v>31.426329852529712</v>
      </c>
      <c r="BT43" s="15" t="str">
        <f t="shared" si="16"/>
        <v>OK - No Upgrade</v>
      </c>
      <c r="BU43" s="15" t="str">
        <f t="shared" si="17"/>
        <v>Need to Balance</v>
      </c>
    </row>
    <row r="44" spans="1:73" ht="15.75" customHeight="1" x14ac:dyDescent="0.25">
      <c r="A44" s="8" t="s">
        <v>3005</v>
      </c>
      <c r="B44" s="8" t="s">
        <v>3390</v>
      </c>
      <c r="C44" s="8" t="s">
        <v>389</v>
      </c>
      <c r="D44" s="8" t="s">
        <v>3505</v>
      </c>
      <c r="E44" s="8" t="s">
        <v>3506</v>
      </c>
      <c r="F44" s="8" t="s">
        <v>43</v>
      </c>
      <c r="G44" s="8" t="s">
        <v>44</v>
      </c>
      <c r="H44" s="8">
        <v>100</v>
      </c>
      <c r="I44" s="8" t="s">
        <v>3507</v>
      </c>
      <c r="J44" s="8">
        <v>1</v>
      </c>
      <c r="K44" s="8">
        <v>241</v>
      </c>
      <c r="L44" s="8">
        <v>243</v>
      </c>
      <c r="M44" s="8">
        <v>244</v>
      </c>
      <c r="N44" s="8">
        <v>421</v>
      </c>
      <c r="O44" s="8">
        <v>424</v>
      </c>
      <c r="P44" s="8">
        <v>423</v>
      </c>
      <c r="Q44" s="9" t="s">
        <v>46</v>
      </c>
      <c r="R44" s="16"/>
      <c r="S44" s="10">
        <v>30</v>
      </c>
      <c r="T44" s="10">
        <v>20</v>
      </c>
      <c r="U44" s="10">
        <v>21</v>
      </c>
      <c r="V44" s="11">
        <v>18</v>
      </c>
      <c r="W44" s="12" t="s">
        <v>46</v>
      </c>
      <c r="X44" s="17"/>
      <c r="Y44" s="13">
        <v>35</v>
      </c>
      <c r="Z44" s="13">
        <v>30</v>
      </c>
      <c r="AA44" s="13">
        <v>29</v>
      </c>
      <c r="AB44" s="14">
        <v>19</v>
      </c>
      <c r="AC44" s="9"/>
      <c r="AD44" s="16"/>
      <c r="AE44" s="10"/>
      <c r="AF44" s="10"/>
      <c r="AG44" s="10"/>
      <c r="AH44" s="11"/>
      <c r="AI44" s="12"/>
      <c r="AJ44" s="17"/>
      <c r="AK44" s="13"/>
      <c r="AL44" s="13"/>
      <c r="AM44" s="13"/>
      <c r="AN44" s="14"/>
      <c r="AO44" s="9"/>
      <c r="AP44" s="16"/>
      <c r="AQ44" s="10"/>
      <c r="AR44" s="10"/>
      <c r="AS44" s="10"/>
      <c r="AT44" s="11"/>
      <c r="AU44" s="12"/>
      <c r="AV44" s="17"/>
      <c r="AW44" s="13"/>
      <c r="AX44" s="13"/>
      <c r="AY44" s="13"/>
      <c r="AZ44" s="14"/>
      <c r="BA44" s="9"/>
      <c r="BB44" s="16"/>
      <c r="BC44" s="10"/>
      <c r="BD44" s="10"/>
      <c r="BE44" s="10"/>
      <c r="BF44" s="11"/>
      <c r="BG44" s="12"/>
      <c r="BH44" s="17"/>
      <c r="BI44" s="13"/>
      <c r="BJ44" s="13"/>
      <c r="BK44" s="13"/>
      <c r="BL44" s="14"/>
      <c r="BM44" s="8">
        <f t="shared" si="9"/>
        <v>65</v>
      </c>
      <c r="BN44" s="8">
        <f t="shared" si="10"/>
        <v>50</v>
      </c>
      <c r="BO44" s="8">
        <f t="shared" si="11"/>
        <v>50</v>
      </c>
      <c r="BP44" s="8">
        <f t="shared" si="12"/>
        <v>37</v>
      </c>
      <c r="BQ44" s="8">
        <f t="shared" si="13"/>
        <v>65</v>
      </c>
      <c r="BR44" s="8">
        <f t="shared" si="14"/>
        <v>50</v>
      </c>
      <c r="BS44" s="15">
        <f t="shared" si="15"/>
        <v>47.397570349122326</v>
      </c>
      <c r="BT44" s="15" t="str">
        <f t="shared" si="16"/>
        <v>OK - No Upgrade</v>
      </c>
      <c r="BU44" s="15" t="str">
        <f t="shared" si="17"/>
        <v>Need to Balance</v>
      </c>
    </row>
    <row r="45" spans="1:73" ht="15.75" customHeight="1" x14ac:dyDescent="0.25">
      <c r="A45" s="8" t="s">
        <v>3005</v>
      </c>
      <c r="B45" s="8" t="s">
        <v>3390</v>
      </c>
      <c r="C45" s="8" t="s">
        <v>389</v>
      </c>
      <c r="D45" s="8" t="s">
        <v>3508</v>
      </c>
      <c r="E45" s="8" t="s">
        <v>3509</v>
      </c>
      <c r="F45" s="8" t="s">
        <v>43</v>
      </c>
      <c r="G45" s="8" t="s">
        <v>44</v>
      </c>
      <c r="H45" s="8">
        <v>100</v>
      </c>
      <c r="I45" s="8" t="s">
        <v>3510</v>
      </c>
      <c r="J45" s="8">
        <v>1</v>
      </c>
      <c r="K45" s="8">
        <v>236</v>
      </c>
      <c r="L45" s="8">
        <v>238</v>
      </c>
      <c r="M45" s="8">
        <v>239</v>
      </c>
      <c r="N45" s="8">
        <v>413</v>
      </c>
      <c r="O45" s="8">
        <v>415</v>
      </c>
      <c r="P45" s="8">
        <v>414</v>
      </c>
      <c r="Q45" s="9" t="s">
        <v>46</v>
      </c>
      <c r="R45" s="16"/>
      <c r="S45" s="10">
        <v>10</v>
      </c>
      <c r="T45" s="10">
        <v>12</v>
      </c>
      <c r="U45" s="10">
        <v>14</v>
      </c>
      <c r="V45" s="11">
        <v>12</v>
      </c>
      <c r="W45" s="12"/>
      <c r="X45" s="17"/>
      <c r="Y45" s="13"/>
      <c r="Z45" s="13"/>
      <c r="AA45" s="13"/>
      <c r="AB45" s="14"/>
      <c r="AC45" s="9"/>
      <c r="AD45" s="16"/>
      <c r="AE45" s="10"/>
      <c r="AF45" s="10"/>
      <c r="AG45" s="10"/>
      <c r="AH45" s="11"/>
      <c r="AI45" s="12"/>
      <c r="AJ45" s="17"/>
      <c r="AK45" s="13"/>
      <c r="AL45" s="13"/>
      <c r="AM45" s="13"/>
      <c r="AN45" s="14"/>
      <c r="AO45" s="9"/>
      <c r="AP45" s="16"/>
      <c r="AQ45" s="10"/>
      <c r="AR45" s="10"/>
      <c r="AS45" s="10"/>
      <c r="AT45" s="11"/>
      <c r="AU45" s="12"/>
      <c r="AV45" s="17"/>
      <c r="AW45" s="13"/>
      <c r="AX45" s="13"/>
      <c r="AY45" s="13"/>
      <c r="AZ45" s="14"/>
      <c r="BA45" s="9"/>
      <c r="BB45" s="16"/>
      <c r="BC45" s="10"/>
      <c r="BD45" s="10"/>
      <c r="BE45" s="10"/>
      <c r="BF45" s="11"/>
      <c r="BG45" s="12"/>
      <c r="BH45" s="17"/>
      <c r="BI45" s="13"/>
      <c r="BJ45" s="13"/>
      <c r="BK45" s="13"/>
      <c r="BL45" s="14"/>
      <c r="BM45" s="8">
        <f t="shared" si="9"/>
        <v>10</v>
      </c>
      <c r="BN45" s="8">
        <f t="shared" si="10"/>
        <v>12</v>
      </c>
      <c r="BO45" s="8">
        <f t="shared" si="11"/>
        <v>14</v>
      </c>
      <c r="BP45" s="8">
        <f t="shared" si="12"/>
        <v>12</v>
      </c>
      <c r="BQ45" s="8">
        <f t="shared" si="13"/>
        <v>14</v>
      </c>
      <c r="BR45" s="8">
        <f t="shared" si="14"/>
        <v>10</v>
      </c>
      <c r="BS45" s="15">
        <f t="shared" si="15"/>
        <v>10.014717769363248</v>
      </c>
      <c r="BT45" s="15" t="str">
        <f t="shared" si="16"/>
        <v>OK - No Upgrade</v>
      </c>
      <c r="BU45" s="15" t="str">
        <f t="shared" si="17"/>
        <v>Need to Balance</v>
      </c>
    </row>
    <row r="46" spans="1:73" ht="15.75" customHeight="1" x14ac:dyDescent="0.25">
      <c r="A46" s="8" t="s">
        <v>3005</v>
      </c>
      <c r="B46" s="8" t="s">
        <v>3390</v>
      </c>
      <c r="C46" s="8" t="s">
        <v>389</v>
      </c>
      <c r="D46" s="8" t="s">
        <v>3511</v>
      </c>
      <c r="E46" s="8" t="s">
        <v>3512</v>
      </c>
      <c r="F46" s="8" t="s">
        <v>43</v>
      </c>
      <c r="G46" s="8" t="s">
        <v>44</v>
      </c>
      <c r="H46" s="8">
        <v>100</v>
      </c>
      <c r="I46" s="8" t="s">
        <v>3513</v>
      </c>
      <c r="J46" s="8">
        <v>1</v>
      </c>
      <c r="K46" s="8">
        <v>254</v>
      </c>
      <c r="L46" s="8">
        <v>256</v>
      </c>
      <c r="M46" s="8">
        <v>257</v>
      </c>
      <c r="N46" s="8">
        <v>444</v>
      </c>
      <c r="O46" s="8">
        <v>448</v>
      </c>
      <c r="P46" s="8">
        <v>444</v>
      </c>
      <c r="Q46" s="9" t="s">
        <v>46</v>
      </c>
      <c r="R46" s="16"/>
      <c r="S46" s="10">
        <v>8</v>
      </c>
      <c r="T46" s="10">
        <v>5</v>
      </c>
      <c r="U46" s="10">
        <v>10</v>
      </c>
      <c r="V46" s="11">
        <v>9</v>
      </c>
      <c r="W46" s="12"/>
      <c r="X46" s="17"/>
      <c r="Y46" s="13"/>
      <c r="Z46" s="13"/>
      <c r="AA46" s="13"/>
      <c r="AB46" s="14"/>
      <c r="AC46" s="9"/>
      <c r="AD46" s="16"/>
      <c r="AE46" s="10"/>
      <c r="AF46" s="10"/>
      <c r="AG46" s="10"/>
      <c r="AH46" s="11"/>
      <c r="AI46" s="12"/>
      <c r="AJ46" s="17"/>
      <c r="AK46" s="13"/>
      <c r="AL46" s="13"/>
      <c r="AM46" s="13"/>
      <c r="AN46" s="14"/>
      <c r="AO46" s="9"/>
      <c r="AP46" s="16"/>
      <c r="AQ46" s="10"/>
      <c r="AR46" s="10"/>
      <c r="AS46" s="10"/>
      <c r="AT46" s="11"/>
      <c r="AU46" s="12"/>
      <c r="AV46" s="17"/>
      <c r="AW46" s="13"/>
      <c r="AX46" s="13"/>
      <c r="AY46" s="13"/>
      <c r="AZ46" s="14"/>
      <c r="BA46" s="9"/>
      <c r="BB46" s="16"/>
      <c r="BC46" s="10"/>
      <c r="BD46" s="10"/>
      <c r="BE46" s="10"/>
      <c r="BF46" s="11"/>
      <c r="BG46" s="12"/>
      <c r="BH46" s="17"/>
      <c r="BI46" s="13"/>
      <c r="BJ46" s="13"/>
      <c r="BK46" s="13"/>
      <c r="BL46" s="14"/>
      <c r="BM46" s="8">
        <f t="shared" si="9"/>
        <v>8</v>
      </c>
      <c r="BN46" s="8">
        <f t="shared" si="10"/>
        <v>5</v>
      </c>
      <c r="BO46" s="8">
        <f t="shared" si="11"/>
        <v>10</v>
      </c>
      <c r="BP46" s="8">
        <f t="shared" si="12"/>
        <v>9</v>
      </c>
      <c r="BQ46" s="8">
        <f t="shared" si="13"/>
        <v>10</v>
      </c>
      <c r="BR46" s="8">
        <f t="shared" si="14"/>
        <v>5</v>
      </c>
      <c r="BS46" s="15">
        <f t="shared" si="15"/>
        <v>7.690305585605814</v>
      </c>
      <c r="BT46" s="15" t="str">
        <f t="shared" si="16"/>
        <v>OK - No Upgrade</v>
      </c>
      <c r="BU46" s="15" t="str">
        <f t="shared" si="17"/>
        <v>Need to Balance</v>
      </c>
    </row>
    <row r="47" spans="1:73" ht="15.75" customHeight="1" x14ac:dyDescent="0.25">
      <c r="A47" s="8" t="s">
        <v>3005</v>
      </c>
      <c r="B47" s="8" t="s">
        <v>3390</v>
      </c>
      <c r="C47" s="8" t="s">
        <v>124</v>
      </c>
      <c r="D47" s="8" t="s">
        <v>3514</v>
      </c>
      <c r="E47" s="8" t="s">
        <v>3515</v>
      </c>
      <c r="F47" s="8" t="s">
        <v>43</v>
      </c>
      <c r="G47" s="8" t="s">
        <v>44</v>
      </c>
      <c r="H47" s="8">
        <v>315</v>
      </c>
      <c r="I47" s="8" t="s">
        <v>3516</v>
      </c>
      <c r="J47" s="8">
        <v>1</v>
      </c>
      <c r="K47" s="8">
        <v>244</v>
      </c>
      <c r="L47" s="8">
        <v>245</v>
      </c>
      <c r="M47" s="8">
        <v>244</v>
      </c>
      <c r="N47" s="8">
        <v>426</v>
      </c>
      <c r="O47" s="8">
        <v>424</v>
      </c>
      <c r="P47" s="8">
        <v>425</v>
      </c>
      <c r="Q47" s="9" t="s">
        <v>46</v>
      </c>
      <c r="R47" s="16"/>
      <c r="S47" s="10">
        <v>100</v>
      </c>
      <c r="T47" s="10">
        <v>46</v>
      </c>
      <c r="U47" s="10">
        <v>80</v>
      </c>
      <c r="V47" s="11">
        <v>46</v>
      </c>
      <c r="W47" s="12" t="s">
        <v>46</v>
      </c>
      <c r="X47" s="17"/>
      <c r="Y47" s="13">
        <v>84</v>
      </c>
      <c r="Z47" s="13">
        <v>95</v>
      </c>
      <c r="AA47" s="13">
        <v>123</v>
      </c>
      <c r="AB47" s="14">
        <v>32</v>
      </c>
      <c r="AC47" s="9"/>
      <c r="AD47" s="16"/>
      <c r="AE47" s="10"/>
      <c r="AF47" s="10"/>
      <c r="AG47" s="10"/>
      <c r="AH47" s="11"/>
      <c r="AI47" s="12"/>
      <c r="AJ47" s="17"/>
      <c r="AK47" s="13"/>
      <c r="AL47" s="13"/>
      <c r="AM47" s="13"/>
      <c r="AN47" s="14"/>
      <c r="AO47" s="9"/>
      <c r="AP47" s="16"/>
      <c r="AQ47" s="10"/>
      <c r="AR47" s="10"/>
      <c r="AS47" s="10"/>
      <c r="AT47" s="11"/>
      <c r="AU47" s="12"/>
      <c r="AV47" s="17"/>
      <c r="AW47" s="13"/>
      <c r="AX47" s="13"/>
      <c r="AY47" s="13"/>
      <c r="AZ47" s="14"/>
      <c r="BA47" s="9"/>
      <c r="BB47" s="16"/>
      <c r="BC47" s="10"/>
      <c r="BD47" s="10"/>
      <c r="BE47" s="10"/>
      <c r="BF47" s="11"/>
      <c r="BG47" s="12"/>
      <c r="BH47" s="17"/>
      <c r="BI47" s="13"/>
      <c r="BJ47" s="13"/>
      <c r="BK47" s="13"/>
      <c r="BL47" s="14"/>
      <c r="BM47" s="8">
        <f t="shared" si="9"/>
        <v>184</v>
      </c>
      <c r="BN47" s="8">
        <f t="shared" si="10"/>
        <v>141</v>
      </c>
      <c r="BO47" s="8">
        <f t="shared" si="11"/>
        <v>203</v>
      </c>
      <c r="BP47" s="8">
        <f t="shared" si="12"/>
        <v>78</v>
      </c>
      <c r="BQ47" s="8">
        <f t="shared" si="13"/>
        <v>203</v>
      </c>
      <c r="BR47" s="8">
        <f t="shared" si="14"/>
        <v>141</v>
      </c>
      <c r="BS47" s="15">
        <f t="shared" si="15"/>
        <v>47.550568170457581</v>
      </c>
      <c r="BT47" s="15" t="str">
        <f t="shared" si="16"/>
        <v>OK - No Upgrade</v>
      </c>
      <c r="BU47" s="15" t="str">
        <f t="shared" si="17"/>
        <v>Need to Balance</v>
      </c>
    </row>
    <row r="48" spans="1:73" ht="15.75" customHeight="1" x14ac:dyDescent="0.25">
      <c r="A48" s="8" t="s">
        <v>3005</v>
      </c>
      <c r="B48" s="8" t="s">
        <v>3390</v>
      </c>
      <c r="C48" s="8" t="s">
        <v>124</v>
      </c>
      <c r="D48" s="8" t="s">
        <v>3517</v>
      </c>
      <c r="E48" s="8" t="s">
        <v>769</v>
      </c>
      <c r="F48" s="8" t="s">
        <v>43</v>
      </c>
      <c r="G48" s="8" t="s">
        <v>44</v>
      </c>
      <c r="H48" s="8">
        <v>100</v>
      </c>
      <c r="I48" s="8" t="s">
        <v>3518</v>
      </c>
      <c r="J48" s="8">
        <v>1</v>
      </c>
      <c r="K48" s="8">
        <v>244</v>
      </c>
      <c r="L48" s="8">
        <v>243</v>
      </c>
      <c r="M48" s="8">
        <v>244</v>
      </c>
      <c r="N48" s="8">
        <v>426</v>
      </c>
      <c r="O48" s="8">
        <v>426</v>
      </c>
      <c r="P48" s="8">
        <v>421</v>
      </c>
      <c r="Q48" s="9" t="s">
        <v>46</v>
      </c>
      <c r="R48" s="16"/>
      <c r="S48" s="10">
        <v>43</v>
      </c>
      <c r="T48" s="10">
        <v>84</v>
      </c>
      <c r="U48" s="10">
        <v>45</v>
      </c>
      <c r="V48" s="11">
        <v>38</v>
      </c>
      <c r="W48" s="12"/>
      <c r="X48" s="17"/>
      <c r="Y48" s="13"/>
      <c r="Z48" s="13"/>
      <c r="AA48" s="13"/>
      <c r="AB48" s="14"/>
      <c r="AC48" s="9"/>
      <c r="AD48" s="16"/>
      <c r="AE48" s="10"/>
      <c r="AF48" s="10"/>
      <c r="AG48" s="10"/>
      <c r="AH48" s="11"/>
      <c r="AI48" s="12"/>
      <c r="AJ48" s="17"/>
      <c r="AK48" s="13"/>
      <c r="AL48" s="13"/>
      <c r="AM48" s="13"/>
      <c r="AN48" s="14"/>
      <c r="AO48" s="9"/>
      <c r="AP48" s="16"/>
      <c r="AQ48" s="10"/>
      <c r="AR48" s="10"/>
      <c r="AS48" s="10"/>
      <c r="AT48" s="11"/>
      <c r="AU48" s="12"/>
      <c r="AV48" s="17"/>
      <c r="AW48" s="13"/>
      <c r="AX48" s="13"/>
      <c r="AY48" s="13"/>
      <c r="AZ48" s="14"/>
      <c r="BA48" s="9"/>
      <c r="BB48" s="16"/>
      <c r="BC48" s="10"/>
      <c r="BD48" s="10"/>
      <c r="BE48" s="10"/>
      <c r="BF48" s="11"/>
      <c r="BG48" s="12"/>
      <c r="BH48" s="17"/>
      <c r="BI48" s="13"/>
      <c r="BJ48" s="13"/>
      <c r="BK48" s="13"/>
      <c r="BL48" s="14"/>
      <c r="BM48" s="8">
        <f t="shared" si="9"/>
        <v>43</v>
      </c>
      <c r="BN48" s="8">
        <f t="shared" si="10"/>
        <v>84</v>
      </c>
      <c r="BO48" s="8">
        <f t="shared" si="11"/>
        <v>45</v>
      </c>
      <c r="BP48" s="8">
        <f t="shared" si="12"/>
        <v>38</v>
      </c>
      <c r="BQ48" s="8">
        <f t="shared" si="13"/>
        <v>84</v>
      </c>
      <c r="BR48" s="8">
        <f t="shared" si="14"/>
        <v>43</v>
      </c>
      <c r="BS48" s="15">
        <f t="shared" si="15"/>
        <v>61.979706098044709</v>
      </c>
      <c r="BT48" s="15" t="str">
        <f t="shared" si="16"/>
        <v>OK - No Upgrade</v>
      </c>
      <c r="BU48" s="15" t="str">
        <f t="shared" si="17"/>
        <v>Need to Balance</v>
      </c>
    </row>
    <row r="49" spans="1:73" ht="15.75" customHeight="1" x14ac:dyDescent="0.25">
      <c r="A49" s="8" t="s">
        <v>3005</v>
      </c>
      <c r="B49" s="8" t="s">
        <v>3390</v>
      </c>
      <c r="C49" s="8" t="s">
        <v>124</v>
      </c>
      <c r="D49" s="8" t="s">
        <v>3519</v>
      </c>
      <c r="E49" s="8" t="s">
        <v>3520</v>
      </c>
      <c r="F49" s="8" t="s">
        <v>43</v>
      </c>
      <c r="G49" s="8" t="s">
        <v>1077</v>
      </c>
      <c r="H49" s="8">
        <v>100</v>
      </c>
      <c r="I49" s="8" t="s">
        <v>3521</v>
      </c>
      <c r="J49" s="8">
        <v>1</v>
      </c>
      <c r="K49" s="8">
        <v>257</v>
      </c>
      <c r="L49" s="8">
        <v>257</v>
      </c>
      <c r="M49" s="8">
        <v>258</v>
      </c>
      <c r="N49" s="8">
        <v>447</v>
      </c>
      <c r="O49" s="8">
        <v>449</v>
      </c>
      <c r="P49" s="8">
        <v>447</v>
      </c>
      <c r="Q49" s="9" t="s">
        <v>46</v>
      </c>
      <c r="R49" s="16"/>
      <c r="S49" s="10">
        <v>19</v>
      </c>
      <c r="T49" s="10">
        <v>18</v>
      </c>
      <c r="U49" s="10">
        <v>18</v>
      </c>
      <c r="V49" s="11">
        <v>6</v>
      </c>
      <c r="W49" s="12" t="s">
        <v>46</v>
      </c>
      <c r="X49" s="17"/>
      <c r="Y49" s="13">
        <v>12</v>
      </c>
      <c r="Z49" s="13">
        <v>11</v>
      </c>
      <c r="AA49" s="13">
        <v>5</v>
      </c>
      <c r="AB49" s="14">
        <v>8</v>
      </c>
      <c r="AC49" s="9"/>
      <c r="AD49" s="16"/>
      <c r="AE49" s="10"/>
      <c r="AF49" s="10"/>
      <c r="AG49" s="10"/>
      <c r="AH49" s="11"/>
      <c r="AI49" s="12"/>
      <c r="AJ49" s="17"/>
      <c r="AK49" s="13"/>
      <c r="AL49" s="13"/>
      <c r="AM49" s="13"/>
      <c r="AN49" s="14"/>
      <c r="AO49" s="9"/>
      <c r="AP49" s="16"/>
      <c r="AQ49" s="10"/>
      <c r="AR49" s="10"/>
      <c r="AS49" s="10"/>
      <c r="AT49" s="11"/>
      <c r="AU49" s="12"/>
      <c r="AV49" s="17"/>
      <c r="AW49" s="13"/>
      <c r="AX49" s="13"/>
      <c r="AY49" s="13"/>
      <c r="AZ49" s="14"/>
      <c r="BA49" s="9"/>
      <c r="BB49" s="16"/>
      <c r="BC49" s="10"/>
      <c r="BD49" s="10"/>
      <c r="BE49" s="10"/>
      <c r="BF49" s="11"/>
      <c r="BG49" s="12"/>
      <c r="BH49" s="17"/>
      <c r="BI49" s="13"/>
      <c r="BJ49" s="13"/>
      <c r="BK49" s="13"/>
      <c r="BL49" s="14"/>
      <c r="BM49" s="8">
        <f t="shared" si="9"/>
        <v>31</v>
      </c>
      <c r="BN49" s="8">
        <f t="shared" si="10"/>
        <v>29</v>
      </c>
      <c r="BO49" s="8">
        <f t="shared" si="11"/>
        <v>23</v>
      </c>
      <c r="BP49" s="8">
        <f t="shared" si="12"/>
        <v>14</v>
      </c>
      <c r="BQ49" s="8">
        <f t="shared" si="13"/>
        <v>31</v>
      </c>
      <c r="BR49" s="8">
        <f t="shared" si="14"/>
        <v>23</v>
      </c>
      <c r="BS49" s="15">
        <f t="shared" si="15"/>
        <v>24.001028040481931</v>
      </c>
      <c r="BT49" s="15" t="str">
        <f t="shared" si="16"/>
        <v>OK - No Upgrade</v>
      </c>
      <c r="BU49" s="15" t="str">
        <f t="shared" si="17"/>
        <v>Need to Balance</v>
      </c>
    </row>
    <row r="50" spans="1:73" ht="15.75" customHeight="1" x14ac:dyDescent="0.25">
      <c r="A50" s="8" t="s">
        <v>3005</v>
      </c>
      <c r="B50" s="8" t="s">
        <v>3390</v>
      </c>
      <c r="C50" s="8" t="s">
        <v>124</v>
      </c>
      <c r="D50" s="8" t="s">
        <v>3522</v>
      </c>
      <c r="E50" s="8" t="s">
        <v>3523</v>
      </c>
      <c r="F50" s="8" t="s">
        <v>43</v>
      </c>
      <c r="G50" s="8" t="s">
        <v>44</v>
      </c>
      <c r="H50" s="8">
        <v>315</v>
      </c>
      <c r="I50" s="8" t="s">
        <v>3524</v>
      </c>
      <c r="J50" s="8">
        <v>1</v>
      </c>
      <c r="K50" s="8">
        <v>244</v>
      </c>
      <c r="L50" s="8">
        <v>243</v>
      </c>
      <c r="M50" s="8">
        <v>246</v>
      </c>
      <c r="N50" s="8">
        <v>424</v>
      </c>
      <c r="O50" s="8">
        <v>428</v>
      </c>
      <c r="P50" s="8">
        <v>425</v>
      </c>
      <c r="Q50" s="9" t="s">
        <v>46</v>
      </c>
      <c r="R50" s="16"/>
      <c r="S50" s="10">
        <v>57</v>
      </c>
      <c r="T50" s="10">
        <v>83</v>
      </c>
      <c r="U50" s="10">
        <v>40</v>
      </c>
      <c r="V50" s="11">
        <v>25</v>
      </c>
      <c r="W50" s="12" t="s">
        <v>47</v>
      </c>
      <c r="X50" s="17"/>
      <c r="Y50" s="13">
        <v>0</v>
      </c>
      <c r="Z50" s="13">
        <v>0</v>
      </c>
      <c r="AA50" s="13">
        <v>0</v>
      </c>
      <c r="AB50" s="14">
        <v>0</v>
      </c>
      <c r="AC50" s="9"/>
      <c r="AD50" s="16"/>
      <c r="AE50" s="10"/>
      <c r="AF50" s="10"/>
      <c r="AG50" s="10"/>
      <c r="AH50" s="11"/>
      <c r="AI50" s="12"/>
      <c r="AJ50" s="17"/>
      <c r="AK50" s="13"/>
      <c r="AL50" s="13"/>
      <c r="AM50" s="13"/>
      <c r="AN50" s="14"/>
      <c r="AO50" s="9"/>
      <c r="AP50" s="16"/>
      <c r="AQ50" s="10"/>
      <c r="AR50" s="10"/>
      <c r="AS50" s="10"/>
      <c r="AT50" s="11"/>
      <c r="AU50" s="12"/>
      <c r="AV50" s="17"/>
      <c r="AW50" s="13"/>
      <c r="AX50" s="13"/>
      <c r="AY50" s="13"/>
      <c r="AZ50" s="14"/>
      <c r="BA50" s="9"/>
      <c r="BB50" s="16"/>
      <c r="BC50" s="10"/>
      <c r="BD50" s="10"/>
      <c r="BE50" s="10"/>
      <c r="BF50" s="11"/>
      <c r="BG50" s="12"/>
      <c r="BH50" s="17"/>
      <c r="BI50" s="13"/>
      <c r="BJ50" s="13"/>
      <c r="BK50" s="13"/>
      <c r="BL50" s="14"/>
      <c r="BM50" s="8">
        <f t="shared" si="9"/>
        <v>57</v>
      </c>
      <c r="BN50" s="8">
        <f t="shared" si="10"/>
        <v>83</v>
      </c>
      <c r="BO50" s="8">
        <f t="shared" si="11"/>
        <v>40</v>
      </c>
      <c r="BP50" s="8">
        <f t="shared" si="12"/>
        <v>25</v>
      </c>
      <c r="BQ50" s="8">
        <f t="shared" si="13"/>
        <v>83</v>
      </c>
      <c r="BR50" s="8">
        <f t="shared" si="14"/>
        <v>40</v>
      </c>
      <c r="BS50" s="15">
        <f t="shared" si="15"/>
        <v>19.35058159363934</v>
      </c>
      <c r="BT50" s="15" t="str">
        <f t="shared" si="16"/>
        <v>OK - No Upgrade</v>
      </c>
      <c r="BU50" s="15" t="str">
        <f t="shared" si="17"/>
        <v>Need to Balance</v>
      </c>
    </row>
    <row r="51" spans="1:73" ht="15.75" customHeight="1" x14ac:dyDescent="0.25">
      <c r="A51" s="8" t="s">
        <v>3005</v>
      </c>
      <c r="B51" s="8" t="s">
        <v>3390</v>
      </c>
      <c r="C51" s="8" t="s">
        <v>124</v>
      </c>
      <c r="D51" s="8" t="s">
        <v>3525</v>
      </c>
      <c r="E51" s="8" t="s">
        <v>3526</v>
      </c>
      <c r="F51" s="8" t="s">
        <v>43</v>
      </c>
      <c r="G51" s="8" t="s">
        <v>44</v>
      </c>
      <c r="H51" s="8">
        <v>315</v>
      </c>
      <c r="I51" s="8" t="s">
        <v>3527</v>
      </c>
      <c r="J51" s="8">
        <v>1</v>
      </c>
      <c r="K51" s="8">
        <v>246</v>
      </c>
      <c r="L51" s="8">
        <v>247</v>
      </c>
      <c r="M51" s="8">
        <v>246</v>
      </c>
      <c r="N51" s="8">
        <v>430</v>
      </c>
      <c r="O51" s="8">
        <v>429</v>
      </c>
      <c r="P51" s="8">
        <v>428</v>
      </c>
      <c r="Q51" s="9" t="s">
        <v>47</v>
      </c>
      <c r="R51" s="16"/>
      <c r="S51" s="10">
        <v>12</v>
      </c>
      <c r="T51" s="10">
        <v>13</v>
      </c>
      <c r="U51" s="10">
        <v>14</v>
      </c>
      <c r="V51" s="11">
        <v>11</v>
      </c>
      <c r="W51" s="12"/>
      <c r="X51" s="17"/>
      <c r="Y51" s="13"/>
      <c r="Z51" s="13"/>
      <c r="AA51" s="13"/>
      <c r="AB51" s="14"/>
      <c r="AC51" s="9"/>
      <c r="AD51" s="16"/>
      <c r="AE51" s="10"/>
      <c r="AF51" s="10"/>
      <c r="AG51" s="10"/>
      <c r="AH51" s="11"/>
      <c r="AI51" s="12"/>
      <c r="AJ51" s="17"/>
      <c r="AK51" s="13"/>
      <c r="AL51" s="13"/>
      <c r="AM51" s="13"/>
      <c r="AN51" s="14"/>
      <c r="AO51" s="9"/>
      <c r="AP51" s="16"/>
      <c r="AQ51" s="10"/>
      <c r="AR51" s="10"/>
      <c r="AS51" s="10"/>
      <c r="AT51" s="11"/>
      <c r="AU51" s="12"/>
      <c r="AV51" s="17"/>
      <c r="AW51" s="13"/>
      <c r="AX51" s="13"/>
      <c r="AY51" s="13"/>
      <c r="AZ51" s="14"/>
      <c r="BA51" s="9"/>
      <c r="BB51" s="16"/>
      <c r="BC51" s="10"/>
      <c r="BD51" s="10"/>
      <c r="BE51" s="10"/>
      <c r="BF51" s="11"/>
      <c r="BG51" s="12"/>
      <c r="BH51" s="17"/>
      <c r="BI51" s="13"/>
      <c r="BJ51" s="13"/>
      <c r="BK51" s="13"/>
      <c r="BL51" s="14"/>
      <c r="BM51" s="8">
        <f t="shared" si="9"/>
        <v>12</v>
      </c>
      <c r="BN51" s="8">
        <f t="shared" si="10"/>
        <v>13</v>
      </c>
      <c r="BO51" s="8">
        <f t="shared" si="11"/>
        <v>14</v>
      </c>
      <c r="BP51" s="8">
        <f t="shared" si="12"/>
        <v>11</v>
      </c>
      <c r="BQ51" s="8">
        <f t="shared" si="13"/>
        <v>14</v>
      </c>
      <c r="BR51" s="8">
        <f t="shared" si="14"/>
        <v>12</v>
      </c>
      <c r="BS51" s="15">
        <f t="shared" si="15"/>
        <v>3.3101415433538546</v>
      </c>
      <c r="BT51" s="15" t="str">
        <f t="shared" si="16"/>
        <v>OK - No Upgrade</v>
      </c>
      <c r="BU51" s="15" t="str">
        <f t="shared" si="17"/>
        <v>OK - Balanced</v>
      </c>
    </row>
    <row r="52" spans="1:73" ht="15.75" customHeight="1" x14ac:dyDescent="0.25">
      <c r="A52" s="8" t="s">
        <v>3005</v>
      </c>
      <c r="B52" s="8" t="s">
        <v>3390</v>
      </c>
      <c r="C52" s="8" t="s">
        <v>124</v>
      </c>
      <c r="D52" s="8" t="s">
        <v>3528</v>
      </c>
      <c r="E52" s="8" t="s">
        <v>3529</v>
      </c>
      <c r="F52" s="8" t="s">
        <v>43</v>
      </c>
      <c r="G52" s="8" t="s">
        <v>1077</v>
      </c>
      <c r="H52" s="8">
        <v>200</v>
      </c>
      <c r="I52" s="8" t="s">
        <v>3530</v>
      </c>
      <c r="J52" s="8">
        <v>1</v>
      </c>
      <c r="K52" s="8">
        <v>256</v>
      </c>
      <c r="L52" s="8">
        <v>257</v>
      </c>
      <c r="M52" s="8">
        <v>257</v>
      </c>
      <c r="N52" s="8">
        <v>446</v>
      </c>
      <c r="O52" s="8">
        <v>447</v>
      </c>
      <c r="P52" s="8">
        <v>445</v>
      </c>
      <c r="Q52" s="9" t="s">
        <v>46</v>
      </c>
      <c r="R52" s="16"/>
      <c r="S52" s="10">
        <v>25</v>
      </c>
      <c r="T52" s="10">
        <v>36</v>
      </c>
      <c r="U52" s="10">
        <v>33</v>
      </c>
      <c r="V52" s="11">
        <v>34</v>
      </c>
      <c r="W52" s="12" t="s">
        <v>47</v>
      </c>
      <c r="X52" s="17"/>
      <c r="Y52" s="13">
        <v>79</v>
      </c>
      <c r="Z52" s="13">
        <v>64</v>
      </c>
      <c r="AA52" s="13">
        <v>53</v>
      </c>
      <c r="AB52" s="14">
        <v>22</v>
      </c>
      <c r="AC52" s="9"/>
      <c r="AD52" s="16"/>
      <c r="AE52" s="10"/>
      <c r="AF52" s="10"/>
      <c r="AG52" s="10"/>
      <c r="AH52" s="11"/>
      <c r="AI52" s="12"/>
      <c r="AJ52" s="17"/>
      <c r="AK52" s="13"/>
      <c r="AL52" s="13"/>
      <c r="AM52" s="13"/>
      <c r="AN52" s="14"/>
      <c r="AO52" s="9"/>
      <c r="AP52" s="16"/>
      <c r="AQ52" s="10"/>
      <c r="AR52" s="10"/>
      <c r="AS52" s="10"/>
      <c r="AT52" s="11"/>
      <c r="AU52" s="12"/>
      <c r="AV52" s="17"/>
      <c r="AW52" s="13"/>
      <c r="AX52" s="13"/>
      <c r="AY52" s="13"/>
      <c r="AZ52" s="14"/>
      <c r="BA52" s="9"/>
      <c r="BB52" s="16"/>
      <c r="BC52" s="10"/>
      <c r="BD52" s="10"/>
      <c r="BE52" s="10"/>
      <c r="BF52" s="11"/>
      <c r="BG52" s="12"/>
      <c r="BH52" s="17"/>
      <c r="BI52" s="13"/>
      <c r="BJ52" s="13"/>
      <c r="BK52" s="13"/>
      <c r="BL52" s="14"/>
      <c r="BM52" s="8">
        <f t="shared" si="9"/>
        <v>104</v>
      </c>
      <c r="BN52" s="8">
        <f t="shared" si="10"/>
        <v>100</v>
      </c>
      <c r="BO52" s="8">
        <f t="shared" si="11"/>
        <v>86</v>
      </c>
      <c r="BP52" s="8">
        <f t="shared" si="12"/>
        <v>56</v>
      </c>
      <c r="BQ52" s="8">
        <f t="shared" si="13"/>
        <v>104</v>
      </c>
      <c r="BR52" s="8">
        <f t="shared" si="14"/>
        <v>86</v>
      </c>
      <c r="BS52" s="15">
        <f t="shared" si="15"/>
        <v>40.1697223291374</v>
      </c>
      <c r="BT52" s="15" t="str">
        <f t="shared" si="16"/>
        <v>OK - No Upgrade</v>
      </c>
      <c r="BU52" s="15" t="str">
        <f t="shared" si="17"/>
        <v>OK - Balanced</v>
      </c>
    </row>
    <row r="53" spans="1:73" ht="15.75" customHeight="1" x14ac:dyDescent="0.25">
      <c r="A53" s="8" t="s">
        <v>3005</v>
      </c>
      <c r="B53" s="8" t="s">
        <v>3390</v>
      </c>
      <c r="C53" s="8" t="s">
        <v>124</v>
      </c>
      <c r="D53" s="8" t="s">
        <v>3531</v>
      </c>
      <c r="E53" s="8" t="s">
        <v>3532</v>
      </c>
      <c r="F53" s="8" t="s">
        <v>43</v>
      </c>
      <c r="G53" s="8" t="s">
        <v>44</v>
      </c>
      <c r="H53" s="8">
        <v>315</v>
      </c>
      <c r="I53" s="8" t="s">
        <v>3533</v>
      </c>
      <c r="J53" s="8">
        <v>1</v>
      </c>
      <c r="K53" s="8">
        <v>246</v>
      </c>
      <c r="L53" s="8">
        <v>245</v>
      </c>
      <c r="M53" s="8">
        <v>244</v>
      </c>
      <c r="N53" s="8">
        <v>429</v>
      </c>
      <c r="O53" s="8">
        <v>427</v>
      </c>
      <c r="P53" s="8">
        <v>424</v>
      </c>
      <c r="Q53" s="9" t="s">
        <v>47</v>
      </c>
      <c r="R53" s="16"/>
      <c r="S53" s="10">
        <v>24</v>
      </c>
      <c r="T53" s="10">
        <v>54</v>
      </c>
      <c r="U53" s="10">
        <v>57</v>
      </c>
      <c r="V53" s="11">
        <v>30</v>
      </c>
      <c r="W53" s="12" t="s">
        <v>47</v>
      </c>
      <c r="X53" s="17"/>
      <c r="Y53" s="13">
        <v>18</v>
      </c>
      <c r="Z53" s="13">
        <v>20</v>
      </c>
      <c r="AA53" s="13">
        <v>24</v>
      </c>
      <c r="AB53" s="14">
        <v>11</v>
      </c>
      <c r="AC53" s="9"/>
      <c r="AD53" s="16"/>
      <c r="AE53" s="10"/>
      <c r="AF53" s="10"/>
      <c r="AG53" s="10"/>
      <c r="AH53" s="11"/>
      <c r="AI53" s="12"/>
      <c r="AJ53" s="17"/>
      <c r="AK53" s="13"/>
      <c r="AL53" s="13"/>
      <c r="AM53" s="13"/>
      <c r="AN53" s="14"/>
      <c r="AO53" s="9"/>
      <c r="AP53" s="16"/>
      <c r="AQ53" s="10"/>
      <c r="AR53" s="10"/>
      <c r="AS53" s="10"/>
      <c r="AT53" s="11"/>
      <c r="AU53" s="12"/>
      <c r="AV53" s="17"/>
      <c r="AW53" s="13"/>
      <c r="AX53" s="13"/>
      <c r="AY53" s="13"/>
      <c r="AZ53" s="14"/>
      <c r="BA53" s="9"/>
      <c r="BB53" s="16"/>
      <c r="BC53" s="10"/>
      <c r="BD53" s="10"/>
      <c r="BE53" s="10"/>
      <c r="BF53" s="11"/>
      <c r="BG53" s="12"/>
      <c r="BH53" s="17"/>
      <c r="BI53" s="13"/>
      <c r="BJ53" s="13"/>
      <c r="BK53" s="13"/>
      <c r="BL53" s="14"/>
      <c r="BM53" s="8">
        <f t="shared" si="9"/>
        <v>42</v>
      </c>
      <c r="BN53" s="8">
        <f t="shared" si="10"/>
        <v>74</v>
      </c>
      <c r="BO53" s="8">
        <f t="shared" si="11"/>
        <v>81</v>
      </c>
      <c r="BP53" s="8">
        <f t="shared" si="12"/>
        <v>41</v>
      </c>
      <c r="BQ53" s="8">
        <f t="shared" si="13"/>
        <v>81</v>
      </c>
      <c r="BR53" s="8">
        <f t="shared" si="14"/>
        <v>42</v>
      </c>
      <c r="BS53" s="15">
        <f t="shared" si="15"/>
        <v>19.106994765781245</v>
      </c>
      <c r="BT53" s="15" t="str">
        <f t="shared" si="16"/>
        <v>OK - No Upgrade</v>
      </c>
      <c r="BU53" s="15" t="str">
        <f t="shared" si="17"/>
        <v>Need to Balance</v>
      </c>
    </row>
    <row r="54" spans="1:73" ht="15.75" customHeight="1" x14ac:dyDescent="0.25">
      <c r="A54" s="8" t="s">
        <v>3005</v>
      </c>
      <c r="B54" s="8" t="s">
        <v>3390</v>
      </c>
      <c r="C54" s="8" t="s">
        <v>124</v>
      </c>
      <c r="D54" s="8" t="s">
        <v>3534</v>
      </c>
      <c r="E54" s="8" t="s">
        <v>3535</v>
      </c>
      <c r="F54" s="8" t="s">
        <v>43</v>
      </c>
      <c r="G54" s="8" t="s">
        <v>44</v>
      </c>
      <c r="H54" s="8">
        <v>100</v>
      </c>
      <c r="I54" s="8" t="s">
        <v>3536</v>
      </c>
      <c r="J54" s="8">
        <v>1</v>
      </c>
      <c r="K54" s="8">
        <v>246</v>
      </c>
      <c r="L54" s="8">
        <v>246</v>
      </c>
      <c r="M54" s="8">
        <v>245</v>
      </c>
      <c r="N54" s="8">
        <v>428</v>
      </c>
      <c r="O54" s="8">
        <v>427</v>
      </c>
      <c r="P54" s="8">
        <v>427</v>
      </c>
      <c r="Q54" s="9" t="s">
        <v>46</v>
      </c>
      <c r="R54" s="16"/>
      <c r="S54" s="10">
        <v>14</v>
      </c>
      <c r="T54" s="10">
        <v>13</v>
      </c>
      <c r="U54" s="10">
        <v>9</v>
      </c>
      <c r="V54" s="11">
        <v>7</v>
      </c>
      <c r="W54" s="12" t="s">
        <v>46</v>
      </c>
      <c r="X54" s="17"/>
      <c r="Y54" s="13">
        <v>40</v>
      </c>
      <c r="Z54" s="13">
        <v>39</v>
      </c>
      <c r="AA54" s="13">
        <v>43</v>
      </c>
      <c r="AB54" s="14">
        <v>10</v>
      </c>
      <c r="AC54" s="9"/>
      <c r="AD54" s="16"/>
      <c r="AE54" s="10"/>
      <c r="AF54" s="10"/>
      <c r="AG54" s="10"/>
      <c r="AH54" s="11"/>
      <c r="AI54" s="12"/>
      <c r="AJ54" s="17"/>
      <c r="AK54" s="13"/>
      <c r="AL54" s="13"/>
      <c r="AM54" s="13"/>
      <c r="AN54" s="14"/>
      <c r="AO54" s="9"/>
      <c r="AP54" s="16"/>
      <c r="AQ54" s="10"/>
      <c r="AR54" s="10"/>
      <c r="AS54" s="10"/>
      <c r="AT54" s="11"/>
      <c r="AU54" s="12"/>
      <c r="AV54" s="17"/>
      <c r="AW54" s="13"/>
      <c r="AX54" s="13"/>
      <c r="AY54" s="13"/>
      <c r="AZ54" s="14"/>
      <c r="BA54" s="9"/>
      <c r="BB54" s="16"/>
      <c r="BC54" s="10"/>
      <c r="BD54" s="10"/>
      <c r="BE54" s="10"/>
      <c r="BF54" s="11"/>
      <c r="BG54" s="12"/>
      <c r="BH54" s="17"/>
      <c r="BI54" s="13"/>
      <c r="BJ54" s="13"/>
      <c r="BK54" s="13"/>
      <c r="BL54" s="14"/>
      <c r="BM54" s="8">
        <f t="shared" si="9"/>
        <v>54</v>
      </c>
      <c r="BN54" s="8">
        <f t="shared" si="10"/>
        <v>52</v>
      </c>
      <c r="BO54" s="8">
        <f t="shared" si="11"/>
        <v>52</v>
      </c>
      <c r="BP54" s="8">
        <f t="shared" si="12"/>
        <v>17</v>
      </c>
      <c r="BQ54" s="8">
        <f t="shared" si="13"/>
        <v>54</v>
      </c>
      <c r="BR54" s="8">
        <f t="shared" si="14"/>
        <v>52</v>
      </c>
      <c r="BS54" s="15">
        <f t="shared" si="15"/>
        <v>40.031158264531882</v>
      </c>
      <c r="BT54" s="15" t="str">
        <f t="shared" si="16"/>
        <v>OK - No Upgrade</v>
      </c>
      <c r="BU54" s="15" t="str">
        <f t="shared" si="17"/>
        <v>OK - Balanced</v>
      </c>
    </row>
    <row r="55" spans="1:73" ht="15.75" customHeight="1" x14ac:dyDescent="0.25">
      <c r="A55" s="8" t="s">
        <v>3005</v>
      </c>
      <c r="B55" s="8" t="s">
        <v>3390</v>
      </c>
      <c r="C55" s="8" t="s">
        <v>124</v>
      </c>
      <c r="D55" s="8" t="s">
        <v>3537</v>
      </c>
      <c r="E55" s="8" t="s">
        <v>3538</v>
      </c>
      <c r="F55" s="8" t="s">
        <v>43</v>
      </c>
      <c r="G55" s="8" t="s">
        <v>469</v>
      </c>
      <c r="H55" s="8">
        <v>100</v>
      </c>
      <c r="I55" s="8" t="s">
        <v>3539</v>
      </c>
      <c r="J55" s="8">
        <v>1</v>
      </c>
      <c r="K55" s="8">
        <v>258</v>
      </c>
      <c r="L55" s="8">
        <v>259</v>
      </c>
      <c r="M55" s="8">
        <v>260</v>
      </c>
      <c r="N55" s="8">
        <v>450</v>
      </c>
      <c r="O55" s="8">
        <v>451</v>
      </c>
      <c r="P55" s="8">
        <v>451</v>
      </c>
      <c r="Q55" s="9" t="s">
        <v>47</v>
      </c>
      <c r="R55" s="16"/>
      <c r="S55" s="10">
        <v>23</v>
      </c>
      <c r="T55" s="10">
        <v>19</v>
      </c>
      <c r="U55" s="10">
        <v>18</v>
      </c>
      <c r="V55" s="11">
        <v>22</v>
      </c>
      <c r="W55" s="12"/>
      <c r="X55" s="17"/>
      <c r="Y55" s="13"/>
      <c r="Z55" s="13"/>
      <c r="AA55" s="13"/>
      <c r="AB55" s="14"/>
      <c r="AC55" s="9"/>
      <c r="AD55" s="16"/>
      <c r="AE55" s="10"/>
      <c r="AF55" s="10"/>
      <c r="AG55" s="10"/>
      <c r="AH55" s="11"/>
      <c r="AI55" s="12"/>
      <c r="AJ55" s="17"/>
      <c r="AK55" s="13"/>
      <c r="AL55" s="13"/>
      <c r="AM55" s="13"/>
      <c r="AN55" s="14"/>
      <c r="AO55" s="9"/>
      <c r="AP55" s="16"/>
      <c r="AQ55" s="10"/>
      <c r="AR55" s="10"/>
      <c r="AS55" s="10"/>
      <c r="AT55" s="11"/>
      <c r="AU55" s="12"/>
      <c r="AV55" s="17"/>
      <c r="AW55" s="13"/>
      <c r="AX55" s="13"/>
      <c r="AY55" s="13"/>
      <c r="AZ55" s="14"/>
      <c r="BA55" s="9"/>
      <c r="BB55" s="16"/>
      <c r="BC55" s="10"/>
      <c r="BD55" s="10"/>
      <c r="BE55" s="10"/>
      <c r="BF55" s="11"/>
      <c r="BG55" s="12"/>
      <c r="BH55" s="17"/>
      <c r="BI55" s="13"/>
      <c r="BJ55" s="13"/>
      <c r="BK55" s="13"/>
      <c r="BL55" s="14"/>
      <c r="BM55" s="8">
        <f t="shared" si="9"/>
        <v>23</v>
      </c>
      <c r="BN55" s="8">
        <f t="shared" si="10"/>
        <v>19</v>
      </c>
      <c r="BO55" s="8">
        <f t="shared" si="11"/>
        <v>18</v>
      </c>
      <c r="BP55" s="8">
        <f t="shared" si="12"/>
        <v>22</v>
      </c>
      <c r="BQ55" s="8">
        <f t="shared" si="13"/>
        <v>23</v>
      </c>
      <c r="BR55" s="8">
        <f t="shared" si="14"/>
        <v>18</v>
      </c>
      <c r="BS55" s="15">
        <f t="shared" si="15"/>
        <v>17.926725858337882</v>
      </c>
      <c r="BT55" s="15" t="str">
        <f t="shared" si="16"/>
        <v>OK - No Upgrade</v>
      </c>
      <c r="BU55" s="15" t="str">
        <f t="shared" si="17"/>
        <v>Need to Balance</v>
      </c>
    </row>
    <row r="56" spans="1:73" ht="15.75" customHeight="1" x14ac:dyDescent="0.25">
      <c r="A56" s="8" t="s">
        <v>3005</v>
      </c>
      <c r="B56" s="8" t="s">
        <v>3390</v>
      </c>
      <c r="C56" s="8" t="s">
        <v>124</v>
      </c>
      <c r="D56" s="8" t="s">
        <v>3540</v>
      </c>
      <c r="E56" s="8" t="s">
        <v>3541</v>
      </c>
      <c r="F56" s="8" t="s">
        <v>43</v>
      </c>
      <c r="G56" s="8" t="s">
        <v>44</v>
      </c>
      <c r="H56" s="8">
        <v>100</v>
      </c>
      <c r="I56" s="8" t="s">
        <v>3542</v>
      </c>
      <c r="J56" s="8">
        <v>1</v>
      </c>
      <c r="K56" s="8">
        <v>244</v>
      </c>
      <c r="L56" s="8">
        <v>244</v>
      </c>
      <c r="M56" s="8">
        <v>243</v>
      </c>
      <c r="N56" s="8">
        <v>423</v>
      </c>
      <c r="O56" s="8">
        <v>421</v>
      </c>
      <c r="P56" s="8">
        <v>422</v>
      </c>
      <c r="Q56" s="9" t="s">
        <v>46</v>
      </c>
      <c r="R56" s="16"/>
      <c r="S56" s="10">
        <v>9</v>
      </c>
      <c r="T56" s="10">
        <v>0</v>
      </c>
      <c r="U56" s="10">
        <v>0</v>
      </c>
      <c r="V56" s="11">
        <v>8</v>
      </c>
      <c r="W56" s="12" t="s">
        <v>46</v>
      </c>
      <c r="X56" s="17"/>
      <c r="Y56" s="13">
        <v>78</v>
      </c>
      <c r="Z56" s="13">
        <v>83</v>
      </c>
      <c r="AA56" s="13">
        <v>56</v>
      </c>
      <c r="AB56" s="14">
        <v>19</v>
      </c>
      <c r="AC56" s="9"/>
      <c r="AD56" s="16"/>
      <c r="AE56" s="10"/>
      <c r="AF56" s="10"/>
      <c r="AG56" s="10"/>
      <c r="AH56" s="11"/>
      <c r="AI56" s="12"/>
      <c r="AJ56" s="17"/>
      <c r="AK56" s="13"/>
      <c r="AL56" s="13"/>
      <c r="AM56" s="13"/>
      <c r="AN56" s="14"/>
      <c r="AO56" s="9"/>
      <c r="AP56" s="16"/>
      <c r="AQ56" s="10"/>
      <c r="AR56" s="10"/>
      <c r="AS56" s="10"/>
      <c r="AT56" s="11"/>
      <c r="AU56" s="12"/>
      <c r="AV56" s="17"/>
      <c r="AW56" s="13"/>
      <c r="AX56" s="13"/>
      <c r="AY56" s="13"/>
      <c r="AZ56" s="14"/>
      <c r="BA56" s="9"/>
      <c r="BB56" s="16"/>
      <c r="BC56" s="10"/>
      <c r="BD56" s="10"/>
      <c r="BE56" s="10"/>
      <c r="BF56" s="11"/>
      <c r="BG56" s="12"/>
      <c r="BH56" s="17"/>
      <c r="BI56" s="13"/>
      <c r="BJ56" s="13"/>
      <c r="BK56" s="13"/>
      <c r="BL56" s="14"/>
      <c r="BM56" s="8">
        <f t="shared" si="9"/>
        <v>87</v>
      </c>
      <c r="BN56" s="8">
        <f t="shared" si="10"/>
        <v>83</v>
      </c>
      <c r="BO56" s="8">
        <f t="shared" si="11"/>
        <v>56</v>
      </c>
      <c r="BP56" s="8">
        <f t="shared" si="12"/>
        <v>27</v>
      </c>
      <c r="BQ56" s="8">
        <f t="shared" si="13"/>
        <v>87</v>
      </c>
      <c r="BR56" s="8">
        <f t="shared" si="14"/>
        <v>56</v>
      </c>
      <c r="BS56" s="15">
        <f t="shared" si="15"/>
        <v>63.741201769342247</v>
      </c>
      <c r="BT56" s="15" t="str">
        <f t="shared" si="16"/>
        <v>OK - No Upgrade</v>
      </c>
      <c r="BU56" s="15" t="str">
        <f t="shared" si="17"/>
        <v>Need to Balance</v>
      </c>
    </row>
    <row r="57" spans="1:73" ht="15.75" customHeight="1" x14ac:dyDescent="0.25">
      <c r="A57" s="8" t="s">
        <v>3005</v>
      </c>
      <c r="B57" s="8" t="s">
        <v>3390</v>
      </c>
      <c r="C57" s="8" t="s">
        <v>124</v>
      </c>
      <c r="D57" s="8" t="s">
        <v>3543</v>
      </c>
      <c r="E57" s="8" t="s">
        <v>3544</v>
      </c>
      <c r="F57" s="8" t="s">
        <v>43</v>
      </c>
      <c r="G57" s="8" t="s">
        <v>469</v>
      </c>
      <c r="H57" s="8">
        <v>100</v>
      </c>
      <c r="I57" s="8" t="s">
        <v>3545</v>
      </c>
      <c r="J57" s="8">
        <v>1</v>
      </c>
      <c r="K57" s="8">
        <v>256</v>
      </c>
      <c r="L57" s="8">
        <v>258</v>
      </c>
      <c r="M57" s="8">
        <v>255</v>
      </c>
      <c r="N57" s="8">
        <v>445</v>
      </c>
      <c r="O57" s="8">
        <v>443</v>
      </c>
      <c r="P57" s="8">
        <v>444</v>
      </c>
      <c r="Q57" s="9" t="s">
        <v>46</v>
      </c>
      <c r="R57" s="16"/>
      <c r="S57" s="10">
        <v>88</v>
      </c>
      <c r="T57" s="10">
        <v>81</v>
      </c>
      <c r="U57" s="10">
        <v>80</v>
      </c>
      <c r="V57" s="11">
        <v>16</v>
      </c>
      <c r="W57" s="12" t="s">
        <v>46</v>
      </c>
      <c r="X57" s="17"/>
      <c r="Y57" s="13">
        <v>13</v>
      </c>
      <c r="Z57" s="13">
        <v>14</v>
      </c>
      <c r="AA57" s="13">
        <v>17</v>
      </c>
      <c r="AB57" s="14">
        <v>15</v>
      </c>
      <c r="AC57" s="9"/>
      <c r="AD57" s="16"/>
      <c r="AE57" s="10"/>
      <c r="AF57" s="10"/>
      <c r="AG57" s="10"/>
      <c r="AH57" s="11"/>
      <c r="AI57" s="12"/>
      <c r="AJ57" s="17"/>
      <c r="AK57" s="13"/>
      <c r="AL57" s="13"/>
      <c r="AM57" s="13"/>
      <c r="AN57" s="14"/>
      <c r="AO57" s="9"/>
      <c r="AP57" s="16"/>
      <c r="AQ57" s="10"/>
      <c r="AR57" s="10"/>
      <c r="AS57" s="10"/>
      <c r="AT57" s="11"/>
      <c r="AU57" s="12"/>
      <c r="AV57" s="17"/>
      <c r="AW57" s="13"/>
      <c r="AX57" s="13"/>
      <c r="AY57" s="13"/>
      <c r="AZ57" s="14"/>
      <c r="BA57" s="9"/>
      <c r="BB57" s="16"/>
      <c r="BC57" s="10"/>
      <c r="BD57" s="10"/>
      <c r="BE57" s="10"/>
      <c r="BF57" s="11"/>
      <c r="BG57" s="12"/>
      <c r="BH57" s="17"/>
      <c r="BI57" s="13"/>
      <c r="BJ57" s="13"/>
      <c r="BK57" s="13"/>
      <c r="BL57" s="14"/>
      <c r="BM57" s="8">
        <f t="shared" si="9"/>
        <v>101</v>
      </c>
      <c r="BN57" s="8">
        <f t="shared" si="10"/>
        <v>95</v>
      </c>
      <c r="BO57" s="8">
        <f t="shared" si="11"/>
        <v>97</v>
      </c>
      <c r="BP57" s="8">
        <f t="shared" si="12"/>
        <v>31</v>
      </c>
      <c r="BQ57" s="8">
        <f t="shared" si="13"/>
        <v>101</v>
      </c>
      <c r="BR57" s="8">
        <f t="shared" si="14"/>
        <v>95</v>
      </c>
      <c r="BS57" s="15">
        <f t="shared" si="15"/>
        <v>77.847023546183195</v>
      </c>
      <c r="BT57" s="15" t="str">
        <f t="shared" si="16"/>
        <v>Upgrade</v>
      </c>
      <c r="BU57" s="15" t="str">
        <f t="shared" si="17"/>
        <v>OK - Balanced</v>
      </c>
    </row>
    <row r="58" spans="1:73" ht="15.75" customHeight="1" x14ac:dyDescent="0.25">
      <c r="A58" s="8" t="s">
        <v>3005</v>
      </c>
      <c r="B58" s="8" t="s">
        <v>3390</v>
      </c>
      <c r="C58" s="8" t="s">
        <v>124</v>
      </c>
      <c r="D58" s="8" t="s">
        <v>3546</v>
      </c>
      <c r="E58" s="8" t="s">
        <v>3547</v>
      </c>
      <c r="F58" s="8" t="s">
        <v>43</v>
      </c>
      <c r="G58" s="8" t="s">
        <v>44</v>
      </c>
      <c r="H58" s="8">
        <v>315</v>
      </c>
      <c r="I58" s="8" t="s">
        <v>3548</v>
      </c>
      <c r="J58" s="8">
        <v>1</v>
      </c>
      <c r="K58" s="8">
        <v>246</v>
      </c>
      <c r="L58" s="8">
        <v>246</v>
      </c>
      <c r="M58" s="8">
        <v>245</v>
      </c>
      <c r="N58" s="8">
        <v>428</v>
      </c>
      <c r="O58" s="8">
        <v>429</v>
      </c>
      <c r="P58" s="8">
        <v>426</v>
      </c>
      <c r="Q58" s="9" t="s">
        <v>47</v>
      </c>
      <c r="R58" s="16"/>
      <c r="S58" s="10">
        <v>10</v>
      </c>
      <c r="T58" s="10">
        <v>9</v>
      </c>
      <c r="U58" s="10">
        <v>9</v>
      </c>
      <c r="V58" s="11">
        <v>3</v>
      </c>
      <c r="W58" s="12"/>
      <c r="X58" s="17"/>
      <c r="Y58" s="13"/>
      <c r="Z58" s="13"/>
      <c r="AA58" s="13"/>
      <c r="AB58" s="14"/>
      <c r="AC58" s="9"/>
      <c r="AD58" s="16"/>
      <c r="AE58" s="10"/>
      <c r="AF58" s="10"/>
      <c r="AG58" s="10"/>
      <c r="AH58" s="11"/>
      <c r="AI58" s="12"/>
      <c r="AJ58" s="17"/>
      <c r="AK58" s="13"/>
      <c r="AL58" s="13"/>
      <c r="AM58" s="13"/>
      <c r="AN58" s="14"/>
      <c r="AO58" s="9"/>
      <c r="AP58" s="16"/>
      <c r="AQ58" s="10"/>
      <c r="AR58" s="10"/>
      <c r="AS58" s="10"/>
      <c r="AT58" s="11"/>
      <c r="AU58" s="12"/>
      <c r="AV58" s="17"/>
      <c r="AW58" s="13"/>
      <c r="AX58" s="13"/>
      <c r="AY58" s="13"/>
      <c r="AZ58" s="14"/>
      <c r="BA58" s="9"/>
      <c r="BB58" s="16"/>
      <c r="BC58" s="10"/>
      <c r="BD58" s="10"/>
      <c r="BE58" s="10"/>
      <c r="BF58" s="11"/>
      <c r="BG58" s="12"/>
      <c r="BH58" s="17"/>
      <c r="BI58" s="13"/>
      <c r="BJ58" s="13"/>
      <c r="BK58" s="13"/>
      <c r="BL58" s="14"/>
      <c r="BM58" s="8">
        <f t="shared" si="9"/>
        <v>10</v>
      </c>
      <c r="BN58" s="8">
        <f t="shared" si="10"/>
        <v>9</v>
      </c>
      <c r="BO58" s="8">
        <f t="shared" si="11"/>
        <v>9</v>
      </c>
      <c r="BP58" s="8">
        <f t="shared" si="12"/>
        <v>3</v>
      </c>
      <c r="BQ58" s="8">
        <f t="shared" si="13"/>
        <v>10</v>
      </c>
      <c r="BR58" s="8">
        <f t="shared" si="14"/>
        <v>9</v>
      </c>
      <c r="BS58" s="15">
        <f t="shared" si="15"/>
        <v>2.3533896686967601</v>
      </c>
      <c r="BT58" s="15" t="str">
        <f t="shared" si="16"/>
        <v>OK - No Upgrade</v>
      </c>
      <c r="BU58" s="15" t="str">
        <f t="shared" si="17"/>
        <v>OK - Balanced</v>
      </c>
    </row>
    <row r="59" spans="1:73" ht="15.75" customHeight="1" x14ac:dyDescent="0.25">
      <c r="A59" s="8" t="s">
        <v>3005</v>
      </c>
      <c r="B59" s="8" t="s">
        <v>3390</v>
      </c>
      <c r="C59" s="8" t="s">
        <v>124</v>
      </c>
      <c r="D59" s="8" t="s">
        <v>3549</v>
      </c>
      <c r="E59" s="8" t="s">
        <v>3550</v>
      </c>
      <c r="F59" s="8" t="s">
        <v>43</v>
      </c>
      <c r="G59" s="8" t="s">
        <v>44</v>
      </c>
      <c r="H59" s="8">
        <v>315</v>
      </c>
      <c r="I59" s="8" t="s">
        <v>3551</v>
      </c>
      <c r="J59" s="8">
        <v>1</v>
      </c>
      <c r="K59" s="8">
        <v>245</v>
      </c>
      <c r="L59" s="8">
        <v>245</v>
      </c>
      <c r="M59" s="8">
        <v>245</v>
      </c>
      <c r="N59" s="8">
        <v>428</v>
      </c>
      <c r="O59" s="8">
        <v>427</v>
      </c>
      <c r="P59" s="8">
        <v>424</v>
      </c>
      <c r="Q59" s="9" t="s">
        <v>46</v>
      </c>
      <c r="R59" s="16"/>
      <c r="S59" s="10">
        <v>29</v>
      </c>
      <c r="T59" s="10">
        <v>94</v>
      </c>
      <c r="U59" s="10">
        <v>16</v>
      </c>
      <c r="V59" s="11">
        <v>74</v>
      </c>
      <c r="W59" s="12" t="s">
        <v>47</v>
      </c>
      <c r="X59" s="17"/>
      <c r="Y59" s="13">
        <v>66</v>
      </c>
      <c r="Z59" s="13">
        <v>47</v>
      </c>
      <c r="AA59" s="13">
        <v>45</v>
      </c>
      <c r="AB59" s="14">
        <v>19</v>
      </c>
      <c r="AC59" s="9"/>
      <c r="AD59" s="16"/>
      <c r="AE59" s="10"/>
      <c r="AF59" s="10"/>
      <c r="AG59" s="10"/>
      <c r="AH59" s="11"/>
      <c r="AI59" s="12"/>
      <c r="AJ59" s="17"/>
      <c r="AK59" s="13"/>
      <c r="AL59" s="13"/>
      <c r="AM59" s="13"/>
      <c r="AN59" s="14"/>
      <c r="AO59" s="9"/>
      <c r="AP59" s="16"/>
      <c r="AQ59" s="10"/>
      <c r="AR59" s="10"/>
      <c r="AS59" s="10"/>
      <c r="AT59" s="11"/>
      <c r="AU59" s="12"/>
      <c r="AV59" s="17"/>
      <c r="AW59" s="13"/>
      <c r="AX59" s="13"/>
      <c r="AY59" s="13"/>
      <c r="AZ59" s="14"/>
      <c r="BA59" s="9"/>
      <c r="BB59" s="16"/>
      <c r="BC59" s="10"/>
      <c r="BD59" s="10"/>
      <c r="BE59" s="10"/>
      <c r="BF59" s="11"/>
      <c r="BG59" s="12"/>
      <c r="BH59" s="17"/>
      <c r="BI59" s="13"/>
      <c r="BJ59" s="13"/>
      <c r="BK59" s="13"/>
      <c r="BL59" s="14"/>
      <c r="BM59" s="8">
        <f t="shared" si="9"/>
        <v>95</v>
      </c>
      <c r="BN59" s="8">
        <f t="shared" si="10"/>
        <v>141</v>
      </c>
      <c r="BO59" s="8">
        <f t="shared" si="11"/>
        <v>61</v>
      </c>
      <c r="BP59" s="8">
        <f t="shared" si="12"/>
        <v>93</v>
      </c>
      <c r="BQ59" s="8">
        <f t="shared" si="13"/>
        <v>141</v>
      </c>
      <c r="BR59" s="8">
        <f t="shared" si="14"/>
        <v>61</v>
      </c>
      <c r="BS59" s="15">
        <f t="shared" si="15"/>
        <v>33.182794328624318</v>
      </c>
      <c r="BT59" s="15" t="str">
        <f t="shared" si="16"/>
        <v>OK - No Upgrade</v>
      </c>
      <c r="BU59" s="15" t="str">
        <f t="shared" si="17"/>
        <v>Need to Balance</v>
      </c>
    </row>
    <row r="60" spans="1:73" ht="15.75" customHeight="1" x14ac:dyDescent="0.25">
      <c r="A60" s="8" t="s">
        <v>3005</v>
      </c>
      <c r="B60" s="8" t="s">
        <v>3390</v>
      </c>
      <c r="C60" s="8" t="s">
        <v>124</v>
      </c>
      <c r="D60" s="8" t="s">
        <v>3552</v>
      </c>
      <c r="E60" s="8" t="s">
        <v>3553</v>
      </c>
      <c r="F60" s="8" t="s">
        <v>43</v>
      </c>
      <c r="G60" s="8" t="s">
        <v>44</v>
      </c>
      <c r="H60" s="8">
        <v>100</v>
      </c>
      <c r="I60" s="8" t="s">
        <v>3554</v>
      </c>
      <c r="J60" s="8">
        <v>1</v>
      </c>
      <c r="K60" s="8">
        <v>246</v>
      </c>
      <c r="L60" s="8">
        <v>245</v>
      </c>
      <c r="M60" s="8">
        <v>244</v>
      </c>
      <c r="N60" s="8">
        <v>428</v>
      </c>
      <c r="O60" s="8">
        <v>427</v>
      </c>
      <c r="P60" s="8">
        <v>424</v>
      </c>
      <c r="Q60" s="9" t="s">
        <v>47</v>
      </c>
      <c r="R60" s="16"/>
      <c r="S60" s="10">
        <v>22</v>
      </c>
      <c r="T60" s="10">
        <v>35</v>
      </c>
      <c r="U60" s="10">
        <v>39</v>
      </c>
      <c r="V60" s="11">
        <v>14</v>
      </c>
      <c r="W60" s="12"/>
      <c r="X60" s="17"/>
      <c r="Y60" s="13"/>
      <c r="Z60" s="13"/>
      <c r="AA60" s="13"/>
      <c r="AB60" s="14"/>
      <c r="AC60" s="9"/>
      <c r="AD60" s="16"/>
      <c r="AE60" s="10"/>
      <c r="AF60" s="10"/>
      <c r="AG60" s="10"/>
      <c r="AH60" s="11"/>
      <c r="AI60" s="12"/>
      <c r="AJ60" s="17"/>
      <c r="AK60" s="13"/>
      <c r="AL60" s="13"/>
      <c r="AM60" s="13"/>
      <c r="AN60" s="14"/>
      <c r="AO60" s="9"/>
      <c r="AP60" s="16"/>
      <c r="AQ60" s="10"/>
      <c r="AR60" s="10"/>
      <c r="AS60" s="10"/>
      <c r="AT60" s="11"/>
      <c r="AU60" s="12"/>
      <c r="AV60" s="17"/>
      <c r="AW60" s="13"/>
      <c r="AX60" s="13"/>
      <c r="AY60" s="13"/>
      <c r="AZ60" s="14"/>
      <c r="BA60" s="9"/>
      <c r="BB60" s="16"/>
      <c r="BC60" s="10"/>
      <c r="BD60" s="10"/>
      <c r="BE60" s="10"/>
      <c r="BF60" s="11"/>
      <c r="BG60" s="12"/>
      <c r="BH60" s="17"/>
      <c r="BI60" s="13"/>
      <c r="BJ60" s="13"/>
      <c r="BK60" s="13"/>
      <c r="BL60" s="14"/>
      <c r="BM60" s="8">
        <f t="shared" si="9"/>
        <v>22</v>
      </c>
      <c r="BN60" s="8">
        <f t="shared" si="10"/>
        <v>35</v>
      </c>
      <c r="BO60" s="8">
        <f t="shared" si="11"/>
        <v>39</v>
      </c>
      <c r="BP60" s="8">
        <f t="shared" si="12"/>
        <v>14</v>
      </c>
      <c r="BQ60" s="8">
        <f t="shared" si="13"/>
        <v>39</v>
      </c>
      <c r="BR60" s="8">
        <f t="shared" si="14"/>
        <v>22</v>
      </c>
      <c r="BS60" s="15">
        <f t="shared" si="15"/>
        <v>28.911392079939702</v>
      </c>
      <c r="BT60" s="15" t="str">
        <f t="shared" si="16"/>
        <v>OK - No Upgrade</v>
      </c>
      <c r="BU60" s="15" t="str">
        <f t="shared" si="17"/>
        <v>Need to Balance</v>
      </c>
    </row>
    <row r="61" spans="1:73" ht="15.75" customHeight="1" x14ac:dyDescent="0.25">
      <c r="A61" s="8" t="s">
        <v>3005</v>
      </c>
      <c r="B61" s="8" t="s">
        <v>3390</v>
      </c>
      <c r="C61" s="8" t="s">
        <v>124</v>
      </c>
      <c r="D61" s="8" t="s">
        <v>3555</v>
      </c>
      <c r="E61" s="8" t="s">
        <v>3556</v>
      </c>
      <c r="F61" s="8" t="s">
        <v>43</v>
      </c>
      <c r="G61" s="8" t="s">
        <v>44</v>
      </c>
      <c r="H61" s="8">
        <v>100</v>
      </c>
      <c r="I61" s="8" t="s">
        <v>1463</v>
      </c>
      <c r="J61" s="8">
        <v>1</v>
      </c>
      <c r="K61" s="8">
        <v>246</v>
      </c>
      <c r="L61" s="8">
        <v>247</v>
      </c>
      <c r="M61" s="8">
        <v>246</v>
      </c>
      <c r="N61" s="8">
        <v>429</v>
      </c>
      <c r="O61" s="8">
        <v>426</v>
      </c>
      <c r="P61" s="8">
        <v>428</v>
      </c>
      <c r="Q61" s="9" t="s">
        <v>46</v>
      </c>
      <c r="R61" s="16"/>
      <c r="S61" s="10">
        <v>27</v>
      </c>
      <c r="T61" s="10">
        <v>19</v>
      </c>
      <c r="U61" s="10">
        <v>37</v>
      </c>
      <c r="V61" s="11">
        <v>12</v>
      </c>
      <c r="W61" s="12"/>
      <c r="X61" s="17"/>
      <c r="Y61" s="13"/>
      <c r="Z61" s="13"/>
      <c r="AA61" s="13"/>
      <c r="AB61" s="14"/>
      <c r="AC61" s="9"/>
      <c r="AD61" s="16"/>
      <c r="AE61" s="10"/>
      <c r="AF61" s="10"/>
      <c r="AG61" s="10"/>
      <c r="AH61" s="11"/>
      <c r="AI61" s="12"/>
      <c r="AJ61" s="17"/>
      <c r="AK61" s="13"/>
      <c r="AL61" s="13"/>
      <c r="AM61" s="13"/>
      <c r="AN61" s="14"/>
      <c r="AO61" s="9"/>
      <c r="AP61" s="16"/>
      <c r="AQ61" s="10"/>
      <c r="AR61" s="10"/>
      <c r="AS61" s="10"/>
      <c r="AT61" s="11"/>
      <c r="AU61" s="12"/>
      <c r="AV61" s="17"/>
      <c r="AW61" s="13"/>
      <c r="AX61" s="13"/>
      <c r="AY61" s="13"/>
      <c r="AZ61" s="14"/>
      <c r="BA61" s="9"/>
      <c r="BB61" s="16"/>
      <c r="BC61" s="10"/>
      <c r="BD61" s="10"/>
      <c r="BE61" s="10"/>
      <c r="BF61" s="11"/>
      <c r="BG61" s="12"/>
      <c r="BH61" s="17"/>
      <c r="BI61" s="13"/>
      <c r="BJ61" s="13"/>
      <c r="BK61" s="13"/>
      <c r="BL61" s="14"/>
      <c r="BM61" s="8">
        <f t="shared" si="9"/>
        <v>27</v>
      </c>
      <c r="BN61" s="8">
        <f t="shared" si="10"/>
        <v>19</v>
      </c>
      <c r="BO61" s="8">
        <f t="shared" si="11"/>
        <v>37</v>
      </c>
      <c r="BP61" s="8">
        <f t="shared" si="12"/>
        <v>12</v>
      </c>
      <c r="BQ61" s="8">
        <f t="shared" si="13"/>
        <v>37</v>
      </c>
      <c r="BR61" s="8">
        <f t="shared" si="14"/>
        <v>19</v>
      </c>
      <c r="BS61" s="15">
        <f t="shared" si="15"/>
        <v>27.492842468540786</v>
      </c>
      <c r="BT61" s="15" t="str">
        <f t="shared" si="16"/>
        <v>OK - No Upgrade</v>
      </c>
      <c r="BU61" s="15" t="str">
        <f t="shared" si="17"/>
        <v>Need to Balance</v>
      </c>
    </row>
    <row r="62" spans="1:73" ht="15.75" customHeight="1" x14ac:dyDescent="0.25">
      <c r="A62" s="8" t="s">
        <v>3005</v>
      </c>
      <c r="B62" s="8" t="s">
        <v>3390</v>
      </c>
      <c r="C62" s="8" t="s">
        <v>124</v>
      </c>
      <c r="D62" s="8" t="s">
        <v>3557</v>
      </c>
      <c r="E62" s="8" t="s">
        <v>3558</v>
      </c>
      <c r="F62" s="8" t="s">
        <v>43</v>
      </c>
      <c r="G62" s="8" t="s">
        <v>44</v>
      </c>
      <c r="H62" s="8">
        <v>315</v>
      </c>
      <c r="I62" s="8" t="s">
        <v>3559</v>
      </c>
      <c r="J62" s="8">
        <v>1</v>
      </c>
      <c r="K62" s="8">
        <v>246</v>
      </c>
      <c r="L62" s="8">
        <v>246</v>
      </c>
      <c r="M62" s="8">
        <v>245</v>
      </c>
      <c r="N62" s="8">
        <v>430</v>
      </c>
      <c r="O62" s="8">
        <v>428</v>
      </c>
      <c r="P62" s="8">
        <v>425</v>
      </c>
      <c r="Q62" s="9" t="s">
        <v>46</v>
      </c>
      <c r="R62" s="16"/>
      <c r="S62" s="10">
        <v>79</v>
      </c>
      <c r="T62" s="10">
        <v>146</v>
      </c>
      <c r="U62" s="10">
        <v>117</v>
      </c>
      <c r="V62" s="11">
        <v>43</v>
      </c>
      <c r="W62" s="12" t="s">
        <v>46</v>
      </c>
      <c r="X62" s="17"/>
      <c r="Y62" s="13">
        <v>0</v>
      </c>
      <c r="Z62" s="13">
        <v>0</v>
      </c>
      <c r="AA62" s="13">
        <v>0</v>
      </c>
      <c r="AB62" s="14">
        <v>0</v>
      </c>
      <c r="AC62" s="9"/>
      <c r="AD62" s="16"/>
      <c r="AE62" s="10"/>
      <c r="AF62" s="10"/>
      <c r="AG62" s="10"/>
      <c r="AH62" s="11"/>
      <c r="AI62" s="12"/>
      <c r="AJ62" s="17"/>
      <c r="AK62" s="13"/>
      <c r="AL62" s="13"/>
      <c r="AM62" s="13"/>
      <c r="AN62" s="14"/>
      <c r="AO62" s="9"/>
      <c r="AP62" s="16"/>
      <c r="AQ62" s="10"/>
      <c r="AR62" s="10"/>
      <c r="AS62" s="10"/>
      <c r="AT62" s="11"/>
      <c r="AU62" s="12"/>
      <c r="AV62" s="17"/>
      <c r="AW62" s="13"/>
      <c r="AX62" s="13"/>
      <c r="AY62" s="13"/>
      <c r="AZ62" s="14"/>
      <c r="BA62" s="9"/>
      <c r="BB62" s="16"/>
      <c r="BC62" s="10"/>
      <c r="BD62" s="10"/>
      <c r="BE62" s="10"/>
      <c r="BF62" s="11"/>
      <c r="BG62" s="12"/>
      <c r="BH62" s="17"/>
      <c r="BI62" s="13"/>
      <c r="BJ62" s="13"/>
      <c r="BK62" s="13"/>
      <c r="BL62" s="14"/>
      <c r="BM62" s="8">
        <f t="shared" si="9"/>
        <v>79</v>
      </c>
      <c r="BN62" s="8">
        <f t="shared" si="10"/>
        <v>146</v>
      </c>
      <c r="BO62" s="8">
        <f t="shared" si="11"/>
        <v>117</v>
      </c>
      <c r="BP62" s="8">
        <f t="shared" si="12"/>
        <v>43</v>
      </c>
      <c r="BQ62" s="8">
        <f t="shared" si="13"/>
        <v>146</v>
      </c>
      <c r="BR62" s="8">
        <f t="shared" si="14"/>
        <v>79</v>
      </c>
      <c r="BS62" s="15">
        <f t="shared" si="15"/>
        <v>34.520047523547333</v>
      </c>
      <c r="BT62" s="15" t="str">
        <f t="shared" si="16"/>
        <v>OK - No Upgrade</v>
      </c>
      <c r="BU62" s="15" t="str">
        <f t="shared" si="17"/>
        <v>Need to Balance</v>
      </c>
    </row>
    <row r="63" spans="1:73" ht="15.75" customHeight="1" x14ac:dyDescent="0.25">
      <c r="A63" s="8" t="s">
        <v>3005</v>
      </c>
      <c r="B63" s="8" t="s">
        <v>3390</v>
      </c>
      <c r="C63" s="8" t="s">
        <v>124</v>
      </c>
      <c r="D63" s="8" t="s">
        <v>3560</v>
      </c>
      <c r="E63" s="8" t="s">
        <v>3561</v>
      </c>
      <c r="F63" s="8" t="s">
        <v>56</v>
      </c>
      <c r="G63" s="8" t="s">
        <v>469</v>
      </c>
      <c r="H63" s="8">
        <v>1000</v>
      </c>
      <c r="I63" s="8" t="s">
        <v>1467</v>
      </c>
      <c r="J63" s="8">
        <v>1</v>
      </c>
      <c r="K63" s="8">
        <v>254</v>
      </c>
      <c r="L63" s="8">
        <v>253</v>
      </c>
      <c r="M63" s="8">
        <v>252</v>
      </c>
      <c r="N63" s="8">
        <v>442</v>
      </c>
      <c r="O63" s="8">
        <v>440</v>
      </c>
      <c r="P63" s="8">
        <v>439</v>
      </c>
      <c r="Q63" s="9"/>
      <c r="R63" s="16"/>
      <c r="S63" s="10"/>
      <c r="T63" s="10"/>
      <c r="U63" s="10"/>
      <c r="V63" s="11"/>
      <c r="W63" s="12"/>
      <c r="X63" s="17"/>
      <c r="Y63" s="13"/>
      <c r="Z63" s="13"/>
      <c r="AA63" s="13"/>
      <c r="AB63" s="14"/>
      <c r="AC63" s="9" t="s">
        <v>47</v>
      </c>
      <c r="AD63" s="16"/>
      <c r="AE63" s="10">
        <v>49</v>
      </c>
      <c r="AF63" s="10">
        <v>63</v>
      </c>
      <c r="AG63" s="10">
        <v>87</v>
      </c>
      <c r="AH63" s="11">
        <v>31</v>
      </c>
      <c r="AI63" s="12" t="s">
        <v>47</v>
      </c>
      <c r="AJ63" s="17"/>
      <c r="AK63" s="13">
        <v>45</v>
      </c>
      <c r="AL63" s="13">
        <v>97</v>
      </c>
      <c r="AM63" s="13">
        <v>141</v>
      </c>
      <c r="AN63" s="14">
        <v>78</v>
      </c>
      <c r="AO63" s="9"/>
      <c r="AP63" s="16"/>
      <c r="AQ63" s="10"/>
      <c r="AR63" s="10"/>
      <c r="AS63" s="10"/>
      <c r="AT63" s="11"/>
      <c r="AU63" s="12"/>
      <c r="AV63" s="17"/>
      <c r="AW63" s="13"/>
      <c r="AX63" s="13"/>
      <c r="AY63" s="13"/>
      <c r="AZ63" s="14"/>
      <c r="BA63" s="9"/>
      <c r="BB63" s="16"/>
      <c r="BC63" s="10"/>
      <c r="BD63" s="10"/>
      <c r="BE63" s="10"/>
      <c r="BF63" s="11"/>
      <c r="BG63" s="12"/>
      <c r="BH63" s="17"/>
      <c r="BI63" s="13"/>
      <c r="BJ63" s="13"/>
      <c r="BK63" s="13"/>
      <c r="BL63" s="14"/>
      <c r="BM63" s="8">
        <f t="shared" si="9"/>
        <v>94</v>
      </c>
      <c r="BN63" s="8">
        <f t="shared" si="10"/>
        <v>160</v>
      </c>
      <c r="BO63" s="8">
        <f t="shared" si="11"/>
        <v>228</v>
      </c>
      <c r="BP63" s="8">
        <f t="shared" si="12"/>
        <v>109</v>
      </c>
      <c r="BQ63" s="8">
        <f t="shared" si="13"/>
        <v>228</v>
      </c>
      <c r="BR63" s="8">
        <f t="shared" si="14"/>
        <v>94</v>
      </c>
      <c r="BS63" s="15">
        <f t="shared" si="15"/>
        <v>17.454915218356113</v>
      </c>
      <c r="BT63" s="15" t="str">
        <f t="shared" si="16"/>
        <v>OK - No Upgrade</v>
      </c>
      <c r="BU63" s="15" t="str">
        <f t="shared" si="17"/>
        <v>Need to Balance</v>
      </c>
    </row>
    <row r="64" spans="1:73" ht="15.75" customHeight="1" x14ac:dyDescent="0.25">
      <c r="A64" s="8" t="s">
        <v>3005</v>
      </c>
      <c r="B64" s="8" t="s">
        <v>3390</v>
      </c>
      <c r="C64" s="8" t="s">
        <v>124</v>
      </c>
      <c r="D64" s="8" t="s">
        <v>3562</v>
      </c>
      <c r="E64" s="8" t="s">
        <v>3563</v>
      </c>
      <c r="F64" s="8" t="s">
        <v>43</v>
      </c>
      <c r="G64" s="8" t="s">
        <v>44</v>
      </c>
      <c r="H64" s="8">
        <v>315</v>
      </c>
      <c r="I64" s="8" t="s">
        <v>3564</v>
      </c>
      <c r="J64" s="8">
        <v>1</v>
      </c>
      <c r="K64" s="8">
        <v>247</v>
      </c>
      <c r="L64" s="8">
        <v>247</v>
      </c>
      <c r="M64" s="8">
        <v>247</v>
      </c>
      <c r="N64" s="8">
        <v>429</v>
      </c>
      <c r="O64" s="8">
        <v>430</v>
      </c>
      <c r="P64" s="8">
        <v>428</v>
      </c>
      <c r="Q64" s="9" t="s">
        <v>47</v>
      </c>
      <c r="R64" s="16"/>
      <c r="S64" s="10">
        <v>22</v>
      </c>
      <c r="T64" s="10">
        <v>64</v>
      </c>
      <c r="U64" s="10">
        <v>12</v>
      </c>
      <c r="V64" s="11">
        <v>38</v>
      </c>
      <c r="W64" s="12" t="s">
        <v>47</v>
      </c>
      <c r="X64" s="17"/>
      <c r="Y64" s="13">
        <v>0</v>
      </c>
      <c r="Z64" s="13">
        <v>0</v>
      </c>
      <c r="AA64" s="13">
        <v>0</v>
      </c>
      <c r="AB64" s="14">
        <v>0</v>
      </c>
      <c r="AC64" s="9"/>
      <c r="AD64" s="16"/>
      <c r="AE64" s="10"/>
      <c r="AF64" s="10"/>
      <c r="AG64" s="10"/>
      <c r="AH64" s="11"/>
      <c r="AI64" s="12"/>
      <c r="AJ64" s="17"/>
      <c r="AK64" s="13"/>
      <c r="AL64" s="13"/>
      <c r="AM64" s="13"/>
      <c r="AN64" s="14"/>
      <c r="AO64" s="9"/>
      <c r="AP64" s="16"/>
      <c r="AQ64" s="10"/>
      <c r="AR64" s="10"/>
      <c r="AS64" s="10"/>
      <c r="AT64" s="11"/>
      <c r="AU64" s="12"/>
      <c r="AV64" s="17"/>
      <c r="AW64" s="13"/>
      <c r="AX64" s="13"/>
      <c r="AY64" s="13"/>
      <c r="AZ64" s="14"/>
      <c r="BA64" s="9"/>
      <c r="BB64" s="16"/>
      <c r="BC64" s="10"/>
      <c r="BD64" s="10"/>
      <c r="BE64" s="10"/>
      <c r="BF64" s="11"/>
      <c r="BG64" s="12"/>
      <c r="BH64" s="17"/>
      <c r="BI64" s="13"/>
      <c r="BJ64" s="13"/>
      <c r="BK64" s="13"/>
      <c r="BL64" s="14"/>
      <c r="BM64" s="8">
        <f t="shared" si="9"/>
        <v>22</v>
      </c>
      <c r="BN64" s="8">
        <f t="shared" si="10"/>
        <v>64</v>
      </c>
      <c r="BO64" s="8">
        <f t="shared" si="11"/>
        <v>12</v>
      </c>
      <c r="BP64" s="8">
        <f t="shared" si="12"/>
        <v>38</v>
      </c>
      <c r="BQ64" s="8">
        <f t="shared" si="13"/>
        <v>64</v>
      </c>
      <c r="BR64" s="8">
        <f t="shared" si="14"/>
        <v>12</v>
      </c>
      <c r="BS64" s="15">
        <f t="shared" si="15"/>
        <v>15.096884753209869</v>
      </c>
      <c r="BT64" s="15" t="str">
        <f t="shared" si="16"/>
        <v>OK - No Upgrade</v>
      </c>
      <c r="BU64" s="15" t="str">
        <f t="shared" si="17"/>
        <v>Need to Balance</v>
      </c>
    </row>
    <row r="65" spans="1:73" ht="15.75" customHeight="1" x14ac:dyDescent="0.25">
      <c r="A65" s="8" t="s">
        <v>3005</v>
      </c>
      <c r="B65" s="8" t="s">
        <v>3390</v>
      </c>
      <c r="C65" s="8" t="s">
        <v>124</v>
      </c>
      <c r="D65" s="8"/>
      <c r="E65" s="8" t="s">
        <v>3565</v>
      </c>
      <c r="F65" s="8" t="s">
        <v>56</v>
      </c>
      <c r="G65" s="8" t="s">
        <v>44</v>
      </c>
      <c r="H65" s="8">
        <v>500</v>
      </c>
      <c r="I65" s="8" t="s">
        <v>3566</v>
      </c>
      <c r="J65" s="8">
        <v>1</v>
      </c>
      <c r="K65" s="8">
        <v>246</v>
      </c>
      <c r="L65" s="8">
        <v>247</v>
      </c>
      <c r="M65" s="8">
        <v>246</v>
      </c>
      <c r="N65" s="8">
        <v>428</v>
      </c>
      <c r="O65" s="8">
        <v>429</v>
      </c>
      <c r="P65" s="8">
        <v>429</v>
      </c>
      <c r="Q65" s="9"/>
      <c r="R65" s="16"/>
      <c r="S65" s="10"/>
      <c r="T65" s="10"/>
      <c r="U65" s="10"/>
      <c r="V65" s="11"/>
      <c r="W65" s="12"/>
      <c r="X65" s="17"/>
      <c r="Y65" s="13"/>
      <c r="Z65" s="13"/>
      <c r="AA65" s="13"/>
      <c r="AB65" s="14"/>
      <c r="AC65" s="9"/>
      <c r="AD65" s="16"/>
      <c r="AE65" s="10"/>
      <c r="AF65" s="10"/>
      <c r="AG65" s="10"/>
      <c r="AH65" s="11"/>
      <c r="AI65" s="12"/>
      <c r="AJ65" s="17"/>
      <c r="AK65" s="13"/>
      <c r="AL65" s="13"/>
      <c r="AM65" s="13"/>
      <c r="AN65" s="14"/>
      <c r="AO65" s="9" t="s">
        <v>47</v>
      </c>
      <c r="AP65" s="16"/>
      <c r="AQ65" s="10">
        <v>126</v>
      </c>
      <c r="AR65" s="10">
        <v>81</v>
      </c>
      <c r="AS65" s="10">
        <v>86</v>
      </c>
      <c r="AT65" s="11">
        <v>31</v>
      </c>
      <c r="AU65" s="12" t="s">
        <v>47</v>
      </c>
      <c r="AV65" s="17"/>
      <c r="AW65" s="13">
        <v>76</v>
      </c>
      <c r="AX65" s="13">
        <v>60</v>
      </c>
      <c r="AY65" s="13">
        <v>71</v>
      </c>
      <c r="AZ65" s="14">
        <v>9</v>
      </c>
      <c r="BA65" s="9"/>
      <c r="BB65" s="16"/>
      <c r="BC65" s="10"/>
      <c r="BD65" s="10"/>
      <c r="BE65" s="10"/>
      <c r="BF65" s="11"/>
      <c r="BG65" s="12"/>
      <c r="BH65" s="17"/>
      <c r="BI65" s="13"/>
      <c r="BJ65" s="13"/>
      <c r="BK65" s="13"/>
      <c r="BL65" s="14"/>
      <c r="BM65" s="8">
        <f t="shared" si="9"/>
        <v>202</v>
      </c>
      <c r="BN65" s="8">
        <f t="shared" si="10"/>
        <v>141</v>
      </c>
      <c r="BO65" s="8">
        <f t="shared" si="11"/>
        <v>157</v>
      </c>
      <c r="BP65" s="8">
        <f t="shared" si="12"/>
        <v>40</v>
      </c>
      <c r="BQ65" s="8">
        <f t="shared" si="13"/>
        <v>202</v>
      </c>
      <c r="BR65" s="8">
        <f t="shared" si="14"/>
        <v>141</v>
      </c>
      <c r="BS65" s="15">
        <f t="shared" si="15"/>
        <v>29.949236923834967</v>
      </c>
      <c r="BT65" s="15" t="str">
        <f t="shared" si="16"/>
        <v>OK - No Upgrade</v>
      </c>
      <c r="BU65" s="15" t="str">
        <f t="shared" si="17"/>
        <v>Need to Balance</v>
      </c>
    </row>
    <row r="66" spans="1:73" ht="15.75" customHeight="1" x14ac:dyDescent="0.25">
      <c r="A66" s="8" t="s">
        <v>3005</v>
      </c>
      <c r="B66" s="8" t="s">
        <v>3390</v>
      </c>
      <c r="C66" s="8" t="s">
        <v>124</v>
      </c>
      <c r="D66" s="8" t="s">
        <v>3567</v>
      </c>
      <c r="E66" s="8" t="s">
        <v>3568</v>
      </c>
      <c r="F66" s="8" t="s">
        <v>43</v>
      </c>
      <c r="G66" s="8" t="s">
        <v>1381</v>
      </c>
      <c r="H66" s="8">
        <v>100</v>
      </c>
      <c r="I66" s="8" t="s">
        <v>3569</v>
      </c>
      <c r="J66" s="8">
        <v>1</v>
      </c>
      <c r="K66" s="8">
        <v>235</v>
      </c>
      <c r="L66" s="8">
        <v>235</v>
      </c>
      <c r="M66" s="8">
        <v>235</v>
      </c>
      <c r="N66" s="8">
        <v>410</v>
      </c>
      <c r="O66" s="8">
        <v>409</v>
      </c>
      <c r="P66" s="8">
        <v>408</v>
      </c>
      <c r="Q66" s="9" t="s">
        <v>47</v>
      </c>
      <c r="R66" s="16"/>
      <c r="S66" s="10">
        <v>3</v>
      </c>
      <c r="T66" s="10">
        <v>12</v>
      </c>
      <c r="U66" s="10">
        <v>17</v>
      </c>
      <c r="V66" s="11">
        <v>12</v>
      </c>
      <c r="W66" s="12"/>
      <c r="X66" s="17"/>
      <c r="Y66" s="13"/>
      <c r="Z66" s="13"/>
      <c r="AA66" s="13"/>
      <c r="AB66" s="14"/>
      <c r="AC66" s="9"/>
      <c r="AD66" s="16"/>
      <c r="AE66" s="10"/>
      <c r="AF66" s="10"/>
      <c r="AG66" s="10"/>
      <c r="AH66" s="11"/>
      <c r="AI66" s="12"/>
      <c r="AJ66" s="17"/>
      <c r="AK66" s="13"/>
      <c r="AL66" s="13"/>
      <c r="AM66" s="13"/>
      <c r="AN66" s="14"/>
      <c r="AO66" s="9"/>
      <c r="AP66" s="16"/>
      <c r="AQ66" s="10"/>
      <c r="AR66" s="10"/>
      <c r="AS66" s="10"/>
      <c r="AT66" s="11"/>
      <c r="AU66" s="12"/>
      <c r="AV66" s="17"/>
      <c r="AW66" s="13"/>
      <c r="AX66" s="13"/>
      <c r="AY66" s="13"/>
      <c r="AZ66" s="14"/>
      <c r="BA66" s="9"/>
      <c r="BB66" s="16"/>
      <c r="BC66" s="10"/>
      <c r="BD66" s="10"/>
      <c r="BE66" s="10"/>
      <c r="BF66" s="11"/>
      <c r="BG66" s="12"/>
      <c r="BH66" s="17"/>
      <c r="BI66" s="13"/>
      <c r="BJ66" s="13"/>
      <c r="BK66" s="13"/>
      <c r="BL66" s="14"/>
      <c r="BM66" s="8">
        <f t="shared" si="9"/>
        <v>3</v>
      </c>
      <c r="BN66" s="8">
        <f t="shared" si="10"/>
        <v>12</v>
      </c>
      <c r="BO66" s="8">
        <f t="shared" si="11"/>
        <v>17</v>
      </c>
      <c r="BP66" s="8">
        <f t="shared" si="12"/>
        <v>12</v>
      </c>
      <c r="BQ66" s="8">
        <f t="shared" si="13"/>
        <v>17</v>
      </c>
      <c r="BR66" s="8">
        <f t="shared" si="14"/>
        <v>3</v>
      </c>
      <c r="BS66" s="15">
        <f t="shared" si="15"/>
        <v>12.072394128755075</v>
      </c>
      <c r="BT66" s="15" t="str">
        <f t="shared" si="16"/>
        <v>OK - No Upgrade</v>
      </c>
      <c r="BU66" s="15" t="str">
        <f t="shared" si="17"/>
        <v>Need to Balance</v>
      </c>
    </row>
    <row r="67" spans="1:73" ht="15.75" customHeight="1" x14ac:dyDescent="0.25">
      <c r="A67" s="8" t="s">
        <v>3005</v>
      </c>
      <c r="B67" s="8" t="s">
        <v>3390</v>
      </c>
      <c r="C67" s="8" t="s">
        <v>124</v>
      </c>
      <c r="D67" s="8" t="s">
        <v>3570</v>
      </c>
      <c r="E67" s="8" t="s">
        <v>3571</v>
      </c>
      <c r="F67" s="8" t="s">
        <v>56</v>
      </c>
      <c r="G67" s="8" t="s">
        <v>44</v>
      </c>
      <c r="H67" s="8">
        <v>1000</v>
      </c>
      <c r="I67" s="8" t="s">
        <v>3572</v>
      </c>
      <c r="J67" s="8">
        <v>1</v>
      </c>
      <c r="K67" s="8">
        <v>247</v>
      </c>
      <c r="L67" s="8">
        <v>248</v>
      </c>
      <c r="M67" s="8">
        <v>247</v>
      </c>
      <c r="N67" s="8">
        <v>430</v>
      </c>
      <c r="O67" s="8">
        <v>430</v>
      </c>
      <c r="P67" s="8">
        <v>429</v>
      </c>
      <c r="Q67" s="9"/>
      <c r="R67" s="16"/>
      <c r="S67" s="10"/>
      <c r="T67" s="10"/>
      <c r="U67" s="10"/>
      <c r="V67" s="11"/>
      <c r="W67" s="12"/>
      <c r="X67" s="17"/>
      <c r="Y67" s="13"/>
      <c r="Z67" s="13"/>
      <c r="AA67" s="13"/>
      <c r="AB67" s="14"/>
      <c r="AC67" s="9" t="s">
        <v>47</v>
      </c>
      <c r="AD67" s="16"/>
      <c r="AE67" s="10">
        <v>86</v>
      </c>
      <c r="AF67" s="10">
        <v>65</v>
      </c>
      <c r="AG67" s="10">
        <v>103</v>
      </c>
      <c r="AH67" s="11">
        <v>19</v>
      </c>
      <c r="AI67" s="12" t="s">
        <v>47</v>
      </c>
      <c r="AJ67" s="17"/>
      <c r="AK67" s="13">
        <v>99</v>
      </c>
      <c r="AL67" s="13">
        <v>67</v>
      </c>
      <c r="AM67" s="13">
        <v>82</v>
      </c>
      <c r="AN67" s="14">
        <v>39</v>
      </c>
      <c r="AO67" s="9" t="s">
        <v>47</v>
      </c>
      <c r="AP67" s="16"/>
      <c r="AQ67" s="10">
        <v>133</v>
      </c>
      <c r="AR67" s="10">
        <v>59</v>
      </c>
      <c r="AS67" s="10">
        <v>73</v>
      </c>
      <c r="AT67" s="11">
        <v>60</v>
      </c>
      <c r="AU67" s="12" t="s">
        <v>47</v>
      </c>
      <c r="AV67" s="17"/>
      <c r="AW67" s="13">
        <v>116</v>
      </c>
      <c r="AX67" s="13">
        <v>141</v>
      </c>
      <c r="AY67" s="13">
        <v>106</v>
      </c>
      <c r="AZ67" s="14">
        <v>15</v>
      </c>
      <c r="BA67" s="9"/>
      <c r="BB67" s="16"/>
      <c r="BC67" s="10"/>
      <c r="BD67" s="10"/>
      <c r="BE67" s="10"/>
      <c r="BF67" s="11"/>
      <c r="BG67" s="12"/>
      <c r="BH67" s="17"/>
      <c r="BI67" s="13"/>
      <c r="BJ67" s="13"/>
      <c r="BK67" s="13"/>
      <c r="BL67" s="14"/>
      <c r="BM67" s="8">
        <f t="shared" si="9"/>
        <v>434</v>
      </c>
      <c r="BN67" s="8">
        <f t="shared" si="10"/>
        <v>332</v>
      </c>
      <c r="BO67" s="8">
        <f t="shared" si="11"/>
        <v>364</v>
      </c>
      <c r="BP67" s="8">
        <f t="shared" si="12"/>
        <v>133</v>
      </c>
      <c r="BQ67" s="8">
        <f t="shared" si="13"/>
        <v>434</v>
      </c>
      <c r="BR67" s="8">
        <f t="shared" si="14"/>
        <v>332</v>
      </c>
      <c r="BS67" s="15">
        <f t="shared" si="15"/>
        <v>32.323532170850392</v>
      </c>
      <c r="BT67" s="15" t="str">
        <f t="shared" si="16"/>
        <v>OK - No Upgrade</v>
      </c>
      <c r="BU67" s="15" t="str">
        <f t="shared" si="17"/>
        <v>Need to Balance</v>
      </c>
    </row>
    <row r="68" spans="1:73" ht="15.75" customHeight="1" x14ac:dyDescent="0.25">
      <c r="A68" s="8" t="s">
        <v>3005</v>
      </c>
      <c r="B68" s="8" t="s">
        <v>3390</v>
      </c>
      <c r="C68" s="8" t="s">
        <v>124</v>
      </c>
      <c r="D68" s="8" t="s">
        <v>3573</v>
      </c>
      <c r="E68" s="8" t="s">
        <v>3574</v>
      </c>
      <c r="F68" s="8" t="s">
        <v>43</v>
      </c>
      <c r="G68" s="8" t="s">
        <v>44</v>
      </c>
      <c r="H68" s="8">
        <v>315</v>
      </c>
      <c r="I68" s="8" t="s">
        <v>3575</v>
      </c>
      <c r="J68" s="8">
        <v>1</v>
      </c>
      <c r="K68" s="8">
        <v>244</v>
      </c>
      <c r="L68" s="8">
        <v>246</v>
      </c>
      <c r="M68" s="8">
        <v>246</v>
      </c>
      <c r="N68" s="8">
        <v>428</v>
      </c>
      <c r="O68" s="8">
        <v>426</v>
      </c>
      <c r="P68" s="8">
        <v>427</v>
      </c>
      <c r="Q68" s="9" t="s">
        <v>46</v>
      </c>
      <c r="R68" s="16"/>
      <c r="S68" s="10">
        <v>78</v>
      </c>
      <c r="T68" s="10">
        <v>75</v>
      </c>
      <c r="U68" s="10">
        <v>69</v>
      </c>
      <c r="V68" s="11">
        <v>10</v>
      </c>
      <c r="W68" s="12" t="s">
        <v>46</v>
      </c>
      <c r="X68" s="17"/>
      <c r="Y68" s="13">
        <v>66</v>
      </c>
      <c r="Z68" s="13">
        <v>73</v>
      </c>
      <c r="AA68" s="13">
        <v>47</v>
      </c>
      <c r="AB68" s="14">
        <v>22</v>
      </c>
      <c r="AC68" s="9"/>
      <c r="AD68" s="16"/>
      <c r="AE68" s="10"/>
      <c r="AF68" s="10"/>
      <c r="AG68" s="10"/>
      <c r="AH68" s="11"/>
      <c r="AI68" s="12"/>
      <c r="AJ68" s="17"/>
      <c r="AK68" s="13"/>
      <c r="AL68" s="13"/>
      <c r="AM68" s="13"/>
      <c r="AN68" s="14"/>
      <c r="AO68" s="9"/>
      <c r="AP68" s="16"/>
      <c r="AQ68" s="10"/>
      <c r="AR68" s="10"/>
      <c r="AS68" s="10"/>
      <c r="AT68" s="11"/>
      <c r="AU68" s="12"/>
      <c r="AV68" s="17"/>
      <c r="AW68" s="13"/>
      <c r="AX68" s="13"/>
      <c r="AY68" s="13"/>
      <c r="AZ68" s="14"/>
      <c r="BA68" s="9"/>
      <c r="BB68" s="16"/>
      <c r="BC68" s="10"/>
      <c r="BD68" s="10"/>
      <c r="BE68" s="10"/>
      <c r="BF68" s="11"/>
      <c r="BG68" s="12"/>
      <c r="BH68" s="17"/>
      <c r="BI68" s="13"/>
      <c r="BJ68" s="13"/>
      <c r="BK68" s="13"/>
      <c r="BL68" s="14"/>
      <c r="BM68" s="8">
        <f t="shared" ref="BM68:BM99" si="18">SUM(S68,Y68,AE68,AK68,AQ68,AW68,BC68,BI68)</f>
        <v>144</v>
      </c>
      <c r="BN68" s="8">
        <f t="shared" ref="BN68:BN99" si="19">SUM(T68,Z68,AF68,AL68,AR68,AX68,BD68,BJ68)</f>
        <v>148</v>
      </c>
      <c r="BO68" s="8">
        <f t="shared" ref="BO68:BO99" si="20">SUM(U68,AA68,AG68,AM68,AS68,AY68,BE68,BK68)</f>
        <v>116</v>
      </c>
      <c r="BP68" s="8">
        <f t="shared" ref="BP68:BP99" si="21">SUM(V68,AB68,AH68,AN68,AT68,AZ68,BF68,BL68)</f>
        <v>32</v>
      </c>
      <c r="BQ68" s="8">
        <f t="shared" ref="BQ68:BQ99" si="22">MAX(BM68:BO68)</f>
        <v>148</v>
      </c>
      <c r="BR68" s="8">
        <f t="shared" ref="BR68:BR99" si="23">MIN(BM68:BO68)</f>
        <v>116</v>
      </c>
      <c r="BS68" s="15">
        <f t="shared" ref="BS68:BS99" si="24">IF(H68&gt;0,(BQ68*SQRT(3)*IF(N68&gt;0,N68,IF(O68&gt;0,O68,IF(P68&gt;0,P68,415)))/(H68*1000))*100,0)</f>
        <v>34.830167096712046</v>
      </c>
      <c r="BT68" s="15" t="str">
        <f t="shared" ref="BT68:BT99" si="25">IF(BS68&gt;70,"Upgrade","OK - No Upgrade")</f>
        <v>OK - No Upgrade</v>
      </c>
      <c r="BU68" s="15" t="str">
        <f t="shared" ref="BU68:BU99" si="26">IF(IF(AVERAGE(BM68:BO68)&gt;0,((BQ68-AVERAGE(BM68:BO68))/AVERAGE(BM68:BO68))*100,0)&gt;10,"Need to Balance","OK - Balanced")</f>
        <v>OK - Balanced</v>
      </c>
    </row>
    <row r="69" spans="1:73" ht="15.75" customHeight="1" x14ac:dyDescent="0.25">
      <c r="A69" s="8" t="s">
        <v>3005</v>
      </c>
      <c r="B69" s="8" t="s">
        <v>3390</v>
      </c>
      <c r="C69" s="8" t="s">
        <v>124</v>
      </c>
      <c r="D69" s="8" t="s">
        <v>3576</v>
      </c>
      <c r="E69" s="8" t="s">
        <v>3577</v>
      </c>
      <c r="F69" s="8" t="s">
        <v>43</v>
      </c>
      <c r="G69" s="8" t="s">
        <v>1381</v>
      </c>
      <c r="H69" s="8">
        <v>200</v>
      </c>
      <c r="I69" s="8" t="s">
        <v>3578</v>
      </c>
      <c r="J69" s="8">
        <v>1</v>
      </c>
      <c r="K69" s="8">
        <v>237</v>
      </c>
      <c r="L69" s="8">
        <v>238</v>
      </c>
      <c r="M69" s="8">
        <v>236</v>
      </c>
      <c r="N69" s="8">
        <v>414</v>
      </c>
      <c r="O69" s="8">
        <v>415</v>
      </c>
      <c r="P69" s="8">
        <v>410</v>
      </c>
      <c r="Q69" s="9" t="s">
        <v>47</v>
      </c>
      <c r="R69" s="16"/>
      <c r="S69" s="10">
        <v>11</v>
      </c>
      <c r="T69" s="10">
        <v>13</v>
      </c>
      <c r="U69" s="10">
        <v>20</v>
      </c>
      <c r="V69" s="11">
        <v>13</v>
      </c>
      <c r="W69" s="12"/>
      <c r="X69" s="17"/>
      <c r="Y69" s="13"/>
      <c r="Z69" s="13"/>
      <c r="AA69" s="13"/>
      <c r="AB69" s="14"/>
      <c r="AC69" s="9"/>
      <c r="AD69" s="16"/>
      <c r="AE69" s="10"/>
      <c r="AF69" s="10"/>
      <c r="AG69" s="10"/>
      <c r="AH69" s="11"/>
      <c r="AI69" s="12"/>
      <c r="AJ69" s="17"/>
      <c r="AK69" s="13"/>
      <c r="AL69" s="13"/>
      <c r="AM69" s="13"/>
      <c r="AN69" s="14"/>
      <c r="AO69" s="9"/>
      <c r="AP69" s="16"/>
      <c r="AQ69" s="10"/>
      <c r="AR69" s="10"/>
      <c r="AS69" s="10"/>
      <c r="AT69" s="11"/>
      <c r="AU69" s="12"/>
      <c r="AV69" s="17"/>
      <c r="AW69" s="13"/>
      <c r="AX69" s="13"/>
      <c r="AY69" s="13"/>
      <c r="AZ69" s="14"/>
      <c r="BA69" s="9"/>
      <c r="BB69" s="16"/>
      <c r="BC69" s="10"/>
      <c r="BD69" s="10"/>
      <c r="BE69" s="10"/>
      <c r="BF69" s="11"/>
      <c r="BG69" s="12"/>
      <c r="BH69" s="17"/>
      <c r="BI69" s="13"/>
      <c r="BJ69" s="13"/>
      <c r="BK69" s="13"/>
      <c r="BL69" s="14"/>
      <c r="BM69" s="8">
        <f t="shared" si="18"/>
        <v>11</v>
      </c>
      <c r="BN69" s="8">
        <f t="shared" si="19"/>
        <v>13</v>
      </c>
      <c r="BO69" s="8">
        <f t="shared" si="20"/>
        <v>20</v>
      </c>
      <c r="BP69" s="8">
        <f t="shared" si="21"/>
        <v>13</v>
      </c>
      <c r="BQ69" s="8">
        <f t="shared" si="22"/>
        <v>20</v>
      </c>
      <c r="BR69" s="8">
        <f t="shared" si="23"/>
        <v>11</v>
      </c>
      <c r="BS69" s="15">
        <f t="shared" si="24"/>
        <v>7.170690343335151</v>
      </c>
      <c r="BT69" s="15" t="str">
        <f t="shared" si="25"/>
        <v>OK - No Upgrade</v>
      </c>
      <c r="BU69" s="15" t="str">
        <f t="shared" si="26"/>
        <v>Need to Balance</v>
      </c>
    </row>
    <row r="70" spans="1:73" ht="15.75" customHeight="1" x14ac:dyDescent="0.25">
      <c r="A70" s="8" t="s">
        <v>3005</v>
      </c>
      <c r="B70" s="8" t="s">
        <v>3390</v>
      </c>
      <c r="C70" s="8" t="s">
        <v>124</v>
      </c>
      <c r="D70" s="8" t="s">
        <v>3579</v>
      </c>
      <c r="E70" s="8" t="s">
        <v>3580</v>
      </c>
      <c r="F70" s="8" t="s">
        <v>43</v>
      </c>
      <c r="G70" s="8" t="s">
        <v>1381</v>
      </c>
      <c r="H70" s="8">
        <v>315</v>
      </c>
      <c r="I70" s="8" t="s">
        <v>3581</v>
      </c>
      <c r="J70" s="8">
        <v>1</v>
      </c>
      <c r="K70" s="8">
        <v>237</v>
      </c>
      <c r="L70" s="8">
        <v>239</v>
      </c>
      <c r="M70" s="8">
        <v>237</v>
      </c>
      <c r="N70" s="8">
        <v>414</v>
      </c>
      <c r="O70" s="8">
        <v>415</v>
      </c>
      <c r="P70" s="8">
        <v>412</v>
      </c>
      <c r="Q70" s="9" t="s">
        <v>46</v>
      </c>
      <c r="R70" s="16"/>
      <c r="S70" s="10">
        <v>54</v>
      </c>
      <c r="T70" s="10">
        <v>44</v>
      </c>
      <c r="U70" s="10">
        <v>58</v>
      </c>
      <c r="V70" s="11">
        <v>7</v>
      </c>
      <c r="W70" s="12" t="s">
        <v>46</v>
      </c>
      <c r="X70" s="17"/>
      <c r="Y70" s="13">
        <v>69</v>
      </c>
      <c r="Z70" s="13">
        <v>41</v>
      </c>
      <c r="AA70" s="13">
        <v>115</v>
      </c>
      <c r="AB70" s="14">
        <v>73</v>
      </c>
      <c r="AC70" s="9"/>
      <c r="AD70" s="16"/>
      <c r="AE70" s="10"/>
      <c r="AF70" s="10"/>
      <c r="AG70" s="10"/>
      <c r="AH70" s="11"/>
      <c r="AI70" s="12"/>
      <c r="AJ70" s="17"/>
      <c r="AK70" s="13"/>
      <c r="AL70" s="13"/>
      <c r="AM70" s="13"/>
      <c r="AN70" s="14"/>
      <c r="AO70" s="9"/>
      <c r="AP70" s="16"/>
      <c r="AQ70" s="10"/>
      <c r="AR70" s="10"/>
      <c r="AS70" s="10"/>
      <c r="AT70" s="11"/>
      <c r="AU70" s="12"/>
      <c r="AV70" s="17"/>
      <c r="AW70" s="13"/>
      <c r="AX70" s="13"/>
      <c r="AY70" s="13"/>
      <c r="AZ70" s="14"/>
      <c r="BA70" s="9"/>
      <c r="BB70" s="16"/>
      <c r="BC70" s="10"/>
      <c r="BD70" s="10"/>
      <c r="BE70" s="10"/>
      <c r="BF70" s="11"/>
      <c r="BG70" s="12"/>
      <c r="BH70" s="17"/>
      <c r="BI70" s="13"/>
      <c r="BJ70" s="13"/>
      <c r="BK70" s="13"/>
      <c r="BL70" s="14"/>
      <c r="BM70" s="8">
        <f t="shared" si="18"/>
        <v>123</v>
      </c>
      <c r="BN70" s="8">
        <f t="shared" si="19"/>
        <v>85</v>
      </c>
      <c r="BO70" s="8">
        <f t="shared" si="20"/>
        <v>173</v>
      </c>
      <c r="BP70" s="8">
        <f t="shared" si="21"/>
        <v>80</v>
      </c>
      <c r="BQ70" s="8">
        <f t="shared" si="22"/>
        <v>173</v>
      </c>
      <c r="BR70" s="8">
        <f t="shared" si="23"/>
        <v>85</v>
      </c>
      <c r="BS70" s="15">
        <f t="shared" si="24"/>
        <v>39.381886647523217</v>
      </c>
      <c r="BT70" s="15" t="str">
        <f t="shared" si="25"/>
        <v>OK - No Upgrade</v>
      </c>
      <c r="BU70" s="15" t="str">
        <f t="shared" si="26"/>
        <v>Need to Balance</v>
      </c>
    </row>
    <row r="71" spans="1:73" ht="15.75" customHeight="1" x14ac:dyDescent="0.25">
      <c r="A71" s="8" t="s">
        <v>3005</v>
      </c>
      <c r="B71" s="8" t="s">
        <v>3390</v>
      </c>
      <c r="C71" s="8" t="s">
        <v>124</v>
      </c>
      <c r="D71" s="8" t="s">
        <v>3582</v>
      </c>
      <c r="E71" s="8" t="s">
        <v>3583</v>
      </c>
      <c r="F71" s="8" t="s">
        <v>43</v>
      </c>
      <c r="G71" s="8" t="s">
        <v>44</v>
      </c>
      <c r="H71" s="8">
        <v>315</v>
      </c>
      <c r="I71" s="8" t="s">
        <v>3584</v>
      </c>
      <c r="J71" s="8">
        <v>1</v>
      </c>
      <c r="K71" s="8">
        <v>239</v>
      </c>
      <c r="L71" s="8">
        <v>240</v>
      </c>
      <c r="M71" s="8">
        <v>239</v>
      </c>
      <c r="N71" s="8">
        <v>417</v>
      </c>
      <c r="O71" s="8">
        <v>417</v>
      </c>
      <c r="P71" s="8">
        <v>415</v>
      </c>
      <c r="Q71" s="9" t="s">
        <v>47</v>
      </c>
      <c r="R71" s="16"/>
      <c r="S71" s="10">
        <v>53</v>
      </c>
      <c r="T71" s="10">
        <v>47</v>
      </c>
      <c r="U71" s="10">
        <v>56</v>
      </c>
      <c r="V71" s="11">
        <v>12</v>
      </c>
      <c r="W71" s="12" t="s">
        <v>47</v>
      </c>
      <c r="X71" s="17"/>
      <c r="Y71" s="13">
        <v>15</v>
      </c>
      <c r="Z71" s="13">
        <v>20</v>
      </c>
      <c r="AA71" s="13">
        <v>17</v>
      </c>
      <c r="AB71" s="14">
        <v>4</v>
      </c>
      <c r="AC71" s="9"/>
      <c r="AD71" s="16"/>
      <c r="AE71" s="10"/>
      <c r="AF71" s="10"/>
      <c r="AG71" s="10"/>
      <c r="AH71" s="11"/>
      <c r="AI71" s="12"/>
      <c r="AJ71" s="17"/>
      <c r="AK71" s="13"/>
      <c r="AL71" s="13"/>
      <c r="AM71" s="13"/>
      <c r="AN71" s="14"/>
      <c r="AO71" s="9"/>
      <c r="AP71" s="16"/>
      <c r="AQ71" s="10"/>
      <c r="AR71" s="10"/>
      <c r="AS71" s="10"/>
      <c r="AT71" s="11"/>
      <c r="AU71" s="12"/>
      <c r="AV71" s="17"/>
      <c r="AW71" s="13"/>
      <c r="AX71" s="13"/>
      <c r="AY71" s="13"/>
      <c r="AZ71" s="14"/>
      <c r="BA71" s="9"/>
      <c r="BB71" s="16"/>
      <c r="BC71" s="10"/>
      <c r="BD71" s="10"/>
      <c r="BE71" s="10"/>
      <c r="BF71" s="11"/>
      <c r="BG71" s="12"/>
      <c r="BH71" s="17"/>
      <c r="BI71" s="13"/>
      <c r="BJ71" s="13"/>
      <c r="BK71" s="13"/>
      <c r="BL71" s="14"/>
      <c r="BM71" s="8">
        <f t="shared" si="18"/>
        <v>68</v>
      </c>
      <c r="BN71" s="8">
        <f t="shared" si="19"/>
        <v>67</v>
      </c>
      <c r="BO71" s="8">
        <f t="shared" si="20"/>
        <v>73</v>
      </c>
      <c r="BP71" s="8">
        <f t="shared" si="21"/>
        <v>16</v>
      </c>
      <c r="BQ71" s="8">
        <f t="shared" si="22"/>
        <v>73</v>
      </c>
      <c r="BR71" s="8">
        <f t="shared" si="23"/>
        <v>67</v>
      </c>
      <c r="BS71" s="15">
        <f t="shared" si="24"/>
        <v>16.738209089906093</v>
      </c>
      <c r="BT71" s="15" t="str">
        <f t="shared" si="25"/>
        <v>OK - No Upgrade</v>
      </c>
      <c r="BU71" s="15" t="str">
        <f t="shared" si="26"/>
        <v>OK - Balanced</v>
      </c>
    </row>
    <row r="72" spans="1:73" ht="15.75" customHeight="1" x14ac:dyDescent="0.25">
      <c r="A72" s="8" t="s">
        <v>3005</v>
      </c>
      <c r="B72" s="8" t="s">
        <v>3390</v>
      </c>
      <c r="C72" s="8" t="s">
        <v>124</v>
      </c>
      <c r="D72" s="8" t="s">
        <v>3585</v>
      </c>
      <c r="E72" s="8" t="s">
        <v>3586</v>
      </c>
      <c r="F72" s="8" t="s">
        <v>43</v>
      </c>
      <c r="G72" s="8" t="s">
        <v>44</v>
      </c>
      <c r="H72" s="8">
        <v>315</v>
      </c>
      <c r="I72" s="8" t="s">
        <v>3587</v>
      </c>
      <c r="J72" s="8">
        <v>1</v>
      </c>
      <c r="K72" s="8">
        <v>242</v>
      </c>
      <c r="L72" s="8">
        <v>241</v>
      </c>
      <c r="M72" s="8">
        <v>241</v>
      </c>
      <c r="N72" s="8">
        <v>421</v>
      </c>
      <c r="O72" s="8">
        <v>420</v>
      </c>
      <c r="P72" s="8">
        <v>420</v>
      </c>
      <c r="Q72" s="9" t="s">
        <v>47</v>
      </c>
      <c r="R72" s="16"/>
      <c r="S72" s="10">
        <v>63</v>
      </c>
      <c r="T72" s="10">
        <v>50</v>
      </c>
      <c r="U72" s="10">
        <v>56</v>
      </c>
      <c r="V72" s="11">
        <v>24</v>
      </c>
      <c r="W72" s="12"/>
      <c r="X72" s="17"/>
      <c r="Y72" s="13"/>
      <c r="Z72" s="13"/>
      <c r="AA72" s="13"/>
      <c r="AB72" s="14"/>
      <c r="AC72" s="9"/>
      <c r="AD72" s="16"/>
      <c r="AE72" s="10"/>
      <c r="AF72" s="10"/>
      <c r="AG72" s="10"/>
      <c r="AH72" s="11"/>
      <c r="AI72" s="12"/>
      <c r="AJ72" s="17"/>
      <c r="AK72" s="13"/>
      <c r="AL72" s="13"/>
      <c r="AM72" s="13"/>
      <c r="AN72" s="14"/>
      <c r="AO72" s="9"/>
      <c r="AP72" s="16"/>
      <c r="AQ72" s="10"/>
      <c r="AR72" s="10"/>
      <c r="AS72" s="10"/>
      <c r="AT72" s="11"/>
      <c r="AU72" s="12"/>
      <c r="AV72" s="17"/>
      <c r="AW72" s="13"/>
      <c r="AX72" s="13"/>
      <c r="AY72" s="13"/>
      <c r="AZ72" s="14"/>
      <c r="BA72" s="9"/>
      <c r="BB72" s="16"/>
      <c r="BC72" s="10"/>
      <c r="BD72" s="10"/>
      <c r="BE72" s="10"/>
      <c r="BF72" s="11"/>
      <c r="BG72" s="12"/>
      <c r="BH72" s="17"/>
      <c r="BI72" s="13"/>
      <c r="BJ72" s="13"/>
      <c r="BK72" s="13"/>
      <c r="BL72" s="14"/>
      <c r="BM72" s="8">
        <f t="shared" si="18"/>
        <v>63</v>
      </c>
      <c r="BN72" s="8">
        <f t="shared" si="19"/>
        <v>50</v>
      </c>
      <c r="BO72" s="8">
        <f t="shared" si="20"/>
        <v>56</v>
      </c>
      <c r="BP72" s="8">
        <f t="shared" si="21"/>
        <v>24</v>
      </c>
      <c r="BQ72" s="8">
        <f t="shared" si="22"/>
        <v>63</v>
      </c>
      <c r="BR72" s="8">
        <f t="shared" si="23"/>
        <v>50</v>
      </c>
      <c r="BS72" s="15">
        <f t="shared" si="24"/>
        <v>14.583867799729944</v>
      </c>
      <c r="BT72" s="15" t="str">
        <f t="shared" si="25"/>
        <v>OK - No Upgrade</v>
      </c>
      <c r="BU72" s="15" t="str">
        <f t="shared" si="26"/>
        <v>Need to Balance</v>
      </c>
    </row>
    <row r="73" spans="1:73" ht="15.75" customHeight="1" x14ac:dyDescent="0.25">
      <c r="A73" s="8" t="s">
        <v>3005</v>
      </c>
      <c r="B73" s="8" t="s">
        <v>3390</v>
      </c>
      <c r="C73" s="8" t="s">
        <v>124</v>
      </c>
      <c r="D73" s="8" t="s">
        <v>3588</v>
      </c>
      <c r="E73" s="8" t="s">
        <v>3589</v>
      </c>
      <c r="F73" s="8" t="s">
        <v>43</v>
      </c>
      <c r="G73" s="8" t="s">
        <v>44</v>
      </c>
      <c r="H73" s="8">
        <v>315</v>
      </c>
      <c r="I73" s="8" t="s">
        <v>3590</v>
      </c>
      <c r="J73" s="8">
        <v>1</v>
      </c>
      <c r="K73" s="8">
        <v>243</v>
      </c>
      <c r="L73" s="8">
        <v>243</v>
      </c>
      <c r="M73" s="8">
        <v>242</v>
      </c>
      <c r="N73" s="8">
        <v>424</v>
      </c>
      <c r="O73" s="8">
        <v>422</v>
      </c>
      <c r="P73" s="8">
        <v>420</v>
      </c>
      <c r="Q73" s="9" t="s">
        <v>46</v>
      </c>
      <c r="R73" s="16"/>
      <c r="S73" s="10">
        <v>20</v>
      </c>
      <c r="T73" s="10">
        <v>27</v>
      </c>
      <c r="U73" s="10">
        <v>51</v>
      </c>
      <c r="V73" s="11">
        <v>26</v>
      </c>
      <c r="W73" s="12" t="s">
        <v>46</v>
      </c>
      <c r="X73" s="17"/>
      <c r="Y73" s="13">
        <v>103</v>
      </c>
      <c r="Z73" s="13">
        <v>158</v>
      </c>
      <c r="AA73" s="13">
        <v>162</v>
      </c>
      <c r="AB73" s="14">
        <v>62</v>
      </c>
      <c r="AC73" s="9"/>
      <c r="AD73" s="16"/>
      <c r="AE73" s="10"/>
      <c r="AF73" s="10"/>
      <c r="AG73" s="10"/>
      <c r="AH73" s="11"/>
      <c r="AI73" s="12"/>
      <c r="AJ73" s="17"/>
      <c r="AK73" s="13"/>
      <c r="AL73" s="13"/>
      <c r="AM73" s="13"/>
      <c r="AN73" s="14"/>
      <c r="AO73" s="9"/>
      <c r="AP73" s="16"/>
      <c r="AQ73" s="10"/>
      <c r="AR73" s="10"/>
      <c r="AS73" s="10"/>
      <c r="AT73" s="11"/>
      <c r="AU73" s="12"/>
      <c r="AV73" s="17"/>
      <c r="AW73" s="13"/>
      <c r="AX73" s="13"/>
      <c r="AY73" s="13"/>
      <c r="AZ73" s="14"/>
      <c r="BA73" s="9"/>
      <c r="BB73" s="16"/>
      <c r="BC73" s="10"/>
      <c r="BD73" s="10"/>
      <c r="BE73" s="10"/>
      <c r="BF73" s="11"/>
      <c r="BG73" s="12"/>
      <c r="BH73" s="17"/>
      <c r="BI73" s="13"/>
      <c r="BJ73" s="13"/>
      <c r="BK73" s="13"/>
      <c r="BL73" s="14"/>
      <c r="BM73" s="8">
        <f t="shared" si="18"/>
        <v>123</v>
      </c>
      <c r="BN73" s="8">
        <f t="shared" si="19"/>
        <v>185</v>
      </c>
      <c r="BO73" s="8">
        <f t="shared" si="20"/>
        <v>213</v>
      </c>
      <c r="BP73" s="8">
        <f t="shared" si="21"/>
        <v>88</v>
      </c>
      <c r="BQ73" s="8">
        <f t="shared" si="22"/>
        <v>213</v>
      </c>
      <c r="BR73" s="8">
        <f t="shared" si="23"/>
        <v>123</v>
      </c>
      <c r="BS73" s="15">
        <f t="shared" si="24"/>
        <v>49.658721439098549</v>
      </c>
      <c r="BT73" s="15" t="str">
        <f t="shared" si="25"/>
        <v>OK - No Upgrade</v>
      </c>
      <c r="BU73" s="15" t="str">
        <f t="shared" si="26"/>
        <v>Need to Balance</v>
      </c>
    </row>
    <row r="74" spans="1:73" ht="15.75" customHeight="1" x14ac:dyDescent="0.25">
      <c r="A74" s="8" t="s">
        <v>3005</v>
      </c>
      <c r="B74" s="8" t="s">
        <v>3390</v>
      </c>
      <c r="C74" s="8" t="s">
        <v>124</v>
      </c>
      <c r="D74" s="8" t="s">
        <v>3591</v>
      </c>
      <c r="E74" s="8" t="s">
        <v>3592</v>
      </c>
      <c r="F74" s="8" t="s">
        <v>43</v>
      </c>
      <c r="G74" s="8" t="s">
        <v>44</v>
      </c>
      <c r="H74" s="8">
        <v>100</v>
      </c>
      <c r="I74" s="8" t="s">
        <v>3593</v>
      </c>
      <c r="J74" s="8">
        <v>1</v>
      </c>
      <c r="K74" s="8">
        <v>256</v>
      </c>
      <c r="L74" s="8">
        <v>253</v>
      </c>
      <c r="M74" s="8">
        <v>242</v>
      </c>
      <c r="N74" s="8">
        <v>444</v>
      </c>
      <c r="O74" s="8">
        <v>437</v>
      </c>
      <c r="P74" s="8">
        <v>438</v>
      </c>
      <c r="Q74" s="9" t="s">
        <v>46</v>
      </c>
      <c r="R74" s="16"/>
      <c r="S74" s="10">
        <v>49</v>
      </c>
      <c r="T74" s="10">
        <v>113</v>
      </c>
      <c r="U74" s="10">
        <v>111</v>
      </c>
      <c r="V74" s="11">
        <v>60</v>
      </c>
      <c r="W74" s="12"/>
      <c r="X74" s="17"/>
      <c r="Y74" s="13"/>
      <c r="Z74" s="13"/>
      <c r="AA74" s="13"/>
      <c r="AB74" s="14"/>
      <c r="AC74" s="9"/>
      <c r="AD74" s="16"/>
      <c r="AE74" s="10"/>
      <c r="AF74" s="10"/>
      <c r="AG74" s="10"/>
      <c r="AH74" s="11"/>
      <c r="AI74" s="12"/>
      <c r="AJ74" s="17"/>
      <c r="AK74" s="13"/>
      <c r="AL74" s="13"/>
      <c r="AM74" s="13"/>
      <c r="AN74" s="14"/>
      <c r="AO74" s="9"/>
      <c r="AP74" s="16"/>
      <c r="AQ74" s="10"/>
      <c r="AR74" s="10"/>
      <c r="AS74" s="10"/>
      <c r="AT74" s="11"/>
      <c r="AU74" s="12"/>
      <c r="AV74" s="17"/>
      <c r="AW74" s="13"/>
      <c r="AX74" s="13"/>
      <c r="AY74" s="13"/>
      <c r="AZ74" s="14"/>
      <c r="BA74" s="9"/>
      <c r="BB74" s="16"/>
      <c r="BC74" s="10"/>
      <c r="BD74" s="10"/>
      <c r="BE74" s="10"/>
      <c r="BF74" s="11"/>
      <c r="BG74" s="12"/>
      <c r="BH74" s="17"/>
      <c r="BI74" s="13"/>
      <c r="BJ74" s="13"/>
      <c r="BK74" s="13"/>
      <c r="BL74" s="14"/>
      <c r="BM74" s="8">
        <f t="shared" si="18"/>
        <v>49</v>
      </c>
      <c r="BN74" s="8">
        <f t="shared" si="19"/>
        <v>113</v>
      </c>
      <c r="BO74" s="8">
        <f t="shared" si="20"/>
        <v>111</v>
      </c>
      <c r="BP74" s="8">
        <f t="shared" si="21"/>
        <v>60</v>
      </c>
      <c r="BQ74" s="8">
        <f t="shared" si="22"/>
        <v>113</v>
      </c>
      <c r="BR74" s="8">
        <f t="shared" si="23"/>
        <v>49</v>
      </c>
      <c r="BS74" s="15">
        <f t="shared" si="24"/>
        <v>86.900453117345705</v>
      </c>
      <c r="BT74" s="15" t="str">
        <f t="shared" si="25"/>
        <v>Upgrade</v>
      </c>
      <c r="BU74" s="15" t="str">
        <f t="shared" si="26"/>
        <v>Need to Balance</v>
      </c>
    </row>
    <row r="75" spans="1:73" ht="15.75" customHeight="1" x14ac:dyDescent="0.25">
      <c r="A75" s="8" t="s">
        <v>3005</v>
      </c>
      <c r="B75" s="8" t="s">
        <v>3390</v>
      </c>
      <c r="C75" s="8" t="s">
        <v>124</v>
      </c>
      <c r="D75" s="8" t="s">
        <v>3594</v>
      </c>
      <c r="E75" s="8" t="s">
        <v>3595</v>
      </c>
      <c r="F75" s="8" t="s">
        <v>43</v>
      </c>
      <c r="G75" s="8" t="s">
        <v>1077</v>
      </c>
      <c r="H75" s="8">
        <v>315</v>
      </c>
      <c r="I75" s="8" t="s">
        <v>3596</v>
      </c>
      <c r="J75" s="8">
        <v>1</v>
      </c>
      <c r="K75" s="8">
        <v>251</v>
      </c>
      <c r="L75" s="8">
        <v>252</v>
      </c>
      <c r="M75" s="8">
        <v>252</v>
      </c>
      <c r="N75" s="8">
        <v>437</v>
      </c>
      <c r="O75" s="8">
        <v>437</v>
      </c>
      <c r="P75" s="8">
        <v>436</v>
      </c>
      <c r="Q75" s="9" t="s">
        <v>47</v>
      </c>
      <c r="R75" s="16"/>
      <c r="S75" s="10">
        <v>55</v>
      </c>
      <c r="T75" s="10">
        <v>42</v>
      </c>
      <c r="U75" s="10">
        <v>37</v>
      </c>
      <c r="V75" s="11">
        <v>29</v>
      </c>
      <c r="W75" s="12"/>
      <c r="X75" s="17"/>
      <c r="Y75" s="13"/>
      <c r="Z75" s="13"/>
      <c r="AA75" s="13"/>
      <c r="AB75" s="14"/>
      <c r="AC75" s="9"/>
      <c r="AD75" s="16"/>
      <c r="AE75" s="10"/>
      <c r="AF75" s="10"/>
      <c r="AG75" s="10"/>
      <c r="AH75" s="11"/>
      <c r="AI75" s="12"/>
      <c r="AJ75" s="17"/>
      <c r="AK75" s="13"/>
      <c r="AL75" s="13"/>
      <c r="AM75" s="13"/>
      <c r="AN75" s="14"/>
      <c r="AO75" s="9"/>
      <c r="AP75" s="16"/>
      <c r="AQ75" s="10"/>
      <c r="AR75" s="10"/>
      <c r="AS75" s="10"/>
      <c r="AT75" s="11"/>
      <c r="AU75" s="12"/>
      <c r="AV75" s="17"/>
      <c r="AW75" s="13"/>
      <c r="AX75" s="13"/>
      <c r="AY75" s="13"/>
      <c r="AZ75" s="14"/>
      <c r="BA75" s="9"/>
      <c r="BB75" s="16"/>
      <c r="BC75" s="10"/>
      <c r="BD75" s="10"/>
      <c r="BE75" s="10"/>
      <c r="BF75" s="11"/>
      <c r="BG75" s="12"/>
      <c r="BH75" s="17"/>
      <c r="BI75" s="13"/>
      <c r="BJ75" s="13"/>
      <c r="BK75" s="13"/>
      <c r="BL75" s="14"/>
      <c r="BM75" s="8">
        <f t="shared" si="18"/>
        <v>55</v>
      </c>
      <c r="BN75" s="8">
        <f t="shared" si="19"/>
        <v>42</v>
      </c>
      <c r="BO75" s="8">
        <f t="shared" si="20"/>
        <v>37</v>
      </c>
      <c r="BP75" s="8">
        <f t="shared" si="21"/>
        <v>29</v>
      </c>
      <c r="BQ75" s="8">
        <f t="shared" si="22"/>
        <v>55</v>
      </c>
      <c r="BR75" s="8">
        <f t="shared" si="23"/>
        <v>37</v>
      </c>
      <c r="BS75" s="15">
        <f t="shared" si="24"/>
        <v>13.215822590450147</v>
      </c>
      <c r="BT75" s="15" t="str">
        <f t="shared" si="25"/>
        <v>OK - No Upgrade</v>
      </c>
      <c r="BU75" s="15" t="str">
        <f t="shared" si="26"/>
        <v>Need to Balance</v>
      </c>
    </row>
    <row r="76" spans="1:73" ht="15.75" customHeight="1" x14ac:dyDescent="0.25">
      <c r="A76" s="8" t="s">
        <v>3005</v>
      </c>
      <c r="B76" s="8" t="s">
        <v>3390</v>
      </c>
      <c r="C76" s="8" t="s">
        <v>124</v>
      </c>
      <c r="D76" s="8" t="s">
        <v>3597</v>
      </c>
      <c r="E76" s="8" t="s">
        <v>3598</v>
      </c>
      <c r="F76" s="8" t="s">
        <v>56</v>
      </c>
      <c r="G76" s="8" t="s">
        <v>44</v>
      </c>
      <c r="H76" s="8">
        <v>1000</v>
      </c>
      <c r="I76" s="8" t="s">
        <v>3599</v>
      </c>
      <c r="J76" s="8">
        <v>1</v>
      </c>
      <c r="K76" s="8">
        <v>245</v>
      </c>
      <c r="L76" s="8">
        <v>246</v>
      </c>
      <c r="M76" s="8">
        <v>245</v>
      </c>
      <c r="N76" s="8">
        <v>428</v>
      </c>
      <c r="O76" s="8">
        <v>426</v>
      </c>
      <c r="P76" s="8">
        <v>426</v>
      </c>
      <c r="Q76" s="9"/>
      <c r="R76" s="16"/>
      <c r="S76" s="10"/>
      <c r="T76" s="10"/>
      <c r="U76" s="10"/>
      <c r="V76" s="11"/>
      <c r="W76" s="12"/>
      <c r="X76" s="17"/>
      <c r="Y76" s="13"/>
      <c r="Z76" s="13"/>
      <c r="AA76" s="13"/>
      <c r="AB76" s="14"/>
      <c r="AC76" s="9" t="s">
        <v>47</v>
      </c>
      <c r="AD76" s="16"/>
      <c r="AE76" s="10">
        <v>101</v>
      </c>
      <c r="AF76" s="10">
        <v>156</v>
      </c>
      <c r="AG76" s="10">
        <v>117</v>
      </c>
      <c r="AH76" s="11">
        <v>32</v>
      </c>
      <c r="AI76" s="12" t="s">
        <v>47</v>
      </c>
      <c r="AJ76" s="17"/>
      <c r="AK76" s="13">
        <v>138</v>
      </c>
      <c r="AL76" s="13">
        <v>93</v>
      </c>
      <c r="AM76" s="13">
        <v>100</v>
      </c>
      <c r="AN76" s="14">
        <v>29</v>
      </c>
      <c r="AO76" s="9"/>
      <c r="AP76" s="16"/>
      <c r="AQ76" s="10"/>
      <c r="AR76" s="10"/>
      <c r="AS76" s="10"/>
      <c r="AT76" s="11"/>
      <c r="AU76" s="12"/>
      <c r="AV76" s="17"/>
      <c r="AW76" s="13"/>
      <c r="AX76" s="13"/>
      <c r="AY76" s="13"/>
      <c r="AZ76" s="14"/>
      <c r="BA76" s="9"/>
      <c r="BB76" s="16"/>
      <c r="BC76" s="10"/>
      <c r="BD76" s="10"/>
      <c r="BE76" s="10"/>
      <c r="BF76" s="11"/>
      <c r="BG76" s="12"/>
      <c r="BH76" s="17"/>
      <c r="BI76" s="13"/>
      <c r="BJ76" s="13"/>
      <c r="BK76" s="13"/>
      <c r="BL76" s="14"/>
      <c r="BM76" s="8">
        <f t="shared" si="18"/>
        <v>239</v>
      </c>
      <c r="BN76" s="8">
        <f t="shared" si="19"/>
        <v>249</v>
      </c>
      <c r="BO76" s="8">
        <f t="shared" si="20"/>
        <v>217</v>
      </c>
      <c r="BP76" s="8">
        <f t="shared" si="21"/>
        <v>61</v>
      </c>
      <c r="BQ76" s="8">
        <f t="shared" si="22"/>
        <v>249</v>
      </c>
      <c r="BR76" s="8">
        <f t="shared" si="23"/>
        <v>217</v>
      </c>
      <c r="BS76" s="15">
        <f t="shared" si="24"/>
        <v>18.458811866423037</v>
      </c>
      <c r="BT76" s="15" t="str">
        <f t="shared" si="25"/>
        <v>OK - No Upgrade</v>
      </c>
      <c r="BU76" s="15" t="str">
        <f t="shared" si="26"/>
        <v>OK - Balanced</v>
      </c>
    </row>
    <row r="77" spans="1:73" ht="15.75" customHeight="1" x14ac:dyDescent="0.25">
      <c r="A77" s="8" t="s">
        <v>3005</v>
      </c>
      <c r="B77" s="8" t="s">
        <v>3390</v>
      </c>
      <c r="C77" s="8" t="s">
        <v>124</v>
      </c>
      <c r="D77" s="8" t="s">
        <v>3600</v>
      </c>
      <c r="E77" s="8" t="s">
        <v>3601</v>
      </c>
      <c r="F77" s="8" t="s">
        <v>43</v>
      </c>
      <c r="G77" s="8" t="s">
        <v>44</v>
      </c>
      <c r="H77" s="8">
        <v>100</v>
      </c>
      <c r="I77" s="8" t="s">
        <v>3602</v>
      </c>
      <c r="J77" s="8">
        <v>1</v>
      </c>
      <c r="K77" s="8">
        <v>249</v>
      </c>
      <c r="L77" s="8">
        <v>248</v>
      </c>
      <c r="M77" s="8">
        <v>248</v>
      </c>
      <c r="N77" s="8">
        <v>432</v>
      </c>
      <c r="O77" s="8">
        <v>432</v>
      </c>
      <c r="P77" s="8">
        <v>432</v>
      </c>
      <c r="Q77" s="9" t="s">
        <v>46</v>
      </c>
      <c r="R77" s="16"/>
      <c r="S77" s="10">
        <v>13</v>
      </c>
      <c r="T77" s="10">
        <v>13</v>
      </c>
      <c r="U77" s="10">
        <v>13</v>
      </c>
      <c r="V77" s="11">
        <v>10</v>
      </c>
      <c r="W77" s="12"/>
      <c r="X77" s="17"/>
      <c r="Y77" s="13"/>
      <c r="Z77" s="13"/>
      <c r="AA77" s="13"/>
      <c r="AB77" s="14"/>
      <c r="AC77" s="9"/>
      <c r="AD77" s="16"/>
      <c r="AE77" s="10"/>
      <c r="AF77" s="10"/>
      <c r="AG77" s="10"/>
      <c r="AH77" s="11"/>
      <c r="AI77" s="12"/>
      <c r="AJ77" s="17"/>
      <c r="AK77" s="13"/>
      <c r="AL77" s="13"/>
      <c r="AM77" s="13"/>
      <c r="AN77" s="14"/>
      <c r="AO77" s="9"/>
      <c r="AP77" s="16"/>
      <c r="AQ77" s="10"/>
      <c r="AR77" s="10"/>
      <c r="AS77" s="10"/>
      <c r="AT77" s="11"/>
      <c r="AU77" s="12"/>
      <c r="AV77" s="17"/>
      <c r="AW77" s="13"/>
      <c r="AX77" s="13"/>
      <c r="AY77" s="13"/>
      <c r="AZ77" s="14"/>
      <c r="BA77" s="9"/>
      <c r="BB77" s="16"/>
      <c r="BC77" s="10"/>
      <c r="BD77" s="10"/>
      <c r="BE77" s="10"/>
      <c r="BF77" s="11"/>
      <c r="BG77" s="12"/>
      <c r="BH77" s="17"/>
      <c r="BI77" s="13"/>
      <c r="BJ77" s="13"/>
      <c r="BK77" s="13"/>
      <c r="BL77" s="14"/>
      <c r="BM77" s="8">
        <f t="shared" si="18"/>
        <v>13</v>
      </c>
      <c r="BN77" s="8">
        <f t="shared" si="19"/>
        <v>13</v>
      </c>
      <c r="BO77" s="8">
        <f t="shared" si="20"/>
        <v>13</v>
      </c>
      <c r="BP77" s="8">
        <f t="shared" si="21"/>
        <v>10</v>
      </c>
      <c r="BQ77" s="8">
        <f t="shared" si="22"/>
        <v>13</v>
      </c>
      <c r="BR77" s="8">
        <f t="shared" si="23"/>
        <v>13</v>
      </c>
      <c r="BS77" s="15">
        <f t="shared" si="24"/>
        <v>9.727197335306812</v>
      </c>
      <c r="BT77" s="15" t="str">
        <f t="shared" si="25"/>
        <v>OK - No Upgrade</v>
      </c>
      <c r="BU77" s="15" t="str">
        <f t="shared" si="26"/>
        <v>OK - Balanced</v>
      </c>
    </row>
    <row r="78" spans="1:73" ht="15.75" customHeight="1" x14ac:dyDescent="0.25">
      <c r="A78" s="8" t="s">
        <v>3005</v>
      </c>
      <c r="B78" s="8" t="s">
        <v>3390</v>
      </c>
      <c r="C78" s="8" t="s">
        <v>124</v>
      </c>
      <c r="D78" s="8" t="s">
        <v>3600</v>
      </c>
      <c r="E78" s="8" t="s">
        <v>3603</v>
      </c>
      <c r="F78" s="8" t="s">
        <v>43</v>
      </c>
      <c r="G78" s="8" t="s">
        <v>1381</v>
      </c>
      <c r="H78" s="8">
        <v>100</v>
      </c>
      <c r="I78" s="8" t="s">
        <v>3604</v>
      </c>
      <c r="J78" s="8">
        <v>1</v>
      </c>
      <c r="K78" s="8">
        <v>242</v>
      </c>
      <c r="L78" s="8">
        <v>241</v>
      </c>
      <c r="M78" s="8">
        <v>241</v>
      </c>
      <c r="N78" s="8">
        <v>437</v>
      </c>
      <c r="O78" s="8">
        <v>436</v>
      </c>
      <c r="P78" s="8">
        <v>436</v>
      </c>
      <c r="Q78" s="9" t="s">
        <v>334</v>
      </c>
      <c r="R78" s="16"/>
      <c r="S78" s="10">
        <v>0</v>
      </c>
      <c r="T78" s="10">
        <v>0</v>
      </c>
      <c r="U78" s="10">
        <v>0</v>
      </c>
      <c r="V78" s="11">
        <v>0</v>
      </c>
      <c r="W78" s="12"/>
      <c r="X78" s="17"/>
      <c r="Y78" s="13"/>
      <c r="Z78" s="13"/>
      <c r="AA78" s="13"/>
      <c r="AB78" s="14"/>
      <c r="AC78" s="9"/>
      <c r="AD78" s="16"/>
      <c r="AE78" s="10"/>
      <c r="AF78" s="10"/>
      <c r="AG78" s="10"/>
      <c r="AH78" s="11"/>
      <c r="AI78" s="12"/>
      <c r="AJ78" s="17"/>
      <c r="AK78" s="13"/>
      <c r="AL78" s="13"/>
      <c r="AM78" s="13"/>
      <c r="AN78" s="14"/>
      <c r="AO78" s="9"/>
      <c r="AP78" s="16"/>
      <c r="AQ78" s="10"/>
      <c r="AR78" s="10"/>
      <c r="AS78" s="10"/>
      <c r="AT78" s="11"/>
      <c r="AU78" s="12"/>
      <c r="AV78" s="17"/>
      <c r="AW78" s="13"/>
      <c r="AX78" s="13"/>
      <c r="AY78" s="13"/>
      <c r="AZ78" s="14"/>
      <c r="BA78" s="9"/>
      <c r="BB78" s="16"/>
      <c r="BC78" s="10"/>
      <c r="BD78" s="10"/>
      <c r="BE78" s="10"/>
      <c r="BF78" s="11"/>
      <c r="BG78" s="12"/>
      <c r="BH78" s="17"/>
      <c r="BI78" s="13"/>
      <c r="BJ78" s="13"/>
      <c r="BK78" s="13"/>
      <c r="BL78" s="14"/>
      <c r="BM78" s="8">
        <f t="shared" si="18"/>
        <v>0</v>
      </c>
      <c r="BN78" s="8">
        <f t="shared" si="19"/>
        <v>0</v>
      </c>
      <c r="BO78" s="8">
        <f t="shared" si="20"/>
        <v>0</v>
      </c>
      <c r="BP78" s="8">
        <f t="shared" si="21"/>
        <v>0</v>
      </c>
      <c r="BQ78" s="8">
        <f t="shared" si="22"/>
        <v>0</v>
      </c>
      <c r="BR78" s="8">
        <f t="shared" si="23"/>
        <v>0</v>
      </c>
      <c r="BS78" s="15">
        <f t="shared" si="24"/>
        <v>0</v>
      </c>
      <c r="BT78" s="15" t="str">
        <f t="shared" si="25"/>
        <v>OK - No Upgrade</v>
      </c>
      <c r="BU78" s="15" t="str">
        <f t="shared" si="26"/>
        <v>OK - Balanced</v>
      </c>
    </row>
    <row r="79" spans="1:73" ht="15.75" customHeight="1" x14ac:dyDescent="0.25">
      <c r="A79" s="8" t="s">
        <v>3005</v>
      </c>
      <c r="B79" s="8" t="s">
        <v>3390</v>
      </c>
      <c r="C79" s="8" t="s">
        <v>124</v>
      </c>
      <c r="D79" s="8" t="s">
        <v>3605</v>
      </c>
      <c r="E79" s="8" t="s">
        <v>3606</v>
      </c>
      <c r="F79" s="8" t="s">
        <v>43</v>
      </c>
      <c r="G79" s="8" t="s">
        <v>44</v>
      </c>
      <c r="H79" s="8">
        <v>200</v>
      </c>
      <c r="I79" s="8" t="s">
        <v>3607</v>
      </c>
      <c r="J79" s="8">
        <v>1</v>
      </c>
      <c r="K79" s="8">
        <v>251</v>
      </c>
      <c r="L79" s="8">
        <v>250</v>
      </c>
      <c r="M79" s="8">
        <v>251</v>
      </c>
      <c r="N79" s="8">
        <v>438</v>
      </c>
      <c r="O79" s="8">
        <v>436</v>
      </c>
      <c r="P79" s="8">
        <v>436</v>
      </c>
      <c r="Q79" s="9" t="s">
        <v>47</v>
      </c>
      <c r="R79" s="16"/>
      <c r="S79" s="10">
        <v>14</v>
      </c>
      <c r="T79" s="10">
        <v>19</v>
      </c>
      <c r="U79" s="10">
        <v>22</v>
      </c>
      <c r="V79" s="11">
        <v>14</v>
      </c>
      <c r="W79" s="12"/>
      <c r="X79" s="17"/>
      <c r="Y79" s="13"/>
      <c r="Z79" s="13"/>
      <c r="AA79" s="13"/>
      <c r="AB79" s="14"/>
      <c r="AC79" s="9"/>
      <c r="AD79" s="16"/>
      <c r="AE79" s="10"/>
      <c r="AF79" s="10"/>
      <c r="AG79" s="10"/>
      <c r="AH79" s="11"/>
      <c r="AI79" s="12"/>
      <c r="AJ79" s="17"/>
      <c r="AK79" s="13"/>
      <c r="AL79" s="13"/>
      <c r="AM79" s="13"/>
      <c r="AN79" s="14"/>
      <c r="AO79" s="9"/>
      <c r="AP79" s="16"/>
      <c r="AQ79" s="10"/>
      <c r="AR79" s="10"/>
      <c r="AS79" s="10"/>
      <c r="AT79" s="11"/>
      <c r="AU79" s="12"/>
      <c r="AV79" s="17"/>
      <c r="AW79" s="13"/>
      <c r="AX79" s="13"/>
      <c r="AY79" s="13"/>
      <c r="AZ79" s="14"/>
      <c r="BA79" s="9"/>
      <c r="BB79" s="16"/>
      <c r="BC79" s="10"/>
      <c r="BD79" s="10"/>
      <c r="BE79" s="10"/>
      <c r="BF79" s="11"/>
      <c r="BG79" s="12"/>
      <c r="BH79" s="17"/>
      <c r="BI79" s="13"/>
      <c r="BJ79" s="13"/>
      <c r="BK79" s="13"/>
      <c r="BL79" s="14"/>
      <c r="BM79" s="8">
        <f t="shared" si="18"/>
        <v>14</v>
      </c>
      <c r="BN79" s="8">
        <f t="shared" si="19"/>
        <v>19</v>
      </c>
      <c r="BO79" s="8">
        <f t="shared" si="20"/>
        <v>22</v>
      </c>
      <c r="BP79" s="8">
        <f t="shared" si="21"/>
        <v>14</v>
      </c>
      <c r="BQ79" s="8">
        <f t="shared" si="22"/>
        <v>22</v>
      </c>
      <c r="BR79" s="8">
        <f t="shared" si="23"/>
        <v>14</v>
      </c>
      <c r="BS79" s="15">
        <f t="shared" si="24"/>
        <v>8.345020790866851</v>
      </c>
      <c r="BT79" s="15" t="str">
        <f t="shared" si="25"/>
        <v>OK - No Upgrade</v>
      </c>
      <c r="BU79" s="15" t="str">
        <f t="shared" si="26"/>
        <v>Need to Balance</v>
      </c>
    </row>
    <row r="80" spans="1:73" ht="15.75" customHeight="1" x14ac:dyDescent="0.25">
      <c r="A80" s="8" t="s">
        <v>3005</v>
      </c>
      <c r="B80" s="8" t="s">
        <v>3390</v>
      </c>
      <c r="C80" s="8" t="s">
        <v>124</v>
      </c>
      <c r="D80" s="8" t="s">
        <v>3608</v>
      </c>
      <c r="E80" s="8" t="s">
        <v>3609</v>
      </c>
      <c r="F80" s="8" t="s">
        <v>43</v>
      </c>
      <c r="G80" s="8" t="s">
        <v>1077</v>
      </c>
      <c r="H80" s="8">
        <v>315</v>
      </c>
      <c r="I80" s="8" t="s">
        <v>3610</v>
      </c>
      <c r="J80" s="8">
        <v>1</v>
      </c>
      <c r="K80" s="8">
        <v>253</v>
      </c>
      <c r="L80" s="8">
        <v>253</v>
      </c>
      <c r="M80" s="8">
        <v>253</v>
      </c>
      <c r="N80" s="8">
        <v>439</v>
      </c>
      <c r="O80" s="8">
        <v>440</v>
      </c>
      <c r="P80" s="8">
        <v>440</v>
      </c>
      <c r="Q80" s="9" t="s">
        <v>70</v>
      </c>
      <c r="R80" s="16"/>
      <c r="S80" s="10">
        <v>14</v>
      </c>
      <c r="T80" s="10">
        <v>5</v>
      </c>
      <c r="U80" s="10">
        <v>5</v>
      </c>
      <c r="V80" s="11">
        <v>8</v>
      </c>
      <c r="W80" s="12" t="s">
        <v>47</v>
      </c>
      <c r="X80" s="17"/>
      <c r="Y80" s="13">
        <v>3</v>
      </c>
      <c r="Z80" s="13">
        <v>3</v>
      </c>
      <c r="AA80" s="13">
        <v>4</v>
      </c>
      <c r="AB80" s="14">
        <v>3</v>
      </c>
      <c r="AC80" s="9"/>
      <c r="AD80" s="16"/>
      <c r="AE80" s="10"/>
      <c r="AF80" s="10"/>
      <c r="AG80" s="10"/>
      <c r="AH80" s="11"/>
      <c r="AI80" s="12"/>
      <c r="AJ80" s="17"/>
      <c r="AK80" s="13"/>
      <c r="AL80" s="13"/>
      <c r="AM80" s="13"/>
      <c r="AN80" s="14"/>
      <c r="AO80" s="9"/>
      <c r="AP80" s="16"/>
      <c r="AQ80" s="10"/>
      <c r="AR80" s="10"/>
      <c r="AS80" s="10"/>
      <c r="AT80" s="11"/>
      <c r="AU80" s="12"/>
      <c r="AV80" s="17"/>
      <c r="AW80" s="13"/>
      <c r="AX80" s="13"/>
      <c r="AY80" s="13"/>
      <c r="AZ80" s="14"/>
      <c r="BA80" s="9"/>
      <c r="BB80" s="16"/>
      <c r="BC80" s="10"/>
      <c r="BD80" s="10"/>
      <c r="BE80" s="10"/>
      <c r="BF80" s="11"/>
      <c r="BG80" s="12"/>
      <c r="BH80" s="17"/>
      <c r="BI80" s="13"/>
      <c r="BJ80" s="13"/>
      <c r="BK80" s="13"/>
      <c r="BL80" s="14"/>
      <c r="BM80" s="8">
        <f t="shared" si="18"/>
        <v>17</v>
      </c>
      <c r="BN80" s="8">
        <f t="shared" si="19"/>
        <v>8</v>
      </c>
      <c r="BO80" s="8">
        <f t="shared" si="20"/>
        <v>9</v>
      </c>
      <c r="BP80" s="8">
        <f t="shared" si="21"/>
        <v>11</v>
      </c>
      <c r="BQ80" s="8">
        <f t="shared" si="22"/>
        <v>17</v>
      </c>
      <c r="BR80" s="8">
        <f t="shared" si="23"/>
        <v>8</v>
      </c>
      <c r="BS80" s="15">
        <f t="shared" si="24"/>
        <v>4.1035857704401684</v>
      </c>
      <c r="BT80" s="15" t="str">
        <f t="shared" si="25"/>
        <v>OK - No Upgrade</v>
      </c>
      <c r="BU80" s="15" t="str">
        <f t="shared" si="26"/>
        <v>Need to Balance</v>
      </c>
    </row>
    <row r="81" spans="1:73" ht="15.75" customHeight="1" x14ac:dyDescent="0.25">
      <c r="A81" s="8" t="s">
        <v>3005</v>
      </c>
      <c r="B81" s="8" t="s">
        <v>3390</v>
      </c>
      <c r="C81" s="8" t="s">
        <v>124</v>
      </c>
      <c r="D81" s="8" t="s">
        <v>3608</v>
      </c>
      <c r="E81" s="8" t="s">
        <v>3611</v>
      </c>
      <c r="F81" s="8" t="s">
        <v>43</v>
      </c>
      <c r="G81" s="8" t="s">
        <v>44</v>
      </c>
      <c r="H81" s="8">
        <v>100</v>
      </c>
      <c r="I81" s="8" t="s">
        <v>3612</v>
      </c>
      <c r="J81" s="8">
        <v>1</v>
      </c>
      <c r="K81" s="8">
        <v>253</v>
      </c>
      <c r="L81" s="8">
        <v>253</v>
      </c>
      <c r="M81" s="8">
        <v>252</v>
      </c>
      <c r="N81" s="8">
        <v>440</v>
      </c>
      <c r="O81" s="8">
        <v>440</v>
      </c>
      <c r="P81" s="8">
        <v>440</v>
      </c>
      <c r="Q81" s="9" t="s">
        <v>46</v>
      </c>
      <c r="R81" s="16"/>
      <c r="S81" s="10">
        <v>0</v>
      </c>
      <c r="T81" s="10">
        <v>0</v>
      </c>
      <c r="U81" s="10">
        <v>16</v>
      </c>
      <c r="V81" s="11">
        <v>16</v>
      </c>
      <c r="W81" s="12"/>
      <c r="X81" s="17"/>
      <c r="Y81" s="13"/>
      <c r="Z81" s="13"/>
      <c r="AA81" s="13"/>
      <c r="AB81" s="14"/>
      <c r="AC81" s="9"/>
      <c r="AD81" s="16"/>
      <c r="AE81" s="10"/>
      <c r="AF81" s="10"/>
      <c r="AG81" s="10"/>
      <c r="AH81" s="11"/>
      <c r="AI81" s="12"/>
      <c r="AJ81" s="17"/>
      <c r="AK81" s="13"/>
      <c r="AL81" s="13"/>
      <c r="AM81" s="13"/>
      <c r="AN81" s="14"/>
      <c r="AO81" s="9"/>
      <c r="AP81" s="16"/>
      <c r="AQ81" s="10"/>
      <c r="AR81" s="10"/>
      <c r="AS81" s="10"/>
      <c r="AT81" s="11"/>
      <c r="AU81" s="12"/>
      <c r="AV81" s="17"/>
      <c r="AW81" s="13"/>
      <c r="AX81" s="13"/>
      <c r="AY81" s="13"/>
      <c r="AZ81" s="14"/>
      <c r="BA81" s="9"/>
      <c r="BB81" s="16"/>
      <c r="BC81" s="10"/>
      <c r="BD81" s="10"/>
      <c r="BE81" s="10"/>
      <c r="BF81" s="11"/>
      <c r="BG81" s="12"/>
      <c r="BH81" s="17"/>
      <c r="BI81" s="13"/>
      <c r="BJ81" s="13"/>
      <c r="BK81" s="13"/>
      <c r="BL81" s="14"/>
      <c r="BM81" s="8">
        <f t="shared" si="18"/>
        <v>0</v>
      </c>
      <c r="BN81" s="8">
        <f t="shared" si="19"/>
        <v>0</v>
      </c>
      <c r="BO81" s="8">
        <f t="shared" si="20"/>
        <v>16</v>
      </c>
      <c r="BP81" s="8">
        <f t="shared" si="21"/>
        <v>16</v>
      </c>
      <c r="BQ81" s="8">
        <f t="shared" si="22"/>
        <v>16</v>
      </c>
      <c r="BR81" s="8">
        <f t="shared" si="23"/>
        <v>0</v>
      </c>
      <c r="BS81" s="15">
        <f t="shared" si="24"/>
        <v>12.193637685284896</v>
      </c>
      <c r="BT81" s="15" t="str">
        <f t="shared" si="25"/>
        <v>OK - No Upgrade</v>
      </c>
      <c r="BU81" s="15" t="str">
        <f t="shared" si="26"/>
        <v>Need to Balance</v>
      </c>
    </row>
    <row r="82" spans="1:73" ht="15.75" customHeight="1" x14ac:dyDescent="0.25">
      <c r="A82" s="8" t="s">
        <v>3005</v>
      </c>
      <c r="B82" s="8" t="s">
        <v>3390</v>
      </c>
      <c r="C82" s="8" t="s">
        <v>124</v>
      </c>
      <c r="D82" s="8" t="s">
        <v>3608</v>
      </c>
      <c r="E82" s="8" t="s">
        <v>3613</v>
      </c>
      <c r="F82" s="8" t="s">
        <v>43</v>
      </c>
      <c r="G82" s="8" t="s">
        <v>44</v>
      </c>
      <c r="H82" s="8">
        <v>315</v>
      </c>
      <c r="I82" s="8" t="s">
        <v>1520</v>
      </c>
      <c r="J82" s="8">
        <v>1</v>
      </c>
      <c r="K82" s="8">
        <v>246</v>
      </c>
      <c r="L82" s="8">
        <v>241</v>
      </c>
      <c r="M82" s="8">
        <v>246</v>
      </c>
      <c r="N82" s="8">
        <v>424</v>
      </c>
      <c r="O82" s="8">
        <v>425</v>
      </c>
      <c r="P82" s="8">
        <v>427</v>
      </c>
      <c r="Q82" s="9" t="s">
        <v>46</v>
      </c>
      <c r="R82" s="16"/>
      <c r="S82" s="10">
        <v>25</v>
      </c>
      <c r="T82" s="10">
        <v>10</v>
      </c>
      <c r="U82" s="10">
        <v>16</v>
      </c>
      <c r="V82" s="11">
        <v>17</v>
      </c>
      <c r="W82" s="12" t="s">
        <v>46</v>
      </c>
      <c r="X82" s="17"/>
      <c r="Y82" s="13">
        <v>63</v>
      </c>
      <c r="Z82" s="13">
        <v>73</v>
      </c>
      <c r="AA82" s="13">
        <v>84</v>
      </c>
      <c r="AB82" s="14">
        <v>25</v>
      </c>
      <c r="AC82" s="9"/>
      <c r="AD82" s="16"/>
      <c r="AE82" s="10"/>
      <c r="AF82" s="10"/>
      <c r="AG82" s="10"/>
      <c r="AH82" s="11"/>
      <c r="AI82" s="12"/>
      <c r="AJ82" s="17"/>
      <c r="AK82" s="13"/>
      <c r="AL82" s="13"/>
      <c r="AM82" s="13"/>
      <c r="AN82" s="14"/>
      <c r="AO82" s="9"/>
      <c r="AP82" s="16"/>
      <c r="AQ82" s="10"/>
      <c r="AR82" s="10"/>
      <c r="AS82" s="10"/>
      <c r="AT82" s="11"/>
      <c r="AU82" s="12"/>
      <c r="AV82" s="17"/>
      <c r="AW82" s="13"/>
      <c r="AX82" s="13"/>
      <c r="AY82" s="13"/>
      <c r="AZ82" s="14"/>
      <c r="BA82" s="9"/>
      <c r="BB82" s="16"/>
      <c r="BC82" s="10"/>
      <c r="BD82" s="10"/>
      <c r="BE82" s="10"/>
      <c r="BF82" s="11"/>
      <c r="BG82" s="12"/>
      <c r="BH82" s="17"/>
      <c r="BI82" s="13"/>
      <c r="BJ82" s="13"/>
      <c r="BK82" s="13"/>
      <c r="BL82" s="14"/>
      <c r="BM82" s="8">
        <f t="shared" si="18"/>
        <v>88</v>
      </c>
      <c r="BN82" s="8">
        <f t="shared" si="19"/>
        <v>83</v>
      </c>
      <c r="BO82" s="8">
        <f t="shared" si="20"/>
        <v>100</v>
      </c>
      <c r="BP82" s="8">
        <f t="shared" si="21"/>
        <v>42</v>
      </c>
      <c r="BQ82" s="8">
        <f t="shared" si="22"/>
        <v>100</v>
      </c>
      <c r="BR82" s="8">
        <f t="shared" si="23"/>
        <v>83</v>
      </c>
      <c r="BS82" s="15">
        <f t="shared" si="24"/>
        <v>23.313953727276317</v>
      </c>
      <c r="BT82" s="15" t="str">
        <f t="shared" si="25"/>
        <v>OK - No Upgrade</v>
      </c>
      <c r="BU82" s="15" t="str">
        <f t="shared" si="26"/>
        <v>Need to Balance</v>
      </c>
    </row>
    <row r="83" spans="1:73" ht="15.75" customHeight="1" x14ac:dyDescent="0.25">
      <c r="A83" s="8" t="s">
        <v>3005</v>
      </c>
      <c r="B83" s="8" t="s">
        <v>3390</v>
      </c>
      <c r="C83" s="8" t="s">
        <v>124</v>
      </c>
      <c r="D83" s="8" t="s">
        <v>3614</v>
      </c>
      <c r="E83" s="8" t="s">
        <v>3615</v>
      </c>
      <c r="F83" s="8" t="s">
        <v>43</v>
      </c>
      <c r="G83" s="8" t="s">
        <v>44</v>
      </c>
      <c r="H83" s="8">
        <v>100</v>
      </c>
      <c r="I83" s="8" t="s">
        <v>3616</v>
      </c>
      <c r="J83" s="8">
        <v>1</v>
      </c>
      <c r="K83" s="8">
        <v>237</v>
      </c>
      <c r="L83" s="8">
        <v>242</v>
      </c>
      <c r="M83" s="8">
        <v>244</v>
      </c>
      <c r="N83" s="8">
        <v>416</v>
      </c>
      <c r="O83" s="8">
        <v>419</v>
      </c>
      <c r="P83" s="8">
        <v>408</v>
      </c>
      <c r="Q83" s="9" t="s">
        <v>46</v>
      </c>
      <c r="R83" s="16"/>
      <c r="S83" s="10">
        <v>146</v>
      </c>
      <c r="T83" s="10">
        <v>148</v>
      </c>
      <c r="U83" s="10">
        <v>108</v>
      </c>
      <c r="V83" s="11">
        <v>42</v>
      </c>
      <c r="W83" s="12"/>
      <c r="X83" s="17"/>
      <c r="Y83" s="13"/>
      <c r="Z83" s="13"/>
      <c r="AA83" s="13"/>
      <c r="AB83" s="14"/>
      <c r="AC83" s="9"/>
      <c r="AD83" s="16"/>
      <c r="AE83" s="10"/>
      <c r="AF83" s="10"/>
      <c r="AG83" s="10"/>
      <c r="AH83" s="11"/>
      <c r="AI83" s="12"/>
      <c r="AJ83" s="17"/>
      <c r="AK83" s="13"/>
      <c r="AL83" s="13"/>
      <c r="AM83" s="13"/>
      <c r="AN83" s="14"/>
      <c r="AO83" s="9"/>
      <c r="AP83" s="16"/>
      <c r="AQ83" s="10"/>
      <c r="AR83" s="10"/>
      <c r="AS83" s="10"/>
      <c r="AT83" s="11"/>
      <c r="AU83" s="12"/>
      <c r="AV83" s="17"/>
      <c r="AW83" s="13"/>
      <c r="AX83" s="13"/>
      <c r="AY83" s="13"/>
      <c r="AZ83" s="14"/>
      <c r="BA83" s="9"/>
      <c r="BB83" s="16"/>
      <c r="BC83" s="10"/>
      <c r="BD83" s="10"/>
      <c r="BE83" s="10"/>
      <c r="BF83" s="11"/>
      <c r="BG83" s="12"/>
      <c r="BH83" s="17"/>
      <c r="BI83" s="13"/>
      <c r="BJ83" s="13"/>
      <c r="BK83" s="13"/>
      <c r="BL83" s="14"/>
      <c r="BM83" s="8">
        <f t="shared" si="18"/>
        <v>146</v>
      </c>
      <c r="BN83" s="8">
        <f t="shared" si="19"/>
        <v>148</v>
      </c>
      <c r="BO83" s="8">
        <f t="shared" si="20"/>
        <v>108</v>
      </c>
      <c r="BP83" s="8">
        <f t="shared" si="21"/>
        <v>42</v>
      </c>
      <c r="BQ83" s="8">
        <f t="shared" si="22"/>
        <v>148</v>
      </c>
      <c r="BR83" s="8">
        <f t="shared" si="23"/>
        <v>108</v>
      </c>
      <c r="BS83" s="15">
        <f t="shared" si="24"/>
        <v>106.63890412040062</v>
      </c>
      <c r="BT83" s="15" t="str">
        <f t="shared" si="25"/>
        <v>Upgrade</v>
      </c>
      <c r="BU83" s="15" t="str">
        <f t="shared" si="26"/>
        <v>Need to Balance</v>
      </c>
    </row>
    <row r="84" spans="1:73" ht="15.75" customHeight="1" x14ac:dyDescent="0.25">
      <c r="A84" s="8" t="s">
        <v>3005</v>
      </c>
      <c r="B84" s="8" t="s">
        <v>3390</v>
      </c>
      <c r="C84" s="8" t="s">
        <v>124</v>
      </c>
      <c r="D84" s="8" t="s">
        <v>3617</v>
      </c>
      <c r="E84" s="8" t="s">
        <v>3618</v>
      </c>
      <c r="F84" s="8" t="s">
        <v>43</v>
      </c>
      <c r="G84" s="8" t="s">
        <v>44</v>
      </c>
      <c r="H84" s="8">
        <v>100</v>
      </c>
      <c r="I84" s="8" t="s">
        <v>1523</v>
      </c>
      <c r="J84" s="8">
        <v>1</v>
      </c>
      <c r="K84" s="8">
        <v>251</v>
      </c>
      <c r="L84" s="8">
        <v>250</v>
      </c>
      <c r="M84" s="8">
        <v>252</v>
      </c>
      <c r="N84" s="8">
        <v>436</v>
      </c>
      <c r="O84" s="8">
        <v>436</v>
      </c>
      <c r="P84" s="8">
        <v>438</v>
      </c>
      <c r="Q84" s="9" t="s">
        <v>47</v>
      </c>
      <c r="R84" s="16"/>
      <c r="S84" s="10">
        <v>0</v>
      </c>
      <c r="T84" s="10">
        <v>9</v>
      </c>
      <c r="U84" s="10">
        <v>10</v>
      </c>
      <c r="V84" s="11">
        <v>5</v>
      </c>
      <c r="W84" s="12"/>
      <c r="X84" s="17"/>
      <c r="Y84" s="13"/>
      <c r="Z84" s="13"/>
      <c r="AA84" s="13"/>
      <c r="AB84" s="14"/>
      <c r="AC84" s="9"/>
      <c r="AD84" s="16"/>
      <c r="AE84" s="10"/>
      <c r="AF84" s="10"/>
      <c r="AG84" s="10"/>
      <c r="AH84" s="11"/>
      <c r="AI84" s="12"/>
      <c r="AJ84" s="17"/>
      <c r="AK84" s="13"/>
      <c r="AL84" s="13"/>
      <c r="AM84" s="13"/>
      <c r="AN84" s="14"/>
      <c r="AO84" s="9"/>
      <c r="AP84" s="16"/>
      <c r="AQ84" s="10"/>
      <c r="AR84" s="10"/>
      <c r="AS84" s="10"/>
      <c r="AT84" s="11"/>
      <c r="AU84" s="12"/>
      <c r="AV84" s="17"/>
      <c r="AW84" s="13"/>
      <c r="AX84" s="13"/>
      <c r="AY84" s="13"/>
      <c r="AZ84" s="14"/>
      <c r="BA84" s="9"/>
      <c r="BB84" s="16"/>
      <c r="BC84" s="10"/>
      <c r="BD84" s="10"/>
      <c r="BE84" s="10"/>
      <c r="BF84" s="11"/>
      <c r="BG84" s="12"/>
      <c r="BH84" s="17"/>
      <c r="BI84" s="13"/>
      <c r="BJ84" s="13"/>
      <c r="BK84" s="13"/>
      <c r="BL84" s="14"/>
      <c r="BM84" s="8">
        <f t="shared" si="18"/>
        <v>0</v>
      </c>
      <c r="BN84" s="8">
        <f t="shared" si="19"/>
        <v>9</v>
      </c>
      <c r="BO84" s="8">
        <f t="shared" si="20"/>
        <v>10</v>
      </c>
      <c r="BP84" s="8">
        <f t="shared" si="21"/>
        <v>5</v>
      </c>
      <c r="BQ84" s="8">
        <f t="shared" si="22"/>
        <v>10</v>
      </c>
      <c r="BR84" s="8">
        <f t="shared" si="23"/>
        <v>0</v>
      </c>
      <c r="BS84" s="15">
        <f t="shared" si="24"/>
        <v>7.5517415210003049</v>
      </c>
      <c r="BT84" s="15" t="str">
        <f t="shared" si="25"/>
        <v>OK - No Upgrade</v>
      </c>
      <c r="BU84" s="15" t="str">
        <f t="shared" si="26"/>
        <v>Need to Balance</v>
      </c>
    </row>
    <row r="85" spans="1:73" ht="15.75" customHeight="1" x14ac:dyDescent="0.25">
      <c r="A85" s="8" t="s">
        <v>3005</v>
      </c>
      <c r="B85" s="8" t="s">
        <v>3390</v>
      </c>
      <c r="C85" s="8" t="s">
        <v>124</v>
      </c>
      <c r="D85" s="8" t="s">
        <v>3619</v>
      </c>
      <c r="E85" s="8" t="s">
        <v>3620</v>
      </c>
      <c r="F85" s="8" t="s">
        <v>43</v>
      </c>
      <c r="G85" s="8" t="s">
        <v>44</v>
      </c>
      <c r="H85" s="8">
        <v>100</v>
      </c>
      <c r="I85" s="8" t="s">
        <v>3621</v>
      </c>
      <c r="J85" s="8">
        <v>1</v>
      </c>
      <c r="K85" s="8">
        <v>245</v>
      </c>
      <c r="L85" s="8">
        <v>245</v>
      </c>
      <c r="M85" s="8">
        <v>244</v>
      </c>
      <c r="N85" s="8">
        <v>426</v>
      </c>
      <c r="O85" s="8">
        <v>426</v>
      </c>
      <c r="P85" s="8">
        <v>426</v>
      </c>
      <c r="Q85" s="9" t="s">
        <v>47</v>
      </c>
      <c r="R85" s="16"/>
      <c r="S85" s="10">
        <v>5</v>
      </c>
      <c r="T85" s="10">
        <v>4</v>
      </c>
      <c r="U85" s="10">
        <v>20</v>
      </c>
      <c r="V85" s="11">
        <v>15</v>
      </c>
      <c r="W85" s="12"/>
      <c r="X85" s="17"/>
      <c r="Y85" s="13"/>
      <c r="Z85" s="13"/>
      <c r="AA85" s="13"/>
      <c r="AB85" s="14"/>
      <c r="AC85" s="9"/>
      <c r="AD85" s="16"/>
      <c r="AE85" s="10"/>
      <c r="AF85" s="10"/>
      <c r="AG85" s="10"/>
      <c r="AH85" s="11"/>
      <c r="AI85" s="12"/>
      <c r="AJ85" s="17"/>
      <c r="AK85" s="13"/>
      <c r="AL85" s="13"/>
      <c r="AM85" s="13"/>
      <c r="AN85" s="14"/>
      <c r="AO85" s="9"/>
      <c r="AP85" s="16"/>
      <c r="AQ85" s="10"/>
      <c r="AR85" s="10"/>
      <c r="AS85" s="10"/>
      <c r="AT85" s="11"/>
      <c r="AU85" s="12"/>
      <c r="AV85" s="17"/>
      <c r="AW85" s="13"/>
      <c r="AX85" s="13"/>
      <c r="AY85" s="13"/>
      <c r="AZ85" s="14"/>
      <c r="BA85" s="9"/>
      <c r="BB85" s="16"/>
      <c r="BC85" s="10"/>
      <c r="BD85" s="10"/>
      <c r="BE85" s="10"/>
      <c r="BF85" s="11"/>
      <c r="BG85" s="12"/>
      <c r="BH85" s="17"/>
      <c r="BI85" s="13"/>
      <c r="BJ85" s="13"/>
      <c r="BK85" s="13"/>
      <c r="BL85" s="14"/>
      <c r="BM85" s="8">
        <f t="shared" si="18"/>
        <v>5</v>
      </c>
      <c r="BN85" s="8">
        <f t="shared" si="19"/>
        <v>4</v>
      </c>
      <c r="BO85" s="8">
        <f t="shared" si="20"/>
        <v>20</v>
      </c>
      <c r="BP85" s="8">
        <f t="shared" si="21"/>
        <v>15</v>
      </c>
      <c r="BQ85" s="8">
        <f t="shared" si="22"/>
        <v>20</v>
      </c>
      <c r="BR85" s="8">
        <f t="shared" si="23"/>
        <v>4</v>
      </c>
      <c r="BS85" s="15">
        <f t="shared" si="24"/>
        <v>14.757072880486833</v>
      </c>
      <c r="BT85" s="15" t="str">
        <f t="shared" si="25"/>
        <v>OK - No Upgrade</v>
      </c>
      <c r="BU85" s="15" t="str">
        <f t="shared" si="26"/>
        <v>Need to Balance</v>
      </c>
    </row>
    <row r="86" spans="1:73" ht="15.75" customHeight="1" x14ac:dyDescent="0.25">
      <c r="A86" s="8" t="s">
        <v>3005</v>
      </c>
      <c r="B86" s="8" t="s">
        <v>3390</v>
      </c>
      <c r="C86" s="8" t="s">
        <v>124</v>
      </c>
      <c r="D86" s="8" t="s">
        <v>3617</v>
      </c>
      <c r="E86" s="8" t="s">
        <v>3622</v>
      </c>
      <c r="F86" s="8" t="s">
        <v>43</v>
      </c>
      <c r="G86" s="8" t="s">
        <v>44</v>
      </c>
      <c r="H86" s="8">
        <v>100</v>
      </c>
      <c r="I86" s="8" t="s">
        <v>3623</v>
      </c>
      <c r="J86" s="8">
        <v>1</v>
      </c>
      <c r="K86" s="8">
        <v>233</v>
      </c>
      <c r="L86" s="8">
        <v>245</v>
      </c>
      <c r="M86" s="8">
        <v>239</v>
      </c>
      <c r="N86" s="8">
        <v>426</v>
      </c>
      <c r="O86" s="8">
        <v>417</v>
      </c>
      <c r="P86" s="8">
        <v>424</v>
      </c>
      <c r="Q86" s="9" t="s">
        <v>334</v>
      </c>
      <c r="R86" s="16"/>
      <c r="S86" s="10">
        <v>15</v>
      </c>
      <c r="T86" s="10">
        <v>15</v>
      </c>
      <c r="U86" s="10">
        <v>15</v>
      </c>
      <c r="V86" s="11">
        <v>10</v>
      </c>
      <c r="W86" s="12"/>
      <c r="X86" s="17"/>
      <c r="Y86" s="13"/>
      <c r="Z86" s="13"/>
      <c r="AA86" s="13"/>
      <c r="AB86" s="14"/>
      <c r="AC86" s="9"/>
      <c r="AD86" s="16"/>
      <c r="AE86" s="10"/>
      <c r="AF86" s="10"/>
      <c r="AG86" s="10"/>
      <c r="AH86" s="11"/>
      <c r="AI86" s="12"/>
      <c r="AJ86" s="17"/>
      <c r="AK86" s="13"/>
      <c r="AL86" s="13"/>
      <c r="AM86" s="13"/>
      <c r="AN86" s="14"/>
      <c r="AO86" s="9"/>
      <c r="AP86" s="16"/>
      <c r="AQ86" s="10"/>
      <c r="AR86" s="10"/>
      <c r="AS86" s="10"/>
      <c r="AT86" s="11"/>
      <c r="AU86" s="12"/>
      <c r="AV86" s="17"/>
      <c r="AW86" s="13"/>
      <c r="AX86" s="13"/>
      <c r="AY86" s="13"/>
      <c r="AZ86" s="14"/>
      <c r="BA86" s="9"/>
      <c r="BB86" s="16"/>
      <c r="BC86" s="10"/>
      <c r="BD86" s="10"/>
      <c r="BE86" s="10"/>
      <c r="BF86" s="11"/>
      <c r="BG86" s="12"/>
      <c r="BH86" s="17"/>
      <c r="BI86" s="13"/>
      <c r="BJ86" s="13"/>
      <c r="BK86" s="13"/>
      <c r="BL86" s="14"/>
      <c r="BM86" s="8">
        <f t="shared" si="18"/>
        <v>15</v>
      </c>
      <c r="BN86" s="8">
        <f t="shared" si="19"/>
        <v>15</v>
      </c>
      <c r="BO86" s="8">
        <f t="shared" si="20"/>
        <v>15</v>
      </c>
      <c r="BP86" s="8">
        <f t="shared" si="21"/>
        <v>10</v>
      </c>
      <c r="BQ86" s="8">
        <f t="shared" si="22"/>
        <v>15</v>
      </c>
      <c r="BR86" s="8">
        <f t="shared" si="23"/>
        <v>15</v>
      </c>
      <c r="BS86" s="15">
        <f t="shared" si="24"/>
        <v>11.067804660365125</v>
      </c>
      <c r="BT86" s="15" t="str">
        <f t="shared" si="25"/>
        <v>OK - No Upgrade</v>
      </c>
      <c r="BU86" s="15" t="str">
        <f t="shared" si="26"/>
        <v>OK - Balanced</v>
      </c>
    </row>
    <row r="87" spans="1:73" ht="15.75" customHeight="1" x14ac:dyDescent="0.25">
      <c r="A87" s="8" t="s">
        <v>3005</v>
      </c>
      <c r="B87" s="8" t="s">
        <v>3390</v>
      </c>
      <c r="C87" s="8" t="s">
        <v>124</v>
      </c>
      <c r="D87" s="8" t="s">
        <v>3608</v>
      </c>
      <c r="E87" s="8" t="s">
        <v>3624</v>
      </c>
      <c r="F87" s="8" t="s">
        <v>56</v>
      </c>
      <c r="G87" s="8" t="s">
        <v>44</v>
      </c>
      <c r="H87" s="8">
        <v>1000</v>
      </c>
      <c r="I87" s="8" t="s">
        <v>3625</v>
      </c>
      <c r="J87" s="8">
        <v>1</v>
      </c>
      <c r="K87" s="8">
        <v>253</v>
      </c>
      <c r="L87" s="8">
        <v>253</v>
      </c>
      <c r="M87" s="8">
        <v>254</v>
      </c>
      <c r="N87" s="8">
        <v>441</v>
      </c>
      <c r="O87" s="8">
        <v>439</v>
      </c>
      <c r="P87" s="8">
        <v>441</v>
      </c>
      <c r="Q87" s="9" t="s">
        <v>47</v>
      </c>
      <c r="R87" s="16"/>
      <c r="S87" s="10">
        <v>0</v>
      </c>
      <c r="T87" s="10">
        <v>0</v>
      </c>
      <c r="U87" s="10">
        <v>0</v>
      </c>
      <c r="V87" s="11">
        <v>0</v>
      </c>
      <c r="W87" s="12" t="s">
        <v>47</v>
      </c>
      <c r="X87" s="17"/>
      <c r="Y87" s="13">
        <v>9</v>
      </c>
      <c r="Z87" s="13">
        <v>11</v>
      </c>
      <c r="AA87" s="13">
        <v>13</v>
      </c>
      <c r="AB87" s="14">
        <v>8</v>
      </c>
      <c r="AC87" s="9" t="s">
        <v>47</v>
      </c>
      <c r="AD87" s="16"/>
      <c r="AE87" s="10">
        <v>76</v>
      </c>
      <c r="AF87" s="10">
        <v>46</v>
      </c>
      <c r="AG87" s="10">
        <v>43</v>
      </c>
      <c r="AH87" s="11">
        <v>30</v>
      </c>
      <c r="AI87" s="12" t="s">
        <v>47</v>
      </c>
      <c r="AJ87" s="17"/>
      <c r="AK87" s="13">
        <v>122</v>
      </c>
      <c r="AL87" s="13">
        <v>96</v>
      </c>
      <c r="AM87" s="13">
        <v>93</v>
      </c>
      <c r="AN87" s="14">
        <v>38</v>
      </c>
      <c r="AO87" s="9" t="s">
        <v>46</v>
      </c>
      <c r="AP87" s="16"/>
      <c r="AQ87" s="10">
        <v>12</v>
      </c>
      <c r="AR87" s="10">
        <v>52</v>
      </c>
      <c r="AS87" s="10">
        <v>25</v>
      </c>
      <c r="AT87" s="11">
        <v>31</v>
      </c>
      <c r="AU87" s="12"/>
      <c r="AV87" s="17"/>
      <c r="AW87" s="13"/>
      <c r="AX87" s="13"/>
      <c r="AY87" s="13"/>
      <c r="AZ87" s="14"/>
      <c r="BA87" s="9"/>
      <c r="BB87" s="16"/>
      <c r="BC87" s="10"/>
      <c r="BD87" s="10"/>
      <c r="BE87" s="10"/>
      <c r="BF87" s="11"/>
      <c r="BG87" s="12"/>
      <c r="BH87" s="17"/>
      <c r="BI87" s="13"/>
      <c r="BJ87" s="13"/>
      <c r="BK87" s="13"/>
      <c r="BL87" s="14"/>
      <c r="BM87" s="8">
        <f t="shared" si="18"/>
        <v>219</v>
      </c>
      <c r="BN87" s="8">
        <f t="shared" si="19"/>
        <v>205</v>
      </c>
      <c r="BO87" s="8">
        <f t="shared" si="20"/>
        <v>174</v>
      </c>
      <c r="BP87" s="8">
        <f t="shared" si="21"/>
        <v>107</v>
      </c>
      <c r="BQ87" s="8">
        <f t="shared" si="22"/>
        <v>219</v>
      </c>
      <c r="BR87" s="8">
        <f t="shared" si="23"/>
        <v>174</v>
      </c>
      <c r="BS87" s="15">
        <f t="shared" si="24"/>
        <v>16.727973494419459</v>
      </c>
      <c r="BT87" s="15" t="str">
        <f t="shared" si="25"/>
        <v>OK - No Upgrade</v>
      </c>
      <c r="BU87" s="15" t="str">
        <f t="shared" si="26"/>
        <v>OK - Balanced</v>
      </c>
    </row>
    <row r="88" spans="1:73" ht="15.75" customHeight="1" x14ac:dyDescent="0.25">
      <c r="A88" s="8" t="s">
        <v>3005</v>
      </c>
      <c r="B88" s="8" t="s">
        <v>3390</v>
      </c>
      <c r="C88" s="8" t="s">
        <v>265</v>
      </c>
      <c r="D88" s="8" t="s">
        <v>3626</v>
      </c>
      <c r="E88" s="8" t="s">
        <v>3627</v>
      </c>
      <c r="F88" s="8" t="s">
        <v>43</v>
      </c>
      <c r="G88" s="8" t="s">
        <v>44</v>
      </c>
      <c r="H88" s="8">
        <v>315</v>
      </c>
      <c r="I88" s="8" t="s">
        <v>3628</v>
      </c>
      <c r="J88" s="8">
        <v>1</v>
      </c>
      <c r="K88" s="8">
        <v>255</v>
      </c>
      <c r="L88" s="8">
        <v>256</v>
      </c>
      <c r="M88" s="8">
        <v>253</v>
      </c>
      <c r="N88" s="8">
        <v>445</v>
      </c>
      <c r="O88" s="8">
        <v>441</v>
      </c>
      <c r="P88" s="8">
        <v>444</v>
      </c>
      <c r="Q88" s="9" t="s">
        <v>46</v>
      </c>
      <c r="R88" s="16"/>
      <c r="S88" s="10">
        <v>50</v>
      </c>
      <c r="T88" s="10">
        <v>53</v>
      </c>
      <c r="U88" s="10">
        <v>104</v>
      </c>
      <c r="V88" s="11">
        <v>50</v>
      </c>
      <c r="W88" s="12" t="s">
        <v>46</v>
      </c>
      <c r="X88" s="17"/>
      <c r="Y88" s="13">
        <v>48</v>
      </c>
      <c r="Z88" s="13">
        <v>52</v>
      </c>
      <c r="AA88" s="13">
        <v>86</v>
      </c>
      <c r="AB88" s="14">
        <v>39</v>
      </c>
      <c r="AC88" s="9"/>
      <c r="AD88" s="16"/>
      <c r="AE88" s="10"/>
      <c r="AF88" s="10"/>
      <c r="AG88" s="10"/>
      <c r="AH88" s="11"/>
      <c r="AI88" s="12"/>
      <c r="AJ88" s="17"/>
      <c r="AK88" s="13"/>
      <c r="AL88" s="13"/>
      <c r="AM88" s="13"/>
      <c r="AN88" s="14"/>
      <c r="AO88" s="9"/>
      <c r="AP88" s="16"/>
      <c r="AQ88" s="10"/>
      <c r="AR88" s="10"/>
      <c r="AS88" s="10"/>
      <c r="AT88" s="11"/>
      <c r="AU88" s="12"/>
      <c r="AV88" s="17"/>
      <c r="AW88" s="13"/>
      <c r="AX88" s="13"/>
      <c r="AY88" s="13"/>
      <c r="AZ88" s="14"/>
      <c r="BA88" s="9"/>
      <c r="BB88" s="16"/>
      <c r="BC88" s="10"/>
      <c r="BD88" s="10"/>
      <c r="BE88" s="10"/>
      <c r="BF88" s="11"/>
      <c r="BG88" s="12"/>
      <c r="BH88" s="17"/>
      <c r="BI88" s="13"/>
      <c r="BJ88" s="13"/>
      <c r="BK88" s="13"/>
      <c r="BL88" s="14"/>
      <c r="BM88" s="8">
        <f t="shared" si="18"/>
        <v>98</v>
      </c>
      <c r="BN88" s="8">
        <f t="shared" si="19"/>
        <v>105</v>
      </c>
      <c r="BO88" s="8">
        <f t="shared" si="20"/>
        <v>190</v>
      </c>
      <c r="BP88" s="8">
        <f t="shared" si="21"/>
        <v>89</v>
      </c>
      <c r="BQ88" s="8">
        <f t="shared" si="22"/>
        <v>190</v>
      </c>
      <c r="BR88" s="8">
        <f t="shared" si="23"/>
        <v>98</v>
      </c>
      <c r="BS88" s="15">
        <f t="shared" si="24"/>
        <v>46.49044310474558</v>
      </c>
      <c r="BT88" s="15" t="str">
        <f t="shared" si="25"/>
        <v>OK - No Upgrade</v>
      </c>
      <c r="BU88" s="15" t="str">
        <f t="shared" si="26"/>
        <v>Need to Balance</v>
      </c>
    </row>
    <row r="89" spans="1:73" ht="15.75" customHeight="1" x14ac:dyDescent="0.25">
      <c r="A89" s="8" t="s">
        <v>3005</v>
      </c>
      <c r="B89" s="8" t="s">
        <v>3390</v>
      </c>
      <c r="C89" s="8" t="s">
        <v>265</v>
      </c>
      <c r="D89" s="8" t="s">
        <v>3629</v>
      </c>
      <c r="E89" s="8" t="s">
        <v>3630</v>
      </c>
      <c r="F89" s="8" t="s">
        <v>43</v>
      </c>
      <c r="G89" s="8" t="s">
        <v>44</v>
      </c>
      <c r="H89" s="8">
        <v>315</v>
      </c>
      <c r="I89" s="8" t="s">
        <v>3631</v>
      </c>
      <c r="J89" s="8">
        <v>1</v>
      </c>
      <c r="K89" s="8">
        <v>244</v>
      </c>
      <c r="L89" s="8">
        <v>244</v>
      </c>
      <c r="M89" s="8">
        <v>243</v>
      </c>
      <c r="N89" s="8">
        <v>424</v>
      </c>
      <c r="O89" s="8">
        <v>423</v>
      </c>
      <c r="P89" s="8">
        <v>423</v>
      </c>
      <c r="Q89" s="9" t="s">
        <v>47</v>
      </c>
      <c r="R89" s="16"/>
      <c r="S89" s="10">
        <v>61</v>
      </c>
      <c r="T89" s="10">
        <v>22</v>
      </c>
      <c r="U89" s="10">
        <v>38</v>
      </c>
      <c r="V89" s="11">
        <v>34</v>
      </c>
      <c r="W89" s="12" t="s">
        <v>47</v>
      </c>
      <c r="X89" s="17"/>
      <c r="Y89" s="13">
        <v>32</v>
      </c>
      <c r="Z89" s="13">
        <v>36</v>
      </c>
      <c r="AA89" s="13">
        <v>60</v>
      </c>
      <c r="AB89" s="14">
        <v>30</v>
      </c>
      <c r="AC89" s="9"/>
      <c r="AD89" s="16"/>
      <c r="AE89" s="10"/>
      <c r="AF89" s="10"/>
      <c r="AG89" s="10"/>
      <c r="AH89" s="11"/>
      <c r="AI89" s="12"/>
      <c r="AJ89" s="17"/>
      <c r="AK89" s="13"/>
      <c r="AL89" s="13"/>
      <c r="AM89" s="13"/>
      <c r="AN89" s="14"/>
      <c r="AO89" s="9"/>
      <c r="AP89" s="16"/>
      <c r="AQ89" s="10"/>
      <c r="AR89" s="10"/>
      <c r="AS89" s="10"/>
      <c r="AT89" s="11"/>
      <c r="AU89" s="12"/>
      <c r="AV89" s="17"/>
      <c r="AW89" s="13"/>
      <c r="AX89" s="13"/>
      <c r="AY89" s="13"/>
      <c r="AZ89" s="14"/>
      <c r="BA89" s="9"/>
      <c r="BB89" s="16"/>
      <c r="BC89" s="10"/>
      <c r="BD89" s="10"/>
      <c r="BE89" s="10"/>
      <c r="BF89" s="11"/>
      <c r="BG89" s="12"/>
      <c r="BH89" s="17"/>
      <c r="BI89" s="13"/>
      <c r="BJ89" s="13"/>
      <c r="BK89" s="13"/>
      <c r="BL89" s="14"/>
      <c r="BM89" s="8">
        <f t="shared" si="18"/>
        <v>93</v>
      </c>
      <c r="BN89" s="8">
        <f t="shared" si="19"/>
        <v>58</v>
      </c>
      <c r="BO89" s="8">
        <f t="shared" si="20"/>
        <v>98</v>
      </c>
      <c r="BP89" s="8">
        <f t="shared" si="21"/>
        <v>64</v>
      </c>
      <c r="BQ89" s="8">
        <f t="shared" si="22"/>
        <v>98</v>
      </c>
      <c r="BR89" s="8">
        <f t="shared" si="23"/>
        <v>58</v>
      </c>
      <c r="BS89" s="15">
        <f t="shared" si="24"/>
        <v>22.847674652730788</v>
      </c>
      <c r="BT89" s="15" t="str">
        <f t="shared" si="25"/>
        <v>OK - No Upgrade</v>
      </c>
      <c r="BU89" s="15" t="str">
        <f t="shared" si="26"/>
        <v>Need to Balance</v>
      </c>
    </row>
    <row r="90" spans="1:73" ht="15.75" customHeight="1" x14ac:dyDescent="0.25">
      <c r="A90" s="8" t="s">
        <v>3005</v>
      </c>
      <c r="B90" s="8" t="s">
        <v>3390</v>
      </c>
      <c r="C90" s="8" t="s">
        <v>265</v>
      </c>
      <c r="D90" s="8" t="s">
        <v>3632</v>
      </c>
      <c r="E90" s="8" t="s">
        <v>3633</v>
      </c>
      <c r="F90" s="8" t="s">
        <v>43</v>
      </c>
      <c r="G90" s="8" t="s">
        <v>44</v>
      </c>
      <c r="H90" s="8">
        <v>100</v>
      </c>
      <c r="I90" s="8" t="s">
        <v>3634</v>
      </c>
      <c r="J90" s="8">
        <v>1</v>
      </c>
      <c r="K90" s="8">
        <v>247</v>
      </c>
      <c r="L90" s="8">
        <v>249</v>
      </c>
      <c r="M90" s="8">
        <v>248</v>
      </c>
      <c r="N90" s="8">
        <v>431</v>
      </c>
      <c r="O90" s="8">
        <v>432</v>
      </c>
      <c r="P90" s="8">
        <v>430</v>
      </c>
      <c r="Q90" s="9" t="s">
        <v>46</v>
      </c>
      <c r="R90" s="16"/>
      <c r="S90" s="10">
        <v>55</v>
      </c>
      <c r="T90" s="10">
        <v>33</v>
      </c>
      <c r="U90" s="10">
        <v>42</v>
      </c>
      <c r="V90" s="11">
        <v>19</v>
      </c>
      <c r="W90" s="12"/>
      <c r="X90" s="17"/>
      <c r="Y90" s="13"/>
      <c r="Z90" s="13"/>
      <c r="AA90" s="13"/>
      <c r="AB90" s="14"/>
      <c r="AC90" s="9"/>
      <c r="AD90" s="16"/>
      <c r="AE90" s="10"/>
      <c r="AF90" s="10"/>
      <c r="AG90" s="10"/>
      <c r="AH90" s="11"/>
      <c r="AI90" s="12"/>
      <c r="AJ90" s="17"/>
      <c r="AK90" s="13"/>
      <c r="AL90" s="13"/>
      <c r="AM90" s="13"/>
      <c r="AN90" s="14"/>
      <c r="AO90" s="9"/>
      <c r="AP90" s="16"/>
      <c r="AQ90" s="10"/>
      <c r="AR90" s="10"/>
      <c r="AS90" s="10"/>
      <c r="AT90" s="11"/>
      <c r="AU90" s="12"/>
      <c r="AV90" s="17"/>
      <c r="AW90" s="13"/>
      <c r="AX90" s="13"/>
      <c r="AY90" s="13"/>
      <c r="AZ90" s="14"/>
      <c r="BA90" s="9"/>
      <c r="BB90" s="16"/>
      <c r="BC90" s="10"/>
      <c r="BD90" s="10"/>
      <c r="BE90" s="10"/>
      <c r="BF90" s="11"/>
      <c r="BG90" s="12"/>
      <c r="BH90" s="17"/>
      <c r="BI90" s="13"/>
      <c r="BJ90" s="13"/>
      <c r="BK90" s="13"/>
      <c r="BL90" s="14"/>
      <c r="BM90" s="8">
        <f t="shared" si="18"/>
        <v>55</v>
      </c>
      <c r="BN90" s="8">
        <f t="shared" si="19"/>
        <v>33</v>
      </c>
      <c r="BO90" s="8">
        <f t="shared" si="20"/>
        <v>42</v>
      </c>
      <c r="BP90" s="8">
        <f t="shared" si="21"/>
        <v>19</v>
      </c>
      <c r="BQ90" s="8">
        <f t="shared" si="22"/>
        <v>55</v>
      </c>
      <c r="BR90" s="8">
        <f t="shared" si="23"/>
        <v>33</v>
      </c>
      <c r="BS90" s="15">
        <f t="shared" si="24"/>
        <v>41.058264393420238</v>
      </c>
      <c r="BT90" s="15" t="str">
        <f t="shared" si="25"/>
        <v>OK - No Upgrade</v>
      </c>
      <c r="BU90" s="15" t="str">
        <f t="shared" si="26"/>
        <v>Need to Balance</v>
      </c>
    </row>
    <row r="91" spans="1:73" ht="15.75" customHeight="1" x14ac:dyDescent="0.25">
      <c r="A91" s="8" t="s">
        <v>3005</v>
      </c>
      <c r="B91" s="8" t="s">
        <v>3390</v>
      </c>
      <c r="C91" s="8" t="s">
        <v>265</v>
      </c>
      <c r="D91" s="8"/>
      <c r="E91" s="8" t="s">
        <v>3635</v>
      </c>
      <c r="F91" s="8" t="s">
        <v>43</v>
      </c>
      <c r="G91" s="8" t="s">
        <v>44</v>
      </c>
      <c r="H91" s="8">
        <v>100</v>
      </c>
      <c r="I91" s="8" t="s">
        <v>3636</v>
      </c>
      <c r="J91" s="8">
        <v>1</v>
      </c>
      <c r="K91" s="8">
        <v>251</v>
      </c>
      <c r="L91" s="8">
        <v>251</v>
      </c>
      <c r="M91" s="8">
        <v>250</v>
      </c>
      <c r="N91" s="8">
        <v>438</v>
      </c>
      <c r="O91" s="8">
        <v>435</v>
      </c>
      <c r="P91" s="8">
        <v>435</v>
      </c>
      <c r="Q91" s="9" t="s">
        <v>46</v>
      </c>
      <c r="R91" s="16"/>
      <c r="S91" s="10">
        <v>17</v>
      </c>
      <c r="T91" s="10">
        <v>18</v>
      </c>
      <c r="U91" s="10">
        <v>10</v>
      </c>
      <c r="V91" s="11">
        <v>14</v>
      </c>
      <c r="W91" s="12"/>
      <c r="X91" s="17"/>
      <c r="Y91" s="13"/>
      <c r="Z91" s="13"/>
      <c r="AA91" s="13"/>
      <c r="AB91" s="14"/>
      <c r="AC91" s="9"/>
      <c r="AD91" s="16"/>
      <c r="AE91" s="10"/>
      <c r="AF91" s="10"/>
      <c r="AG91" s="10"/>
      <c r="AH91" s="11"/>
      <c r="AI91" s="12"/>
      <c r="AJ91" s="17"/>
      <c r="AK91" s="13"/>
      <c r="AL91" s="13"/>
      <c r="AM91" s="13"/>
      <c r="AN91" s="14"/>
      <c r="AO91" s="9"/>
      <c r="AP91" s="16"/>
      <c r="AQ91" s="10"/>
      <c r="AR91" s="10"/>
      <c r="AS91" s="10"/>
      <c r="AT91" s="11"/>
      <c r="AU91" s="12"/>
      <c r="AV91" s="17"/>
      <c r="AW91" s="13"/>
      <c r="AX91" s="13"/>
      <c r="AY91" s="13"/>
      <c r="AZ91" s="14"/>
      <c r="BA91" s="9"/>
      <c r="BB91" s="16"/>
      <c r="BC91" s="10"/>
      <c r="BD91" s="10"/>
      <c r="BE91" s="10"/>
      <c r="BF91" s="11"/>
      <c r="BG91" s="12"/>
      <c r="BH91" s="17"/>
      <c r="BI91" s="13"/>
      <c r="BJ91" s="13"/>
      <c r="BK91" s="13"/>
      <c r="BL91" s="14"/>
      <c r="BM91" s="8">
        <f t="shared" si="18"/>
        <v>17</v>
      </c>
      <c r="BN91" s="8">
        <f t="shared" si="19"/>
        <v>18</v>
      </c>
      <c r="BO91" s="8">
        <f t="shared" si="20"/>
        <v>10</v>
      </c>
      <c r="BP91" s="8">
        <f t="shared" si="21"/>
        <v>14</v>
      </c>
      <c r="BQ91" s="8">
        <f t="shared" si="22"/>
        <v>18</v>
      </c>
      <c r="BR91" s="8">
        <f t="shared" si="23"/>
        <v>10</v>
      </c>
      <c r="BS91" s="15">
        <f t="shared" si="24"/>
        <v>13.655488566873029</v>
      </c>
      <c r="BT91" s="15" t="str">
        <f t="shared" si="25"/>
        <v>OK - No Upgrade</v>
      </c>
      <c r="BU91" s="15" t="str">
        <f t="shared" si="26"/>
        <v>Need to Balance</v>
      </c>
    </row>
    <row r="92" spans="1:73" ht="15.75" customHeight="1" x14ac:dyDescent="0.25">
      <c r="A92" s="8" t="s">
        <v>3005</v>
      </c>
      <c r="B92" s="8" t="s">
        <v>3390</v>
      </c>
      <c r="C92" s="8" t="s">
        <v>265</v>
      </c>
      <c r="D92" s="8" t="s">
        <v>3637</v>
      </c>
      <c r="E92" s="8" t="s">
        <v>3638</v>
      </c>
      <c r="F92" s="8" t="s">
        <v>43</v>
      </c>
      <c r="G92" s="8" t="s">
        <v>44</v>
      </c>
      <c r="H92" s="8">
        <v>315</v>
      </c>
      <c r="I92" s="8" t="s">
        <v>2870</v>
      </c>
      <c r="J92" s="8">
        <v>1</v>
      </c>
      <c r="K92" s="8">
        <v>247</v>
      </c>
      <c r="L92" s="8">
        <v>248</v>
      </c>
      <c r="M92" s="8">
        <v>246</v>
      </c>
      <c r="N92" s="8">
        <v>430</v>
      </c>
      <c r="O92" s="8">
        <v>428</v>
      </c>
      <c r="P92" s="8">
        <v>420</v>
      </c>
      <c r="Q92" s="9" t="s">
        <v>47</v>
      </c>
      <c r="R92" s="16"/>
      <c r="S92" s="10">
        <v>14</v>
      </c>
      <c r="T92" s="10">
        <v>13</v>
      </c>
      <c r="U92" s="10">
        <v>36</v>
      </c>
      <c r="V92" s="11">
        <v>21</v>
      </c>
      <c r="W92" s="12" t="s">
        <v>46</v>
      </c>
      <c r="X92" s="17"/>
      <c r="Y92" s="13">
        <v>254</v>
      </c>
      <c r="Z92" s="13">
        <v>232</v>
      </c>
      <c r="AA92" s="13">
        <v>270</v>
      </c>
      <c r="AB92" s="14">
        <v>48</v>
      </c>
      <c r="AC92" s="9"/>
      <c r="AD92" s="16"/>
      <c r="AE92" s="10"/>
      <c r="AF92" s="10"/>
      <c r="AG92" s="10"/>
      <c r="AH92" s="11"/>
      <c r="AI92" s="12"/>
      <c r="AJ92" s="17"/>
      <c r="AK92" s="13"/>
      <c r="AL92" s="13"/>
      <c r="AM92" s="13"/>
      <c r="AN92" s="14"/>
      <c r="AO92" s="9"/>
      <c r="AP92" s="16"/>
      <c r="AQ92" s="10"/>
      <c r="AR92" s="10"/>
      <c r="AS92" s="10"/>
      <c r="AT92" s="11"/>
      <c r="AU92" s="12"/>
      <c r="AV92" s="17"/>
      <c r="AW92" s="13"/>
      <c r="AX92" s="13"/>
      <c r="AY92" s="13"/>
      <c r="AZ92" s="14"/>
      <c r="BA92" s="9"/>
      <c r="BB92" s="16"/>
      <c r="BC92" s="10"/>
      <c r="BD92" s="10"/>
      <c r="BE92" s="10"/>
      <c r="BF92" s="11"/>
      <c r="BG92" s="12"/>
      <c r="BH92" s="17"/>
      <c r="BI92" s="13"/>
      <c r="BJ92" s="13"/>
      <c r="BK92" s="13"/>
      <c r="BL92" s="14"/>
      <c r="BM92" s="8">
        <f t="shared" si="18"/>
        <v>268</v>
      </c>
      <c r="BN92" s="8">
        <f t="shared" si="19"/>
        <v>245</v>
      </c>
      <c r="BO92" s="8">
        <f t="shared" si="20"/>
        <v>306</v>
      </c>
      <c r="BP92" s="8">
        <f t="shared" si="21"/>
        <v>69</v>
      </c>
      <c r="BQ92" s="8">
        <f t="shared" si="22"/>
        <v>306</v>
      </c>
      <c r="BR92" s="8">
        <f t="shared" si="23"/>
        <v>245</v>
      </c>
      <c r="BS92" s="15">
        <f t="shared" si="24"/>
        <v>72.350236590448532</v>
      </c>
      <c r="BT92" s="15" t="str">
        <f t="shared" si="25"/>
        <v>Upgrade</v>
      </c>
      <c r="BU92" s="15" t="str">
        <f t="shared" si="26"/>
        <v>Need to Balance</v>
      </c>
    </row>
    <row r="93" spans="1:73" ht="15.75" customHeight="1" x14ac:dyDescent="0.25">
      <c r="A93" s="8" t="s">
        <v>3005</v>
      </c>
      <c r="B93" s="8" t="s">
        <v>3390</v>
      </c>
      <c r="C93" s="8" t="s">
        <v>265</v>
      </c>
      <c r="D93" s="8" t="s">
        <v>3639</v>
      </c>
      <c r="E93" s="8" t="s">
        <v>3640</v>
      </c>
      <c r="F93" s="8" t="s">
        <v>43</v>
      </c>
      <c r="G93" s="8" t="s">
        <v>44</v>
      </c>
      <c r="H93" s="8">
        <v>100</v>
      </c>
      <c r="I93" s="8" t="s">
        <v>3641</v>
      </c>
      <c r="J93" s="8">
        <v>1</v>
      </c>
      <c r="K93" s="8">
        <v>245</v>
      </c>
      <c r="L93" s="8">
        <v>241</v>
      </c>
      <c r="M93" s="8">
        <v>244</v>
      </c>
      <c r="N93" s="8">
        <v>427</v>
      </c>
      <c r="O93" s="8">
        <v>425</v>
      </c>
      <c r="P93" s="8">
        <v>421</v>
      </c>
      <c r="Q93" s="9" t="s">
        <v>46</v>
      </c>
      <c r="R93" s="16"/>
      <c r="S93" s="10">
        <v>44</v>
      </c>
      <c r="T93" s="10">
        <v>102</v>
      </c>
      <c r="U93" s="10">
        <v>60</v>
      </c>
      <c r="V93" s="11">
        <v>50</v>
      </c>
      <c r="W93" s="12"/>
      <c r="X93" s="17"/>
      <c r="Y93" s="13"/>
      <c r="Z93" s="13"/>
      <c r="AA93" s="13"/>
      <c r="AB93" s="14"/>
      <c r="AC93" s="9"/>
      <c r="AD93" s="16"/>
      <c r="AE93" s="10"/>
      <c r="AF93" s="10"/>
      <c r="AG93" s="10"/>
      <c r="AH93" s="11"/>
      <c r="AI93" s="12"/>
      <c r="AJ93" s="17"/>
      <c r="AK93" s="13"/>
      <c r="AL93" s="13"/>
      <c r="AM93" s="13"/>
      <c r="AN93" s="14"/>
      <c r="AO93" s="9"/>
      <c r="AP93" s="16"/>
      <c r="AQ93" s="10"/>
      <c r="AR93" s="10"/>
      <c r="AS93" s="10"/>
      <c r="AT93" s="11"/>
      <c r="AU93" s="12"/>
      <c r="AV93" s="17"/>
      <c r="AW93" s="13"/>
      <c r="AX93" s="13"/>
      <c r="AY93" s="13"/>
      <c r="AZ93" s="14"/>
      <c r="BA93" s="9"/>
      <c r="BB93" s="16"/>
      <c r="BC93" s="10"/>
      <c r="BD93" s="10"/>
      <c r="BE93" s="10"/>
      <c r="BF93" s="11"/>
      <c r="BG93" s="12"/>
      <c r="BH93" s="17"/>
      <c r="BI93" s="13"/>
      <c r="BJ93" s="13"/>
      <c r="BK93" s="13"/>
      <c r="BL93" s="14"/>
      <c r="BM93" s="8">
        <f t="shared" si="18"/>
        <v>44</v>
      </c>
      <c r="BN93" s="8">
        <f t="shared" si="19"/>
        <v>102</v>
      </c>
      <c r="BO93" s="8">
        <f t="shared" si="20"/>
        <v>60</v>
      </c>
      <c r="BP93" s="8">
        <f t="shared" si="21"/>
        <v>50</v>
      </c>
      <c r="BQ93" s="8">
        <f t="shared" si="22"/>
        <v>102</v>
      </c>
      <c r="BR93" s="8">
        <f t="shared" si="23"/>
        <v>44</v>
      </c>
      <c r="BS93" s="15">
        <f t="shared" si="24"/>
        <v>75.437740872854874</v>
      </c>
      <c r="BT93" s="15" t="str">
        <f t="shared" si="25"/>
        <v>Upgrade</v>
      </c>
      <c r="BU93" s="15" t="str">
        <f t="shared" si="26"/>
        <v>Need to Balance</v>
      </c>
    </row>
    <row r="94" spans="1:73" ht="15.75" customHeight="1" x14ac:dyDescent="0.25">
      <c r="A94" s="8" t="s">
        <v>3005</v>
      </c>
      <c r="B94" s="8" t="s">
        <v>3390</v>
      </c>
      <c r="C94" s="8" t="s">
        <v>265</v>
      </c>
      <c r="D94" s="8" t="s">
        <v>3642</v>
      </c>
      <c r="E94" s="8" t="s">
        <v>3643</v>
      </c>
      <c r="F94" s="8" t="s">
        <v>43</v>
      </c>
      <c r="G94" s="8" t="s">
        <v>44</v>
      </c>
      <c r="H94" s="8">
        <v>100</v>
      </c>
      <c r="I94" s="8" t="s">
        <v>3644</v>
      </c>
      <c r="J94" s="8">
        <v>1</v>
      </c>
      <c r="K94" s="8">
        <v>249</v>
      </c>
      <c r="L94" s="8">
        <v>249</v>
      </c>
      <c r="M94" s="8">
        <v>249</v>
      </c>
      <c r="N94" s="8">
        <v>433</v>
      </c>
      <c r="O94" s="8">
        <v>434</v>
      </c>
      <c r="P94" s="8">
        <v>433</v>
      </c>
      <c r="Q94" s="9" t="s">
        <v>46</v>
      </c>
      <c r="R94" s="16"/>
      <c r="S94" s="10">
        <v>15</v>
      </c>
      <c r="T94" s="10">
        <v>12</v>
      </c>
      <c r="U94" s="10">
        <v>14</v>
      </c>
      <c r="V94" s="11">
        <v>18</v>
      </c>
      <c r="W94" s="12"/>
      <c r="X94" s="17"/>
      <c r="Y94" s="13"/>
      <c r="Z94" s="13"/>
      <c r="AA94" s="13"/>
      <c r="AB94" s="14"/>
      <c r="AC94" s="9"/>
      <c r="AD94" s="16"/>
      <c r="AE94" s="10"/>
      <c r="AF94" s="10"/>
      <c r="AG94" s="10"/>
      <c r="AH94" s="11"/>
      <c r="AI94" s="12"/>
      <c r="AJ94" s="17"/>
      <c r="AK94" s="13"/>
      <c r="AL94" s="13"/>
      <c r="AM94" s="13"/>
      <c r="AN94" s="14"/>
      <c r="AO94" s="9"/>
      <c r="AP94" s="16"/>
      <c r="AQ94" s="10"/>
      <c r="AR94" s="10"/>
      <c r="AS94" s="10"/>
      <c r="AT94" s="11"/>
      <c r="AU94" s="12"/>
      <c r="AV94" s="17"/>
      <c r="AW94" s="13"/>
      <c r="AX94" s="13"/>
      <c r="AY94" s="13"/>
      <c r="AZ94" s="14"/>
      <c r="BA94" s="9"/>
      <c r="BB94" s="16"/>
      <c r="BC94" s="10"/>
      <c r="BD94" s="10"/>
      <c r="BE94" s="10"/>
      <c r="BF94" s="11"/>
      <c r="BG94" s="12"/>
      <c r="BH94" s="17"/>
      <c r="BI94" s="13"/>
      <c r="BJ94" s="13"/>
      <c r="BK94" s="13"/>
      <c r="BL94" s="14"/>
      <c r="BM94" s="8">
        <f t="shared" si="18"/>
        <v>15</v>
      </c>
      <c r="BN94" s="8">
        <f t="shared" si="19"/>
        <v>12</v>
      </c>
      <c r="BO94" s="8">
        <f t="shared" si="20"/>
        <v>14</v>
      </c>
      <c r="BP94" s="8">
        <f t="shared" si="21"/>
        <v>18</v>
      </c>
      <c r="BQ94" s="8">
        <f t="shared" si="22"/>
        <v>15</v>
      </c>
      <c r="BR94" s="8">
        <f t="shared" si="23"/>
        <v>12</v>
      </c>
      <c r="BS94" s="15">
        <f t="shared" si="24"/>
        <v>11.249669995159858</v>
      </c>
      <c r="BT94" s="15" t="str">
        <f t="shared" si="25"/>
        <v>OK - No Upgrade</v>
      </c>
      <c r="BU94" s="15" t="str">
        <f t="shared" si="26"/>
        <v>OK - Balanced</v>
      </c>
    </row>
    <row r="95" spans="1:73" ht="15.75" customHeight="1" x14ac:dyDescent="0.25">
      <c r="A95" s="8" t="s">
        <v>3005</v>
      </c>
      <c r="B95" s="8" t="s">
        <v>3390</v>
      </c>
      <c r="C95" s="8" t="s">
        <v>265</v>
      </c>
      <c r="D95" s="8" t="s">
        <v>3645</v>
      </c>
      <c r="E95" s="8" t="s">
        <v>3646</v>
      </c>
      <c r="F95" s="8" t="s">
        <v>43</v>
      </c>
      <c r="G95" s="8" t="s">
        <v>44</v>
      </c>
      <c r="H95" s="8">
        <v>100</v>
      </c>
      <c r="I95" s="8" t="s">
        <v>3647</v>
      </c>
      <c r="J95" s="8">
        <v>1</v>
      </c>
      <c r="K95" s="8">
        <v>249</v>
      </c>
      <c r="L95" s="8">
        <v>249</v>
      </c>
      <c r="M95" s="8">
        <v>249</v>
      </c>
      <c r="N95" s="8">
        <v>433</v>
      </c>
      <c r="O95" s="8">
        <v>432</v>
      </c>
      <c r="P95" s="8">
        <v>434</v>
      </c>
      <c r="Q95" s="9" t="s">
        <v>46</v>
      </c>
      <c r="R95" s="16"/>
      <c r="S95" s="10">
        <v>15</v>
      </c>
      <c r="T95" s="10">
        <v>12</v>
      </c>
      <c r="U95" s="10">
        <v>14</v>
      </c>
      <c r="V95" s="11">
        <v>15</v>
      </c>
      <c r="W95" s="12"/>
      <c r="X95" s="17"/>
      <c r="Y95" s="13"/>
      <c r="Z95" s="13"/>
      <c r="AA95" s="13"/>
      <c r="AB95" s="14"/>
      <c r="AC95" s="9"/>
      <c r="AD95" s="16"/>
      <c r="AE95" s="10"/>
      <c r="AF95" s="10"/>
      <c r="AG95" s="10"/>
      <c r="AH95" s="11"/>
      <c r="AI95" s="12"/>
      <c r="AJ95" s="17"/>
      <c r="AK95" s="13"/>
      <c r="AL95" s="13"/>
      <c r="AM95" s="13"/>
      <c r="AN95" s="14"/>
      <c r="AO95" s="9"/>
      <c r="AP95" s="16"/>
      <c r="AQ95" s="10"/>
      <c r="AR95" s="10"/>
      <c r="AS95" s="10"/>
      <c r="AT95" s="11"/>
      <c r="AU95" s="12"/>
      <c r="AV95" s="17"/>
      <c r="AW95" s="13"/>
      <c r="AX95" s="13"/>
      <c r="AY95" s="13"/>
      <c r="AZ95" s="14"/>
      <c r="BA95" s="9"/>
      <c r="BB95" s="16"/>
      <c r="BC95" s="10"/>
      <c r="BD95" s="10"/>
      <c r="BE95" s="10"/>
      <c r="BF95" s="11"/>
      <c r="BG95" s="12"/>
      <c r="BH95" s="17"/>
      <c r="BI95" s="13"/>
      <c r="BJ95" s="13"/>
      <c r="BK95" s="13"/>
      <c r="BL95" s="14"/>
      <c r="BM95" s="8">
        <f t="shared" si="18"/>
        <v>15</v>
      </c>
      <c r="BN95" s="8">
        <f t="shared" si="19"/>
        <v>12</v>
      </c>
      <c r="BO95" s="8">
        <f t="shared" si="20"/>
        <v>14</v>
      </c>
      <c r="BP95" s="8">
        <f t="shared" si="21"/>
        <v>15</v>
      </c>
      <c r="BQ95" s="8">
        <f t="shared" si="22"/>
        <v>15</v>
      </c>
      <c r="BR95" s="8">
        <f t="shared" si="23"/>
        <v>12</v>
      </c>
      <c r="BS95" s="15">
        <f t="shared" si="24"/>
        <v>11.249669995159858</v>
      </c>
      <c r="BT95" s="15" t="str">
        <f t="shared" si="25"/>
        <v>OK - No Upgrade</v>
      </c>
      <c r="BU95" s="15" t="str">
        <f t="shared" si="26"/>
        <v>OK - Balanced</v>
      </c>
    </row>
    <row r="96" spans="1:73" ht="15.75" customHeight="1" x14ac:dyDescent="0.25">
      <c r="A96" s="8" t="s">
        <v>3005</v>
      </c>
      <c r="B96" s="8" t="s">
        <v>3390</v>
      </c>
      <c r="C96" s="8" t="s">
        <v>265</v>
      </c>
      <c r="D96" s="8" t="s">
        <v>3648</v>
      </c>
      <c r="E96" s="8" t="s">
        <v>3649</v>
      </c>
      <c r="F96" s="8" t="s">
        <v>43</v>
      </c>
      <c r="G96" s="8" t="s">
        <v>44</v>
      </c>
      <c r="H96" s="8">
        <v>315</v>
      </c>
      <c r="I96" s="8" t="s">
        <v>3650</v>
      </c>
      <c r="J96" s="8">
        <v>1</v>
      </c>
      <c r="K96" s="8">
        <v>249</v>
      </c>
      <c r="L96" s="8">
        <v>247</v>
      </c>
      <c r="M96" s="8">
        <v>250</v>
      </c>
      <c r="N96" s="8">
        <v>430</v>
      </c>
      <c r="O96" s="8">
        <v>433</v>
      </c>
      <c r="P96" s="8">
        <v>434</v>
      </c>
      <c r="Q96" s="9" t="s">
        <v>46</v>
      </c>
      <c r="R96" s="16"/>
      <c r="S96" s="10">
        <v>78</v>
      </c>
      <c r="T96" s="10">
        <v>139</v>
      </c>
      <c r="U96" s="10">
        <v>47</v>
      </c>
      <c r="V96" s="11">
        <v>79</v>
      </c>
      <c r="W96" s="12"/>
      <c r="X96" s="17"/>
      <c r="Y96" s="13"/>
      <c r="Z96" s="13"/>
      <c r="AA96" s="13"/>
      <c r="AB96" s="14"/>
      <c r="AC96" s="9"/>
      <c r="AD96" s="16"/>
      <c r="AE96" s="10"/>
      <c r="AF96" s="10"/>
      <c r="AG96" s="10"/>
      <c r="AH96" s="11"/>
      <c r="AI96" s="12"/>
      <c r="AJ96" s="17"/>
      <c r="AK96" s="13"/>
      <c r="AL96" s="13"/>
      <c r="AM96" s="13"/>
      <c r="AN96" s="14"/>
      <c r="AO96" s="9"/>
      <c r="AP96" s="16"/>
      <c r="AQ96" s="10"/>
      <c r="AR96" s="10"/>
      <c r="AS96" s="10"/>
      <c r="AT96" s="11"/>
      <c r="AU96" s="12"/>
      <c r="AV96" s="17"/>
      <c r="AW96" s="13"/>
      <c r="AX96" s="13"/>
      <c r="AY96" s="13"/>
      <c r="AZ96" s="14"/>
      <c r="BA96" s="9"/>
      <c r="BB96" s="16"/>
      <c r="BC96" s="10"/>
      <c r="BD96" s="10"/>
      <c r="BE96" s="10"/>
      <c r="BF96" s="11"/>
      <c r="BG96" s="12"/>
      <c r="BH96" s="17"/>
      <c r="BI96" s="13"/>
      <c r="BJ96" s="13"/>
      <c r="BK96" s="13"/>
      <c r="BL96" s="14"/>
      <c r="BM96" s="8">
        <f t="shared" si="18"/>
        <v>78</v>
      </c>
      <c r="BN96" s="8">
        <f t="shared" si="19"/>
        <v>139</v>
      </c>
      <c r="BO96" s="8">
        <f t="shared" si="20"/>
        <v>47</v>
      </c>
      <c r="BP96" s="8">
        <f t="shared" si="21"/>
        <v>79</v>
      </c>
      <c r="BQ96" s="8">
        <f t="shared" si="22"/>
        <v>139</v>
      </c>
      <c r="BR96" s="8">
        <f t="shared" si="23"/>
        <v>47</v>
      </c>
      <c r="BS96" s="15">
        <f t="shared" si="24"/>
        <v>32.864976751870415</v>
      </c>
      <c r="BT96" s="15" t="str">
        <f t="shared" si="25"/>
        <v>OK - No Upgrade</v>
      </c>
      <c r="BU96" s="15" t="str">
        <f t="shared" si="26"/>
        <v>Need to Balance</v>
      </c>
    </row>
    <row r="97" spans="1:73" ht="15.75" customHeight="1" x14ac:dyDescent="0.25">
      <c r="A97" s="8" t="s">
        <v>3005</v>
      </c>
      <c r="B97" s="8" t="s">
        <v>3390</v>
      </c>
      <c r="C97" s="8" t="s">
        <v>265</v>
      </c>
      <c r="D97" s="8" t="s">
        <v>3651</v>
      </c>
      <c r="E97" s="8" t="s">
        <v>2668</v>
      </c>
      <c r="F97" s="8" t="s">
        <v>56</v>
      </c>
      <c r="G97" s="8" t="s">
        <v>44</v>
      </c>
      <c r="H97" s="8">
        <v>1000</v>
      </c>
      <c r="I97" s="8" t="s">
        <v>3652</v>
      </c>
      <c r="J97" s="8">
        <v>1</v>
      </c>
      <c r="K97" s="8">
        <v>249</v>
      </c>
      <c r="L97" s="8">
        <v>249</v>
      </c>
      <c r="M97" s="8">
        <v>251</v>
      </c>
      <c r="N97" s="8">
        <v>432</v>
      </c>
      <c r="O97" s="8">
        <v>431</v>
      </c>
      <c r="P97" s="8">
        <v>435</v>
      </c>
      <c r="Q97" s="9" t="s">
        <v>47</v>
      </c>
      <c r="R97" s="16"/>
      <c r="S97" s="10">
        <v>147</v>
      </c>
      <c r="T97" s="10">
        <v>70</v>
      </c>
      <c r="U97" s="10">
        <v>62</v>
      </c>
      <c r="V97" s="11">
        <v>42</v>
      </c>
      <c r="W97" s="12" t="s">
        <v>47</v>
      </c>
      <c r="X97" s="17"/>
      <c r="Y97" s="13">
        <v>60</v>
      </c>
      <c r="Z97" s="13">
        <v>81</v>
      </c>
      <c r="AA97" s="13">
        <v>56</v>
      </c>
      <c r="AB97" s="14">
        <v>42</v>
      </c>
      <c r="AC97" s="9" t="s">
        <v>47</v>
      </c>
      <c r="AD97" s="16"/>
      <c r="AE97" s="10">
        <v>126</v>
      </c>
      <c r="AF97" s="10">
        <v>145</v>
      </c>
      <c r="AG97" s="10">
        <v>145</v>
      </c>
      <c r="AH97" s="11">
        <v>14</v>
      </c>
      <c r="AI97" s="12"/>
      <c r="AJ97" s="17"/>
      <c r="AK97" s="13"/>
      <c r="AL97" s="13"/>
      <c r="AM97" s="13"/>
      <c r="AN97" s="14"/>
      <c r="AO97" s="9"/>
      <c r="AP97" s="16"/>
      <c r="AQ97" s="10"/>
      <c r="AR97" s="10"/>
      <c r="AS97" s="10"/>
      <c r="AT97" s="11"/>
      <c r="AU97" s="12"/>
      <c r="AV97" s="17"/>
      <c r="AW97" s="13"/>
      <c r="AX97" s="13"/>
      <c r="AY97" s="13"/>
      <c r="AZ97" s="14"/>
      <c r="BA97" s="9"/>
      <c r="BB97" s="16"/>
      <c r="BC97" s="10"/>
      <c r="BD97" s="10"/>
      <c r="BE97" s="10"/>
      <c r="BF97" s="11"/>
      <c r="BG97" s="12"/>
      <c r="BH97" s="17"/>
      <c r="BI97" s="13"/>
      <c r="BJ97" s="13"/>
      <c r="BK97" s="13"/>
      <c r="BL97" s="14"/>
      <c r="BM97" s="8">
        <f t="shared" si="18"/>
        <v>333</v>
      </c>
      <c r="BN97" s="8">
        <f t="shared" si="19"/>
        <v>296</v>
      </c>
      <c r="BO97" s="8">
        <f t="shared" si="20"/>
        <v>263</v>
      </c>
      <c r="BP97" s="8">
        <f t="shared" si="21"/>
        <v>98</v>
      </c>
      <c r="BQ97" s="8">
        <f t="shared" si="22"/>
        <v>333</v>
      </c>
      <c r="BR97" s="8">
        <f t="shared" si="23"/>
        <v>263</v>
      </c>
      <c r="BS97" s="15">
        <f t="shared" si="24"/>
        <v>24.916590097362842</v>
      </c>
      <c r="BT97" s="15" t="str">
        <f t="shared" si="25"/>
        <v>OK - No Upgrade</v>
      </c>
      <c r="BU97" s="15" t="str">
        <f t="shared" si="26"/>
        <v>Need to Balance</v>
      </c>
    </row>
    <row r="98" spans="1:73" ht="15.75" customHeight="1" x14ac:dyDescent="0.25">
      <c r="A98" s="8" t="s">
        <v>3005</v>
      </c>
      <c r="B98" s="8" t="s">
        <v>3390</v>
      </c>
      <c r="C98" s="8" t="s">
        <v>265</v>
      </c>
      <c r="D98" s="8" t="s">
        <v>3653</v>
      </c>
      <c r="E98" s="8" t="s">
        <v>3654</v>
      </c>
      <c r="F98" s="8" t="s">
        <v>56</v>
      </c>
      <c r="G98" s="8" t="s">
        <v>44</v>
      </c>
      <c r="H98" s="8">
        <v>500</v>
      </c>
      <c r="I98" s="8" t="s">
        <v>3655</v>
      </c>
      <c r="J98" s="8">
        <v>1</v>
      </c>
      <c r="K98" s="8">
        <v>242</v>
      </c>
      <c r="L98" s="8">
        <v>243</v>
      </c>
      <c r="M98" s="8">
        <v>241</v>
      </c>
      <c r="N98" s="8">
        <v>438</v>
      </c>
      <c r="O98" s="8">
        <v>436</v>
      </c>
      <c r="P98" s="8">
        <v>438</v>
      </c>
      <c r="Q98" s="9"/>
      <c r="R98" s="16"/>
      <c r="S98" s="10"/>
      <c r="T98" s="10"/>
      <c r="U98" s="10"/>
      <c r="V98" s="11"/>
      <c r="W98" s="12"/>
      <c r="X98" s="17"/>
      <c r="Y98" s="13"/>
      <c r="Z98" s="13"/>
      <c r="AA98" s="13"/>
      <c r="AB98" s="14"/>
      <c r="AC98" s="9"/>
      <c r="AD98" s="16"/>
      <c r="AE98" s="10"/>
      <c r="AF98" s="10"/>
      <c r="AG98" s="10"/>
      <c r="AH98" s="11"/>
      <c r="AI98" s="12" t="s">
        <v>47</v>
      </c>
      <c r="AJ98" s="17"/>
      <c r="AK98" s="13">
        <v>24</v>
      </c>
      <c r="AL98" s="13">
        <v>39</v>
      </c>
      <c r="AM98" s="13">
        <v>35</v>
      </c>
      <c r="AN98" s="14">
        <v>9</v>
      </c>
      <c r="AO98" s="9" t="s">
        <v>47</v>
      </c>
      <c r="AP98" s="16"/>
      <c r="AQ98" s="10">
        <v>15</v>
      </c>
      <c r="AR98" s="10">
        <v>12</v>
      </c>
      <c r="AS98" s="10">
        <v>14</v>
      </c>
      <c r="AT98" s="11">
        <v>18</v>
      </c>
      <c r="AU98" s="12" t="s">
        <v>47</v>
      </c>
      <c r="AV98" s="17"/>
      <c r="AW98" s="13">
        <v>12</v>
      </c>
      <c r="AX98" s="13">
        <v>13</v>
      </c>
      <c r="AY98" s="13">
        <v>14</v>
      </c>
      <c r="AZ98" s="14">
        <v>18</v>
      </c>
      <c r="BA98" s="9"/>
      <c r="BB98" s="16"/>
      <c r="BC98" s="10"/>
      <c r="BD98" s="10"/>
      <c r="BE98" s="10"/>
      <c r="BF98" s="11"/>
      <c r="BG98" s="12"/>
      <c r="BH98" s="17"/>
      <c r="BI98" s="13"/>
      <c r="BJ98" s="13"/>
      <c r="BK98" s="13"/>
      <c r="BL98" s="14"/>
      <c r="BM98" s="8">
        <f t="shared" si="18"/>
        <v>51</v>
      </c>
      <c r="BN98" s="8">
        <f t="shared" si="19"/>
        <v>64</v>
      </c>
      <c r="BO98" s="8">
        <f t="shared" si="20"/>
        <v>63</v>
      </c>
      <c r="BP98" s="8">
        <f t="shared" si="21"/>
        <v>45</v>
      </c>
      <c r="BQ98" s="8">
        <f t="shared" si="22"/>
        <v>64</v>
      </c>
      <c r="BR98" s="8">
        <f t="shared" si="23"/>
        <v>51</v>
      </c>
      <c r="BS98" s="15">
        <f t="shared" si="24"/>
        <v>9.7105696475541521</v>
      </c>
      <c r="BT98" s="15" t="str">
        <f t="shared" si="25"/>
        <v>OK - No Upgrade</v>
      </c>
      <c r="BU98" s="15" t="str">
        <f t="shared" si="26"/>
        <v>OK - Balanced</v>
      </c>
    </row>
    <row r="99" spans="1:73" ht="15.75" customHeight="1" x14ac:dyDescent="0.25">
      <c r="A99" s="8" t="s">
        <v>3005</v>
      </c>
      <c r="B99" s="8" t="s">
        <v>3390</v>
      </c>
      <c r="C99" s="8" t="s">
        <v>265</v>
      </c>
      <c r="D99" s="8" t="s">
        <v>3656</v>
      </c>
      <c r="E99" s="8" t="s">
        <v>3657</v>
      </c>
      <c r="F99" s="8" t="s">
        <v>43</v>
      </c>
      <c r="G99" s="8" t="s">
        <v>469</v>
      </c>
      <c r="H99" s="8">
        <v>200</v>
      </c>
      <c r="I99" s="8" t="s">
        <v>3658</v>
      </c>
      <c r="J99" s="8">
        <v>1</v>
      </c>
      <c r="K99" s="8">
        <v>252</v>
      </c>
      <c r="L99" s="8">
        <v>252</v>
      </c>
      <c r="M99" s="8">
        <v>253</v>
      </c>
      <c r="N99" s="8">
        <v>436</v>
      </c>
      <c r="O99" s="8">
        <v>440</v>
      </c>
      <c r="P99" s="8">
        <v>439</v>
      </c>
      <c r="Q99" s="9" t="s">
        <v>46</v>
      </c>
      <c r="R99" s="16"/>
      <c r="S99" s="10">
        <v>13</v>
      </c>
      <c r="T99" s="10">
        <v>13</v>
      </c>
      <c r="U99" s="10">
        <v>15</v>
      </c>
      <c r="V99" s="11">
        <v>12</v>
      </c>
      <c r="W99" s="12" t="s">
        <v>46</v>
      </c>
      <c r="X99" s="17"/>
      <c r="Y99" s="13">
        <v>12</v>
      </c>
      <c r="Z99" s="13">
        <v>12</v>
      </c>
      <c r="AA99" s="13">
        <v>15</v>
      </c>
      <c r="AB99" s="14">
        <v>18</v>
      </c>
      <c r="AC99" s="9"/>
      <c r="AD99" s="16"/>
      <c r="AE99" s="10"/>
      <c r="AF99" s="10"/>
      <c r="AG99" s="10"/>
      <c r="AH99" s="11"/>
      <c r="AI99" s="12"/>
      <c r="AJ99" s="17"/>
      <c r="AK99" s="13"/>
      <c r="AL99" s="13"/>
      <c r="AM99" s="13"/>
      <c r="AN99" s="14"/>
      <c r="AO99" s="9"/>
      <c r="AP99" s="16"/>
      <c r="AQ99" s="10"/>
      <c r="AR99" s="10"/>
      <c r="AS99" s="10"/>
      <c r="AT99" s="11"/>
      <c r="AU99" s="12"/>
      <c r="AV99" s="17"/>
      <c r="AW99" s="13"/>
      <c r="AX99" s="13"/>
      <c r="AY99" s="13"/>
      <c r="AZ99" s="14"/>
      <c r="BA99" s="9"/>
      <c r="BB99" s="16"/>
      <c r="BC99" s="10"/>
      <c r="BD99" s="10"/>
      <c r="BE99" s="10"/>
      <c r="BF99" s="11"/>
      <c r="BG99" s="12"/>
      <c r="BH99" s="17"/>
      <c r="BI99" s="13"/>
      <c r="BJ99" s="13"/>
      <c r="BK99" s="13"/>
      <c r="BL99" s="14"/>
      <c r="BM99" s="8">
        <f t="shared" si="18"/>
        <v>25</v>
      </c>
      <c r="BN99" s="8">
        <f t="shared" si="19"/>
        <v>25</v>
      </c>
      <c r="BO99" s="8">
        <f t="shared" si="20"/>
        <v>30</v>
      </c>
      <c r="BP99" s="8">
        <f t="shared" si="21"/>
        <v>30</v>
      </c>
      <c r="BQ99" s="8">
        <f t="shared" si="22"/>
        <v>30</v>
      </c>
      <c r="BR99" s="8">
        <f t="shared" si="23"/>
        <v>25</v>
      </c>
      <c r="BS99" s="15">
        <f t="shared" si="24"/>
        <v>11.327612281500457</v>
      </c>
      <c r="BT99" s="15" t="str">
        <f t="shared" si="25"/>
        <v>OK - No Upgrade</v>
      </c>
      <c r="BU99" s="15" t="str">
        <f t="shared" si="26"/>
        <v>Need to Balance</v>
      </c>
    </row>
    <row r="100" spans="1:73" ht="15.75" customHeight="1" x14ac:dyDescent="0.25">
      <c r="A100" s="8" t="s">
        <v>3005</v>
      </c>
      <c r="B100" s="8" t="s">
        <v>3390</v>
      </c>
      <c r="C100" s="8" t="s">
        <v>40</v>
      </c>
      <c r="D100" s="8" t="s">
        <v>3659</v>
      </c>
      <c r="E100" s="8" t="s">
        <v>3660</v>
      </c>
      <c r="F100" s="8" t="s">
        <v>43</v>
      </c>
      <c r="G100" s="8"/>
      <c r="H100" s="8">
        <v>200</v>
      </c>
      <c r="I100" s="8" t="s">
        <v>3661</v>
      </c>
      <c r="J100" s="8">
        <v>1</v>
      </c>
      <c r="K100" s="8">
        <v>260</v>
      </c>
      <c r="L100" s="8">
        <v>259</v>
      </c>
      <c r="M100" s="8">
        <v>259</v>
      </c>
      <c r="N100" s="8">
        <v>453</v>
      </c>
      <c r="O100" s="8">
        <v>452</v>
      </c>
      <c r="P100" s="8">
        <v>450</v>
      </c>
      <c r="Q100" s="9" t="s">
        <v>46</v>
      </c>
      <c r="R100" s="16"/>
      <c r="S100" s="10">
        <v>15</v>
      </c>
      <c r="T100" s="10">
        <v>20</v>
      </c>
      <c r="U100" s="10">
        <v>71</v>
      </c>
      <c r="V100" s="11">
        <v>15</v>
      </c>
      <c r="W100" s="12" t="s">
        <v>46</v>
      </c>
      <c r="X100" s="17"/>
      <c r="Y100" s="13">
        <v>12</v>
      </c>
      <c r="Z100" s="13">
        <v>11</v>
      </c>
      <c r="AA100" s="13">
        <v>14</v>
      </c>
      <c r="AB100" s="14">
        <v>13</v>
      </c>
      <c r="AC100" s="9"/>
      <c r="AD100" s="16"/>
      <c r="AE100" s="10"/>
      <c r="AF100" s="10"/>
      <c r="AG100" s="10"/>
      <c r="AH100" s="11"/>
      <c r="AI100" s="12"/>
      <c r="AJ100" s="17"/>
      <c r="AK100" s="13"/>
      <c r="AL100" s="13"/>
      <c r="AM100" s="13"/>
      <c r="AN100" s="14"/>
      <c r="AO100" s="9"/>
      <c r="AP100" s="16"/>
      <c r="AQ100" s="10"/>
      <c r="AR100" s="10"/>
      <c r="AS100" s="10"/>
      <c r="AT100" s="11"/>
      <c r="AU100" s="12"/>
      <c r="AV100" s="17"/>
      <c r="AW100" s="13"/>
      <c r="AX100" s="13"/>
      <c r="AY100" s="13"/>
      <c r="AZ100" s="14"/>
      <c r="BA100" s="9"/>
      <c r="BB100" s="16"/>
      <c r="BC100" s="10"/>
      <c r="BD100" s="10"/>
      <c r="BE100" s="10"/>
      <c r="BF100" s="11"/>
      <c r="BG100" s="12"/>
      <c r="BH100" s="17"/>
      <c r="BI100" s="13"/>
      <c r="BJ100" s="13"/>
      <c r="BK100" s="13"/>
      <c r="BL100" s="14"/>
      <c r="BM100" s="8">
        <f t="shared" ref="BM100:BM135" si="27">SUM(S100,Y100,AE100,AK100,AQ100,AW100,BC100,BI100)</f>
        <v>27</v>
      </c>
      <c r="BN100" s="8">
        <f t="shared" ref="BN100:BN135" si="28">SUM(T100,Z100,AF100,AL100,AR100,AX100,BD100,BJ100)</f>
        <v>31</v>
      </c>
      <c r="BO100" s="8">
        <f t="shared" ref="BO100:BO135" si="29">SUM(U100,AA100,AG100,AM100,AS100,AY100,BE100,BK100)</f>
        <v>85</v>
      </c>
      <c r="BP100" s="8">
        <f t="shared" ref="BP100:BP135" si="30">SUM(V100,AB100,AH100,AN100,AT100,AZ100,BF100,BL100)</f>
        <v>28</v>
      </c>
      <c r="BQ100" s="8">
        <f t="shared" ref="BQ100:BQ135" si="31">MAX(BM100:BO100)</f>
        <v>85</v>
      </c>
      <c r="BR100" s="8">
        <f t="shared" ref="BR100:BR135" si="32">MIN(BM100:BO100)</f>
        <v>27</v>
      </c>
      <c r="BS100" s="15">
        <f t="shared" ref="BS100:BS135" si="33">IF(H100&gt;0,(BQ100*SQRT(3)*IF(N100&gt;0,N100,IF(O100&gt;0,O100,IF(P100&gt;0,P100,415)))/(H100*1000))*100,0)</f>
        <v>33.346308172719809</v>
      </c>
      <c r="BT100" s="15" t="str">
        <f t="shared" ref="BT100:BT131" si="34">IF(BS100&gt;70,"Upgrade","OK - No Upgrade")</f>
        <v>OK - No Upgrade</v>
      </c>
      <c r="BU100" s="15" t="str">
        <f t="shared" ref="BU100:BU135" si="35">IF(IF(AVERAGE(BM100:BO100)&gt;0,((BQ100-AVERAGE(BM100:BO100))/AVERAGE(BM100:BO100))*100,0)&gt;10,"Need to Balance","OK - Balanced")</f>
        <v>Need to Balance</v>
      </c>
    </row>
    <row r="101" spans="1:73" ht="15.75" customHeight="1" x14ac:dyDescent="0.25">
      <c r="A101" s="8" t="s">
        <v>3005</v>
      </c>
      <c r="B101" s="8" t="s">
        <v>3390</v>
      </c>
      <c r="C101" s="8" t="s">
        <v>40</v>
      </c>
      <c r="D101" s="8" t="s">
        <v>3662</v>
      </c>
      <c r="E101" s="8" t="s">
        <v>3663</v>
      </c>
      <c r="F101" s="8" t="s">
        <v>43</v>
      </c>
      <c r="G101" s="8"/>
      <c r="H101" s="8">
        <v>100</v>
      </c>
      <c r="I101" s="8" t="s">
        <v>1785</v>
      </c>
      <c r="J101" s="8">
        <v>1</v>
      </c>
      <c r="K101" s="8">
        <v>236</v>
      </c>
      <c r="L101" s="8">
        <v>236</v>
      </c>
      <c r="M101" s="8">
        <v>235</v>
      </c>
      <c r="N101" s="8">
        <v>410</v>
      </c>
      <c r="O101" s="8">
        <v>410</v>
      </c>
      <c r="P101" s="8">
        <v>410</v>
      </c>
      <c r="Q101" s="9" t="s">
        <v>46</v>
      </c>
      <c r="R101" s="16"/>
      <c r="S101" s="10">
        <v>10</v>
      </c>
      <c r="T101" s="10">
        <v>5</v>
      </c>
      <c r="U101" s="10">
        <v>12</v>
      </c>
      <c r="V101" s="11">
        <v>10</v>
      </c>
      <c r="W101" s="12"/>
      <c r="X101" s="17"/>
      <c r="Y101" s="13"/>
      <c r="Z101" s="13"/>
      <c r="AA101" s="13"/>
      <c r="AB101" s="14"/>
      <c r="AC101" s="9"/>
      <c r="AD101" s="16"/>
      <c r="AE101" s="10"/>
      <c r="AF101" s="10"/>
      <c r="AG101" s="10"/>
      <c r="AH101" s="11"/>
      <c r="AI101" s="12"/>
      <c r="AJ101" s="17"/>
      <c r="AK101" s="13"/>
      <c r="AL101" s="13"/>
      <c r="AM101" s="13"/>
      <c r="AN101" s="14"/>
      <c r="AO101" s="9"/>
      <c r="AP101" s="16"/>
      <c r="AQ101" s="10"/>
      <c r="AR101" s="10"/>
      <c r="AS101" s="10"/>
      <c r="AT101" s="11"/>
      <c r="AU101" s="12"/>
      <c r="AV101" s="17"/>
      <c r="AW101" s="13"/>
      <c r="AX101" s="13"/>
      <c r="AY101" s="13"/>
      <c r="AZ101" s="14"/>
      <c r="BA101" s="9"/>
      <c r="BB101" s="16"/>
      <c r="BC101" s="10"/>
      <c r="BD101" s="10"/>
      <c r="BE101" s="10"/>
      <c r="BF101" s="11"/>
      <c r="BG101" s="12"/>
      <c r="BH101" s="17"/>
      <c r="BI101" s="13"/>
      <c r="BJ101" s="13"/>
      <c r="BK101" s="13"/>
      <c r="BL101" s="14"/>
      <c r="BM101" s="8">
        <f t="shared" si="27"/>
        <v>10</v>
      </c>
      <c r="BN101" s="8">
        <f t="shared" si="28"/>
        <v>5</v>
      </c>
      <c r="BO101" s="8">
        <f t="shared" si="29"/>
        <v>12</v>
      </c>
      <c r="BP101" s="8">
        <f t="shared" si="30"/>
        <v>10</v>
      </c>
      <c r="BQ101" s="8">
        <f t="shared" si="31"/>
        <v>12</v>
      </c>
      <c r="BR101" s="8">
        <f t="shared" si="32"/>
        <v>5</v>
      </c>
      <c r="BS101" s="15">
        <f t="shared" si="33"/>
        <v>8.5216899732388782</v>
      </c>
      <c r="BT101" s="15" t="str">
        <f t="shared" si="34"/>
        <v>OK - No Upgrade</v>
      </c>
      <c r="BU101" s="15" t="str">
        <f t="shared" si="35"/>
        <v>Need to Balance</v>
      </c>
    </row>
    <row r="102" spans="1:73" ht="15.75" customHeight="1" x14ac:dyDescent="0.25">
      <c r="A102" s="8" t="s">
        <v>3005</v>
      </c>
      <c r="B102" s="8" t="s">
        <v>3390</v>
      </c>
      <c r="C102" s="8" t="s">
        <v>40</v>
      </c>
      <c r="D102" s="8" t="s">
        <v>3664</v>
      </c>
      <c r="E102" s="8" t="s">
        <v>3665</v>
      </c>
      <c r="F102" s="8" t="s">
        <v>43</v>
      </c>
      <c r="G102" s="8"/>
      <c r="H102" s="8">
        <v>100</v>
      </c>
      <c r="I102" s="8" t="s">
        <v>3666</v>
      </c>
      <c r="J102" s="8">
        <v>1</v>
      </c>
      <c r="K102" s="8">
        <v>248</v>
      </c>
      <c r="L102" s="8">
        <v>247</v>
      </c>
      <c r="M102" s="8">
        <v>249</v>
      </c>
      <c r="N102" s="8">
        <v>432</v>
      </c>
      <c r="O102" s="8">
        <v>432</v>
      </c>
      <c r="P102" s="8">
        <v>433</v>
      </c>
      <c r="Q102" s="9" t="s">
        <v>47</v>
      </c>
      <c r="R102" s="16"/>
      <c r="S102" s="10">
        <v>15</v>
      </c>
      <c r="T102" s="10">
        <v>16</v>
      </c>
      <c r="U102" s="10">
        <v>10</v>
      </c>
      <c r="V102" s="11">
        <v>12</v>
      </c>
      <c r="W102" s="12"/>
      <c r="X102" s="17"/>
      <c r="Y102" s="13"/>
      <c r="Z102" s="13"/>
      <c r="AA102" s="13"/>
      <c r="AB102" s="14"/>
      <c r="AC102" s="9"/>
      <c r="AD102" s="16"/>
      <c r="AE102" s="10"/>
      <c r="AF102" s="10"/>
      <c r="AG102" s="10"/>
      <c r="AH102" s="11"/>
      <c r="AI102" s="12"/>
      <c r="AJ102" s="17"/>
      <c r="AK102" s="13"/>
      <c r="AL102" s="13"/>
      <c r="AM102" s="13"/>
      <c r="AN102" s="14"/>
      <c r="AO102" s="9"/>
      <c r="AP102" s="16"/>
      <c r="AQ102" s="10"/>
      <c r="AR102" s="10"/>
      <c r="AS102" s="10"/>
      <c r="AT102" s="11"/>
      <c r="AU102" s="12"/>
      <c r="AV102" s="17"/>
      <c r="AW102" s="13"/>
      <c r="AX102" s="13"/>
      <c r="AY102" s="13"/>
      <c r="AZ102" s="14"/>
      <c r="BA102" s="9"/>
      <c r="BB102" s="16"/>
      <c r="BC102" s="10"/>
      <c r="BD102" s="10"/>
      <c r="BE102" s="10"/>
      <c r="BF102" s="11"/>
      <c r="BG102" s="12"/>
      <c r="BH102" s="17"/>
      <c r="BI102" s="13"/>
      <c r="BJ102" s="13"/>
      <c r="BK102" s="13"/>
      <c r="BL102" s="14"/>
      <c r="BM102" s="8">
        <f t="shared" si="27"/>
        <v>15</v>
      </c>
      <c r="BN102" s="8">
        <f t="shared" si="28"/>
        <v>16</v>
      </c>
      <c r="BO102" s="8">
        <f t="shared" si="29"/>
        <v>10</v>
      </c>
      <c r="BP102" s="8">
        <f t="shared" si="30"/>
        <v>12</v>
      </c>
      <c r="BQ102" s="8">
        <f t="shared" si="31"/>
        <v>16</v>
      </c>
      <c r="BR102" s="8">
        <f t="shared" si="32"/>
        <v>10</v>
      </c>
      <c r="BS102" s="15">
        <f t="shared" si="33"/>
        <v>11.971935181916079</v>
      </c>
      <c r="BT102" s="15" t="str">
        <f t="shared" si="34"/>
        <v>OK - No Upgrade</v>
      </c>
      <c r="BU102" s="15" t="str">
        <f t="shared" si="35"/>
        <v>Need to Balance</v>
      </c>
    </row>
    <row r="103" spans="1:73" ht="15.75" customHeight="1" x14ac:dyDescent="0.25">
      <c r="A103" s="8" t="s">
        <v>3005</v>
      </c>
      <c r="B103" s="8" t="s">
        <v>3390</v>
      </c>
      <c r="C103" s="8" t="s">
        <v>40</v>
      </c>
      <c r="D103" s="8" t="s">
        <v>3667</v>
      </c>
      <c r="E103" s="8" t="s">
        <v>3668</v>
      </c>
      <c r="F103" s="8" t="s">
        <v>43</v>
      </c>
      <c r="G103" s="8"/>
      <c r="H103" s="8">
        <v>200</v>
      </c>
      <c r="I103" s="8" t="s">
        <v>3669</v>
      </c>
      <c r="J103" s="8">
        <v>1</v>
      </c>
      <c r="K103" s="8">
        <v>245</v>
      </c>
      <c r="L103" s="8">
        <v>246</v>
      </c>
      <c r="M103" s="8">
        <v>246</v>
      </c>
      <c r="N103" s="8">
        <v>427</v>
      </c>
      <c r="O103" s="8">
        <v>427</v>
      </c>
      <c r="P103" s="8">
        <v>427</v>
      </c>
      <c r="Q103" s="9" t="s">
        <v>46</v>
      </c>
      <c r="R103" s="16"/>
      <c r="S103" s="10">
        <v>15</v>
      </c>
      <c r="T103" s="10">
        <v>16</v>
      </c>
      <c r="U103" s="10">
        <v>15</v>
      </c>
      <c r="V103" s="11">
        <v>10</v>
      </c>
      <c r="W103" s="12" t="s">
        <v>46</v>
      </c>
      <c r="X103" s="17"/>
      <c r="Y103" s="13">
        <v>87</v>
      </c>
      <c r="Z103" s="13">
        <v>88</v>
      </c>
      <c r="AA103" s="13">
        <v>84</v>
      </c>
      <c r="AB103" s="14">
        <v>5</v>
      </c>
      <c r="AC103" s="9" t="s">
        <v>46</v>
      </c>
      <c r="AD103" s="16"/>
      <c r="AE103" s="10">
        <v>0</v>
      </c>
      <c r="AF103" s="10">
        <v>0</v>
      </c>
      <c r="AG103" s="10">
        <v>0</v>
      </c>
      <c r="AH103" s="11">
        <v>0</v>
      </c>
      <c r="AI103" s="12"/>
      <c r="AJ103" s="17"/>
      <c r="AK103" s="13"/>
      <c r="AL103" s="13"/>
      <c r="AM103" s="13"/>
      <c r="AN103" s="14"/>
      <c r="AO103" s="9"/>
      <c r="AP103" s="16"/>
      <c r="AQ103" s="10"/>
      <c r="AR103" s="10"/>
      <c r="AS103" s="10"/>
      <c r="AT103" s="11"/>
      <c r="AU103" s="12"/>
      <c r="AV103" s="17"/>
      <c r="AW103" s="13"/>
      <c r="AX103" s="13"/>
      <c r="AY103" s="13"/>
      <c r="AZ103" s="14"/>
      <c r="BA103" s="9"/>
      <c r="BB103" s="16"/>
      <c r="BC103" s="10"/>
      <c r="BD103" s="10"/>
      <c r="BE103" s="10"/>
      <c r="BF103" s="11"/>
      <c r="BG103" s="12"/>
      <c r="BH103" s="17"/>
      <c r="BI103" s="13"/>
      <c r="BJ103" s="13"/>
      <c r="BK103" s="13"/>
      <c r="BL103" s="14"/>
      <c r="BM103" s="8">
        <f t="shared" si="27"/>
        <v>102</v>
      </c>
      <c r="BN103" s="8">
        <f t="shared" si="28"/>
        <v>104</v>
      </c>
      <c r="BO103" s="8">
        <f t="shared" si="29"/>
        <v>99</v>
      </c>
      <c r="BP103" s="8">
        <f t="shared" si="30"/>
        <v>15</v>
      </c>
      <c r="BQ103" s="8">
        <f t="shared" si="31"/>
        <v>104</v>
      </c>
      <c r="BR103" s="8">
        <f t="shared" si="32"/>
        <v>99</v>
      </c>
      <c r="BS103" s="15">
        <f t="shared" si="33"/>
        <v>38.458456131259346</v>
      </c>
      <c r="BT103" s="15" t="str">
        <f t="shared" si="34"/>
        <v>OK - No Upgrade</v>
      </c>
      <c r="BU103" s="15" t="str">
        <f t="shared" si="35"/>
        <v>OK - Balanced</v>
      </c>
    </row>
    <row r="104" spans="1:73" ht="15.75" customHeight="1" x14ac:dyDescent="0.25">
      <c r="A104" s="8" t="s">
        <v>3005</v>
      </c>
      <c r="B104" s="8" t="s">
        <v>3390</v>
      </c>
      <c r="C104" s="8" t="s">
        <v>40</v>
      </c>
      <c r="D104" s="8" t="s">
        <v>3670</v>
      </c>
      <c r="E104" s="8" t="s">
        <v>3671</v>
      </c>
      <c r="F104" s="8" t="s">
        <v>43</v>
      </c>
      <c r="G104" s="8"/>
      <c r="H104" s="8">
        <v>100</v>
      </c>
      <c r="I104" s="8" t="s">
        <v>3672</v>
      </c>
      <c r="J104" s="8">
        <v>1</v>
      </c>
      <c r="K104" s="8">
        <v>257</v>
      </c>
      <c r="L104" s="8">
        <v>259</v>
      </c>
      <c r="M104" s="8">
        <v>258</v>
      </c>
      <c r="N104" s="8">
        <v>448</v>
      </c>
      <c r="O104" s="8">
        <v>446</v>
      </c>
      <c r="P104" s="8">
        <v>450</v>
      </c>
      <c r="Q104" s="9" t="s">
        <v>46</v>
      </c>
      <c r="R104" s="16"/>
      <c r="S104" s="10">
        <v>24</v>
      </c>
      <c r="T104" s="10">
        <v>16</v>
      </c>
      <c r="U104" s="10">
        <v>26</v>
      </c>
      <c r="V104" s="11">
        <v>12</v>
      </c>
      <c r="W104" s="12" t="s">
        <v>46</v>
      </c>
      <c r="X104" s="17"/>
      <c r="Y104" s="13">
        <v>30</v>
      </c>
      <c r="Z104" s="13">
        <v>17</v>
      </c>
      <c r="AA104" s="13">
        <v>32</v>
      </c>
      <c r="AB104" s="14">
        <v>13</v>
      </c>
      <c r="AC104" s="9"/>
      <c r="AD104" s="16"/>
      <c r="AE104" s="10"/>
      <c r="AF104" s="10"/>
      <c r="AG104" s="10"/>
      <c r="AH104" s="11"/>
      <c r="AI104" s="12"/>
      <c r="AJ104" s="17"/>
      <c r="AK104" s="13"/>
      <c r="AL104" s="13"/>
      <c r="AM104" s="13"/>
      <c r="AN104" s="14"/>
      <c r="AO104" s="9"/>
      <c r="AP104" s="16"/>
      <c r="AQ104" s="10"/>
      <c r="AR104" s="10"/>
      <c r="AS104" s="10"/>
      <c r="AT104" s="11"/>
      <c r="AU104" s="12"/>
      <c r="AV104" s="17"/>
      <c r="AW104" s="13"/>
      <c r="AX104" s="13"/>
      <c r="AY104" s="13"/>
      <c r="AZ104" s="14"/>
      <c r="BA104" s="9"/>
      <c r="BB104" s="16"/>
      <c r="BC104" s="10"/>
      <c r="BD104" s="10"/>
      <c r="BE104" s="10"/>
      <c r="BF104" s="11"/>
      <c r="BG104" s="12"/>
      <c r="BH104" s="17"/>
      <c r="BI104" s="13"/>
      <c r="BJ104" s="13"/>
      <c r="BK104" s="13"/>
      <c r="BL104" s="14"/>
      <c r="BM104" s="8">
        <f t="shared" si="27"/>
        <v>54</v>
      </c>
      <c r="BN104" s="8">
        <f t="shared" si="28"/>
        <v>33</v>
      </c>
      <c r="BO104" s="8">
        <f t="shared" si="29"/>
        <v>58</v>
      </c>
      <c r="BP104" s="8">
        <f t="shared" si="30"/>
        <v>25</v>
      </c>
      <c r="BQ104" s="8">
        <f t="shared" si="31"/>
        <v>58</v>
      </c>
      <c r="BR104" s="8">
        <f t="shared" si="32"/>
        <v>33</v>
      </c>
      <c r="BS104" s="15">
        <f t="shared" si="33"/>
        <v>45.005608183869704</v>
      </c>
      <c r="BT104" s="15" t="str">
        <f t="shared" si="34"/>
        <v>OK - No Upgrade</v>
      </c>
      <c r="BU104" s="15" t="str">
        <f t="shared" si="35"/>
        <v>Need to Balance</v>
      </c>
    </row>
    <row r="105" spans="1:73" ht="15.75" customHeight="1" x14ac:dyDescent="0.25">
      <c r="A105" s="8" t="s">
        <v>3005</v>
      </c>
      <c r="B105" s="8" t="s">
        <v>3390</v>
      </c>
      <c r="C105" s="8" t="s">
        <v>40</v>
      </c>
      <c r="D105" s="8" t="s">
        <v>3673</v>
      </c>
      <c r="E105" s="8" t="s">
        <v>3674</v>
      </c>
      <c r="F105" s="8" t="s">
        <v>43</v>
      </c>
      <c r="G105" s="8"/>
      <c r="H105" s="8">
        <v>315</v>
      </c>
      <c r="I105" s="8" t="s">
        <v>3675</v>
      </c>
      <c r="J105" s="8">
        <v>1</v>
      </c>
      <c r="K105" s="8">
        <v>245</v>
      </c>
      <c r="L105" s="8">
        <v>247</v>
      </c>
      <c r="M105" s="8">
        <v>246</v>
      </c>
      <c r="N105" s="8">
        <v>424</v>
      </c>
      <c r="O105" s="8">
        <v>428</v>
      </c>
      <c r="P105" s="8">
        <v>427</v>
      </c>
      <c r="Q105" s="9" t="s">
        <v>46</v>
      </c>
      <c r="R105" s="16"/>
      <c r="S105" s="10">
        <v>160</v>
      </c>
      <c r="T105" s="10">
        <v>113</v>
      </c>
      <c r="U105" s="10">
        <v>100</v>
      </c>
      <c r="V105" s="11">
        <v>51</v>
      </c>
      <c r="W105" s="12" t="s">
        <v>46</v>
      </c>
      <c r="X105" s="17"/>
      <c r="Y105" s="13">
        <v>39</v>
      </c>
      <c r="Z105" s="13">
        <v>29</v>
      </c>
      <c r="AA105" s="13">
        <v>49</v>
      </c>
      <c r="AB105" s="14">
        <v>33</v>
      </c>
      <c r="AC105" s="9"/>
      <c r="AD105" s="16"/>
      <c r="AE105" s="10"/>
      <c r="AF105" s="10"/>
      <c r="AG105" s="10"/>
      <c r="AH105" s="11"/>
      <c r="AI105" s="12"/>
      <c r="AJ105" s="17"/>
      <c r="AK105" s="13"/>
      <c r="AL105" s="13"/>
      <c r="AM105" s="13"/>
      <c r="AN105" s="14"/>
      <c r="AO105" s="9"/>
      <c r="AP105" s="16"/>
      <c r="AQ105" s="10"/>
      <c r="AR105" s="10"/>
      <c r="AS105" s="10"/>
      <c r="AT105" s="11"/>
      <c r="AU105" s="12"/>
      <c r="AV105" s="17"/>
      <c r="AW105" s="13"/>
      <c r="AX105" s="13"/>
      <c r="AY105" s="13"/>
      <c r="AZ105" s="14"/>
      <c r="BA105" s="9"/>
      <c r="BB105" s="16"/>
      <c r="BC105" s="10"/>
      <c r="BD105" s="10"/>
      <c r="BE105" s="10"/>
      <c r="BF105" s="11"/>
      <c r="BG105" s="12"/>
      <c r="BH105" s="17"/>
      <c r="BI105" s="13"/>
      <c r="BJ105" s="13"/>
      <c r="BK105" s="13"/>
      <c r="BL105" s="14"/>
      <c r="BM105" s="8">
        <f t="shared" si="27"/>
        <v>199</v>
      </c>
      <c r="BN105" s="8">
        <f t="shared" si="28"/>
        <v>142</v>
      </c>
      <c r="BO105" s="8">
        <f t="shared" si="29"/>
        <v>149</v>
      </c>
      <c r="BP105" s="8">
        <f t="shared" si="30"/>
        <v>84</v>
      </c>
      <c r="BQ105" s="8">
        <f t="shared" si="31"/>
        <v>199</v>
      </c>
      <c r="BR105" s="8">
        <f t="shared" si="32"/>
        <v>142</v>
      </c>
      <c r="BS105" s="15">
        <f t="shared" si="33"/>
        <v>46.394767917279864</v>
      </c>
      <c r="BT105" s="15" t="str">
        <f t="shared" si="34"/>
        <v>OK - No Upgrade</v>
      </c>
      <c r="BU105" s="15" t="str">
        <f t="shared" si="35"/>
        <v>Need to Balance</v>
      </c>
    </row>
    <row r="106" spans="1:73" ht="15.75" customHeight="1" x14ac:dyDescent="0.25">
      <c r="A106" s="8" t="s">
        <v>3005</v>
      </c>
      <c r="B106" s="8" t="s">
        <v>3390</v>
      </c>
      <c r="C106" s="8" t="s">
        <v>40</v>
      </c>
      <c r="D106" s="8" t="s">
        <v>3676</v>
      </c>
      <c r="E106" s="8" t="s">
        <v>3677</v>
      </c>
      <c r="F106" s="8" t="s">
        <v>43</v>
      </c>
      <c r="G106" s="8"/>
      <c r="H106" s="8">
        <v>100</v>
      </c>
      <c r="I106" s="8" t="s">
        <v>714</v>
      </c>
      <c r="J106" s="8">
        <v>1</v>
      </c>
      <c r="K106" s="8">
        <v>248</v>
      </c>
      <c r="L106" s="8">
        <v>249</v>
      </c>
      <c r="M106" s="8">
        <v>248</v>
      </c>
      <c r="N106" s="8">
        <v>432</v>
      </c>
      <c r="O106" s="8">
        <v>431</v>
      </c>
      <c r="P106" s="8">
        <v>433</v>
      </c>
      <c r="Q106" s="9" t="s">
        <v>46</v>
      </c>
      <c r="R106" s="16"/>
      <c r="S106" s="10">
        <v>10</v>
      </c>
      <c r="T106" s="10">
        <v>11</v>
      </c>
      <c r="U106" s="10">
        <v>10</v>
      </c>
      <c r="V106" s="11">
        <v>10</v>
      </c>
      <c r="W106" s="12"/>
      <c r="X106" s="17"/>
      <c r="Y106" s="13"/>
      <c r="Z106" s="13"/>
      <c r="AA106" s="13"/>
      <c r="AB106" s="14"/>
      <c r="AC106" s="9"/>
      <c r="AD106" s="16"/>
      <c r="AE106" s="10"/>
      <c r="AF106" s="10"/>
      <c r="AG106" s="10"/>
      <c r="AH106" s="11"/>
      <c r="AI106" s="12"/>
      <c r="AJ106" s="17"/>
      <c r="AK106" s="13"/>
      <c r="AL106" s="13"/>
      <c r="AM106" s="13"/>
      <c r="AN106" s="14"/>
      <c r="AO106" s="9"/>
      <c r="AP106" s="16"/>
      <c r="AQ106" s="10"/>
      <c r="AR106" s="10"/>
      <c r="AS106" s="10"/>
      <c r="AT106" s="11"/>
      <c r="AU106" s="12"/>
      <c r="AV106" s="17"/>
      <c r="AW106" s="13"/>
      <c r="AX106" s="13"/>
      <c r="AY106" s="13"/>
      <c r="AZ106" s="14"/>
      <c r="BA106" s="9"/>
      <c r="BB106" s="16"/>
      <c r="BC106" s="10"/>
      <c r="BD106" s="10"/>
      <c r="BE106" s="10"/>
      <c r="BF106" s="11"/>
      <c r="BG106" s="12"/>
      <c r="BH106" s="17"/>
      <c r="BI106" s="13"/>
      <c r="BJ106" s="13"/>
      <c r="BK106" s="13"/>
      <c r="BL106" s="14"/>
      <c r="BM106" s="8">
        <f t="shared" si="27"/>
        <v>10</v>
      </c>
      <c r="BN106" s="8">
        <f t="shared" si="28"/>
        <v>11</v>
      </c>
      <c r="BO106" s="8">
        <f t="shared" si="29"/>
        <v>10</v>
      </c>
      <c r="BP106" s="8">
        <f t="shared" si="30"/>
        <v>10</v>
      </c>
      <c r="BQ106" s="8">
        <f t="shared" si="31"/>
        <v>11</v>
      </c>
      <c r="BR106" s="8">
        <f t="shared" si="32"/>
        <v>10</v>
      </c>
      <c r="BS106" s="15">
        <f t="shared" si="33"/>
        <v>8.2307054375673054</v>
      </c>
      <c r="BT106" s="15" t="str">
        <f t="shared" si="34"/>
        <v>OK - No Upgrade</v>
      </c>
      <c r="BU106" s="15" t="str">
        <f t="shared" si="35"/>
        <v>OK - Balanced</v>
      </c>
    </row>
    <row r="107" spans="1:73" ht="15.75" customHeight="1" x14ac:dyDescent="0.25">
      <c r="A107" s="8" t="s">
        <v>3005</v>
      </c>
      <c r="B107" s="8" t="s">
        <v>3390</v>
      </c>
      <c r="C107" s="8" t="s">
        <v>40</v>
      </c>
      <c r="D107" s="8" t="s">
        <v>3678</v>
      </c>
      <c r="E107" s="8" t="s">
        <v>3679</v>
      </c>
      <c r="F107" s="8" t="s">
        <v>43</v>
      </c>
      <c r="G107" s="8"/>
      <c r="H107" s="8">
        <v>315</v>
      </c>
      <c r="I107" s="8" t="s">
        <v>3680</v>
      </c>
      <c r="J107" s="8">
        <v>1</v>
      </c>
      <c r="K107" s="8">
        <v>245</v>
      </c>
      <c r="L107" s="8">
        <v>246</v>
      </c>
      <c r="M107" s="8">
        <v>247</v>
      </c>
      <c r="N107" s="8">
        <v>428</v>
      </c>
      <c r="O107" s="8">
        <v>428</v>
      </c>
      <c r="P107" s="8">
        <v>428</v>
      </c>
      <c r="Q107" s="9" t="s">
        <v>46</v>
      </c>
      <c r="R107" s="16"/>
      <c r="S107" s="10">
        <v>138</v>
      </c>
      <c r="T107" s="10">
        <v>143</v>
      </c>
      <c r="U107" s="10">
        <v>138</v>
      </c>
      <c r="V107" s="11">
        <v>30</v>
      </c>
      <c r="W107" s="12"/>
      <c r="X107" s="17"/>
      <c r="Y107" s="13"/>
      <c r="Z107" s="13"/>
      <c r="AA107" s="13"/>
      <c r="AB107" s="14"/>
      <c r="AC107" s="9"/>
      <c r="AD107" s="16"/>
      <c r="AE107" s="10"/>
      <c r="AF107" s="10"/>
      <c r="AG107" s="10"/>
      <c r="AH107" s="11"/>
      <c r="AI107" s="12"/>
      <c r="AJ107" s="17"/>
      <c r="AK107" s="13"/>
      <c r="AL107" s="13"/>
      <c r="AM107" s="13"/>
      <c r="AN107" s="14"/>
      <c r="AO107" s="9"/>
      <c r="AP107" s="16"/>
      <c r="AQ107" s="10"/>
      <c r="AR107" s="10"/>
      <c r="AS107" s="10"/>
      <c r="AT107" s="11"/>
      <c r="AU107" s="12"/>
      <c r="AV107" s="17"/>
      <c r="AW107" s="13"/>
      <c r="AX107" s="13"/>
      <c r="AY107" s="13"/>
      <c r="AZ107" s="14"/>
      <c r="BA107" s="9"/>
      <c r="BB107" s="16"/>
      <c r="BC107" s="10"/>
      <c r="BD107" s="10"/>
      <c r="BE107" s="10"/>
      <c r="BF107" s="11"/>
      <c r="BG107" s="12"/>
      <c r="BH107" s="17"/>
      <c r="BI107" s="13"/>
      <c r="BJ107" s="13"/>
      <c r="BK107" s="13"/>
      <c r="BL107" s="14"/>
      <c r="BM107" s="8">
        <f t="shared" si="27"/>
        <v>138</v>
      </c>
      <c r="BN107" s="8">
        <f t="shared" si="28"/>
        <v>143</v>
      </c>
      <c r="BO107" s="8">
        <f t="shared" si="29"/>
        <v>138</v>
      </c>
      <c r="BP107" s="8">
        <f t="shared" si="30"/>
        <v>30</v>
      </c>
      <c r="BQ107" s="8">
        <f t="shared" si="31"/>
        <v>143</v>
      </c>
      <c r="BR107" s="8">
        <f t="shared" si="32"/>
        <v>138</v>
      </c>
      <c r="BS107" s="15">
        <f t="shared" si="33"/>
        <v>33.653472262363671</v>
      </c>
      <c r="BT107" s="15" t="str">
        <f t="shared" si="34"/>
        <v>OK - No Upgrade</v>
      </c>
      <c r="BU107" s="15" t="str">
        <f t="shared" si="35"/>
        <v>OK - Balanced</v>
      </c>
    </row>
    <row r="108" spans="1:73" ht="15.75" customHeight="1" x14ac:dyDescent="0.25">
      <c r="A108" s="8" t="s">
        <v>3005</v>
      </c>
      <c r="B108" s="8" t="s">
        <v>3390</v>
      </c>
      <c r="C108" s="8" t="s">
        <v>40</v>
      </c>
      <c r="D108" s="8" t="s">
        <v>3681</v>
      </c>
      <c r="E108" s="8" t="s">
        <v>3682</v>
      </c>
      <c r="F108" s="8" t="s">
        <v>43</v>
      </c>
      <c r="G108" s="8"/>
      <c r="H108" s="8">
        <v>100</v>
      </c>
      <c r="I108" s="8" t="s">
        <v>717</v>
      </c>
      <c r="J108" s="8">
        <v>1</v>
      </c>
      <c r="K108" s="8">
        <v>254</v>
      </c>
      <c r="L108" s="8">
        <v>257</v>
      </c>
      <c r="M108" s="8">
        <v>256</v>
      </c>
      <c r="N108" s="8">
        <v>443</v>
      </c>
      <c r="O108" s="8">
        <v>443</v>
      </c>
      <c r="P108" s="8">
        <v>445</v>
      </c>
      <c r="Q108" s="9" t="s">
        <v>46</v>
      </c>
      <c r="R108" s="16"/>
      <c r="S108" s="10">
        <v>204</v>
      </c>
      <c r="T108" s="10">
        <v>161</v>
      </c>
      <c r="U108" s="10">
        <v>168</v>
      </c>
      <c r="V108" s="11">
        <v>43</v>
      </c>
      <c r="W108" s="12"/>
      <c r="X108" s="17"/>
      <c r="Y108" s="13"/>
      <c r="Z108" s="13"/>
      <c r="AA108" s="13"/>
      <c r="AB108" s="14"/>
      <c r="AC108" s="9"/>
      <c r="AD108" s="16"/>
      <c r="AE108" s="10"/>
      <c r="AF108" s="10"/>
      <c r="AG108" s="10"/>
      <c r="AH108" s="11"/>
      <c r="AI108" s="12"/>
      <c r="AJ108" s="17"/>
      <c r="AK108" s="13"/>
      <c r="AL108" s="13"/>
      <c r="AM108" s="13"/>
      <c r="AN108" s="14"/>
      <c r="AO108" s="9"/>
      <c r="AP108" s="16"/>
      <c r="AQ108" s="10"/>
      <c r="AR108" s="10"/>
      <c r="AS108" s="10"/>
      <c r="AT108" s="11"/>
      <c r="AU108" s="12"/>
      <c r="AV108" s="17"/>
      <c r="AW108" s="13"/>
      <c r="AX108" s="13"/>
      <c r="AY108" s="13"/>
      <c r="AZ108" s="14"/>
      <c r="BA108" s="9"/>
      <c r="BB108" s="16"/>
      <c r="BC108" s="10"/>
      <c r="BD108" s="10"/>
      <c r="BE108" s="10"/>
      <c r="BF108" s="11"/>
      <c r="BG108" s="12"/>
      <c r="BH108" s="17"/>
      <c r="BI108" s="13"/>
      <c r="BJ108" s="13"/>
      <c r="BK108" s="13"/>
      <c r="BL108" s="14"/>
      <c r="BM108" s="8">
        <f t="shared" si="27"/>
        <v>204</v>
      </c>
      <c r="BN108" s="8">
        <f t="shared" si="28"/>
        <v>161</v>
      </c>
      <c r="BO108" s="8">
        <f t="shared" si="29"/>
        <v>168</v>
      </c>
      <c r="BP108" s="8">
        <f t="shared" si="30"/>
        <v>43</v>
      </c>
      <c r="BQ108" s="8">
        <f t="shared" si="31"/>
        <v>204</v>
      </c>
      <c r="BR108" s="8">
        <f t="shared" si="32"/>
        <v>161</v>
      </c>
      <c r="BS108" s="15">
        <f t="shared" si="33"/>
        <v>156.52889558161453</v>
      </c>
      <c r="BT108" s="15" t="str">
        <f t="shared" si="34"/>
        <v>Upgrade</v>
      </c>
      <c r="BU108" s="15" t="str">
        <f t="shared" si="35"/>
        <v>Need to Balance</v>
      </c>
    </row>
    <row r="109" spans="1:73" ht="15.75" customHeight="1" x14ac:dyDescent="0.25">
      <c r="A109" s="8" t="s">
        <v>3005</v>
      </c>
      <c r="B109" s="8" t="s">
        <v>3390</v>
      </c>
      <c r="C109" s="8" t="s">
        <v>40</v>
      </c>
      <c r="D109" s="8" t="s">
        <v>3683</v>
      </c>
      <c r="E109" s="8" t="s">
        <v>3684</v>
      </c>
      <c r="F109" s="8" t="s">
        <v>43</v>
      </c>
      <c r="G109" s="8"/>
      <c r="H109" s="8">
        <v>100</v>
      </c>
      <c r="I109" s="8" t="s">
        <v>2341</v>
      </c>
      <c r="J109" s="8">
        <v>1</v>
      </c>
      <c r="K109" s="8">
        <v>247</v>
      </c>
      <c r="L109" s="8">
        <v>248</v>
      </c>
      <c r="M109" s="8">
        <v>248</v>
      </c>
      <c r="N109" s="8">
        <v>431</v>
      </c>
      <c r="O109" s="8">
        <v>431</v>
      </c>
      <c r="P109" s="8">
        <v>432</v>
      </c>
      <c r="Q109" s="9" t="s">
        <v>46</v>
      </c>
      <c r="R109" s="16"/>
      <c r="S109" s="10">
        <v>8</v>
      </c>
      <c r="T109" s="10">
        <v>5</v>
      </c>
      <c r="U109" s="10">
        <v>4</v>
      </c>
      <c r="V109" s="11">
        <v>2</v>
      </c>
      <c r="W109" s="12" t="s">
        <v>46</v>
      </c>
      <c r="X109" s="17"/>
      <c r="Y109" s="13">
        <v>8</v>
      </c>
      <c r="Z109" s="13">
        <v>9</v>
      </c>
      <c r="AA109" s="13">
        <v>5</v>
      </c>
      <c r="AB109" s="14">
        <v>7</v>
      </c>
      <c r="AC109" s="9"/>
      <c r="AD109" s="16"/>
      <c r="AE109" s="10"/>
      <c r="AF109" s="10"/>
      <c r="AG109" s="10"/>
      <c r="AH109" s="11"/>
      <c r="AI109" s="12"/>
      <c r="AJ109" s="17"/>
      <c r="AK109" s="13"/>
      <c r="AL109" s="13"/>
      <c r="AM109" s="13"/>
      <c r="AN109" s="14"/>
      <c r="AO109" s="9"/>
      <c r="AP109" s="16"/>
      <c r="AQ109" s="10"/>
      <c r="AR109" s="10"/>
      <c r="AS109" s="10"/>
      <c r="AT109" s="11"/>
      <c r="AU109" s="12"/>
      <c r="AV109" s="17"/>
      <c r="AW109" s="13"/>
      <c r="AX109" s="13"/>
      <c r="AY109" s="13"/>
      <c r="AZ109" s="14"/>
      <c r="BA109" s="9"/>
      <c r="BB109" s="16"/>
      <c r="BC109" s="10"/>
      <c r="BD109" s="10"/>
      <c r="BE109" s="10"/>
      <c r="BF109" s="11"/>
      <c r="BG109" s="12"/>
      <c r="BH109" s="17"/>
      <c r="BI109" s="13"/>
      <c r="BJ109" s="13"/>
      <c r="BK109" s="13"/>
      <c r="BL109" s="14"/>
      <c r="BM109" s="8">
        <f t="shared" si="27"/>
        <v>16</v>
      </c>
      <c r="BN109" s="8">
        <f t="shared" si="28"/>
        <v>14</v>
      </c>
      <c r="BO109" s="8">
        <f t="shared" si="29"/>
        <v>9</v>
      </c>
      <c r="BP109" s="8">
        <f t="shared" si="30"/>
        <v>9</v>
      </c>
      <c r="BQ109" s="8">
        <f t="shared" si="31"/>
        <v>16</v>
      </c>
      <c r="BR109" s="8">
        <f t="shared" si="32"/>
        <v>9</v>
      </c>
      <c r="BS109" s="15">
        <f t="shared" si="33"/>
        <v>11.944222368994977</v>
      </c>
      <c r="BT109" s="15" t="str">
        <f t="shared" si="34"/>
        <v>OK - No Upgrade</v>
      </c>
      <c r="BU109" s="15" t="str">
        <f t="shared" si="35"/>
        <v>Need to Balance</v>
      </c>
    </row>
    <row r="110" spans="1:73" ht="15.75" customHeight="1" x14ac:dyDescent="0.25">
      <c r="A110" s="8" t="s">
        <v>3005</v>
      </c>
      <c r="B110" s="8" t="s">
        <v>3390</v>
      </c>
      <c r="C110" s="8" t="s">
        <v>40</v>
      </c>
      <c r="D110" s="8" t="s">
        <v>3685</v>
      </c>
      <c r="E110" s="8" t="s">
        <v>3686</v>
      </c>
      <c r="F110" s="8" t="s">
        <v>43</v>
      </c>
      <c r="G110" s="8"/>
      <c r="H110" s="8">
        <v>100</v>
      </c>
      <c r="I110" s="8" t="s">
        <v>2353</v>
      </c>
      <c r="J110" s="8">
        <v>1</v>
      </c>
      <c r="K110" s="8">
        <v>244</v>
      </c>
      <c r="L110" s="8">
        <v>246</v>
      </c>
      <c r="M110" s="8">
        <v>246</v>
      </c>
      <c r="N110" s="8">
        <v>426</v>
      </c>
      <c r="O110" s="8">
        <v>426</v>
      </c>
      <c r="P110" s="8">
        <v>428</v>
      </c>
      <c r="Q110" s="9" t="s">
        <v>46</v>
      </c>
      <c r="R110" s="16"/>
      <c r="S110" s="10">
        <v>114</v>
      </c>
      <c r="T110" s="10">
        <v>105</v>
      </c>
      <c r="U110" s="10">
        <v>108</v>
      </c>
      <c r="V110" s="11">
        <v>17</v>
      </c>
      <c r="W110" s="12"/>
      <c r="X110" s="17"/>
      <c r="Y110" s="13"/>
      <c r="Z110" s="13"/>
      <c r="AA110" s="13"/>
      <c r="AB110" s="14"/>
      <c r="AC110" s="9"/>
      <c r="AD110" s="16"/>
      <c r="AE110" s="10"/>
      <c r="AF110" s="10"/>
      <c r="AG110" s="10"/>
      <c r="AH110" s="11"/>
      <c r="AI110" s="12"/>
      <c r="AJ110" s="17"/>
      <c r="AK110" s="13"/>
      <c r="AL110" s="13"/>
      <c r="AM110" s="13"/>
      <c r="AN110" s="14"/>
      <c r="AO110" s="9"/>
      <c r="AP110" s="16"/>
      <c r="AQ110" s="10"/>
      <c r="AR110" s="10"/>
      <c r="AS110" s="10"/>
      <c r="AT110" s="11"/>
      <c r="AU110" s="12"/>
      <c r="AV110" s="17"/>
      <c r="AW110" s="13"/>
      <c r="AX110" s="13"/>
      <c r="AY110" s="13"/>
      <c r="AZ110" s="14"/>
      <c r="BA110" s="9"/>
      <c r="BB110" s="16"/>
      <c r="BC110" s="10"/>
      <c r="BD110" s="10"/>
      <c r="BE110" s="10"/>
      <c r="BF110" s="11"/>
      <c r="BG110" s="12"/>
      <c r="BH110" s="17"/>
      <c r="BI110" s="13"/>
      <c r="BJ110" s="13"/>
      <c r="BK110" s="13"/>
      <c r="BL110" s="14"/>
      <c r="BM110" s="8">
        <f t="shared" si="27"/>
        <v>114</v>
      </c>
      <c r="BN110" s="8">
        <f t="shared" si="28"/>
        <v>105</v>
      </c>
      <c r="BO110" s="8">
        <f t="shared" si="29"/>
        <v>108</v>
      </c>
      <c r="BP110" s="8">
        <f t="shared" si="30"/>
        <v>17</v>
      </c>
      <c r="BQ110" s="8">
        <f t="shared" si="31"/>
        <v>114</v>
      </c>
      <c r="BR110" s="8">
        <f t="shared" si="32"/>
        <v>105</v>
      </c>
      <c r="BS110" s="15">
        <f t="shared" si="33"/>
        <v>84.115315418774955</v>
      </c>
      <c r="BT110" s="15" t="str">
        <f t="shared" si="34"/>
        <v>Upgrade</v>
      </c>
      <c r="BU110" s="15" t="str">
        <f t="shared" si="35"/>
        <v>OK - Balanced</v>
      </c>
    </row>
    <row r="111" spans="1:73" ht="15.75" customHeight="1" x14ac:dyDescent="0.25">
      <c r="A111" s="8" t="s">
        <v>3005</v>
      </c>
      <c r="B111" s="8" t="s">
        <v>3390</v>
      </c>
      <c r="C111" s="8" t="s">
        <v>40</v>
      </c>
      <c r="D111" s="8" t="s">
        <v>3687</v>
      </c>
      <c r="E111" s="8" t="s">
        <v>3688</v>
      </c>
      <c r="F111" s="8" t="s">
        <v>43</v>
      </c>
      <c r="G111" s="8"/>
      <c r="H111" s="8">
        <v>100</v>
      </c>
      <c r="I111" s="8" t="s">
        <v>3689</v>
      </c>
      <c r="J111" s="8">
        <v>1</v>
      </c>
      <c r="K111" s="8">
        <v>242</v>
      </c>
      <c r="L111" s="8">
        <v>243</v>
      </c>
      <c r="M111" s="8">
        <v>245</v>
      </c>
      <c r="N111" s="8">
        <v>423</v>
      </c>
      <c r="O111" s="8">
        <v>424</v>
      </c>
      <c r="P111" s="8">
        <v>422</v>
      </c>
      <c r="Q111" s="9" t="s">
        <v>47</v>
      </c>
      <c r="R111" s="16"/>
      <c r="S111" s="10">
        <v>10</v>
      </c>
      <c r="T111" s="10">
        <v>30</v>
      </c>
      <c r="U111" s="10">
        <v>10</v>
      </c>
      <c r="V111" s="11">
        <v>26</v>
      </c>
      <c r="W111" s="12" t="s">
        <v>47</v>
      </c>
      <c r="X111" s="17"/>
      <c r="Y111" s="13">
        <v>27</v>
      </c>
      <c r="Z111" s="13">
        <v>30</v>
      </c>
      <c r="AA111" s="13">
        <v>23</v>
      </c>
      <c r="AB111" s="14">
        <v>13</v>
      </c>
      <c r="AC111" s="9"/>
      <c r="AD111" s="16"/>
      <c r="AE111" s="10"/>
      <c r="AF111" s="10"/>
      <c r="AG111" s="10"/>
      <c r="AH111" s="11"/>
      <c r="AI111" s="12"/>
      <c r="AJ111" s="17"/>
      <c r="AK111" s="13"/>
      <c r="AL111" s="13"/>
      <c r="AM111" s="13"/>
      <c r="AN111" s="14"/>
      <c r="AO111" s="9"/>
      <c r="AP111" s="16"/>
      <c r="AQ111" s="10"/>
      <c r="AR111" s="10"/>
      <c r="AS111" s="10"/>
      <c r="AT111" s="11"/>
      <c r="AU111" s="12"/>
      <c r="AV111" s="17"/>
      <c r="AW111" s="13"/>
      <c r="AX111" s="13"/>
      <c r="AY111" s="13"/>
      <c r="AZ111" s="14"/>
      <c r="BA111" s="9"/>
      <c r="BB111" s="16"/>
      <c r="BC111" s="10"/>
      <c r="BD111" s="10"/>
      <c r="BE111" s="10"/>
      <c r="BF111" s="11"/>
      <c r="BG111" s="12"/>
      <c r="BH111" s="17"/>
      <c r="BI111" s="13"/>
      <c r="BJ111" s="13"/>
      <c r="BK111" s="13"/>
      <c r="BL111" s="14"/>
      <c r="BM111" s="8">
        <f t="shared" si="27"/>
        <v>37</v>
      </c>
      <c r="BN111" s="8">
        <f t="shared" si="28"/>
        <v>60</v>
      </c>
      <c r="BO111" s="8">
        <f t="shared" si="29"/>
        <v>33</v>
      </c>
      <c r="BP111" s="8">
        <f t="shared" si="30"/>
        <v>39</v>
      </c>
      <c r="BQ111" s="8">
        <f t="shared" si="31"/>
        <v>60</v>
      </c>
      <c r="BR111" s="8">
        <f t="shared" si="32"/>
        <v>33</v>
      </c>
      <c r="BS111" s="15">
        <f t="shared" si="33"/>
        <v>43.959449496098102</v>
      </c>
      <c r="BT111" s="15" t="str">
        <f t="shared" si="34"/>
        <v>OK - No Upgrade</v>
      </c>
      <c r="BU111" s="15" t="str">
        <f t="shared" si="35"/>
        <v>Need to Balance</v>
      </c>
    </row>
    <row r="112" spans="1:73" ht="15.75" customHeight="1" x14ac:dyDescent="0.25">
      <c r="A112" s="8" t="s">
        <v>3005</v>
      </c>
      <c r="B112" s="8" t="s">
        <v>3390</v>
      </c>
      <c r="C112" s="8" t="s">
        <v>40</v>
      </c>
      <c r="D112" s="8" t="s">
        <v>3676</v>
      </c>
      <c r="E112" s="8" t="s">
        <v>3690</v>
      </c>
      <c r="F112" s="8" t="s">
        <v>43</v>
      </c>
      <c r="G112" s="8"/>
      <c r="H112" s="8">
        <v>315</v>
      </c>
      <c r="I112" s="8" t="s">
        <v>2369</v>
      </c>
      <c r="J112" s="8">
        <v>1</v>
      </c>
      <c r="K112" s="8">
        <v>252</v>
      </c>
      <c r="L112" s="8">
        <v>255</v>
      </c>
      <c r="M112" s="8">
        <v>255</v>
      </c>
      <c r="N112" s="8">
        <v>439</v>
      </c>
      <c r="O112" s="8">
        <v>439</v>
      </c>
      <c r="P112" s="8">
        <v>444</v>
      </c>
      <c r="Q112" s="9" t="s">
        <v>46</v>
      </c>
      <c r="R112" s="16"/>
      <c r="S112" s="10">
        <v>138</v>
      </c>
      <c r="T112" s="10">
        <v>134</v>
      </c>
      <c r="U112" s="10">
        <v>175</v>
      </c>
      <c r="V112" s="11">
        <v>26</v>
      </c>
      <c r="W112" s="12" t="s">
        <v>46</v>
      </c>
      <c r="X112" s="17"/>
      <c r="Y112" s="13">
        <v>179</v>
      </c>
      <c r="Z112" s="13">
        <v>150</v>
      </c>
      <c r="AA112" s="13">
        <v>180</v>
      </c>
      <c r="AB112" s="14">
        <v>33</v>
      </c>
      <c r="AC112" s="9"/>
      <c r="AD112" s="16"/>
      <c r="AE112" s="10"/>
      <c r="AF112" s="10"/>
      <c r="AG112" s="10"/>
      <c r="AH112" s="11"/>
      <c r="AI112" s="12"/>
      <c r="AJ112" s="17"/>
      <c r="AK112" s="13"/>
      <c r="AL112" s="13"/>
      <c r="AM112" s="13"/>
      <c r="AN112" s="14"/>
      <c r="AO112" s="9"/>
      <c r="AP112" s="16"/>
      <c r="AQ112" s="10"/>
      <c r="AR112" s="10"/>
      <c r="AS112" s="10"/>
      <c r="AT112" s="11"/>
      <c r="AU112" s="12"/>
      <c r="AV112" s="17"/>
      <c r="AW112" s="13"/>
      <c r="AX112" s="13"/>
      <c r="AY112" s="13"/>
      <c r="AZ112" s="14"/>
      <c r="BA112" s="9"/>
      <c r="BB112" s="16"/>
      <c r="BC112" s="10"/>
      <c r="BD112" s="10"/>
      <c r="BE112" s="10"/>
      <c r="BF112" s="11"/>
      <c r="BG112" s="12"/>
      <c r="BH112" s="17"/>
      <c r="BI112" s="13"/>
      <c r="BJ112" s="13"/>
      <c r="BK112" s="13"/>
      <c r="BL112" s="14"/>
      <c r="BM112" s="8">
        <f t="shared" si="27"/>
        <v>317</v>
      </c>
      <c r="BN112" s="8">
        <f t="shared" si="28"/>
        <v>284</v>
      </c>
      <c r="BO112" s="8">
        <f t="shared" si="29"/>
        <v>355</v>
      </c>
      <c r="BP112" s="8">
        <f t="shared" si="30"/>
        <v>59</v>
      </c>
      <c r="BQ112" s="8">
        <f t="shared" si="31"/>
        <v>355</v>
      </c>
      <c r="BR112" s="8">
        <f t="shared" si="32"/>
        <v>284</v>
      </c>
      <c r="BS112" s="15">
        <f t="shared" si="33"/>
        <v>85.692526382721169</v>
      </c>
      <c r="BT112" s="15" t="str">
        <f t="shared" si="34"/>
        <v>Upgrade</v>
      </c>
      <c r="BU112" s="15" t="str">
        <f t="shared" si="35"/>
        <v>Need to Balance</v>
      </c>
    </row>
    <row r="113" spans="1:73" ht="15.75" customHeight="1" x14ac:dyDescent="0.25">
      <c r="A113" s="8" t="s">
        <v>3005</v>
      </c>
      <c r="B113" s="8" t="s">
        <v>3390</v>
      </c>
      <c r="C113" s="8" t="s">
        <v>40</v>
      </c>
      <c r="D113" s="8" t="s">
        <v>3691</v>
      </c>
      <c r="E113" s="8" t="s">
        <v>3692</v>
      </c>
      <c r="F113" s="8" t="s">
        <v>43</v>
      </c>
      <c r="G113" s="8"/>
      <c r="H113" s="8">
        <v>315</v>
      </c>
      <c r="I113" s="8" t="s">
        <v>2375</v>
      </c>
      <c r="J113" s="8">
        <v>1</v>
      </c>
      <c r="K113" s="8">
        <v>249</v>
      </c>
      <c r="L113" s="8">
        <v>251</v>
      </c>
      <c r="M113" s="8">
        <v>251</v>
      </c>
      <c r="N113" s="8">
        <v>434</v>
      </c>
      <c r="O113" s="8">
        <v>436</v>
      </c>
      <c r="P113" s="8">
        <v>437</v>
      </c>
      <c r="Q113" s="9" t="s">
        <v>47</v>
      </c>
      <c r="R113" s="16"/>
      <c r="S113" s="10">
        <v>188</v>
      </c>
      <c r="T113" s="10">
        <v>126</v>
      </c>
      <c r="U113" s="10">
        <v>121</v>
      </c>
      <c r="V113" s="11">
        <v>60</v>
      </c>
      <c r="W113" s="12"/>
      <c r="X113" s="17"/>
      <c r="Y113" s="13">
        <v>0</v>
      </c>
      <c r="Z113" s="13">
        <v>0</v>
      </c>
      <c r="AA113" s="13">
        <v>0</v>
      </c>
      <c r="AB113" s="14">
        <v>0</v>
      </c>
      <c r="AC113" s="9"/>
      <c r="AD113" s="16"/>
      <c r="AE113" s="10"/>
      <c r="AF113" s="10"/>
      <c r="AG113" s="10"/>
      <c r="AH113" s="11"/>
      <c r="AI113" s="12"/>
      <c r="AJ113" s="17"/>
      <c r="AK113" s="13"/>
      <c r="AL113" s="13"/>
      <c r="AM113" s="13"/>
      <c r="AN113" s="14"/>
      <c r="AO113" s="9"/>
      <c r="AP113" s="16"/>
      <c r="AQ113" s="10"/>
      <c r="AR113" s="10"/>
      <c r="AS113" s="10"/>
      <c r="AT113" s="11"/>
      <c r="AU113" s="12"/>
      <c r="AV113" s="17"/>
      <c r="AW113" s="13"/>
      <c r="AX113" s="13"/>
      <c r="AY113" s="13"/>
      <c r="AZ113" s="14"/>
      <c r="BA113" s="9"/>
      <c r="BB113" s="16"/>
      <c r="BC113" s="10"/>
      <c r="BD113" s="10"/>
      <c r="BE113" s="10"/>
      <c r="BF113" s="11"/>
      <c r="BG113" s="12"/>
      <c r="BH113" s="17"/>
      <c r="BI113" s="13"/>
      <c r="BJ113" s="13"/>
      <c r="BK113" s="13"/>
      <c r="BL113" s="14"/>
      <c r="BM113" s="8">
        <f t="shared" si="27"/>
        <v>188</v>
      </c>
      <c r="BN113" s="8">
        <f t="shared" si="28"/>
        <v>126</v>
      </c>
      <c r="BO113" s="8">
        <f t="shared" si="29"/>
        <v>121</v>
      </c>
      <c r="BP113" s="8">
        <f t="shared" si="30"/>
        <v>60</v>
      </c>
      <c r="BQ113" s="8">
        <f t="shared" si="31"/>
        <v>188</v>
      </c>
      <c r="BR113" s="8">
        <f t="shared" si="32"/>
        <v>121</v>
      </c>
      <c r="BS113" s="15">
        <f t="shared" si="33"/>
        <v>44.863964917828511</v>
      </c>
      <c r="BT113" s="15" t="str">
        <f t="shared" si="34"/>
        <v>OK - No Upgrade</v>
      </c>
      <c r="BU113" s="15" t="str">
        <f t="shared" si="35"/>
        <v>Need to Balance</v>
      </c>
    </row>
    <row r="114" spans="1:73" ht="15.75" customHeight="1" x14ac:dyDescent="0.25">
      <c r="A114" s="8" t="s">
        <v>3005</v>
      </c>
      <c r="B114" s="8" t="s">
        <v>3390</v>
      </c>
      <c r="C114" s="8" t="s">
        <v>40</v>
      </c>
      <c r="D114" s="8" t="s">
        <v>3693</v>
      </c>
      <c r="E114" s="8" t="s">
        <v>3694</v>
      </c>
      <c r="F114" s="8" t="s">
        <v>43</v>
      </c>
      <c r="G114" s="8"/>
      <c r="H114" s="8">
        <v>200</v>
      </c>
      <c r="I114" s="8" t="s">
        <v>726</v>
      </c>
      <c r="J114" s="8">
        <v>1</v>
      </c>
      <c r="K114" s="8">
        <v>246</v>
      </c>
      <c r="L114" s="8">
        <v>246</v>
      </c>
      <c r="M114" s="8">
        <v>247</v>
      </c>
      <c r="N114" s="8">
        <v>426</v>
      </c>
      <c r="O114" s="8">
        <v>429</v>
      </c>
      <c r="P114" s="8">
        <v>430</v>
      </c>
      <c r="Q114" s="9" t="s">
        <v>47</v>
      </c>
      <c r="R114" s="16"/>
      <c r="S114" s="10">
        <v>24</v>
      </c>
      <c r="T114" s="10">
        <v>26</v>
      </c>
      <c r="U114" s="10">
        <v>20</v>
      </c>
      <c r="V114" s="11">
        <v>12</v>
      </c>
      <c r="W114" s="12" t="s">
        <v>46</v>
      </c>
      <c r="X114" s="17"/>
      <c r="Y114" s="13">
        <v>10</v>
      </c>
      <c r="Z114" s="13">
        <v>15</v>
      </c>
      <c r="AA114" s="13">
        <v>13</v>
      </c>
      <c r="AB114" s="14">
        <v>14</v>
      </c>
      <c r="AC114" s="9"/>
      <c r="AD114" s="16"/>
      <c r="AE114" s="10"/>
      <c r="AF114" s="10"/>
      <c r="AG114" s="10"/>
      <c r="AH114" s="11"/>
      <c r="AI114" s="12"/>
      <c r="AJ114" s="17"/>
      <c r="AK114" s="13"/>
      <c r="AL114" s="13"/>
      <c r="AM114" s="13"/>
      <c r="AN114" s="14"/>
      <c r="AO114" s="9"/>
      <c r="AP114" s="16"/>
      <c r="AQ114" s="10"/>
      <c r="AR114" s="10"/>
      <c r="AS114" s="10"/>
      <c r="AT114" s="11"/>
      <c r="AU114" s="12"/>
      <c r="AV114" s="17"/>
      <c r="AW114" s="13"/>
      <c r="AX114" s="13"/>
      <c r="AY114" s="13"/>
      <c r="AZ114" s="14"/>
      <c r="BA114" s="9"/>
      <c r="BB114" s="16"/>
      <c r="BC114" s="10"/>
      <c r="BD114" s="10"/>
      <c r="BE114" s="10"/>
      <c r="BF114" s="11"/>
      <c r="BG114" s="12"/>
      <c r="BH114" s="17"/>
      <c r="BI114" s="13"/>
      <c r="BJ114" s="13"/>
      <c r="BK114" s="13"/>
      <c r="BL114" s="14"/>
      <c r="BM114" s="8">
        <f t="shared" si="27"/>
        <v>34</v>
      </c>
      <c r="BN114" s="8">
        <f t="shared" si="28"/>
        <v>41</v>
      </c>
      <c r="BO114" s="8">
        <f t="shared" si="29"/>
        <v>33</v>
      </c>
      <c r="BP114" s="8">
        <f t="shared" si="30"/>
        <v>26</v>
      </c>
      <c r="BQ114" s="8">
        <f t="shared" si="31"/>
        <v>41</v>
      </c>
      <c r="BR114" s="8">
        <f t="shared" si="32"/>
        <v>33</v>
      </c>
      <c r="BS114" s="15">
        <f t="shared" si="33"/>
        <v>15.125999702499005</v>
      </c>
      <c r="BT114" s="15" t="str">
        <f t="shared" si="34"/>
        <v>OK - No Upgrade</v>
      </c>
      <c r="BU114" s="15" t="str">
        <f t="shared" si="35"/>
        <v>Need to Balance</v>
      </c>
    </row>
    <row r="115" spans="1:73" ht="15.75" customHeight="1" x14ac:dyDescent="0.25">
      <c r="A115" s="8" t="s">
        <v>3005</v>
      </c>
      <c r="B115" s="8" t="s">
        <v>3390</v>
      </c>
      <c r="C115" s="8" t="s">
        <v>40</v>
      </c>
      <c r="D115" s="8" t="s">
        <v>3695</v>
      </c>
      <c r="E115" s="8" t="s">
        <v>3696</v>
      </c>
      <c r="F115" s="8" t="s">
        <v>43</v>
      </c>
      <c r="G115" s="8"/>
      <c r="H115" s="8">
        <v>315</v>
      </c>
      <c r="I115" s="8" t="s">
        <v>3697</v>
      </c>
      <c r="J115" s="8">
        <v>1</v>
      </c>
      <c r="K115" s="8">
        <v>242</v>
      </c>
      <c r="L115" s="8">
        <v>244</v>
      </c>
      <c r="M115" s="8">
        <v>245</v>
      </c>
      <c r="N115" s="8">
        <v>420</v>
      </c>
      <c r="O115" s="8">
        <v>425</v>
      </c>
      <c r="P115" s="8">
        <v>425</v>
      </c>
      <c r="Q115" s="9" t="s">
        <v>47</v>
      </c>
      <c r="R115" s="16"/>
      <c r="S115" s="10">
        <v>141</v>
      </c>
      <c r="T115" s="10">
        <v>122</v>
      </c>
      <c r="U115" s="10">
        <v>111</v>
      </c>
      <c r="V115" s="11">
        <v>25</v>
      </c>
      <c r="W115" s="12" t="s">
        <v>47</v>
      </c>
      <c r="X115" s="17"/>
      <c r="Y115" s="13">
        <v>127</v>
      </c>
      <c r="Z115" s="13">
        <v>55</v>
      </c>
      <c r="AA115" s="13">
        <v>66</v>
      </c>
      <c r="AB115" s="14">
        <v>71</v>
      </c>
      <c r="AC115" s="9"/>
      <c r="AD115" s="16"/>
      <c r="AE115" s="10"/>
      <c r="AF115" s="10"/>
      <c r="AG115" s="10"/>
      <c r="AH115" s="11"/>
      <c r="AI115" s="12"/>
      <c r="AJ115" s="17"/>
      <c r="AK115" s="13"/>
      <c r="AL115" s="13"/>
      <c r="AM115" s="13"/>
      <c r="AN115" s="14"/>
      <c r="AO115" s="9"/>
      <c r="AP115" s="16"/>
      <c r="AQ115" s="10"/>
      <c r="AR115" s="10"/>
      <c r="AS115" s="10"/>
      <c r="AT115" s="11"/>
      <c r="AU115" s="12"/>
      <c r="AV115" s="17"/>
      <c r="AW115" s="13"/>
      <c r="AX115" s="13"/>
      <c r="AY115" s="13"/>
      <c r="AZ115" s="14"/>
      <c r="BA115" s="9"/>
      <c r="BB115" s="16"/>
      <c r="BC115" s="10"/>
      <c r="BD115" s="10"/>
      <c r="BE115" s="10"/>
      <c r="BF115" s="11"/>
      <c r="BG115" s="12"/>
      <c r="BH115" s="17"/>
      <c r="BI115" s="13"/>
      <c r="BJ115" s="13"/>
      <c r="BK115" s="13"/>
      <c r="BL115" s="14"/>
      <c r="BM115" s="8">
        <f t="shared" si="27"/>
        <v>268</v>
      </c>
      <c r="BN115" s="8">
        <f t="shared" si="28"/>
        <v>177</v>
      </c>
      <c r="BO115" s="8">
        <f t="shared" si="29"/>
        <v>177</v>
      </c>
      <c r="BP115" s="8">
        <f t="shared" si="30"/>
        <v>96</v>
      </c>
      <c r="BQ115" s="8">
        <f t="shared" si="31"/>
        <v>268</v>
      </c>
      <c r="BR115" s="8">
        <f t="shared" si="32"/>
        <v>177</v>
      </c>
      <c r="BS115" s="15">
        <f t="shared" si="33"/>
        <v>61.891948857127879</v>
      </c>
      <c r="BT115" s="15" t="str">
        <f t="shared" si="34"/>
        <v>OK - No Upgrade</v>
      </c>
      <c r="BU115" s="15" t="str">
        <f t="shared" si="35"/>
        <v>Need to Balance</v>
      </c>
    </row>
    <row r="116" spans="1:73" ht="15.75" customHeight="1" x14ac:dyDescent="0.25">
      <c r="A116" s="8" t="s">
        <v>3005</v>
      </c>
      <c r="B116" s="8" t="s">
        <v>3390</v>
      </c>
      <c r="C116" s="8" t="s">
        <v>40</v>
      </c>
      <c r="D116" s="8" t="s">
        <v>3698</v>
      </c>
      <c r="E116" s="8" t="s">
        <v>3699</v>
      </c>
      <c r="F116" s="8" t="s">
        <v>43</v>
      </c>
      <c r="G116" s="8"/>
      <c r="H116" s="8">
        <v>315</v>
      </c>
      <c r="I116" s="8" t="s">
        <v>3700</v>
      </c>
      <c r="J116" s="8">
        <v>1</v>
      </c>
      <c r="K116" s="8">
        <v>244</v>
      </c>
      <c r="L116" s="8">
        <v>245</v>
      </c>
      <c r="M116" s="8">
        <v>246</v>
      </c>
      <c r="N116" s="8">
        <v>424</v>
      </c>
      <c r="O116" s="8">
        <v>426</v>
      </c>
      <c r="P116" s="8">
        <v>426</v>
      </c>
      <c r="Q116" s="9" t="s">
        <v>47</v>
      </c>
      <c r="R116" s="16"/>
      <c r="S116" s="10">
        <v>16</v>
      </c>
      <c r="T116" s="10">
        <v>5</v>
      </c>
      <c r="U116" s="10">
        <v>5</v>
      </c>
      <c r="V116" s="11">
        <v>14</v>
      </c>
      <c r="W116" s="12" t="s">
        <v>46</v>
      </c>
      <c r="X116" s="17"/>
      <c r="Y116" s="13">
        <v>142</v>
      </c>
      <c r="Z116" s="13">
        <v>144</v>
      </c>
      <c r="AA116" s="13">
        <v>146</v>
      </c>
      <c r="AB116" s="14">
        <v>13</v>
      </c>
      <c r="AC116" s="9"/>
      <c r="AD116" s="16"/>
      <c r="AE116" s="10"/>
      <c r="AF116" s="10"/>
      <c r="AG116" s="10"/>
      <c r="AH116" s="11"/>
      <c r="AI116" s="12"/>
      <c r="AJ116" s="17"/>
      <c r="AK116" s="13"/>
      <c r="AL116" s="13"/>
      <c r="AM116" s="13"/>
      <c r="AN116" s="14"/>
      <c r="AO116" s="9"/>
      <c r="AP116" s="16"/>
      <c r="AQ116" s="10"/>
      <c r="AR116" s="10"/>
      <c r="AS116" s="10"/>
      <c r="AT116" s="11"/>
      <c r="AU116" s="12"/>
      <c r="AV116" s="17"/>
      <c r="AW116" s="13"/>
      <c r="AX116" s="13"/>
      <c r="AY116" s="13"/>
      <c r="AZ116" s="14"/>
      <c r="BA116" s="9"/>
      <c r="BB116" s="16"/>
      <c r="BC116" s="10"/>
      <c r="BD116" s="10"/>
      <c r="BE116" s="10"/>
      <c r="BF116" s="11"/>
      <c r="BG116" s="12"/>
      <c r="BH116" s="17"/>
      <c r="BI116" s="13"/>
      <c r="BJ116" s="13"/>
      <c r="BK116" s="13"/>
      <c r="BL116" s="14"/>
      <c r="BM116" s="8">
        <f t="shared" si="27"/>
        <v>158</v>
      </c>
      <c r="BN116" s="8">
        <f t="shared" si="28"/>
        <v>149</v>
      </c>
      <c r="BO116" s="8">
        <f t="shared" si="29"/>
        <v>151</v>
      </c>
      <c r="BP116" s="8">
        <f t="shared" si="30"/>
        <v>27</v>
      </c>
      <c r="BQ116" s="8">
        <f t="shared" si="31"/>
        <v>158</v>
      </c>
      <c r="BR116" s="8">
        <f t="shared" si="32"/>
        <v>149</v>
      </c>
      <c r="BS116" s="15">
        <f t="shared" si="33"/>
        <v>36.836046889096579</v>
      </c>
      <c r="BT116" s="15" t="str">
        <f t="shared" si="34"/>
        <v>OK - No Upgrade</v>
      </c>
      <c r="BU116" s="15" t="str">
        <f t="shared" si="35"/>
        <v>OK - Balanced</v>
      </c>
    </row>
    <row r="117" spans="1:73" ht="15.75" customHeight="1" x14ac:dyDescent="0.25">
      <c r="A117" s="8" t="s">
        <v>3005</v>
      </c>
      <c r="B117" s="8" t="s">
        <v>3390</v>
      </c>
      <c r="C117" s="8" t="s">
        <v>40</v>
      </c>
      <c r="D117" s="8" t="s">
        <v>3701</v>
      </c>
      <c r="E117" s="8" t="s">
        <v>3702</v>
      </c>
      <c r="F117" s="8" t="s">
        <v>43</v>
      </c>
      <c r="G117" s="8"/>
      <c r="H117" s="8">
        <v>100</v>
      </c>
      <c r="I117" s="8" t="s">
        <v>3703</v>
      </c>
      <c r="J117" s="8">
        <v>1</v>
      </c>
      <c r="K117" s="8">
        <v>248</v>
      </c>
      <c r="L117" s="8">
        <v>249</v>
      </c>
      <c r="M117" s="8">
        <v>249</v>
      </c>
      <c r="N117" s="8">
        <v>420</v>
      </c>
      <c r="O117" s="8">
        <v>432</v>
      </c>
      <c r="P117" s="8">
        <v>432</v>
      </c>
      <c r="Q117" s="9" t="s">
        <v>132</v>
      </c>
      <c r="R117" s="16"/>
      <c r="S117" s="10">
        <v>5</v>
      </c>
      <c r="T117" s="10">
        <v>10</v>
      </c>
      <c r="U117" s="10">
        <v>5</v>
      </c>
      <c r="V117" s="11">
        <v>11</v>
      </c>
      <c r="W117" s="12"/>
      <c r="X117" s="17"/>
      <c r="Y117" s="13"/>
      <c r="Z117" s="13"/>
      <c r="AA117" s="13"/>
      <c r="AB117" s="14"/>
      <c r="AC117" s="9"/>
      <c r="AD117" s="16"/>
      <c r="AE117" s="10"/>
      <c r="AF117" s="10"/>
      <c r="AG117" s="10"/>
      <c r="AH117" s="11"/>
      <c r="AI117" s="12"/>
      <c r="AJ117" s="17"/>
      <c r="AK117" s="13"/>
      <c r="AL117" s="13"/>
      <c r="AM117" s="13"/>
      <c r="AN117" s="14"/>
      <c r="AO117" s="9"/>
      <c r="AP117" s="16"/>
      <c r="AQ117" s="10"/>
      <c r="AR117" s="10"/>
      <c r="AS117" s="10"/>
      <c r="AT117" s="11"/>
      <c r="AU117" s="12"/>
      <c r="AV117" s="17"/>
      <c r="AW117" s="13"/>
      <c r="AX117" s="13"/>
      <c r="AY117" s="13"/>
      <c r="AZ117" s="14"/>
      <c r="BA117" s="9"/>
      <c r="BB117" s="16"/>
      <c r="BC117" s="10"/>
      <c r="BD117" s="10"/>
      <c r="BE117" s="10"/>
      <c r="BF117" s="11"/>
      <c r="BG117" s="12"/>
      <c r="BH117" s="17"/>
      <c r="BI117" s="13"/>
      <c r="BJ117" s="13"/>
      <c r="BK117" s="13"/>
      <c r="BL117" s="14"/>
      <c r="BM117" s="8">
        <f t="shared" si="27"/>
        <v>5</v>
      </c>
      <c r="BN117" s="8">
        <f t="shared" si="28"/>
        <v>10</v>
      </c>
      <c r="BO117" s="8">
        <f t="shared" si="29"/>
        <v>5</v>
      </c>
      <c r="BP117" s="8">
        <f t="shared" si="30"/>
        <v>11</v>
      </c>
      <c r="BQ117" s="8">
        <f t="shared" si="31"/>
        <v>10</v>
      </c>
      <c r="BR117" s="8">
        <f t="shared" si="32"/>
        <v>5</v>
      </c>
      <c r="BS117" s="15">
        <f t="shared" si="33"/>
        <v>7.2746133917892832</v>
      </c>
      <c r="BT117" s="15" t="str">
        <f t="shared" si="34"/>
        <v>OK - No Upgrade</v>
      </c>
      <c r="BU117" s="15" t="str">
        <f t="shared" si="35"/>
        <v>Need to Balance</v>
      </c>
    </row>
    <row r="118" spans="1:73" ht="15.75" customHeight="1" x14ac:dyDescent="0.25">
      <c r="A118" s="8" t="s">
        <v>3005</v>
      </c>
      <c r="B118" s="8" t="s">
        <v>3390</v>
      </c>
      <c r="C118" s="8" t="s">
        <v>40</v>
      </c>
      <c r="D118" s="8" t="s">
        <v>3704</v>
      </c>
      <c r="E118" s="8" t="s">
        <v>3705</v>
      </c>
      <c r="F118" s="8" t="s">
        <v>43</v>
      </c>
      <c r="G118" s="8"/>
      <c r="H118" s="8">
        <v>100</v>
      </c>
      <c r="I118" s="8"/>
      <c r="J118" s="8">
        <v>1</v>
      </c>
      <c r="K118" s="8"/>
      <c r="L118" s="8"/>
      <c r="M118" s="8"/>
      <c r="N118" s="8"/>
      <c r="O118" s="8"/>
      <c r="P118" s="8"/>
      <c r="Q118" s="9"/>
      <c r="R118" s="16"/>
      <c r="S118" s="10"/>
      <c r="T118" s="10"/>
      <c r="U118" s="10"/>
      <c r="V118" s="11"/>
      <c r="W118" s="12"/>
      <c r="X118" s="17"/>
      <c r="Y118" s="13"/>
      <c r="Z118" s="13"/>
      <c r="AA118" s="13"/>
      <c r="AB118" s="14"/>
      <c r="AC118" s="9"/>
      <c r="AD118" s="16"/>
      <c r="AE118" s="10"/>
      <c r="AF118" s="10"/>
      <c r="AG118" s="10"/>
      <c r="AH118" s="11"/>
      <c r="AI118" s="12"/>
      <c r="AJ118" s="17"/>
      <c r="AK118" s="13"/>
      <c r="AL118" s="13"/>
      <c r="AM118" s="13"/>
      <c r="AN118" s="14"/>
      <c r="AO118" s="9"/>
      <c r="AP118" s="16"/>
      <c r="AQ118" s="10"/>
      <c r="AR118" s="10"/>
      <c r="AS118" s="10"/>
      <c r="AT118" s="11"/>
      <c r="AU118" s="12"/>
      <c r="AV118" s="17"/>
      <c r="AW118" s="13"/>
      <c r="AX118" s="13"/>
      <c r="AY118" s="13"/>
      <c r="AZ118" s="14"/>
      <c r="BA118" s="9"/>
      <c r="BB118" s="16"/>
      <c r="BC118" s="10"/>
      <c r="BD118" s="10"/>
      <c r="BE118" s="10"/>
      <c r="BF118" s="11"/>
      <c r="BG118" s="12"/>
      <c r="BH118" s="17"/>
      <c r="BI118" s="13"/>
      <c r="BJ118" s="13"/>
      <c r="BK118" s="13"/>
      <c r="BL118" s="14"/>
      <c r="BM118" s="8">
        <f t="shared" si="27"/>
        <v>0</v>
      </c>
      <c r="BN118" s="8">
        <f t="shared" si="28"/>
        <v>0</v>
      </c>
      <c r="BO118" s="8">
        <f t="shared" si="29"/>
        <v>0</v>
      </c>
      <c r="BP118" s="8">
        <f t="shared" si="30"/>
        <v>0</v>
      </c>
      <c r="BQ118" s="8">
        <f t="shared" si="31"/>
        <v>0</v>
      </c>
      <c r="BR118" s="8">
        <f t="shared" si="32"/>
        <v>0</v>
      </c>
      <c r="BS118" s="15">
        <f t="shared" si="33"/>
        <v>0</v>
      </c>
      <c r="BT118" s="15" t="str">
        <f t="shared" si="34"/>
        <v>OK - No Upgrade</v>
      </c>
      <c r="BU118" s="15" t="str">
        <f t="shared" si="35"/>
        <v>OK - Balanced</v>
      </c>
    </row>
    <row r="119" spans="1:73" ht="15.75" customHeight="1" x14ac:dyDescent="0.25">
      <c r="A119" s="8" t="s">
        <v>3005</v>
      </c>
      <c r="B119" s="8" t="s">
        <v>3390</v>
      </c>
      <c r="C119" s="8" t="s">
        <v>40</v>
      </c>
      <c r="D119" s="8" t="s">
        <v>3706</v>
      </c>
      <c r="E119" s="8" t="s">
        <v>3707</v>
      </c>
      <c r="F119" s="8" t="s">
        <v>43</v>
      </c>
      <c r="G119" s="8"/>
      <c r="H119" s="8">
        <v>100</v>
      </c>
      <c r="I119" s="8" t="s">
        <v>3708</v>
      </c>
      <c r="J119" s="8">
        <v>1</v>
      </c>
      <c r="K119" s="8">
        <v>249</v>
      </c>
      <c r="L119" s="8">
        <v>248</v>
      </c>
      <c r="M119" s="8">
        <v>250</v>
      </c>
      <c r="N119" s="8">
        <v>431</v>
      </c>
      <c r="O119" s="8">
        <v>434</v>
      </c>
      <c r="P119" s="8">
        <v>432</v>
      </c>
      <c r="Q119" s="9" t="s">
        <v>46</v>
      </c>
      <c r="R119" s="16"/>
      <c r="S119" s="10">
        <v>20</v>
      </c>
      <c r="T119" s="10">
        <v>55</v>
      </c>
      <c r="U119" s="10">
        <v>18</v>
      </c>
      <c r="V119" s="11">
        <v>31</v>
      </c>
      <c r="W119" s="12"/>
      <c r="X119" s="17"/>
      <c r="Y119" s="13"/>
      <c r="Z119" s="13"/>
      <c r="AA119" s="13"/>
      <c r="AB119" s="14"/>
      <c r="AC119" s="9"/>
      <c r="AD119" s="16"/>
      <c r="AE119" s="10"/>
      <c r="AF119" s="10"/>
      <c r="AG119" s="10"/>
      <c r="AH119" s="11"/>
      <c r="AI119" s="12"/>
      <c r="AJ119" s="17"/>
      <c r="AK119" s="13"/>
      <c r="AL119" s="13"/>
      <c r="AM119" s="13"/>
      <c r="AN119" s="14"/>
      <c r="AO119" s="9"/>
      <c r="AP119" s="16"/>
      <c r="AQ119" s="10"/>
      <c r="AR119" s="10"/>
      <c r="AS119" s="10"/>
      <c r="AT119" s="11"/>
      <c r="AU119" s="12"/>
      <c r="AV119" s="17"/>
      <c r="AW119" s="13"/>
      <c r="AX119" s="13"/>
      <c r="AY119" s="13"/>
      <c r="AZ119" s="14"/>
      <c r="BA119" s="9"/>
      <c r="BB119" s="16"/>
      <c r="BC119" s="10"/>
      <c r="BD119" s="10"/>
      <c r="BE119" s="10"/>
      <c r="BF119" s="11"/>
      <c r="BG119" s="12"/>
      <c r="BH119" s="17"/>
      <c r="BI119" s="13"/>
      <c r="BJ119" s="13"/>
      <c r="BK119" s="13"/>
      <c r="BL119" s="14"/>
      <c r="BM119" s="8">
        <f t="shared" si="27"/>
        <v>20</v>
      </c>
      <c r="BN119" s="8">
        <f t="shared" si="28"/>
        <v>55</v>
      </c>
      <c r="BO119" s="8">
        <f t="shared" si="29"/>
        <v>18</v>
      </c>
      <c r="BP119" s="8">
        <f t="shared" si="30"/>
        <v>31</v>
      </c>
      <c r="BQ119" s="8">
        <f t="shared" si="31"/>
        <v>55</v>
      </c>
      <c r="BR119" s="8">
        <f t="shared" si="32"/>
        <v>18</v>
      </c>
      <c r="BS119" s="15">
        <f t="shared" si="33"/>
        <v>41.058264393420238</v>
      </c>
      <c r="BT119" s="15" t="str">
        <f t="shared" si="34"/>
        <v>OK - No Upgrade</v>
      </c>
      <c r="BU119" s="15" t="str">
        <f t="shared" si="35"/>
        <v>Need to Balance</v>
      </c>
    </row>
    <row r="120" spans="1:73" ht="15.75" customHeight="1" x14ac:dyDescent="0.25">
      <c r="A120" s="8" t="s">
        <v>3005</v>
      </c>
      <c r="B120" s="8" t="s">
        <v>3390</v>
      </c>
      <c r="C120" s="8" t="s">
        <v>40</v>
      </c>
      <c r="D120" s="8" t="s">
        <v>3709</v>
      </c>
      <c r="E120" s="8" t="s">
        <v>3710</v>
      </c>
      <c r="F120" s="8" t="s">
        <v>43</v>
      </c>
      <c r="G120" s="8"/>
      <c r="H120" s="8">
        <v>315</v>
      </c>
      <c r="I120" s="8" t="s">
        <v>3711</v>
      </c>
      <c r="J120" s="8">
        <v>1</v>
      </c>
      <c r="K120" s="8">
        <v>251</v>
      </c>
      <c r="L120" s="8">
        <v>251</v>
      </c>
      <c r="M120" s="8">
        <v>251</v>
      </c>
      <c r="N120" s="8">
        <v>433</v>
      </c>
      <c r="O120" s="8">
        <v>434</v>
      </c>
      <c r="P120" s="8">
        <v>434</v>
      </c>
      <c r="Q120" s="9" t="s">
        <v>47</v>
      </c>
      <c r="R120" s="16"/>
      <c r="S120" s="10">
        <v>30</v>
      </c>
      <c r="T120" s="10">
        <v>43</v>
      </c>
      <c r="U120" s="10">
        <v>57</v>
      </c>
      <c r="V120" s="11">
        <v>26</v>
      </c>
      <c r="W120" s="12" t="s">
        <v>47</v>
      </c>
      <c r="X120" s="17"/>
      <c r="Y120" s="13">
        <v>6</v>
      </c>
      <c r="Z120" s="13">
        <v>8</v>
      </c>
      <c r="AA120" s="13">
        <v>1</v>
      </c>
      <c r="AB120" s="14">
        <v>9</v>
      </c>
      <c r="AC120" s="9"/>
      <c r="AD120" s="16"/>
      <c r="AE120" s="10"/>
      <c r="AF120" s="10"/>
      <c r="AG120" s="10"/>
      <c r="AH120" s="11"/>
      <c r="AI120" s="12"/>
      <c r="AJ120" s="17"/>
      <c r="AK120" s="13"/>
      <c r="AL120" s="13"/>
      <c r="AM120" s="13"/>
      <c r="AN120" s="14"/>
      <c r="AO120" s="9"/>
      <c r="AP120" s="16"/>
      <c r="AQ120" s="10"/>
      <c r="AR120" s="10"/>
      <c r="AS120" s="10"/>
      <c r="AT120" s="11"/>
      <c r="AU120" s="12"/>
      <c r="AV120" s="17"/>
      <c r="AW120" s="13"/>
      <c r="AX120" s="13"/>
      <c r="AY120" s="13"/>
      <c r="AZ120" s="14"/>
      <c r="BA120" s="9"/>
      <c r="BB120" s="16"/>
      <c r="BC120" s="10"/>
      <c r="BD120" s="10"/>
      <c r="BE120" s="10"/>
      <c r="BF120" s="11"/>
      <c r="BG120" s="12"/>
      <c r="BH120" s="17"/>
      <c r="BI120" s="13"/>
      <c r="BJ120" s="13"/>
      <c r="BK120" s="13"/>
      <c r="BL120" s="14"/>
      <c r="BM120" s="8">
        <f t="shared" si="27"/>
        <v>36</v>
      </c>
      <c r="BN120" s="8">
        <f t="shared" si="28"/>
        <v>51</v>
      </c>
      <c r="BO120" s="8">
        <f t="shared" si="29"/>
        <v>58</v>
      </c>
      <c r="BP120" s="8">
        <f t="shared" si="30"/>
        <v>35</v>
      </c>
      <c r="BQ120" s="8">
        <f t="shared" si="31"/>
        <v>58</v>
      </c>
      <c r="BR120" s="8">
        <f t="shared" si="32"/>
        <v>36</v>
      </c>
      <c r="BS120" s="15">
        <f t="shared" si="33"/>
        <v>13.809118724217392</v>
      </c>
      <c r="BT120" s="15" t="str">
        <f t="shared" si="34"/>
        <v>OK - No Upgrade</v>
      </c>
      <c r="BU120" s="15" t="str">
        <f t="shared" si="35"/>
        <v>Need to Balance</v>
      </c>
    </row>
    <row r="121" spans="1:73" ht="15.75" customHeight="1" x14ac:dyDescent="0.25">
      <c r="A121" s="8" t="s">
        <v>3005</v>
      </c>
      <c r="B121" s="8" t="s">
        <v>3390</v>
      </c>
      <c r="C121" s="8" t="s">
        <v>40</v>
      </c>
      <c r="D121" s="8" t="s">
        <v>3712</v>
      </c>
      <c r="E121" s="8" t="s">
        <v>3713</v>
      </c>
      <c r="F121" s="8" t="s">
        <v>43</v>
      </c>
      <c r="G121" s="8"/>
      <c r="H121" s="8">
        <v>315</v>
      </c>
      <c r="I121" s="8" t="s">
        <v>3714</v>
      </c>
      <c r="J121" s="8">
        <v>1</v>
      </c>
      <c r="K121" s="8">
        <v>251</v>
      </c>
      <c r="L121" s="8">
        <v>252</v>
      </c>
      <c r="M121" s="8">
        <v>253</v>
      </c>
      <c r="N121" s="8">
        <v>436</v>
      </c>
      <c r="O121" s="8">
        <v>437</v>
      </c>
      <c r="P121" s="8">
        <v>438</v>
      </c>
      <c r="Q121" s="9" t="s">
        <v>47</v>
      </c>
      <c r="R121" s="16"/>
      <c r="S121" s="10"/>
      <c r="T121" s="10"/>
      <c r="U121" s="10"/>
      <c r="V121" s="11"/>
      <c r="W121" s="12" t="s">
        <v>47</v>
      </c>
      <c r="X121" s="17"/>
      <c r="Y121" s="13">
        <v>20</v>
      </c>
      <c r="Z121" s="13">
        <v>18</v>
      </c>
      <c r="AA121" s="13">
        <v>24</v>
      </c>
      <c r="AB121" s="14">
        <v>4</v>
      </c>
      <c r="AC121" s="9"/>
      <c r="AD121" s="16"/>
      <c r="AE121" s="10"/>
      <c r="AF121" s="10"/>
      <c r="AG121" s="10"/>
      <c r="AH121" s="11"/>
      <c r="AI121" s="12"/>
      <c r="AJ121" s="17"/>
      <c r="AK121" s="13"/>
      <c r="AL121" s="13"/>
      <c r="AM121" s="13"/>
      <c r="AN121" s="14"/>
      <c r="AO121" s="9"/>
      <c r="AP121" s="16"/>
      <c r="AQ121" s="10"/>
      <c r="AR121" s="10"/>
      <c r="AS121" s="10"/>
      <c r="AT121" s="11"/>
      <c r="AU121" s="12"/>
      <c r="AV121" s="17"/>
      <c r="AW121" s="13"/>
      <c r="AX121" s="13"/>
      <c r="AY121" s="13"/>
      <c r="AZ121" s="14"/>
      <c r="BA121" s="9"/>
      <c r="BB121" s="16"/>
      <c r="BC121" s="10"/>
      <c r="BD121" s="10"/>
      <c r="BE121" s="10"/>
      <c r="BF121" s="11"/>
      <c r="BG121" s="12"/>
      <c r="BH121" s="17"/>
      <c r="BI121" s="13"/>
      <c r="BJ121" s="13"/>
      <c r="BK121" s="13"/>
      <c r="BL121" s="14"/>
      <c r="BM121" s="8">
        <f t="shared" si="27"/>
        <v>20</v>
      </c>
      <c r="BN121" s="8">
        <f t="shared" si="28"/>
        <v>18</v>
      </c>
      <c r="BO121" s="8">
        <f t="shared" si="29"/>
        <v>24</v>
      </c>
      <c r="BP121" s="8">
        <f t="shared" si="30"/>
        <v>4</v>
      </c>
      <c r="BQ121" s="8">
        <f t="shared" si="31"/>
        <v>24</v>
      </c>
      <c r="BR121" s="8">
        <f t="shared" si="32"/>
        <v>18</v>
      </c>
      <c r="BS121" s="15">
        <f t="shared" si="33"/>
        <v>5.7537078255240415</v>
      </c>
      <c r="BT121" s="15" t="str">
        <f t="shared" si="34"/>
        <v>OK - No Upgrade</v>
      </c>
      <c r="BU121" s="15" t="str">
        <f t="shared" si="35"/>
        <v>Need to Balance</v>
      </c>
    </row>
    <row r="122" spans="1:73" ht="15.75" customHeight="1" x14ac:dyDescent="0.25">
      <c r="A122" s="8" t="s">
        <v>3005</v>
      </c>
      <c r="B122" s="8" t="s">
        <v>3390</v>
      </c>
      <c r="C122" s="8" t="s">
        <v>40</v>
      </c>
      <c r="D122" s="8" t="s">
        <v>3715</v>
      </c>
      <c r="E122" s="8" t="s">
        <v>3716</v>
      </c>
      <c r="F122" s="8" t="s">
        <v>43</v>
      </c>
      <c r="G122" s="8"/>
      <c r="H122" s="8">
        <v>315</v>
      </c>
      <c r="I122" s="8" t="s">
        <v>3717</v>
      </c>
      <c r="J122" s="8">
        <v>1</v>
      </c>
      <c r="K122" s="8">
        <v>239</v>
      </c>
      <c r="L122" s="8">
        <v>241</v>
      </c>
      <c r="M122" s="8">
        <v>241</v>
      </c>
      <c r="N122" s="8">
        <v>416</v>
      </c>
      <c r="O122" s="8">
        <v>418</v>
      </c>
      <c r="P122" s="8">
        <v>419</v>
      </c>
      <c r="Q122" s="9" t="s">
        <v>47</v>
      </c>
      <c r="R122" s="16"/>
      <c r="S122" s="10">
        <v>52</v>
      </c>
      <c r="T122" s="10">
        <v>32</v>
      </c>
      <c r="U122" s="10">
        <v>24</v>
      </c>
      <c r="V122" s="11">
        <v>35</v>
      </c>
      <c r="W122" s="12" t="s">
        <v>47</v>
      </c>
      <c r="X122" s="17"/>
      <c r="Y122" s="13">
        <v>29</v>
      </c>
      <c r="Z122" s="13">
        <v>18</v>
      </c>
      <c r="AA122" s="13">
        <v>15</v>
      </c>
      <c r="AB122" s="14">
        <v>14</v>
      </c>
      <c r="AC122" s="9"/>
      <c r="AD122" s="16"/>
      <c r="AE122" s="10"/>
      <c r="AF122" s="10"/>
      <c r="AG122" s="10"/>
      <c r="AH122" s="11"/>
      <c r="AI122" s="12"/>
      <c r="AJ122" s="17"/>
      <c r="AK122" s="13"/>
      <c r="AL122" s="13"/>
      <c r="AM122" s="13"/>
      <c r="AN122" s="14"/>
      <c r="AO122" s="9"/>
      <c r="AP122" s="16"/>
      <c r="AQ122" s="10"/>
      <c r="AR122" s="10"/>
      <c r="AS122" s="10"/>
      <c r="AT122" s="11"/>
      <c r="AU122" s="12"/>
      <c r="AV122" s="17"/>
      <c r="AW122" s="13"/>
      <c r="AX122" s="13"/>
      <c r="AY122" s="13"/>
      <c r="AZ122" s="14"/>
      <c r="BA122" s="9"/>
      <c r="BB122" s="16"/>
      <c r="BC122" s="10"/>
      <c r="BD122" s="10"/>
      <c r="BE122" s="10"/>
      <c r="BF122" s="11"/>
      <c r="BG122" s="12"/>
      <c r="BH122" s="17"/>
      <c r="BI122" s="13"/>
      <c r="BJ122" s="13"/>
      <c r="BK122" s="13"/>
      <c r="BL122" s="14"/>
      <c r="BM122" s="8">
        <f t="shared" si="27"/>
        <v>81</v>
      </c>
      <c r="BN122" s="8">
        <f t="shared" si="28"/>
        <v>50</v>
      </c>
      <c r="BO122" s="8">
        <f t="shared" si="29"/>
        <v>39</v>
      </c>
      <c r="BP122" s="8">
        <f t="shared" si="30"/>
        <v>49</v>
      </c>
      <c r="BQ122" s="8">
        <f t="shared" si="31"/>
        <v>81</v>
      </c>
      <c r="BR122" s="8">
        <f t="shared" si="32"/>
        <v>39</v>
      </c>
      <c r="BS122" s="15">
        <f t="shared" si="33"/>
        <v>18.52799492439393</v>
      </c>
      <c r="BT122" s="15" t="str">
        <f t="shared" si="34"/>
        <v>OK - No Upgrade</v>
      </c>
      <c r="BU122" s="15" t="str">
        <f t="shared" si="35"/>
        <v>Need to Balance</v>
      </c>
    </row>
    <row r="123" spans="1:73" ht="15.75" customHeight="1" x14ac:dyDescent="0.25">
      <c r="A123" s="8" t="s">
        <v>3005</v>
      </c>
      <c r="B123" s="8" t="s">
        <v>3390</v>
      </c>
      <c r="C123" s="8" t="s">
        <v>40</v>
      </c>
      <c r="D123" s="8" t="s">
        <v>3718</v>
      </c>
      <c r="E123" s="8" t="s">
        <v>3719</v>
      </c>
      <c r="F123" s="8" t="s">
        <v>43</v>
      </c>
      <c r="G123" s="8"/>
      <c r="H123" s="8">
        <v>100</v>
      </c>
      <c r="I123" s="8" t="s">
        <v>3720</v>
      </c>
      <c r="J123" s="8">
        <v>1</v>
      </c>
      <c r="K123" s="8">
        <v>243</v>
      </c>
      <c r="L123" s="8">
        <v>245</v>
      </c>
      <c r="M123" s="8">
        <v>245</v>
      </c>
      <c r="N123" s="8">
        <v>423</v>
      </c>
      <c r="O123" s="8">
        <v>425</v>
      </c>
      <c r="P123" s="8">
        <v>425</v>
      </c>
      <c r="Q123" s="9" t="s">
        <v>47</v>
      </c>
      <c r="R123" s="16"/>
      <c r="S123" s="10">
        <v>13</v>
      </c>
      <c r="T123" s="10">
        <v>9</v>
      </c>
      <c r="U123" s="10">
        <v>5</v>
      </c>
      <c r="V123" s="11">
        <v>13</v>
      </c>
      <c r="W123" s="12"/>
      <c r="X123" s="17"/>
      <c r="Y123" s="13"/>
      <c r="Z123" s="13"/>
      <c r="AA123" s="13"/>
      <c r="AB123" s="14"/>
      <c r="AC123" s="9"/>
      <c r="AD123" s="16"/>
      <c r="AE123" s="10"/>
      <c r="AF123" s="10"/>
      <c r="AG123" s="10"/>
      <c r="AH123" s="11"/>
      <c r="AI123" s="12"/>
      <c r="AJ123" s="17"/>
      <c r="AK123" s="13"/>
      <c r="AL123" s="13"/>
      <c r="AM123" s="13"/>
      <c r="AN123" s="14"/>
      <c r="AO123" s="9"/>
      <c r="AP123" s="16"/>
      <c r="AQ123" s="10"/>
      <c r="AR123" s="10"/>
      <c r="AS123" s="10"/>
      <c r="AT123" s="11"/>
      <c r="AU123" s="12"/>
      <c r="AV123" s="17"/>
      <c r="AW123" s="13"/>
      <c r="AX123" s="13"/>
      <c r="AY123" s="13"/>
      <c r="AZ123" s="14"/>
      <c r="BA123" s="9"/>
      <c r="BB123" s="16"/>
      <c r="BC123" s="10"/>
      <c r="BD123" s="10"/>
      <c r="BE123" s="10"/>
      <c r="BF123" s="11"/>
      <c r="BG123" s="12"/>
      <c r="BH123" s="17"/>
      <c r="BI123" s="13"/>
      <c r="BJ123" s="13"/>
      <c r="BK123" s="13"/>
      <c r="BL123" s="14"/>
      <c r="BM123" s="8">
        <f t="shared" si="27"/>
        <v>13</v>
      </c>
      <c r="BN123" s="8">
        <f t="shared" si="28"/>
        <v>9</v>
      </c>
      <c r="BO123" s="8">
        <f t="shared" si="29"/>
        <v>5</v>
      </c>
      <c r="BP123" s="8">
        <f t="shared" si="30"/>
        <v>13</v>
      </c>
      <c r="BQ123" s="8">
        <f t="shared" si="31"/>
        <v>13</v>
      </c>
      <c r="BR123" s="8">
        <f t="shared" si="32"/>
        <v>5</v>
      </c>
      <c r="BS123" s="15">
        <f t="shared" si="33"/>
        <v>9.5245473908212563</v>
      </c>
      <c r="BT123" s="15" t="str">
        <f t="shared" si="34"/>
        <v>OK - No Upgrade</v>
      </c>
      <c r="BU123" s="15" t="str">
        <f t="shared" si="35"/>
        <v>Need to Balance</v>
      </c>
    </row>
    <row r="124" spans="1:73" ht="15.75" customHeight="1" x14ac:dyDescent="0.25">
      <c r="A124" s="8" t="s">
        <v>3005</v>
      </c>
      <c r="B124" s="8" t="s">
        <v>3390</v>
      </c>
      <c r="C124" s="8" t="s">
        <v>40</v>
      </c>
      <c r="D124" s="8" t="s">
        <v>3721</v>
      </c>
      <c r="E124" s="8" t="s">
        <v>3722</v>
      </c>
      <c r="F124" s="8" t="s">
        <v>43</v>
      </c>
      <c r="G124" s="8"/>
      <c r="H124" s="8">
        <v>315</v>
      </c>
      <c r="I124" s="8" t="s">
        <v>3723</v>
      </c>
      <c r="J124" s="8">
        <v>1</v>
      </c>
      <c r="K124" s="8">
        <v>246</v>
      </c>
      <c r="L124" s="8">
        <v>245</v>
      </c>
      <c r="M124" s="8">
        <v>245</v>
      </c>
      <c r="N124" s="8">
        <v>426</v>
      </c>
      <c r="O124" s="8">
        <v>425</v>
      </c>
      <c r="P124" s="8">
        <v>424</v>
      </c>
      <c r="Q124" s="9" t="s">
        <v>70</v>
      </c>
      <c r="R124" s="16"/>
      <c r="S124" s="10">
        <v>15</v>
      </c>
      <c r="T124" s="10">
        <v>18</v>
      </c>
      <c r="U124" s="10">
        <v>17</v>
      </c>
      <c r="V124" s="11">
        <v>19</v>
      </c>
      <c r="W124" s="12" t="s">
        <v>46</v>
      </c>
      <c r="X124" s="17"/>
      <c r="Y124" s="13">
        <v>57</v>
      </c>
      <c r="Z124" s="13">
        <v>52</v>
      </c>
      <c r="AA124" s="13">
        <v>45</v>
      </c>
      <c r="AB124" s="14">
        <v>40</v>
      </c>
      <c r="AC124" s="9"/>
      <c r="AD124" s="16"/>
      <c r="AE124" s="10"/>
      <c r="AF124" s="10"/>
      <c r="AG124" s="10"/>
      <c r="AH124" s="11"/>
      <c r="AI124" s="12"/>
      <c r="AJ124" s="17"/>
      <c r="AK124" s="13"/>
      <c r="AL124" s="13"/>
      <c r="AM124" s="13"/>
      <c r="AN124" s="14"/>
      <c r="AO124" s="9"/>
      <c r="AP124" s="16"/>
      <c r="AQ124" s="10"/>
      <c r="AR124" s="10"/>
      <c r="AS124" s="10"/>
      <c r="AT124" s="11"/>
      <c r="AU124" s="12"/>
      <c r="AV124" s="17"/>
      <c r="AW124" s="13"/>
      <c r="AX124" s="13"/>
      <c r="AY124" s="13"/>
      <c r="AZ124" s="14"/>
      <c r="BA124" s="9"/>
      <c r="BB124" s="16"/>
      <c r="BC124" s="10"/>
      <c r="BD124" s="10"/>
      <c r="BE124" s="10"/>
      <c r="BF124" s="11"/>
      <c r="BG124" s="12"/>
      <c r="BH124" s="17"/>
      <c r="BI124" s="13"/>
      <c r="BJ124" s="13"/>
      <c r="BK124" s="13"/>
      <c r="BL124" s="14"/>
      <c r="BM124" s="8">
        <f t="shared" si="27"/>
        <v>72</v>
      </c>
      <c r="BN124" s="8">
        <f t="shared" si="28"/>
        <v>70</v>
      </c>
      <c r="BO124" s="8">
        <f t="shared" si="29"/>
        <v>62</v>
      </c>
      <c r="BP124" s="8">
        <f t="shared" si="30"/>
        <v>59</v>
      </c>
      <c r="BQ124" s="8">
        <f t="shared" si="31"/>
        <v>72</v>
      </c>
      <c r="BR124" s="8">
        <f t="shared" si="32"/>
        <v>62</v>
      </c>
      <c r="BS124" s="15">
        <f t="shared" si="33"/>
        <v>16.865226149127807</v>
      </c>
      <c r="BT124" s="15" t="str">
        <f t="shared" si="34"/>
        <v>OK - No Upgrade</v>
      </c>
      <c r="BU124" s="15" t="str">
        <f t="shared" si="35"/>
        <v>OK - Balanced</v>
      </c>
    </row>
    <row r="125" spans="1:73" ht="15.75" customHeight="1" x14ac:dyDescent="0.25">
      <c r="A125" s="8" t="s">
        <v>3005</v>
      </c>
      <c r="B125" s="8" t="s">
        <v>3390</v>
      </c>
      <c r="C125" s="8" t="s">
        <v>40</v>
      </c>
      <c r="D125" s="8" t="s">
        <v>3724</v>
      </c>
      <c r="E125" s="8" t="s">
        <v>3725</v>
      </c>
      <c r="F125" s="8" t="s">
        <v>43</v>
      </c>
      <c r="G125" s="8"/>
      <c r="H125" s="8">
        <v>100</v>
      </c>
      <c r="I125" s="8"/>
      <c r="J125" s="8">
        <v>1</v>
      </c>
      <c r="K125" s="8"/>
      <c r="L125" s="8"/>
      <c r="M125" s="8"/>
      <c r="N125" s="8"/>
      <c r="O125" s="8"/>
      <c r="P125" s="8"/>
      <c r="Q125" s="9"/>
      <c r="R125" s="16"/>
      <c r="S125" s="10"/>
      <c r="T125" s="10"/>
      <c r="U125" s="10"/>
      <c r="V125" s="11"/>
      <c r="W125" s="12"/>
      <c r="X125" s="17"/>
      <c r="Y125" s="13"/>
      <c r="Z125" s="13"/>
      <c r="AA125" s="13"/>
      <c r="AB125" s="14"/>
      <c r="AC125" s="9"/>
      <c r="AD125" s="16"/>
      <c r="AE125" s="10"/>
      <c r="AF125" s="10"/>
      <c r="AG125" s="10"/>
      <c r="AH125" s="11"/>
      <c r="AI125" s="12"/>
      <c r="AJ125" s="17"/>
      <c r="AK125" s="13"/>
      <c r="AL125" s="13"/>
      <c r="AM125" s="13"/>
      <c r="AN125" s="14"/>
      <c r="AO125" s="9"/>
      <c r="AP125" s="16"/>
      <c r="AQ125" s="10"/>
      <c r="AR125" s="10"/>
      <c r="AS125" s="10"/>
      <c r="AT125" s="11"/>
      <c r="AU125" s="12"/>
      <c r="AV125" s="17"/>
      <c r="AW125" s="13"/>
      <c r="AX125" s="13"/>
      <c r="AY125" s="13"/>
      <c r="AZ125" s="14"/>
      <c r="BA125" s="9"/>
      <c r="BB125" s="16"/>
      <c r="BC125" s="10"/>
      <c r="BD125" s="10"/>
      <c r="BE125" s="10"/>
      <c r="BF125" s="11"/>
      <c r="BG125" s="12"/>
      <c r="BH125" s="17"/>
      <c r="BI125" s="13"/>
      <c r="BJ125" s="13"/>
      <c r="BK125" s="13"/>
      <c r="BL125" s="14"/>
      <c r="BM125" s="8">
        <f t="shared" si="27"/>
        <v>0</v>
      </c>
      <c r="BN125" s="8">
        <f t="shared" si="28"/>
        <v>0</v>
      </c>
      <c r="BO125" s="8">
        <f t="shared" si="29"/>
        <v>0</v>
      </c>
      <c r="BP125" s="8">
        <f t="shared" si="30"/>
        <v>0</v>
      </c>
      <c r="BQ125" s="8">
        <f t="shared" si="31"/>
        <v>0</v>
      </c>
      <c r="BR125" s="8">
        <f t="shared" si="32"/>
        <v>0</v>
      </c>
      <c r="BS125" s="15">
        <f t="shared" si="33"/>
        <v>0</v>
      </c>
      <c r="BT125" s="15" t="str">
        <f t="shared" si="34"/>
        <v>OK - No Upgrade</v>
      </c>
      <c r="BU125" s="15" t="str">
        <f t="shared" si="35"/>
        <v>OK - Balanced</v>
      </c>
    </row>
    <row r="126" spans="1:73" ht="15.75" customHeight="1" x14ac:dyDescent="0.25">
      <c r="A126" s="8" t="s">
        <v>3005</v>
      </c>
      <c r="B126" s="8" t="s">
        <v>3390</v>
      </c>
      <c r="C126" s="8" t="s">
        <v>40</v>
      </c>
      <c r="D126" s="8" t="s">
        <v>3726</v>
      </c>
      <c r="E126" s="8" t="s">
        <v>3727</v>
      </c>
      <c r="F126" s="8" t="s">
        <v>43</v>
      </c>
      <c r="G126" s="8"/>
      <c r="H126" s="8">
        <v>100</v>
      </c>
      <c r="I126" s="8" t="s">
        <v>3728</v>
      </c>
      <c r="J126" s="8">
        <v>1</v>
      </c>
      <c r="K126" s="8">
        <v>249</v>
      </c>
      <c r="L126" s="8">
        <v>251</v>
      </c>
      <c r="M126" s="8">
        <v>250</v>
      </c>
      <c r="N126" s="8">
        <v>431</v>
      </c>
      <c r="O126" s="8">
        <v>434</v>
      </c>
      <c r="P126" s="8">
        <v>435</v>
      </c>
      <c r="Q126" s="9" t="s">
        <v>46</v>
      </c>
      <c r="R126" s="16"/>
      <c r="S126" s="10">
        <v>23</v>
      </c>
      <c r="T126" s="10">
        <v>20</v>
      </c>
      <c r="U126" s="10">
        <v>15</v>
      </c>
      <c r="V126" s="11">
        <v>22</v>
      </c>
      <c r="W126" s="12"/>
      <c r="X126" s="17"/>
      <c r="Y126" s="13"/>
      <c r="Z126" s="13"/>
      <c r="AA126" s="13"/>
      <c r="AB126" s="14"/>
      <c r="AC126" s="9"/>
      <c r="AD126" s="16"/>
      <c r="AE126" s="10"/>
      <c r="AF126" s="10"/>
      <c r="AG126" s="10"/>
      <c r="AH126" s="11"/>
      <c r="AI126" s="12"/>
      <c r="AJ126" s="17"/>
      <c r="AK126" s="13"/>
      <c r="AL126" s="13"/>
      <c r="AM126" s="13"/>
      <c r="AN126" s="14"/>
      <c r="AO126" s="9"/>
      <c r="AP126" s="16"/>
      <c r="AQ126" s="10"/>
      <c r="AR126" s="10"/>
      <c r="AS126" s="10"/>
      <c r="AT126" s="11"/>
      <c r="AU126" s="12"/>
      <c r="AV126" s="17"/>
      <c r="AW126" s="13"/>
      <c r="AX126" s="13"/>
      <c r="AY126" s="13"/>
      <c r="AZ126" s="14"/>
      <c r="BA126" s="9"/>
      <c r="BB126" s="16"/>
      <c r="BC126" s="10"/>
      <c r="BD126" s="10"/>
      <c r="BE126" s="10"/>
      <c r="BF126" s="11"/>
      <c r="BG126" s="12"/>
      <c r="BH126" s="17"/>
      <c r="BI126" s="13"/>
      <c r="BJ126" s="13"/>
      <c r="BK126" s="13"/>
      <c r="BL126" s="14"/>
      <c r="BM126" s="8">
        <f t="shared" si="27"/>
        <v>23</v>
      </c>
      <c r="BN126" s="8">
        <f t="shared" si="28"/>
        <v>20</v>
      </c>
      <c r="BO126" s="8">
        <f t="shared" si="29"/>
        <v>15</v>
      </c>
      <c r="BP126" s="8">
        <f t="shared" si="30"/>
        <v>22</v>
      </c>
      <c r="BQ126" s="8">
        <f t="shared" si="31"/>
        <v>23</v>
      </c>
      <c r="BR126" s="8">
        <f t="shared" si="32"/>
        <v>15</v>
      </c>
      <c r="BS126" s="15">
        <f t="shared" si="33"/>
        <v>17.169819655430278</v>
      </c>
      <c r="BT126" s="15" t="str">
        <f t="shared" si="34"/>
        <v>OK - No Upgrade</v>
      </c>
      <c r="BU126" s="15" t="str">
        <f t="shared" si="35"/>
        <v>Need to Balance</v>
      </c>
    </row>
    <row r="127" spans="1:73" ht="15.75" customHeight="1" x14ac:dyDescent="0.25">
      <c r="A127" s="8" t="s">
        <v>3005</v>
      </c>
      <c r="B127" s="8" t="s">
        <v>3390</v>
      </c>
      <c r="C127" s="8" t="s">
        <v>40</v>
      </c>
      <c r="D127" s="8" t="s">
        <v>3729</v>
      </c>
      <c r="E127" s="8" t="s">
        <v>3730</v>
      </c>
      <c r="F127" s="8" t="s">
        <v>43</v>
      </c>
      <c r="G127" s="8"/>
      <c r="H127" s="8">
        <v>100</v>
      </c>
      <c r="I127" s="8" t="s">
        <v>3731</v>
      </c>
      <c r="J127" s="8">
        <v>1</v>
      </c>
      <c r="K127" s="8">
        <v>243</v>
      </c>
      <c r="L127" s="8">
        <v>241</v>
      </c>
      <c r="M127" s="8">
        <v>243</v>
      </c>
      <c r="N127" s="8">
        <v>420</v>
      </c>
      <c r="O127" s="8">
        <v>420</v>
      </c>
      <c r="P127" s="8">
        <v>421</v>
      </c>
      <c r="Q127" s="9" t="s">
        <v>46</v>
      </c>
      <c r="R127" s="16"/>
      <c r="S127" s="10">
        <v>44</v>
      </c>
      <c r="T127" s="10">
        <v>54</v>
      </c>
      <c r="U127" s="10">
        <v>42</v>
      </c>
      <c r="V127" s="11">
        <v>50</v>
      </c>
      <c r="W127" s="12"/>
      <c r="X127" s="17"/>
      <c r="Y127" s="13"/>
      <c r="Z127" s="13"/>
      <c r="AA127" s="13"/>
      <c r="AB127" s="14"/>
      <c r="AC127" s="9"/>
      <c r="AD127" s="16"/>
      <c r="AE127" s="10"/>
      <c r="AF127" s="10"/>
      <c r="AG127" s="10"/>
      <c r="AH127" s="11"/>
      <c r="AI127" s="12"/>
      <c r="AJ127" s="17"/>
      <c r="AK127" s="13"/>
      <c r="AL127" s="13"/>
      <c r="AM127" s="13"/>
      <c r="AN127" s="14"/>
      <c r="AO127" s="9"/>
      <c r="AP127" s="16"/>
      <c r="AQ127" s="10"/>
      <c r="AR127" s="10"/>
      <c r="AS127" s="10"/>
      <c r="AT127" s="11"/>
      <c r="AU127" s="12"/>
      <c r="AV127" s="17"/>
      <c r="AW127" s="13"/>
      <c r="AX127" s="13"/>
      <c r="AY127" s="13"/>
      <c r="AZ127" s="14"/>
      <c r="BA127" s="9"/>
      <c r="BB127" s="16"/>
      <c r="BC127" s="10"/>
      <c r="BD127" s="10"/>
      <c r="BE127" s="10"/>
      <c r="BF127" s="11"/>
      <c r="BG127" s="12"/>
      <c r="BH127" s="17"/>
      <c r="BI127" s="13"/>
      <c r="BJ127" s="13"/>
      <c r="BK127" s="13"/>
      <c r="BL127" s="14"/>
      <c r="BM127" s="8">
        <f t="shared" si="27"/>
        <v>44</v>
      </c>
      <c r="BN127" s="8">
        <f t="shared" si="28"/>
        <v>54</v>
      </c>
      <c r="BO127" s="8">
        <f t="shared" si="29"/>
        <v>42</v>
      </c>
      <c r="BP127" s="8">
        <f t="shared" si="30"/>
        <v>50</v>
      </c>
      <c r="BQ127" s="8">
        <f t="shared" si="31"/>
        <v>54</v>
      </c>
      <c r="BR127" s="8">
        <f t="shared" si="32"/>
        <v>42</v>
      </c>
      <c r="BS127" s="15">
        <f t="shared" si="33"/>
        <v>39.282912315662131</v>
      </c>
      <c r="BT127" s="15" t="str">
        <f t="shared" si="34"/>
        <v>OK - No Upgrade</v>
      </c>
      <c r="BU127" s="15" t="str">
        <f t="shared" si="35"/>
        <v>Need to Balance</v>
      </c>
    </row>
    <row r="128" spans="1:73" ht="15.75" customHeight="1" x14ac:dyDescent="0.25">
      <c r="A128" s="8" t="s">
        <v>3005</v>
      </c>
      <c r="B128" s="8" t="s">
        <v>3390</v>
      </c>
      <c r="C128" s="8" t="s">
        <v>40</v>
      </c>
      <c r="D128" s="8" t="s">
        <v>3732</v>
      </c>
      <c r="E128" s="8" t="s">
        <v>3733</v>
      </c>
      <c r="F128" s="8" t="s">
        <v>43</v>
      </c>
      <c r="G128" s="8"/>
      <c r="H128" s="8">
        <v>100</v>
      </c>
      <c r="I128" s="8" t="s">
        <v>3734</v>
      </c>
      <c r="J128" s="8">
        <v>1</v>
      </c>
      <c r="K128" s="8">
        <v>242</v>
      </c>
      <c r="L128" s="8">
        <v>243</v>
      </c>
      <c r="M128" s="8">
        <v>244</v>
      </c>
      <c r="N128" s="8">
        <v>421</v>
      </c>
      <c r="O128" s="8">
        <v>423</v>
      </c>
      <c r="P128" s="8">
        <v>423</v>
      </c>
      <c r="Q128" s="9" t="s">
        <v>132</v>
      </c>
      <c r="R128" s="16"/>
      <c r="S128" s="10">
        <v>15</v>
      </c>
      <c r="T128" s="10">
        <v>18</v>
      </c>
      <c r="U128" s="10">
        <v>19</v>
      </c>
      <c r="V128" s="11">
        <v>25</v>
      </c>
      <c r="W128" s="12"/>
      <c r="X128" s="17"/>
      <c r="Y128" s="13"/>
      <c r="Z128" s="13"/>
      <c r="AA128" s="13"/>
      <c r="AB128" s="14"/>
      <c r="AC128" s="9"/>
      <c r="AD128" s="16"/>
      <c r="AE128" s="10"/>
      <c r="AF128" s="10"/>
      <c r="AG128" s="10"/>
      <c r="AH128" s="11"/>
      <c r="AI128" s="12"/>
      <c r="AJ128" s="17"/>
      <c r="AK128" s="13"/>
      <c r="AL128" s="13"/>
      <c r="AM128" s="13"/>
      <c r="AN128" s="14"/>
      <c r="AO128" s="9"/>
      <c r="AP128" s="16"/>
      <c r="AQ128" s="10"/>
      <c r="AR128" s="10"/>
      <c r="AS128" s="10"/>
      <c r="AT128" s="11"/>
      <c r="AU128" s="12"/>
      <c r="AV128" s="17"/>
      <c r="AW128" s="13"/>
      <c r="AX128" s="13"/>
      <c r="AY128" s="13"/>
      <c r="AZ128" s="14"/>
      <c r="BA128" s="9"/>
      <c r="BB128" s="16"/>
      <c r="BC128" s="10"/>
      <c r="BD128" s="10"/>
      <c r="BE128" s="10"/>
      <c r="BF128" s="11"/>
      <c r="BG128" s="12"/>
      <c r="BH128" s="17"/>
      <c r="BI128" s="13"/>
      <c r="BJ128" s="13"/>
      <c r="BK128" s="13"/>
      <c r="BL128" s="14"/>
      <c r="BM128" s="8">
        <f t="shared" si="27"/>
        <v>15</v>
      </c>
      <c r="BN128" s="8">
        <f t="shared" si="28"/>
        <v>18</v>
      </c>
      <c r="BO128" s="8">
        <f t="shared" si="29"/>
        <v>19</v>
      </c>
      <c r="BP128" s="8">
        <f t="shared" si="30"/>
        <v>25</v>
      </c>
      <c r="BQ128" s="8">
        <f t="shared" si="31"/>
        <v>19</v>
      </c>
      <c r="BR128" s="8">
        <f t="shared" si="32"/>
        <v>15</v>
      </c>
      <c r="BS128" s="15">
        <f t="shared" si="33"/>
        <v>13.854674409743451</v>
      </c>
      <c r="BT128" s="15" t="str">
        <f t="shared" si="34"/>
        <v>OK - No Upgrade</v>
      </c>
      <c r="BU128" s="15" t="str">
        <f t="shared" si="35"/>
        <v>OK - Balanced</v>
      </c>
    </row>
    <row r="129" spans="1:73" ht="15.75" customHeight="1" x14ac:dyDescent="0.25">
      <c r="A129" s="8" t="s">
        <v>3005</v>
      </c>
      <c r="B129" s="8" t="s">
        <v>3390</v>
      </c>
      <c r="C129" s="8" t="s">
        <v>40</v>
      </c>
      <c r="D129" s="8" t="s">
        <v>3735</v>
      </c>
      <c r="E129" s="8" t="s">
        <v>3736</v>
      </c>
      <c r="F129" s="8" t="s">
        <v>43</v>
      </c>
      <c r="G129" s="8"/>
      <c r="H129" s="8">
        <v>200</v>
      </c>
      <c r="I129" s="8" t="s">
        <v>3737</v>
      </c>
      <c r="J129" s="8">
        <v>1</v>
      </c>
      <c r="K129" s="8">
        <v>239</v>
      </c>
      <c r="L129" s="8">
        <v>240</v>
      </c>
      <c r="M129" s="8">
        <v>242</v>
      </c>
      <c r="N129" s="8">
        <v>415</v>
      </c>
      <c r="O129" s="8">
        <v>417</v>
      </c>
      <c r="P129" s="8">
        <v>418</v>
      </c>
      <c r="Q129" s="9" t="s">
        <v>46</v>
      </c>
      <c r="R129" s="16"/>
      <c r="S129" s="10">
        <v>29</v>
      </c>
      <c r="T129" s="10">
        <v>39</v>
      </c>
      <c r="U129" s="10">
        <v>15</v>
      </c>
      <c r="V129" s="11">
        <v>25</v>
      </c>
      <c r="W129" s="12" t="s">
        <v>46</v>
      </c>
      <c r="X129" s="17"/>
      <c r="Y129" s="13">
        <v>67</v>
      </c>
      <c r="Z129" s="13">
        <v>41</v>
      </c>
      <c r="AA129" s="13">
        <v>60</v>
      </c>
      <c r="AB129" s="14">
        <v>15</v>
      </c>
      <c r="AC129" s="9"/>
      <c r="AD129" s="16"/>
      <c r="AE129" s="10"/>
      <c r="AF129" s="10"/>
      <c r="AG129" s="10"/>
      <c r="AH129" s="11"/>
      <c r="AI129" s="12"/>
      <c r="AJ129" s="17"/>
      <c r="AK129" s="13"/>
      <c r="AL129" s="13"/>
      <c r="AM129" s="13"/>
      <c r="AN129" s="14"/>
      <c r="AO129" s="9"/>
      <c r="AP129" s="16"/>
      <c r="AQ129" s="10"/>
      <c r="AR129" s="10"/>
      <c r="AS129" s="10"/>
      <c r="AT129" s="11"/>
      <c r="AU129" s="12"/>
      <c r="AV129" s="17"/>
      <c r="AW129" s="13"/>
      <c r="AX129" s="13"/>
      <c r="AY129" s="13"/>
      <c r="AZ129" s="14"/>
      <c r="BA129" s="9"/>
      <c r="BB129" s="16"/>
      <c r="BC129" s="10"/>
      <c r="BD129" s="10"/>
      <c r="BE129" s="10"/>
      <c r="BF129" s="11"/>
      <c r="BG129" s="12"/>
      <c r="BH129" s="17"/>
      <c r="BI129" s="13"/>
      <c r="BJ129" s="13"/>
      <c r="BK129" s="13"/>
      <c r="BL129" s="14"/>
      <c r="BM129" s="8">
        <f t="shared" si="27"/>
        <v>96</v>
      </c>
      <c r="BN129" s="8">
        <f t="shared" si="28"/>
        <v>80</v>
      </c>
      <c r="BO129" s="8">
        <f t="shared" si="29"/>
        <v>75</v>
      </c>
      <c r="BP129" s="8">
        <f t="shared" si="30"/>
        <v>40</v>
      </c>
      <c r="BQ129" s="8">
        <f t="shared" si="31"/>
        <v>96</v>
      </c>
      <c r="BR129" s="8">
        <f t="shared" si="32"/>
        <v>75</v>
      </c>
      <c r="BS129" s="15">
        <f t="shared" si="33"/>
        <v>34.502452086772031</v>
      </c>
      <c r="BT129" s="15" t="str">
        <f t="shared" si="34"/>
        <v>OK - No Upgrade</v>
      </c>
      <c r="BU129" s="15" t="str">
        <f t="shared" si="35"/>
        <v>Need to Balance</v>
      </c>
    </row>
    <row r="130" spans="1:73" ht="15.75" customHeight="1" x14ac:dyDescent="0.25">
      <c r="A130" s="8" t="s">
        <v>3005</v>
      </c>
      <c r="B130" s="8" t="s">
        <v>3390</v>
      </c>
      <c r="C130" s="8" t="s">
        <v>40</v>
      </c>
      <c r="D130" s="8" t="s">
        <v>3738</v>
      </c>
      <c r="E130" s="8" t="s">
        <v>3739</v>
      </c>
      <c r="F130" s="8" t="s">
        <v>43</v>
      </c>
      <c r="G130" s="8"/>
      <c r="H130" s="8">
        <v>200</v>
      </c>
      <c r="I130" s="8" t="s">
        <v>2417</v>
      </c>
      <c r="J130" s="8">
        <v>1</v>
      </c>
      <c r="K130" s="8">
        <v>241</v>
      </c>
      <c r="L130" s="8">
        <v>242</v>
      </c>
      <c r="M130" s="8">
        <v>243</v>
      </c>
      <c r="N130" s="8">
        <v>419</v>
      </c>
      <c r="O130" s="8">
        <v>421</v>
      </c>
      <c r="P130" s="8">
        <v>422</v>
      </c>
      <c r="Q130" s="9" t="s">
        <v>46</v>
      </c>
      <c r="R130" s="16"/>
      <c r="S130" s="10">
        <v>15</v>
      </c>
      <c r="T130" s="10">
        <v>15</v>
      </c>
      <c r="U130" s="10">
        <v>10</v>
      </c>
      <c r="V130" s="11">
        <v>5</v>
      </c>
      <c r="W130" s="12"/>
      <c r="X130" s="17"/>
      <c r="Y130" s="13"/>
      <c r="Z130" s="13"/>
      <c r="AA130" s="13"/>
      <c r="AB130" s="14"/>
      <c r="AC130" s="9"/>
      <c r="AD130" s="16"/>
      <c r="AE130" s="10"/>
      <c r="AF130" s="10"/>
      <c r="AG130" s="10"/>
      <c r="AH130" s="11"/>
      <c r="AI130" s="12"/>
      <c r="AJ130" s="17"/>
      <c r="AK130" s="13"/>
      <c r="AL130" s="13"/>
      <c r="AM130" s="13"/>
      <c r="AN130" s="14"/>
      <c r="AO130" s="9"/>
      <c r="AP130" s="16"/>
      <c r="AQ130" s="10"/>
      <c r="AR130" s="10"/>
      <c r="AS130" s="10"/>
      <c r="AT130" s="11"/>
      <c r="AU130" s="12"/>
      <c r="AV130" s="17"/>
      <c r="AW130" s="13"/>
      <c r="AX130" s="13"/>
      <c r="AY130" s="13"/>
      <c r="AZ130" s="14"/>
      <c r="BA130" s="9"/>
      <c r="BB130" s="16"/>
      <c r="BC130" s="10"/>
      <c r="BD130" s="10"/>
      <c r="BE130" s="10"/>
      <c r="BF130" s="11"/>
      <c r="BG130" s="12"/>
      <c r="BH130" s="17"/>
      <c r="BI130" s="13"/>
      <c r="BJ130" s="13"/>
      <c r="BK130" s="13"/>
      <c r="BL130" s="14"/>
      <c r="BM130" s="8">
        <f t="shared" si="27"/>
        <v>15</v>
      </c>
      <c r="BN130" s="8">
        <f t="shared" si="28"/>
        <v>15</v>
      </c>
      <c r="BO130" s="8">
        <f t="shared" si="29"/>
        <v>10</v>
      </c>
      <c r="BP130" s="8">
        <f t="shared" si="30"/>
        <v>5</v>
      </c>
      <c r="BQ130" s="8">
        <f t="shared" si="31"/>
        <v>15</v>
      </c>
      <c r="BR130" s="8">
        <f t="shared" si="32"/>
        <v>10</v>
      </c>
      <c r="BS130" s="15">
        <f t="shared" si="33"/>
        <v>5.4429696627851962</v>
      </c>
      <c r="BT130" s="15" t="str">
        <f t="shared" si="34"/>
        <v>OK - No Upgrade</v>
      </c>
      <c r="BU130" s="15" t="str">
        <f t="shared" si="35"/>
        <v>Need to Balance</v>
      </c>
    </row>
    <row r="131" spans="1:73" ht="15.75" customHeight="1" x14ac:dyDescent="0.25">
      <c r="A131" s="8" t="s">
        <v>3005</v>
      </c>
      <c r="B131" s="8" t="s">
        <v>3390</v>
      </c>
      <c r="C131" s="8" t="s">
        <v>40</v>
      </c>
      <c r="D131" s="8" t="s">
        <v>3740</v>
      </c>
      <c r="E131" s="8" t="s">
        <v>3741</v>
      </c>
      <c r="F131" s="8" t="s">
        <v>43</v>
      </c>
      <c r="G131" s="8"/>
      <c r="H131" s="8">
        <v>100</v>
      </c>
      <c r="I131" s="8" t="s">
        <v>2420</v>
      </c>
      <c r="J131" s="8">
        <v>1</v>
      </c>
      <c r="K131" s="8">
        <v>232</v>
      </c>
      <c r="L131" s="8">
        <v>232</v>
      </c>
      <c r="M131" s="8">
        <v>234</v>
      </c>
      <c r="N131" s="8">
        <v>402</v>
      </c>
      <c r="O131" s="8">
        <v>406</v>
      </c>
      <c r="P131" s="8">
        <v>405</v>
      </c>
      <c r="Q131" s="9" t="s">
        <v>47</v>
      </c>
      <c r="R131" s="16"/>
      <c r="S131" s="10">
        <v>29</v>
      </c>
      <c r="T131" s="10">
        <v>20</v>
      </c>
      <c r="U131" s="10">
        <v>20</v>
      </c>
      <c r="V131" s="11">
        <v>9</v>
      </c>
      <c r="W131" s="12"/>
      <c r="X131" s="17"/>
      <c r="Y131" s="13"/>
      <c r="Z131" s="13"/>
      <c r="AA131" s="13"/>
      <c r="AB131" s="14"/>
      <c r="AC131" s="9"/>
      <c r="AD131" s="16"/>
      <c r="AE131" s="10"/>
      <c r="AF131" s="10"/>
      <c r="AG131" s="10"/>
      <c r="AH131" s="11"/>
      <c r="AI131" s="12"/>
      <c r="AJ131" s="17"/>
      <c r="AK131" s="13"/>
      <c r="AL131" s="13"/>
      <c r="AM131" s="13"/>
      <c r="AN131" s="14"/>
      <c r="AO131" s="9"/>
      <c r="AP131" s="16"/>
      <c r="AQ131" s="10"/>
      <c r="AR131" s="10"/>
      <c r="AS131" s="10"/>
      <c r="AT131" s="11"/>
      <c r="AU131" s="12"/>
      <c r="AV131" s="17"/>
      <c r="AW131" s="13"/>
      <c r="AX131" s="13"/>
      <c r="AY131" s="13"/>
      <c r="AZ131" s="14"/>
      <c r="BA131" s="9"/>
      <c r="BB131" s="16"/>
      <c r="BC131" s="10"/>
      <c r="BD131" s="10"/>
      <c r="BE131" s="10"/>
      <c r="BF131" s="11"/>
      <c r="BG131" s="12"/>
      <c r="BH131" s="17"/>
      <c r="BI131" s="13"/>
      <c r="BJ131" s="13"/>
      <c r="BK131" s="13"/>
      <c r="BL131" s="14"/>
      <c r="BM131" s="8">
        <f t="shared" si="27"/>
        <v>29</v>
      </c>
      <c r="BN131" s="8">
        <f t="shared" si="28"/>
        <v>20</v>
      </c>
      <c r="BO131" s="8">
        <f t="shared" si="29"/>
        <v>20</v>
      </c>
      <c r="BP131" s="8">
        <f t="shared" si="30"/>
        <v>9</v>
      </c>
      <c r="BQ131" s="8">
        <f t="shared" si="31"/>
        <v>29</v>
      </c>
      <c r="BR131" s="8">
        <f t="shared" si="32"/>
        <v>20</v>
      </c>
      <c r="BS131" s="15">
        <f t="shared" si="33"/>
        <v>20.192248314637968</v>
      </c>
      <c r="BT131" s="15" t="str">
        <f t="shared" si="34"/>
        <v>OK - No Upgrade</v>
      </c>
      <c r="BU131" s="15" t="str">
        <f t="shared" si="35"/>
        <v>Need to Balance</v>
      </c>
    </row>
    <row r="132" spans="1:73" ht="15.75" customHeight="1" x14ac:dyDescent="0.25">
      <c r="A132" s="8" t="s">
        <v>3005</v>
      </c>
      <c r="B132" s="8" t="s">
        <v>3390</v>
      </c>
      <c r="C132" s="8" t="s">
        <v>40</v>
      </c>
      <c r="D132" s="8" t="s">
        <v>3742</v>
      </c>
      <c r="E132" s="8" t="s">
        <v>3743</v>
      </c>
      <c r="F132" s="8" t="s">
        <v>43</v>
      </c>
      <c r="G132" s="8"/>
      <c r="H132" s="8">
        <v>100</v>
      </c>
      <c r="I132" s="8" t="s">
        <v>3744</v>
      </c>
      <c r="J132" s="8">
        <v>1</v>
      </c>
      <c r="K132" s="8">
        <v>242</v>
      </c>
      <c r="L132" s="8">
        <v>243</v>
      </c>
      <c r="M132" s="8">
        <v>244</v>
      </c>
      <c r="N132" s="8">
        <v>420</v>
      </c>
      <c r="O132" s="8">
        <v>422</v>
      </c>
      <c r="P132" s="8">
        <v>421</v>
      </c>
      <c r="Q132" s="9" t="s">
        <v>47</v>
      </c>
      <c r="R132" s="16"/>
      <c r="S132" s="10">
        <v>19</v>
      </c>
      <c r="T132" s="10">
        <v>18</v>
      </c>
      <c r="U132" s="10">
        <v>25</v>
      </c>
      <c r="V132" s="11">
        <v>28</v>
      </c>
      <c r="W132" s="12"/>
      <c r="X132" s="17"/>
      <c r="Y132" s="13"/>
      <c r="Z132" s="13"/>
      <c r="AA132" s="13"/>
      <c r="AB132" s="14"/>
      <c r="AC132" s="9"/>
      <c r="AD132" s="16"/>
      <c r="AE132" s="10"/>
      <c r="AF132" s="10"/>
      <c r="AG132" s="10"/>
      <c r="AH132" s="11"/>
      <c r="AI132" s="12"/>
      <c r="AJ132" s="17"/>
      <c r="AK132" s="13"/>
      <c r="AL132" s="13"/>
      <c r="AM132" s="13"/>
      <c r="AN132" s="14"/>
      <c r="AO132" s="9"/>
      <c r="AP132" s="16"/>
      <c r="AQ132" s="10"/>
      <c r="AR132" s="10"/>
      <c r="AS132" s="10"/>
      <c r="AT132" s="11"/>
      <c r="AU132" s="12"/>
      <c r="AV132" s="17"/>
      <c r="AW132" s="13"/>
      <c r="AX132" s="13"/>
      <c r="AY132" s="13"/>
      <c r="AZ132" s="14"/>
      <c r="BA132" s="9"/>
      <c r="BB132" s="16"/>
      <c r="BC132" s="10"/>
      <c r="BD132" s="10"/>
      <c r="BE132" s="10"/>
      <c r="BF132" s="11"/>
      <c r="BG132" s="12"/>
      <c r="BH132" s="17"/>
      <c r="BI132" s="13"/>
      <c r="BJ132" s="13"/>
      <c r="BK132" s="13"/>
      <c r="BL132" s="14"/>
      <c r="BM132" s="8">
        <f t="shared" si="27"/>
        <v>19</v>
      </c>
      <c r="BN132" s="8">
        <f t="shared" si="28"/>
        <v>18</v>
      </c>
      <c r="BO132" s="8">
        <f t="shared" si="29"/>
        <v>25</v>
      </c>
      <c r="BP132" s="8">
        <f t="shared" si="30"/>
        <v>28</v>
      </c>
      <c r="BQ132" s="8">
        <f t="shared" si="31"/>
        <v>25</v>
      </c>
      <c r="BR132" s="8">
        <f t="shared" si="32"/>
        <v>18</v>
      </c>
      <c r="BS132" s="15">
        <f t="shared" si="33"/>
        <v>18.186533479473212</v>
      </c>
      <c r="BT132" s="15" t="str">
        <f t="shared" ref="BT132:BT163" si="36">IF(BS132&gt;70,"Upgrade","OK - No Upgrade")</f>
        <v>OK - No Upgrade</v>
      </c>
      <c r="BU132" s="15" t="str">
        <f t="shared" si="35"/>
        <v>Need to Balance</v>
      </c>
    </row>
    <row r="133" spans="1:73" ht="15.75" customHeight="1" x14ac:dyDescent="0.25">
      <c r="A133" s="8" t="s">
        <v>3005</v>
      </c>
      <c r="B133" s="8" t="s">
        <v>3390</v>
      </c>
      <c r="C133" s="8" t="s">
        <v>40</v>
      </c>
      <c r="D133" s="8" t="s">
        <v>3745</v>
      </c>
      <c r="E133" s="8" t="s">
        <v>3746</v>
      </c>
      <c r="F133" s="8" t="s">
        <v>43</v>
      </c>
      <c r="G133" s="8"/>
      <c r="H133" s="8">
        <v>315</v>
      </c>
      <c r="I133" s="8" t="s">
        <v>3747</v>
      </c>
      <c r="J133" s="8">
        <v>1</v>
      </c>
      <c r="K133" s="8">
        <v>243</v>
      </c>
      <c r="L133" s="8">
        <v>241</v>
      </c>
      <c r="M133" s="8">
        <v>243</v>
      </c>
      <c r="N133" s="8">
        <v>420</v>
      </c>
      <c r="O133" s="8">
        <v>420</v>
      </c>
      <c r="P133" s="8">
        <v>420</v>
      </c>
      <c r="Q133" s="9" t="s">
        <v>46</v>
      </c>
      <c r="R133" s="16"/>
      <c r="S133" s="10">
        <v>25</v>
      </c>
      <c r="T133" s="10">
        <v>73</v>
      </c>
      <c r="U133" s="10">
        <v>82</v>
      </c>
      <c r="V133" s="11">
        <v>76</v>
      </c>
      <c r="W133" s="12" t="s">
        <v>47</v>
      </c>
      <c r="X133" s="17"/>
      <c r="Y133" s="13">
        <v>12</v>
      </c>
      <c r="Z133" s="13">
        <v>18</v>
      </c>
      <c r="AA133" s="13">
        <v>24</v>
      </c>
      <c r="AB133" s="14">
        <v>35</v>
      </c>
      <c r="AC133" s="9"/>
      <c r="AD133" s="16"/>
      <c r="AE133" s="10"/>
      <c r="AF133" s="10"/>
      <c r="AG133" s="10"/>
      <c r="AH133" s="11"/>
      <c r="AI133" s="12"/>
      <c r="AJ133" s="17"/>
      <c r="AK133" s="13"/>
      <c r="AL133" s="13"/>
      <c r="AM133" s="13"/>
      <c r="AN133" s="14"/>
      <c r="AO133" s="9"/>
      <c r="AP133" s="16"/>
      <c r="AQ133" s="10"/>
      <c r="AR133" s="10"/>
      <c r="AS133" s="10"/>
      <c r="AT133" s="11"/>
      <c r="AU133" s="12"/>
      <c r="AV133" s="17"/>
      <c r="AW133" s="13"/>
      <c r="AX133" s="13"/>
      <c r="AY133" s="13"/>
      <c r="AZ133" s="14"/>
      <c r="BA133" s="9"/>
      <c r="BB133" s="16"/>
      <c r="BC133" s="10"/>
      <c r="BD133" s="10"/>
      <c r="BE133" s="10"/>
      <c r="BF133" s="11"/>
      <c r="BG133" s="12"/>
      <c r="BH133" s="17"/>
      <c r="BI133" s="13"/>
      <c r="BJ133" s="13"/>
      <c r="BK133" s="13"/>
      <c r="BL133" s="14"/>
      <c r="BM133" s="8">
        <f t="shared" si="27"/>
        <v>37</v>
      </c>
      <c r="BN133" s="8">
        <f t="shared" si="28"/>
        <v>91</v>
      </c>
      <c r="BO133" s="8">
        <f t="shared" si="29"/>
        <v>106</v>
      </c>
      <c r="BP133" s="8">
        <f t="shared" si="30"/>
        <v>111</v>
      </c>
      <c r="BQ133" s="8">
        <f t="shared" si="31"/>
        <v>106</v>
      </c>
      <c r="BR133" s="8">
        <f t="shared" si="32"/>
        <v>37</v>
      </c>
      <c r="BS133" s="15">
        <f t="shared" si="33"/>
        <v>24.479651413640134</v>
      </c>
      <c r="BT133" s="15" t="str">
        <f t="shared" si="36"/>
        <v>OK - No Upgrade</v>
      </c>
      <c r="BU133" s="15" t="str">
        <f t="shared" si="35"/>
        <v>Need to Balance</v>
      </c>
    </row>
    <row r="134" spans="1:73" ht="15.75" customHeight="1" x14ac:dyDescent="0.25">
      <c r="A134" s="8" t="s">
        <v>3005</v>
      </c>
      <c r="B134" s="8" t="s">
        <v>3390</v>
      </c>
      <c r="C134" s="8" t="s">
        <v>40</v>
      </c>
      <c r="D134" s="8" t="s">
        <v>3748</v>
      </c>
      <c r="E134" s="8" t="s">
        <v>3749</v>
      </c>
      <c r="F134" s="8" t="s">
        <v>43</v>
      </c>
      <c r="G134" s="8"/>
      <c r="H134" s="8">
        <v>100</v>
      </c>
      <c r="I134" s="8" t="s">
        <v>2666</v>
      </c>
      <c r="J134" s="8">
        <v>1</v>
      </c>
      <c r="K134" s="8">
        <v>242</v>
      </c>
      <c r="L134" s="8">
        <v>243</v>
      </c>
      <c r="M134" s="8">
        <v>245</v>
      </c>
      <c r="N134" s="8">
        <v>418</v>
      </c>
      <c r="O134" s="8">
        <v>423</v>
      </c>
      <c r="P134" s="8">
        <v>423</v>
      </c>
      <c r="Q134" s="9" t="s">
        <v>46</v>
      </c>
      <c r="R134" s="16"/>
      <c r="S134" s="10">
        <v>30</v>
      </c>
      <c r="T134" s="10">
        <v>5</v>
      </c>
      <c r="U134" s="10">
        <v>12</v>
      </c>
      <c r="V134" s="11">
        <v>21</v>
      </c>
      <c r="W134" s="12"/>
      <c r="X134" s="17"/>
      <c r="Y134" s="13"/>
      <c r="Z134" s="13"/>
      <c r="AA134" s="13"/>
      <c r="AB134" s="14"/>
      <c r="AC134" s="9"/>
      <c r="AD134" s="16"/>
      <c r="AE134" s="10"/>
      <c r="AF134" s="10"/>
      <c r="AG134" s="10"/>
      <c r="AH134" s="11"/>
      <c r="AI134" s="12"/>
      <c r="AJ134" s="17"/>
      <c r="AK134" s="13"/>
      <c r="AL134" s="13"/>
      <c r="AM134" s="13"/>
      <c r="AN134" s="14"/>
      <c r="AO134" s="9"/>
      <c r="AP134" s="16"/>
      <c r="AQ134" s="10"/>
      <c r="AR134" s="10"/>
      <c r="AS134" s="10"/>
      <c r="AT134" s="11"/>
      <c r="AU134" s="12"/>
      <c r="AV134" s="17"/>
      <c r="AW134" s="13"/>
      <c r="AX134" s="13"/>
      <c r="AY134" s="13"/>
      <c r="AZ134" s="14"/>
      <c r="BA134" s="9"/>
      <c r="BB134" s="16"/>
      <c r="BC134" s="10"/>
      <c r="BD134" s="10"/>
      <c r="BE134" s="10"/>
      <c r="BF134" s="11"/>
      <c r="BG134" s="12"/>
      <c r="BH134" s="17"/>
      <c r="BI134" s="13"/>
      <c r="BJ134" s="13"/>
      <c r="BK134" s="13"/>
      <c r="BL134" s="14"/>
      <c r="BM134" s="8">
        <f t="shared" si="27"/>
        <v>30</v>
      </c>
      <c r="BN134" s="8">
        <f t="shared" si="28"/>
        <v>5</v>
      </c>
      <c r="BO134" s="8">
        <f t="shared" si="29"/>
        <v>12</v>
      </c>
      <c r="BP134" s="8">
        <f t="shared" si="30"/>
        <v>21</v>
      </c>
      <c r="BQ134" s="8">
        <f t="shared" si="31"/>
        <v>30</v>
      </c>
      <c r="BR134" s="8">
        <f t="shared" si="32"/>
        <v>5</v>
      </c>
      <c r="BS134" s="15">
        <f t="shared" si="33"/>
        <v>21.719917126913717</v>
      </c>
      <c r="BT134" s="15" t="str">
        <f t="shared" si="36"/>
        <v>OK - No Upgrade</v>
      </c>
      <c r="BU134" s="15" t="str">
        <f t="shared" si="35"/>
        <v>Need to Balance</v>
      </c>
    </row>
    <row r="135" spans="1:73" ht="15.75" customHeight="1" x14ac:dyDescent="0.25">
      <c r="A135" s="8" t="s">
        <v>3005</v>
      </c>
      <c r="B135" s="8" t="s">
        <v>3390</v>
      </c>
      <c r="C135" s="8" t="s">
        <v>40</v>
      </c>
      <c r="D135" s="8" t="s">
        <v>3750</v>
      </c>
      <c r="E135" s="8" t="s">
        <v>3751</v>
      </c>
      <c r="F135" s="8" t="s">
        <v>43</v>
      </c>
      <c r="G135" s="8"/>
      <c r="H135" s="8">
        <v>100</v>
      </c>
      <c r="I135" s="8" t="s">
        <v>2669</v>
      </c>
      <c r="J135" s="8">
        <v>1</v>
      </c>
      <c r="K135" s="8">
        <v>244</v>
      </c>
      <c r="L135" s="8">
        <v>244</v>
      </c>
      <c r="M135" s="8">
        <v>246</v>
      </c>
      <c r="N135" s="8">
        <v>4223</v>
      </c>
      <c r="O135" s="8">
        <v>426</v>
      </c>
      <c r="P135" s="8">
        <v>425</v>
      </c>
      <c r="Q135" s="9" t="s">
        <v>47</v>
      </c>
      <c r="R135" s="16"/>
      <c r="S135" s="10">
        <v>0</v>
      </c>
      <c r="T135" s="10">
        <v>0</v>
      </c>
      <c r="U135" s="10">
        <v>0</v>
      </c>
      <c r="V135" s="11">
        <v>0</v>
      </c>
      <c r="W135" s="12"/>
      <c r="X135" s="17"/>
      <c r="Y135" s="13"/>
      <c r="Z135" s="13"/>
      <c r="AA135" s="13"/>
      <c r="AB135" s="14"/>
      <c r="AC135" s="9"/>
      <c r="AD135" s="16"/>
      <c r="AE135" s="10"/>
      <c r="AF135" s="10"/>
      <c r="AG135" s="10"/>
      <c r="AH135" s="11"/>
      <c r="AI135" s="12"/>
      <c r="AJ135" s="17"/>
      <c r="AK135" s="13"/>
      <c r="AL135" s="13"/>
      <c r="AM135" s="13"/>
      <c r="AN135" s="14"/>
      <c r="AO135" s="9"/>
      <c r="AP135" s="16"/>
      <c r="AQ135" s="10"/>
      <c r="AR135" s="10"/>
      <c r="AS135" s="10"/>
      <c r="AT135" s="11"/>
      <c r="AU135" s="12"/>
      <c r="AV135" s="17"/>
      <c r="AW135" s="13"/>
      <c r="AX135" s="13"/>
      <c r="AY135" s="13"/>
      <c r="AZ135" s="14"/>
      <c r="BA135" s="9"/>
      <c r="BB135" s="16"/>
      <c r="BC135" s="10"/>
      <c r="BD135" s="10"/>
      <c r="BE135" s="10"/>
      <c r="BF135" s="11"/>
      <c r="BG135" s="12"/>
      <c r="BH135" s="17"/>
      <c r="BI135" s="13"/>
      <c r="BJ135" s="13"/>
      <c r="BK135" s="13"/>
      <c r="BL135" s="14"/>
      <c r="BM135" s="8">
        <f t="shared" si="27"/>
        <v>0</v>
      </c>
      <c r="BN135" s="8">
        <f t="shared" si="28"/>
        <v>0</v>
      </c>
      <c r="BO135" s="8">
        <f t="shared" si="29"/>
        <v>0</v>
      </c>
      <c r="BP135" s="8">
        <f t="shared" si="30"/>
        <v>0</v>
      </c>
      <c r="BQ135" s="8">
        <f t="shared" si="31"/>
        <v>0</v>
      </c>
      <c r="BR135" s="8">
        <f t="shared" si="32"/>
        <v>0</v>
      </c>
      <c r="BS135" s="15">
        <f t="shared" si="33"/>
        <v>0</v>
      </c>
      <c r="BT135" s="15" t="str">
        <f t="shared" si="36"/>
        <v>OK - No Upgrade</v>
      </c>
      <c r="BU135" s="15" t="str">
        <f t="shared" si="35"/>
        <v>OK - Balanced</v>
      </c>
    </row>
  </sheetData>
  <mergeCells count="79">
    <mergeCell ref="BU1:BU3"/>
    <mergeCell ref="BI2:BI3"/>
    <mergeCell ref="AE2:AE3"/>
    <mergeCell ref="AG2:AG3"/>
    <mergeCell ref="Y2:Y3"/>
    <mergeCell ref="AQ2:AQ3"/>
    <mergeCell ref="AS2:AS3"/>
    <mergeCell ref="AY2:AY3"/>
    <mergeCell ref="BK2:BK3"/>
    <mergeCell ref="AZ2:AZ3"/>
    <mergeCell ref="BB2:BB3"/>
    <mergeCell ref="BL2:BL3"/>
    <mergeCell ref="BN2:BN3"/>
    <mergeCell ref="AU1:AZ1"/>
    <mergeCell ref="AJ2:AJ3"/>
    <mergeCell ref="AL2:AL3"/>
    <mergeCell ref="BR1:BR3"/>
    <mergeCell ref="H1:H3"/>
    <mergeCell ref="AR2:AR3"/>
    <mergeCell ref="AT2:AT3"/>
    <mergeCell ref="E1:E3"/>
    <mergeCell ref="BF2:BF3"/>
    <mergeCell ref="K2:M2"/>
    <mergeCell ref="F1:F3"/>
    <mergeCell ref="J1:J3"/>
    <mergeCell ref="R2:R3"/>
    <mergeCell ref="AD2:AD3"/>
    <mergeCell ref="AN2:AN3"/>
    <mergeCell ref="AP2:AP3"/>
    <mergeCell ref="A1:A3"/>
    <mergeCell ref="BA1:BF1"/>
    <mergeCell ref="C1:C3"/>
    <mergeCell ref="D1:D2"/>
    <mergeCell ref="BQ1:BQ3"/>
    <mergeCell ref="BS1:BS3"/>
    <mergeCell ref="BA2:BA3"/>
    <mergeCell ref="S2:S3"/>
    <mergeCell ref="BC2:BC3"/>
    <mergeCell ref="K1:P1"/>
    <mergeCell ref="BM2:BM3"/>
    <mergeCell ref="BO2:BO3"/>
    <mergeCell ref="W1:AB1"/>
    <mergeCell ref="Q1:V1"/>
    <mergeCell ref="BP2:BP3"/>
    <mergeCell ref="AC1:AH1"/>
    <mergeCell ref="AO1:AT1"/>
    <mergeCell ref="Z2:Z3"/>
    <mergeCell ref="B1:B3"/>
    <mergeCell ref="AI1:AN1"/>
    <mergeCell ref="V2:V3"/>
    <mergeCell ref="X2:X3"/>
    <mergeCell ref="BG1:BL1"/>
    <mergeCell ref="BD2:BD3"/>
    <mergeCell ref="AV2:AV3"/>
    <mergeCell ref="AX2:AX3"/>
    <mergeCell ref="I1:I3"/>
    <mergeCell ref="BH2:BH3"/>
    <mergeCell ref="BJ2:BJ3"/>
    <mergeCell ref="AF2:AF3"/>
    <mergeCell ref="AH2:AH3"/>
    <mergeCell ref="Q2:Q3"/>
    <mergeCell ref="AI2:AI3"/>
    <mergeCell ref="AK2:AK3"/>
    <mergeCell ref="N2:P2"/>
    <mergeCell ref="G1:G3"/>
    <mergeCell ref="U2:U3"/>
    <mergeCell ref="BT1:BT3"/>
    <mergeCell ref="BE2:BE3"/>
    <mergeCell ref="W2:W3"/>
    <mergeCell ref="BG2:BG3"/>
    <mergeCell ref="AA2:AA3"/>
    <mergeCell ref="AC2:AC3"/>
    <mergeCell ref="AM2:AM3"/>
    <mergeCell ref="AO2:AO3"/>
    <mergeCell ref="BM1:BP1"/>
    <mergeCell ref="AU2:AU3"/>
    <mergeCell ref="AW2:AW3"/>
    <mergeCell ref="AB2:AB3"/>
    <mergeCell ref="T2:T3"/>
  </mergeCells>
  <dataValidations count="1">
    <dataValidation type="list" allowBlank="1" errorTitle="Invalid value" error="Please choose Cu or Al" promptTitle="Cable Type" prompt="Choose cable material" sqref="R4:R135 BH4:BH135 BB4:BB135 AV4:AV135 AP4:AP135 AJ4:AJ135 AD4:AD135 X4:X135" xr:uid="{00000000-0002-0000-1200-000000000000}">
      <formula1>"Cu,Al"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U76"/>
  <sheetViews>
    <sheetView workbookViewId="0"/>
  </sheetViews>
  <sheetFormatPr defaultRowHeight="15" x14ac:dyDescent="0.25"/>
  <cols>
    <col min="1" max="1" width="12.85546875" customWidth="1"/>
    <col min="2" max="2" width="14.85546875" customWidth="1"/>
    <col min="3" max="3" width="9.85546875" customWidth="1"/>
    <col min="4" max="4" width="20.85546875" customWidth="1"/>
    <col min="5" max="5" width="8.85546875" customWidth="1"/>
    <col min="6" max="6" width="10.85546875" customWidth="1"/>
    <col min="7" max="7" width="5.85546875" customWidth="1"/>
    <col min="8" max="8" width="9.85546875" customWidth="1"/>
    <col min="9" max="9" width="10.85546875" customWidth="1"/>
    <col min="10" max="10" width="5.85546875" customWidth="1"/>
    <col min="11" max="11" width="7.85546875" customWidth="1"/>
    <col min="12" max="16" width="6.85546875" customWidth="1"/>
    <col min="17" max="17" width="8.85546875" customWidth="1"/>
    <col min="18" max="21" width="6.85546875" customWidth="1"/>
    <col min="22" max="22" width="8.85546875" customWidth="1"/>
    <col min="23" max="26" width="6.85546875" customWidth="1"/>
    <col min="27" max="27" width="8.85546875" customWidth="1"/>
    <col min="28" max="31" width="6.85546875" customWidth="1"/>
    <col min="32" max="32" width="8.85546875" customWidth="1"/>
    <col min="33" max="36" width="6.85546875" customWidth="1"/>
    <col min="37" max="37" width="8.85546875" customWidth="1"/>
    <col min="38" max="41" width="6.85546875" customWidth="1"/>
    <col min="42" max="42" width="8.85546875" customWidth="1"/>
    <col min="43" max="46" width="6.85546875" customWidth="1"/>
    <col min="47" max="47" width="8.85546875" customWidth="1"/>
    <col min="48" max="51" width="6.85546875" customWidth="1"/>
    <col min="52" max="52" width="8.85546875" customWidth="1"/>
    <col min="53" max="60" width="6.85546875" customWidth="1"/>
    <col min="61" max="62" width="7.85546875" customWidth="1"/>
    <col min="63" max="63" width="9.85546875" customWidth="1"/>
    <col min="64" max="65" width="24.85546875" customWidth="1"/>
  </cols>
  <sheetData>
    <row r="1" spans="1:73" ht="19.5" customHeight="1" x14ac:dyDescent="0.25">
      <c r="A1" s="21" t="s">
        <v>0</v>
      </c>
      <c r="B1" s="21" t="s">
        <v>1</v>
      </c>
      <c r="C1" s="21" t="s">
        <v>2</v>
      </c>
      <c r="D1" s="38" t="s">
        <v>3</v>
      </c>
      <c r="E1" s="21" t="s">
        <v>4</v>
      </c>
      <c r="F1" s="40" t="s">
        <v>5</v>
      </c>
      <c r="G1" s="21" t="s">
        <v>6</v>
      </c>
      <c r="H1" s="21" t="s">
        <v>7</v>
      </c>
      <c r="I1" s="21" t="s">
        <v>8</v>
      </c>
      <c r="J1" s="41" t="s">
        <v>9</v>
      </c>
      <c r="K1" s="18" t="s">
        <v>10</v>
      </c>
      <c r="L1" s="19"/>
      <c r="M1" s="19"/>
      <c r="N1" s="19"/>
      <c r="O1" s="19"/>
      <c r="P1" s="20"/>
      <c r="Q1" s="29" t="s">
        <v>11</v>
      </c>
      <c r="R1" s="30"/>
      <c r="S1" s="30"/>
      <c r="T1" s="30"/>
      <c r="U1" s="30"/>
      <c r="V1" s="31"/>
      <c r="W1" s="29" t="s">
        <v>12</v>
      </c>
      <c r="X1" s="30"/>
      <c r="Y1" s="30"/>
      <c r="Z1" s="30"/>
      <c r="AA1" s="30"/>
      <c r="AB1" s="31"/>
      <c r="AC1" s="29" t="s">
        <v>13</v>
      </c>
      <c r="AD1" s="30"/>
      <c r="AE1" s="30"/>
      <c r="AF1" s="30"/>
      <c r="AG1" s="30"/>
      <c r="AH1" s="31"/>
      <c r="AI1" s="29" t="s">
        <v>14</v>
      </c>
      <c r="AJ1" s="30"/>
      <c r="AK1" s="30"/>
      <c r="AL1" s="30"/>
      <c r="AM1" s="30"/>
      <c r="AN1" s="31"/>
      <c r="AO1" s="29" t="s">
        <v>15</v>
      </c>
      <c r="AP1" s="30"/>
      <c r="AQ1" s="30"/>
      <c r="AR1" s="30"/>
      <c r="AS1" s="30"/>
      <c r="AT1" s="31"/>
      <c r="AU1" s="29" t="s">
        <v>16</v>
      </c>
      <c r="AV1" s="30"/>
      <c r="AW1" s="30"/>
      <c r="AX1" s="30"/>
      <c r="AY1" s="30"/>
      <c r="AZ1" s="31"/>
      <c r="BA1" s="29" t="s">
        <v>17</v>
      </c>
      <c r="BB1" s="30"/>
      <c r="BC1" s="30"/>
      <c r="BD1" s="30"/>
      <c r="BE1" s="30"/>
      <c r="BF1" s="31"/>
      <c r="BG1" s="29" t="s">
        <v>18</v>
      </c>
      <c r="BH1" s="30"/>
      <c r="BI1" s="30"/>
      <c r="BJ1" s="30"/>
      <c r="BK1" s="30"/>
      <c r="BL1" s="31"/>
      <c r="BM1" s="37" t="s">
        <v>19</v>
      </c>
      <c r="BN1" s="19"/>
      <c r="BO1" s="19"/>
      <c r="BP1" s="20"/>
      <c r="BQ1" s="18" t="s">
        <v>20</v>
      </c>
      <c r="BR1" s="18" t="s">
        <v>21</v>
      </c>
      <c r="BS1" s="39" t="s">
        <v>22</v>
      </c>
      <c r="BT1" s="26" t="s">
        <v>23</v>
      </c>
      <c r="BU1" s="26" t="s">
        <v>24</v>
      </c>
    </row>
    <row r="2" spans="1:73" ht="19.5" customHeight="1" x14ac:dyDescent="0.25">
      <c r="A2" s="22"/>
      <c r="B2" s="22"/>
      <c r="C2" s="22"/>
      <c r="D2" s="23"/>
      <c r="E2" s="22"/>
      <c r="F2" s="22"/>
      <c r="G2" s="22"/>
      <c r="H2" s="22"/>
      <c r="I2" s="22"/>
      <c r="J2" s="22"/>
      <c r="K2" s="18" t="s">
        <v>25</v>
      </c>
      <c r="L2" s="19"/>
      <c r="M2" s="20"/>
      <c r="N2" s="18" t="s">
        <v>26</v>
      </c>
      <c r="O2" s="19"/>
      <c r="P2" s="20"/>
      <c r="Q2" s="27" t="s">
        <v>27</v>
      </c>
      <c r="R2" s="34" t="s">
        <v>5</v>
      </c>
      <c r="S2" s="36" t="s">
        <v>28</v>
      </c>
      <c r="T2" s="35" t="s">
        <v>29</v>
      </c>
      <c r="U2" s="24" t="s">
        <v>30</v>
      </c>
      <c r="V2" s="32" t="s">
        <v>31</v>
      </c>
      <c r="W2" s="27" t="s">
        <v>27</v>
      </c>
      <c r="X2" s="34" t="s">
        <v>5</v>
      </c>
      <c r="Y2" s="36" t="s">
        <v>28</v>
      </c>
      <c r="Z2" s="35" t="s">
        <v>29</v>
      </c>
      <c r="AA2" s="24" t="s">
        <v>30</v>
      </c>
      <c r="AB2" s="32" t="s">
        <v>31</v>
      </c>
      <c r="AC2" s="27" t="s">
        <v>27</v>
      </c>
      <c r="AD2" s="34" t="s">
        <v>5</v>
      </c>
      <c r="AE2" s="36" t="s">
        <v>28</v>
      </c>
      <c r="AF2" s="35" t="s">
        <v>29</v>
      </c>
      <c r="AG2" s="24" t="s">
        <v>30</v>
      </c>
      <c r="AH2" s="32" t="s">
        <v>31</v>
      </c>
      <c r="AI2" s="27" t="s">
        <v>27</v>
      </c>
      <c r="AJ2" s="34" t="s">
        <v>5</v>
      </c>
      <c r="AK2" s="36" t="s">
        <v>28</v>
      </c>
      <c r="AL2" s="35" t="s">
        <v>29</v>
      </c>
      <c r="AM2" s="24" t="s">
        <v>30</v>
      </c>
      <c r="AN2" s="32" t="s">
        <v>31</v>
      </c>
      <c r="AO2" s="27" t="s">
        <v>27</v>
      </c>
      <c r="AP2" s="34" t="s">
        <v>5</v>
      </c>
      <c r="AQ2" s="36" t="s">
        <v>28</v>
      </c>
      <c r="AR2" s="35" t="s">
        <v>29</v>
      </c>
      <c r="AS2" s="24" t="s">
        <v>30</v>
      </c>
      <c r="AT2" s="32" t="s">
        <v>31</v>
      </c>
      <c r="AU2" s="27" t="s">
        <v>27</v>
      </c>
      <c r="AV2" s="34" t="s">
        <v>5</v>
      </c>
      <c r="AW2" s="36" t="s">
        <v>28</v>
      </c>
      <c r="AX2" s="35" t="s">
        <v>29</v>
      </c>
      <c r="AY2" s="24" t="s">
        <v>30</v>
      </c>
      <c r="AZ2" s="32" t="s">
        <v>31</v>
      </c>
      <c r="BA2" s="27" t="s">
        <v>27</v>
      </c>
      <c r="BB2" s="34" t="s">
        <v>5</v>
      </c>
      <c r="BC2" s="36" t="s">
        <v>28</v>
      </c>
      <c r="BD2" s="35" t="s">
        <v>29</v>
      </c>
      <c r="BE2" s="24" t="s">
        <v>30</v>
      </c>
      <c r="BF2" s="32" t="s">
        <v>31</v>
      </c>
      <c r="BG2" s="27" t="s">
        <v>27</v>
      </c>
      <c r="BH2" s="34" t="s">
        <v>5</v>
      </c>
      <c r="BI2" s="36" t="s">
        <v>28</v>
      </c>
      <c r="BJ2" s="35" t="s">
        <v>29</v>
      </c>
      <c r="BK2" s="24" t="s">
        <v>30</v>
      </c>
      <c r="BL2" s="32" t="s">
        <v>31</v>
      </c>
      <c r="BM2" s="37" t="s">
        <v>28</v>
      </c>
      <c r="BN2" s="37" t="s">
        <v>29</v>
      </c>
      <c r="BO2" s="37" t="s">
        <v>30</v>
      </c>
      <c r="BP2" s="37" t="s">
        <v>31</v>
      </c>
      <c r="BQ2" s="22"/>
      <c r="BR2" s="22"/>
      <c r="BS2" s="22"/>
      <c r="BT2" s="22"/>
      <c r="BU2" s="22"/>
    </row>
    <row r="3" spans="1:73" ht="19.5" customHeight="1" x14ac:dyDescent="0.25">
      <c r="A3" s="23"/>
      <c r="B3" s="23"/>
      <c r="C3" s="23"/>
      <c r="D3" s="1"/>
      <c r="E3" s="23"/>
      <c r="F3" s="23"/>
      <c r="G3" s="23"/>
      <c r="H3" s="23"/>
      <c r="I3" s="23"/>
      <c r="J3" s="23"/>
      <c r="K3" s="2" t="s">
        <v>32</v>
      </c>
      <c r="L3" s="3" t="s">
        <v>33</v>
      </c>
      <c r="M3" s="4" t="s">
        <v>34</v>
      </c>
      <c r="N3" s="5" t="s">
        <v>35</v>
      </c>
      <c r="O3" s="6" t="s">
        <v>36</v>
      </c>
      <c r="P3" s="7" t="s">
        <v>37</v>
      </c>
      <c r="Q3" s="28"/>
      <c r="R3" s="25"/>
      <c r="S3" s="25"/>
      <c r="T3" s="25"/>
      <c r="U3" s="25"/>
      <c r="V3" s="33"/>
      <c r="W3" s="28"/>
      <c r="X3" s="25"/>
      <c r="Y3" s="25"/>
      <c r="Z3" s="25"/>
      <c r="AA3" s="25"/>
      <c r="AB3" s="33"/>
      <c r="AC3" s="28"/>
      <c r="AD3" s="25"/>
      <c r="AE3" s="25"/>
      <c r="AF3" s="25"/>
      <c r="AG3" s="25"/>
      <c r="AH3" s="33"/>
      <c r="AI3" s="28"/>
      <c r="AJ3" s="25"/>
      <c r="AK3" s="25"/>
      <c r="AL3" s="25"/>
      <c r="AM3" s="25"/>
      <c r="AN3" s="33"/>
      <c r="AO3" s="28"/>
      <c r="AP3" s="25"/>
      <c r="AQ3" s="25"/>
      <c r="AR3" s="25"/>
      <c r="AS3" s="25"/>
      <c r="AT3" s="33"/>
      <c r="AU3" s="28"/>
      <c r="AV3" s="25"/>
      <c r="AW3" s="25"/>
      <c r="AX3" s="25"/>
      <c r="AY3" s="25"/>
      <c r="AZ3" s="33"/>
      <c r="BA3" s="28"/>
      <c r="BB3" s="25"/>
      <c r="BC3" s="25"/>
      <c r="BD3" s="25"/>
      <c r="BE3" s="25"/>
      <c r="BF3" s="33"/>
      <c r="BG3" s="28"/>
      <c r="BH3" s="25"/>
      <c r="BI3" s="25"/>
      <c r="BJ3" s="25"/>
      <c r="BK3" s="25"/>
      <c r="BL3" s="33"/>
      <c r="BM3" s="23"/>
      <c r="BN3" s="23"/>
      <c r="BO3" s="23"/>
      <c r="BP3" s="23"/>
      <c r="BQ3" s="23"/>
      <c r="BR3" s="23"/>
      <c r="BS3" s="23"/>
      <c r="BT3" s="23"/>
      <c r="BU3" s="23"/>
    </row>
    <row r="4" spans="1:73" ht="15.75" customHeight="1" x14ac:dyDescent="0.25">
      <c r="A4" s="8" t="s">
        <v>38</v>
      </c>
      <c r="B4" s="8" t="s">
        <v>3752</v>
      </c>
      <c r="C4" s="8" t="s">
        <v>389</v>
      </c>
      <c r="D4" s="8" t="s">
        <v>3753</v>
      </c>
      <c r="E4" s="8" t="s">
        <v>2525</v>
      </c>
      <c r="F4" s="8" t="s">
        <v>43</v>
      </c>
      <c r="G4" s="8"/>
      <c r="H4" s="8">
        <v>315</v>
      </c>
      <c r="I4" s="8" t="s">
        <v>3754</v>
      </c>
      <c r="J4" s="8">
        <v>1</v>
      </c>
      <c r="K4" s="8">
        <v>241</v>
      </c>
      <c r="L4" s="8">
        <v>241</v>
      </c>
      <c r="M4" s="8">
        <v>242</v>
      </c>
      <c r="N4" s="8">
        <v>415</v>
      </c>
      <c r="O4" s="8">
        <v>418</v>
      </c>
      <c r="P4" s="8">
        <v>417</v>
      </c>
      <c r="Q4" s="9" t="s">
        <v>47</v>
      </c>
      <c r="R4" s="16"/>
      <c r="S4" s="10">
        <v>0</v>
      </c>
      <c r="T4" s="10">
        <v>0</v>
      </c>
      <c r="U4" s="10">
        <v>0</v>
      </c>
      <c r="V4" s="11">
        <v>0</v>
      </c>
      <c r="W4" s="12"/>
      <c r="X4" s="17"/>
      <c r="Y4" s="13"/>
      <c r="Z4" s="13"/>
      <c r="AA4" s="13"/>
      <c r="AB4" s="14"/>
      <c r="AC4" s="9"/>
      <c r="AD4" s="16"/>
      <c r="AE4" s="10"/>
      <c r="AF4" s="10"/>
      <c r="AG4" s="10"/>
      <c r="AH4" s="11"/>
      <c r="AI4" s="12"/>
      <c r="AJ4" s="17"/>
      <c r="AK4" s="13"/>
      <c r="AL4" s="13"/>
      <c r="AM4" s="13"/>
      <c r="AN4" s="14"/>
      <c r="AO4" s="9"/>
      <c r="AP4" s="16"/>
      <c r="AQ4" s="10"/>
      <c r="AR4" s="10"/>
      <c r="AS4" s="10"/>
      <c r="AT4" s="11"/>
      <c r="AU4" s="12"/>
      <c r="AV4" s="17"/>
      <c r="AW4" s="13"/>
      <c r="AX4" s="13"/>
      <c r="AY4" s="13"/>
      <c r="AZ4" s="14"/>
      <c r="BA4" s="9"/>
      <c r="BB4" s="16"/>
      <c r="BC4" s="10"/>
      <c r="BD4" s="10"/>
      <c r="BE4" s="10"/>
      <c r="BF4" s="11"/>
      <c r="BG4" s="12"/>
      <c r="BH4" s="17"/>
      <c r="BI4" s="13"/>
      <c r="BJ4" s="13"/>
      <c r="BK4" s="13"/>
      <c r="BL4" s="14"/>
      <c r="BM4" s="8">
        <f t="shared" ref="BM4:BM35" si="0">SUM(S4,Y4,AE4,AK4,AQ4,AW4,BC4,BI4)</f>
        <v>0</v>
      </c>
      <c r="BN4" s="8">
        <f t="shared" ref="BN4:BN35" si="1">SUM(T4,Z4,AF4,AL4,AR4,AX4,BD4,BJ4)</f>
        <v>0</v>
      </c>
      <c r="BO4" s="8">
        <f t="shared" ref="BO4:BO35" si="2">SUM(U4,AA4,AG4,AM4,AS4,AY4,BE4,BK4)</f>
        <v>0</v>
      </c>
      <c r="BP4" s="8">
        <f t="shared" ref="BP4:BP35" si="3">SUM(V4,AB4,AH4,AN4,AT4,AZ4,BF4,BL4)</f>
        <v>0</v>
      </c>
      <c r="BQ4" s="8">
        <f t="shared" ref="BQ4:BQ35" si="4">MAX(BM4:BO4)</f>
        <v>0</v>
      </c>
      <c r="BR4" s="8">
        <f t="shared" ref="BR4:BR35" si="5">MIN(BM4:BO4)</f>
        <v>0</v>
      </c>
      <c r="BS4" s="15">
        <f t="shared" ref="BS4:BS35" si="6">IF(H4&gt;0,(BQ4*SQRT(3)*IF(N4&gt;0,N4,IF(O4&gt;0,O4,IF(P4&gt;0,P4,415)))/(H4*1000))*100,0)</f>
        <v>0</v>
      </c>
      <c r="BT4" s="15" t="str">
        <f t="shared" ref="BT4:BT35" si="7">IF(BS4&gt;70,"Upgrade","OK - No Upgrade")</f>
        <v>OK - No Upgrade</v>
      </c>
      <c r="BU4" s="15" t="str">
        <f t="shared" ref="BU4:BU35" si="8">IF(IF(AVERAGE(BM4:BO4)&gt;0,((BQ4-AVERAGE(BM4:BO4))/AVERAGE(BM4:BO4))*100,0)&gt;10,"Need to Balance","OK - Balanced")</f>
        <v>OK - Balanced</v>
      </c>
    </row>
    <row r="5" spans="1:73" ht="15.75" customHeight="1" x14ac:dyDescent="0.25">
      <c r="A5" s="8" t="s">
        <v>38</v>
      </c>
      <c r="B5" s="8" t="s">
        <v>3752</v>
      </c>
      <c r="C5" s="8" t="s">
        <v>389</v>
      </c>
      <c r="D5" s="8" t="s">
        <v>3755</v>
      </c>
      <c r="E5" s="8" t="s">
        <v>3756</v>
      </c>
      <c r="F5" s="8" t="s">
        <v>43</v>
      </c>
      <c r="G5" s="8"/>
      <c r="H5" s="8">
        <v>100</v>
      </c>
      <c r="I5" s="8" t="s">
        <v>3757</v>
      </c>
      <c r="J5" s="8">
        <v>1</v>
      </c>
      <c r="K5" s="8">
        <v>236</v>
      </c>
      <c r="L5" s="8">
        <v>235</v>
      </c>
      <c r="M5" s="8">
        <v>237</v>
      </c>
      <c r="N5" s="8">
        <v>407</v>
      </c>
      <c r="O5" s="8">
        <v>409</v>
      </c>
      <c r="P5" s="8">
        <v>408</v>
      </c>
      <c r="Q5" s="9" t="s">
        <v>47</v>
      </c>
      <c r="R5" s="16"/>
      <c r="S5" s="10">
        <v>8</v>
      </c>
      <c r="T5" s="10">
        <v>7</v>
      </c>
      <c r="U5" s="10">
        <v>5</v>
      </c>
      <c r="V5" s="11">
        <v>0</v>
      </c>
      <c r="W5" s="12" t="s">
        <v>46</v>
      </c>
      <c r="X5" s="17"/>
      <c r="Y5" s="13">
        <v>6</v>
      </c>
      <c r="Z5" s="13">
        <v>5</v>
      </c>
      <c r="AA5" s="13">
        <v>7</v>
      </c>
      <c r="AB5" s="14">
        <v>0</v>
      </c>
      <c r="AC5" s="9"/>
      <c r="AD5" s="16"/>
      <c r="AE5" s="10"/>
      <c r="AF5" s="10"/>
      <c r="AG5" s="10"/>
      <c r="AH5" s="11"/>
      <c r="AI5" s="12"/>
      <c r="AJ5" s="17"/>
      <c r="AK5" s="13"/>
      <c r="AL5" s="13"/>
      <c r="AM5" s="13"/>
      <c r="AN5" s="14"/>
      <c r="AO5" s="9"/>
      <c r="AP5" s="16"/>
      <c r="AQ5" s="10"/>
      <c r="AR5" s="10"/>
      <c r="AS5" s="10"/>
      <c r="AT5" s="11"/>
      <c r="AU5" s="12"/>
      <c r="AV5" s="17"/>
      <c r="AW5" s="13"/>
      <c r="AX5" s="13"/>
      <c r="AY5" s="13"/>
      <c r="AZ5" s="14"/>
      <c r="BA5" s="9"/>
      <c r="BB5" s="16"/>
      <c r="BC5" s="10"/>
      <c r="BD5" s="10"/>
      <c r="BE5" s="10"/>
      <c r="BF5" s="11"/>
      <c r="BG5" s="12"/>
      <c r="BH5" s="17"/>
      <c r="BI5" s="13"/>
      <c r="BJ5" s="13"/>
      <c r="BK5" s="13"/>
      <c r="BL5" s="14"/>
      <c r="BM5" s="8">
        <f t="shared" si="0"/>
        <v>14</v>
      </c>
      <c r="BN5" s="8">
        <f t="shared" si="1"/>
        <v>12</v>
      </c>
      <c r="BO5" s="8">
        <f t="shared" si="2"/>
        <v>12</v>
      </c>
      <c r="BP5" s="8">
        <f t="shared" si="3"/>
        <v>0</v>
      </c>
      <c r="BQ5" s="8">
        <f t="shared" si="4"/>
        <v>14</v>
      </c>
      <c r="BR5" s="8">
        <f t="shared" si="5"/>
        <v>12</v>
      </c>
      <c r="BS5" s="15">
        <f t="shared" si="6"/>
        <v>9.8692255015274615</v>
      </c>
      <c r="BT5" s="15" t="str">
        <f t="shared" si="7"/>
        <v>OK - No Upgrade</v>
      </c>
      <c r="BU5" s="15" t="str">
        <f t="shared" si="8"/>
        <v>Need to Balance</v>
      </c>
    </row>
    <row r="6" spans="1:73" ht="15.75" customHeight="1" x14ac:dyDescent="0.25">
      <c r="A6" s="8" t="s">
        <v>38</v>
      </c>
      <c r="B6" s="8" t="s">
        <v>3752</v>
      </c>
      <c r="C6" s="8" t="s">
        <v>389</v>
      </c>
      <c r="D6" s="8" t="s">
        <v>3758</v>
      </c>
      <c r="E6" s="8" t="s">
        <v>3759</v>
      </c>
      <c r="F6" s="8" t="s">
        <v>43</v>
      </c>
      <c r="G6" s="8"/>
      <c r="H6" s="8">
        <v>100</v>
      </c>
      <c r="I6" s="8" t="s">
        <v>3760</v>
      </c>
      <c r="J6" s="8">
        <v>1</v>
      </c>
      <c r="K6" s="8">
        <v>233</v>
      </c>
      <c r="L6" s="8">
        <v>233</v>
      </c>
      <c r="M6" s="8">
        <v>235</v>
      </c>
      <c r="N6" s="8">
        <v>402</v>
      </c>
      <c r="O6" s="8">
        <v>404</v>
      </c>
      <c r="P6" s="8">
        <v>403</v>
      </c>
      <c r="Q6" s="9" t="s">
        <v>46</v>
      </c>
      <c r="R6" s="16"/>
      <c r="S6" s="10">
        <v>7</v>
      </c>
      <c r="T6" s="10">
        <v>3</v>
      </c>
      <c r="U6" s="10">
        <v>4</v>
      </c>
      <c r="V6" s="11">
        <v>1</v>
      </c>
      <c r="W6" s="12" t="s">
        <v>46</v>
      </c>
      <c r="X6" s="17"/>
      <c r="Y6" s="13">
        <v>8</v>
      </c>
      <c r="Z6" s="13">
        <v>8</v>
      </c>
      <c r="AA6" s="13">
        <v>1</v>
      </c>
      <c r="AB6" s="14">
        <v>0</v>
      </c>
      <c r="AC6" s="9"/>
      <c r="AD6" s="16"/>
      <c r="AE6" s="10"/>
      <c r="AF6" s="10"/>
      <c r="AG6" s="10"/>
      <c r="AH6" s="11"/>
      <c r="AI6" s="12"/>
      <c r="AJ6" s="17"/>
      <c r="AK6" s="13"/>
      <c r="AL6" s="13"/>
      <c r="AM6" s="13"/>
      <c r="AN6" s="14"/>
      <c r="AO6" s="9"/>
      <c r="AP6" s="16"/>
      <c r="AQ6" s="10"/>
      <c r="AR6" s="10"/>
      <c r="AS6" s="10"/>
      <c r="AT6" s="11"/>
      <c r="AU6" s="12"/>
      <c r="AV6" s="17"/>
      <c r="AW6" s="13"/>
      <c r="AX6" s="13"/>
      <c r="AY6" s="13"/>
      <c r="AZ6" s="14"/>
      <c r="BA6" s="9"/>
      <c r="BB6" s="16"/>
      <c r="BC6" s="10"/>
      <c r="BD6" s="10"/>
      <c r="BE6" s="10"/>
      <c r="BF6" s="11"/>
      <c r="BG6" s="12"/>
      <c r="BH6" s="17"/>
      <c r="BI6" s="13"/>
      <c r="BJ6" s="13"/>
      <c r="BK6" s="13"/>
      <c r="BL6" s="14"/>
      <c r="BM6" s="8">
        <f t="shared" si="0"/>
        <v>15</v>
      </c>
      <c r="BN6" s="8">
        <f t="shared" si="1"/>
        <v>11</v>
      </c>
      <c r="BO6" s="8">
        <f t="shared" si="2"/>
        <v>5</v>
      </c>
      <c r="BP6" s="8">
        <f t="shared" si="3"/>
        <v>1</v>
      </c>
      <c r="BQ6" s="8">
        <f t="shared" si="4"/>
        <v>15</v>
      </c>
      <c r="BR6" s="8">
        <f t="shared" si="5"/>
        <v>5</v>
      </c>
      <c r="BS6" s="15">
        <f t="shared" si="6"/>
        <v>10.444266369640328</v>
      </c>
      <c r="BT6" s="15" t="str">
        <f t="shared" si="7"/>
        <v>OK - No Upgrade</v>
      </c>
      <c r="BU6" s="15" t="str">
        <f t="shared" si="8"/>
        <v>Need to Balance</v>
      </c>
    </row>
    <row r="7" spans="1:73" ht="15.75" customHeight="1" x14ac:dyDescent="0.25">
      <c r="A7" s="8" t="s">
        <v>38</v>
      </c>
      <c r="B7" s="8" t="s">
        <v>3752</v>
      </c>
      <c r="C7" s="8" t="s">
        <v>389</v>
      </c>
      <c r="D7" s="8" t="s">
        <v>3761</v>
      </c>
      <c r="E7" s="8" t="s">
        <v>3762</v>
      </c>
      <c r="F7" s="8" t="s">
        <v>43</v>
      </c>
      <c r="G7" s="8"/>
      <c r="H7" s="8">
        <v>100</v>
      </c>
      <c r="I7" s="8" t="s">
        <v>3763</v>
      </c>
      <c r="J7" s="8">
        <v>1</v>
      </c>
      <c r="K7" s="8">
        <v>242</v>
      </c>
      <c r="L7" s="8">
        <v>241</v>
      </c>
      <c r="M7" s="8">
        <v>243</v>
      </c>
      <c r="N7" s="8">
        <v>418</v>
      </c>
      <c r="O7" s="8">
        <v>421</v>
      </c>
      <c r="P7" s="8">
        <v>416</v>
      </c>
      <c r="Q7" s="9" t="s">
        <v>47</v>
      </c>
      <c r="R7" s="16"/>
      <c r="S7" s="10">
        <v>1</v>
      </c>
      <c r="T7" s="10">
        <v>1</v>
      </c>
      <c r="U7" s="10">
        <v>0</v>
      </c>
      <c r="V7" s="11">
        <v>1</v>
      </c>
      <c r="W7" s="12"/>
      <c r="X7" s="17"/>
      <c r="Y7" s="13"/>
      <c r="Z7" s="13"/>
      <c r="AA7" s="13"/>
      <c r="AB7" s="14"/>
      <c r="AC7" s="9"/>
      <c r="AD7" s="16"/>
      <c r="AE7" s="10"/>
      <c r="AF7" s="10"/>
      <c r="AG7" s="10"/>
      <c r="AH7" s="11"/>
      <c r="AI7" s="12"/>
      <c r="AJ7" s="17"/>
      <c r="AK7" s="13"/>
      <c r="AL7" s="13"/>
      <c r="AM7" s="13"/>
      <c r="AN7" s="14"/>
      <c r="AO7" s="9"/>
      <c r="AP7" s="16"/>
      <c r="AQ7" s="10"/>
      <c r="AR7" s="10"/>
      <c r="AS7" s="10"/>
      <c r="AT7" s="11"/>
      <c r="AU7" s="12"/>
      <c r="AV7" s="17"/>
      <c r="AW7" s="13"/>
      <c r="AX7" s="13"/>
      <c r="AY7" s="13"/>
      <c r="AZ7" s="14"/>
      <c r="BA7" s="9"/>
      <c r="BB7" s="16"/>
      <c r="BC7" s="10"/>
      <c r="BD7" s="10"/>
      <c r="BE7" s="10"/>
      <c r="BF7" s="11"/>
      <c r="BG7" s="12"/>
      <c r="BH7" s="17"/>
      <c r="BI7" s="13"/>
      <c r="BJ7" s="13"/>
      <c r="BK7" s="13"/>
      <c r="BL7" s="14"/>
      <c r="BM7" s="8">
        <f t="shared" si="0"/>
        <v>1</v>
      </c>
      <c r="BN7" s="8">
        <f t="shared" si="1"/>
        <v>1</v>
      </c>
      <c r="BO7" s="8">
        <f t="shared" si="2"/>
        <v>0</v>
      </c>
      <c r="BP7" s="8">
        <f t="shared" si="3"/>
        <v>1</v>
      </c>
      <c r="BQ7" s="8">
        <f t="shared" si="4"/>
        <v>1</v>
      </c>
      <c r="BR7" s="8">
        <f t="shared" si="5"/>
        <v>0</v>
      </c>
      <c r="BS7" s="15">
        <f t="shared" si="6"/>
        <v>0.72399723756379064</v>
      </c>
      <c r="BT7" s="15" t="str">
        <f t="shared" si="7"/>
        <v>OK - No Upgrade</v>
      </c>
      <c r="BU7" s="15" t="str">
        <f t="shared" si="8"/>
        <v>Need to Balance</v>
      </c>
    </row>
    <row r="8" spans="1:73" ht="15.75" customHeight="1" x14ac:dyDescent="0.25">
      <c r="A8" s="8" t="s">
        <v>38</v>
      </c>
      <c r="B8" s="8" t="s">
        <v>3752</v>
      </c>
      <c r="C8" s="8" t="s">
        <v>389</v>
      </c>
      <c r="D8" s="8" t="s">
        <v>3764</v>
      </c>
      <c r="E8" s="8" t="s">
        <v>3765</v>
      </c>
      <c r="F8" s="8" t="s">
        <v>56</v>
      </c>
      <c r="G8" s="8" t="s">
        <v>44</v>
      </c>
      <c r="H8" s="8">
        <v>1000</v>
      </c>
      <c r="I8" s="8" t="s">
        <v>3766</v>
      </c>
      <c r="J8" s="8">
        <v>1</v>
      </c>
      <c r="K8" s="8">
        <v>246</v>
      </c>
      <c r="L8" s="8">
        <v>244</v>
      </c>
      <c r="M8" s="8">
        <v>244</v>
      </c>
      <c r="N8" s="8">
        <v>421</v>
      </c>
      <c r="O8" s="8">
        <v>422</v>
      </c>
      <c r="P8" s="8">
        <v>419</v>
      </c>
      <c r="Q8" s="9" t="s">
        <v>47</v>
      </c>
      <c r="R8" s="16"/>
      <c r="S8" s="10">
        <v>13</v>
      </c>
      <c r="T8" s="10">
        <v>30</v>
      </c>
      <c r="U8" s="10">
        <v>17</v>
      </c>
      <c r="V8" s="11">
        <v>12</v>
      </c>
      <c r="W8" s="12" t="s">
        <v>47</v>
      </c>
      <c r="X8" s="17"/>
      <c r="Y8" s="13">
        <v>24</v>
      </c>
      <c r="Z8" s="13">
        <v>73</v>
      </c>
      <c r="AA8" s="13">
        <v>60</v>
      </c>
      <c r="AB8" s="14">
        <v>39</v>
      </c>
      <c r="AC8" s="9"/>
      <c r="AD8" s="16"/>
      <c r="AE8" s="10"/>
      <c r="AF8" s="10"/>
      <c r="AG8" s="10"/>
      <c r="AH8" s="11"/>
      <c r="AI8" s="12"/>
      <c r="AJ8" s="17"/>
      <c r="AK8" s="13"/>
      <c r="AL8" s="13"/>
      <c r="AM8" s="13"/>
      <c r="AN8" s="14"/>
      <c r="AO8" s="9"/>
      <c r="AP8" s="16"/>
      <c r="AQ8" s="10"/>
      <c r="AR8" s="10"/>
      <c r="AS8" s="10"/>
      <c r="AT8" s="11"/>
      <c r="AU8" s="12"/>
      <c r="AV8" s="17"/>
      <c r="AW8" s="13"/>
      <c r="AX8" s="13"/>
      <c r="AY8" s="13"/>
      <c r="AZ8" s="14"/>
      <c r="BA8" s="9"/>
      <c r="BB8" s="16"/>
      <c r="BC8" s="10"/>
      <c r="BD8" s="10"/>
      <c r="BE8" s="10"/>
      <c r="BF8" s="11"/>
      <c r="BG8" s="12"/>
      <c r="BH8" s="17"/>
      <c r="BI8" s="13"/>
      <c r="BJ8" s="13"/>
      <c r="BK8" s="13"/>
      <c r="BL8" s="14"/>
      <c r="BM8" s="8">
        <f t="shared" si="0"/>
        <v>37</v>
      </c>
      <c r="BN8" s="8">
        <f t="shared" si="1"/>
        <v>103</v>
      </c>
      <c r="BO8" s="8">
        <f t="shared" si="2"/>
        <v>77</v>
      </c>
      <c r="BP8" s="8">
        <f t="shared" si="3"/>
        <v>51</v>
      </c>
      <c r="BQ8" s="8">
        <f t="shared" si="4"/>
        <v>103</v>
      </c>
      <c r="BR8" s="8">
        <f t="shared" si="5"/>
        <v>37</v>
      </c>
      <c r="BS8" s="15">
        <f t="shared" si="6"/>
        <v>7.5106919168609219</v>
      </c>
      <c r="BT8" s="15" t="str">
        <f t="shared" si="7"/>
        <v>OK - No Upgrade</v>
      </c>
      <c r="BU8" s="15" t="str">
        <f t="shared" si="8"/>
        <v>Need to Balance</v>
      </c>
    </row>
    <row r="9" spans="1:73" ht="15.75" customHeight="1" x14ac:dyDescent="0.25">
      <c r="A9" s="8" t="s">
        <v>38</v>
      </c>
      <c r="B9" s="8" t="s">
        <v>3752</v>
      </c>
      <c r="C9" s="8" t="s">
        <v>389</v>
      </c>
      <c r="D9" s="8" t="s">
        <v>3767</v>
      </c>
      <c r="E9" s="8" t="s">
        <v>3768</v>
      </c>
      <c r="F9" s="8" t="s">
        <v>56</v>
      </c>
      <c r="G9" s="8" t="s">
        <v>44</v>
      </c>
      <c r="H9" s="8">
        <v>1000</v>
      </c>
      <c r="I9" s="8" t="s">
        <v>3769</v>
      </c>
      <c r="J9" s="8">
        <v>1</v>
      </c>
      <c r="K9" s="8">
        <v>244</v>
      </c>
      <c r="L9" s="8">
        <v>244</v>
      </c>
      <c r="M9" s="8">
        <v>243</v>
      </c>
      <c r="N9" s="8">
        <v>419</v>
      </c>
      <c r="O9" s="8">
        <v>423</v>
      </c>
      <c r="P9" s="8">
        <v>421</v>
      </c>
      <c r="Q9" s="9"/>
      <c r="R9" s="16"/>
      <c r="S9" s="10"/>
      <c r="T9" s="10"/>
      <c r="U9" s="10"/>
      <c r="V9" s="11"/>
      <c r="W9" s="12"/>
      <c r="X9" s="17"/>
      <c r="Y9" s="13"/>
      <c r="Z9" s="13"/>
      <c r="AA9" s="13"/>
      <c r="AB9" s="14"/>
      <c r="AC9" s="9"/>
      <c r="AD9" s="16"/>
      <c r="AE9" s="10"/>
      <c r="AF9" s="10"/>
      <c r="AG9" s="10"/>
      <c r="AH9" s="11"/>
      <c r="AI9" s="12" t="s">
        <v>47</v>
      </c>
      <c r="AJ9" s="17"/>
      <c r="AK9" s="13">
        <v>36</v>
      </c>
      <c r="AL9" s="13">
        <v>77</v>
      </c>
      <c r="AM9" s="13">
        <v>128</v>
      </c>
      <c r="AN9" s="14">
        <v>40</v>
      </c>
      <c r="AO9" s="9"/>
      <c r="AP9" s="16"/>
      <c r="AQ9" s="10"/>
      <c r="AR9" s="10"/>
      <c r="AS9" s="10"/>
      <c r="AT9" s="11"/>
      <c r="AU9" s="12"/>
      <c r="AV9" s="17"/>
      <c r="AW9" s="13"/>
      <c r="AX9" s="13"/>
      <c r="AY9" s="13"/>
      <c r="AZ9" s="14"/>
      <c r="BA9" s="9"/>
      <c r="BB9" s="16"/>
      <c r="BC9" s="10"/>
      <c r="BD9" s="10"/>
      <c r="BE9" s="10"/>
      <c r="BF9" s="11"/>
      <c r="BG9" s="12"/>
      <c r="BH9" s="17"/>
      <c r="BI9" s="13"/>
      <c r="BJ9" s="13"/>
      <c r="BK9" s="13"/>
      <c r="BL9" s="14"/>
      <c r="BM9" s="8">
        <f t="shared" si="0"/>
        <v>36</v>
      </c>
      <c r="BN9" s="8">
        <f t="shared" si="1"/>
        <v>77</v>
      </c>
      <c r="BO9" s="8">
        <f t="shared" si="2"/>
        <v>128</v>
      </c>
      <c r="BP9" s="8">
        <f t="shared" si="3"/>
        <v>40</v>
      </c>
      <c r="BQ9" s="8">
        <f t="shared" si="4"/>
        <v>128</v>
      </c>
      <c r="BR9" s="8">
        <f t="shared" si="5"/>
        <v>36</v>
      </c>
      <c r="BS9" s="15">
        <f t="shared" si="6"/>
        <v>9.2893348911534019</v>
      </c>
      <c r="BT9" s="15" t="str">
        <f t="shared" si="7"/>
        <v>OK - No Upgrade</v>
      </c>
      <c r="BU9" s="15" t="str">
        <f t="shared" si="8"/>
        <v>Need to Balance</v>
      </c>
    </row>
    <row r="10" spans="1:73" ht="15.75" customHeight="1" x14ac:dyDescent="0.25">
      <c r="A10" s="8" t="s">
        <v>38</v>
      </c>
      <c r="B10" s="8" t="s">
        <v>3752</v>
      </c>
      <c r="C10" s="8" t="s">
        <v>389</v>
      </c>
      <c r="D10" s="8" t="s">
        <v>3770</v>
      </c>
      <c r="E10" s="8" t="s">
        <v>3771</v>
      </c>
      <c r="F10" s="8" t="s">
        <v>43</v>
      </c>
      <c r="G10" s="8"/>
      <c r="H10" s="8">
        <v>315</v>
      </c>
      <c r="I10" s="8" t="s">
        <v>3772</v>
      </c>
      <c r="J10" s="8">
        <v>1</v>
      </c>
      <c r="K10" s="8">
        <v>244</v>
      </c>
      <c r="L10" s="8">
        <v>243</v>
      </c>
      <c r="M10" s="8">
        <v>245</v>
      </c>
      <c r="N10" s="8">
        <v>420</v>
      </c>
      <c r="O10" s="8">
        <v>416</v>
      </c>
      <c r="P10" s="8">
        <v>421</v>
      </c>
      <c r="Q10" s="9" t="s">
        <v>46</v>
      </c>
      <c r="R10" s="16"/>
      <c r="S10" s="10">
        <v>13</v>
      </c>
      <c r="T10" s="10">
        <v>17</v>
      </c>
      <c r="U10" s="10">
        <v>32</v>
      </c>
      <c r="V10" s="11">
        <v>14</v>
      </c>
      <c r="W10" s="12" t="s">
        <v>46</v>
      </c>
      <c r="X10" s="17"/>
      <c r="Y10" s="13">
        <v>31</v>
      </c>
      <c r="Z10" s="13">
        <v>18</v>
      </c>
      <c r="AA10" s="13">
        <v>83</v>
      </c>
      <c r="AB10" s="14">
        <v>45</v>
      </c>
      <c r="AC10" s="9"/>
      <c r="AD10" s="16"/>
      <c r="AE10" s="10"/>
      <c r="AF10" s="10"/>
      <c r="AG10" s="10"/>
      <c r="AH10" s="11"/>
      <c r="AI10" s="12"/>
      <c r="AJ10" s="17"/>
      <c r="AK10" s="13"/>
      <c r="AL10" s="13"/>
      <c r="AM10" s="13"/>
      <c r="AN10" s="14"/>
      <c r="AO10" s="9"/>
      <c r="AP10" s="16"/>
      <c r="AQ10" s="10"/>
      <c r="AR10" s="10"/>
      <c r="AS10" s="10"/>
      <c r="AT10" s="11"/>
      <c r="AU10" s="12"/>
      <c r="AV10" s="17"/>
      <c r="AW10" s="13"/>
      <c r="AX10" s="13"/>
      <c r="AY10" s="13"/>
      <c r="AZ10" s="14"/>
      <c r="BA10" s="9"/>
      <c r="BB10" s="16"/>
      <c r="BC10" s="10"/>
      <c r="BD10" s="10"/>
      <c r="BE10" s="10"/>
      <c r="BF10" s="11"/>
      <c r="BG10" s="12"/>
      <c r="BH10" s="17"/>
      <c r="BI10" s="13"/>
      <c r="BJ10" s="13"/>
      <c r="BK10" s="13"/>
      <c r="BL10" s="14"/>
      <c r="BM10" s="8">
        <f t="shared" si="0"/>
        <v>44</v>
      </c>
      <c r="BN10" s="8">
        <f t="shared" si="1"/>
        <v>35</v>
      </c>
      <c r="BO10" s="8">
        <f t="shared" si="2"/>
        <v>115</v>
      </c>
      <c r="BP10" s="8">
        <f t="shared" si="3"/>
        <v>59</v>
      </c>
      <c r="BQ10" s="8">
        <f t="shared" si="4"/>
        <v>115</v>
      </c>
      <c r="BR10" s="8">
        <f t="shared" si="5"/>
        <v>35</v>
      </c>
      <c r="BS10" s="15">
        <f t="shared" si="6"/>
        <v>26.558112382722786</v>
      </c>
      <c r="BT10" s="15" t="str">
        <f t="shared" si="7"/>
        <v>OK - No Upgrade</v>
      </c>
      <c r="BU10" s="15" t="str">
        <f t="shared" si="8"/>
        <v>Need to Balance</v>
      </c>
    </row>
    <row r="11" spans="1:73" ht="15.75" customHeight="1" x14ac:dyDescent="0.25">
      <c r="A11" s="8" t="s">
        <v>38</v>
      </c>
      <c r="B11" s="8" t="s">
        <v>3752</v>
      </c>
      <c r="C11" s="8" t="s">
        <v>389</v>
      </c>
      <c r="D11" s="8" t="s">
        <v>3773</v>
      </c>
      <c r="E11" s="8" t="s">
        <v>3774</v>
      </c>
      <c r="F11" s="8" t="s">
        <v>56</v>
      </c>
      <c r="G11" s="8" t="s">
        <v>44</v>
      </c>
      <c r="H11" s="8">
        <v>500</v>
      </c>
      <c r="I11" s="8" t="s">
        <v>2840</v>
      </c>
      <c r="J11" s="8">
        <v>1</v>
      </c>
      <c r="K11" s="8">
        <v>243</v>
      </c>
      <c r="L11" s="8">
        <v>242</v>
      </c>
      <c r="M11" s="8">
        <v>245</v>
      </c>
      <c r="N11" s="8">
        <v>418</v>
      </c>
      <c r="O11" s="8">
        <v>423</v>
      </c>
      <c r="P11" s="8">
        <v>419</v>
      </c>
      <c r="Q11" s="9" t="s">
        <v>47</v>
      </c>
      <c r="R11" s="16"/>
      <c r="S11" s="10">
        <v>60</v>
      </c>
      <c r="T11" s="10">
        <v>84</v>
      </c>
      <c r="U11" s="10">
        <v>89</v>
      </c>
      <c r="V11" s="11">
        <v>39</v>
      </c>
      <c r="W11" s="12" t="s">
        <v>47</v>
      </c>
      <c r="X11" s="17"/>
      <c r="Y11" s="13">
        <v>35</v>
      </c>
      <c r="Z11" s="13">
        <v>51</v>
      </c>
      <c r="AA11" s="13">
        <v>23</v>
      </c>
      <c r="AB11" s="14">
        <v>43</v>
      </c>
      <c r="AC11" s="9" t="s">
        <v>47</v>
      </c>
      <c r="AD11" s="16"/>
      <c r="AE11" s="10">
        <v>31</v>
      </c>
      <c r="AF11" s="10">
        <v>105</v>
      </c>
      <c r="AG11" s="10">
        <v>84</v>
      </c>
      <c r="AH11" s="11">
        <v>50</v>
      </c>
      <c r="AI11" s="12" t="s">
        <v>47</v>
      </c>
      <c r="AJ11" s="17"/>
      <c r="AK11" s="13">
        <v>7</v>
      </c>
      <c r="AL11" s="13">
        <v>9</v>
      </c>
      <c r="AM11" s="13">
        <v>20</v>
      </c>
      <c r="AN11" s="14">
        <v>9</v>
      </c>
      <c r="AO11" s="9" t="s">
        <v>47</v>
      </c>
      <c r="AP11" s="16"/>
      <c r="AQ11" s="10">
        <v>18</v>
      </c>
      <c r="AR11" s="10">
        <v>2</v>
      </c>
      <c r="AS11" s="10">
        <v>2</v>
      </c>
      <c r="AT11" s="11">
        <v>15</v>
      </c>
      <c r="AU11" s="12"/>
      <c r="AV11" s="17"/>
      <c r="AW11" s="13"/>
      <c r="AX11" s="13"/>
      <c r="AY11" s="13"/>
      <c r="AZ11" s="14"/>
      <c r="BA11" s="9"/>
      <c r="BB11" s="16"/>
      <c r="BC11" s="10"/>
      <c r="BD11" s="10"/>
      <c r="BE11" s="10"/>
      <c r="BF11" s="11"/>
      <c r="BG11" s="12"/>
      <c r="BH11" s="17"/>
      <c r="BI11" s="13"/>
      <c r="BJ11" s="13"/>
      <c r="BK11" s="13"/>
      <c r="BL11" s="14"/>
      <c r="BM11" s="8">
        <f t="shared" si="0"/>
        <v>151</v>
      </c>
      <c r="BN11" s="8">
        <f t="shared" si="1"/>
        <v>251</v>
      </c>
      <c r="BO11" s="8">
        <f t="shared" si="2"/>
        <v>218</v>
      </c>
      <c r="BP11" s="8">
        <f t="shared" si="3"/>
        <v>156</v>
      </c>
      <c r="BQ11" s="8">
        <f t="shared" si="4"/>
        <v>251</v>
      </c>
      <c r="BR11" s="8">
        <f t="shared" si="5"/>
        <v>151</v>
      </c>
      <c r="BS11" s="15">
        <f t="shared" si="6"/>
        <v>36.34466132570229</v>
      </c>
      <c r="BT11" s="15" t="str">
        <f t="shared" si="7"/>
        <v>OK - No Upgrade</v>
      </c>
      <c r="BU11" s="15" t="str">
        <f t="shared" si="8"/>
        <v>Need to Balance</v>
      </c>
    </row>
    <row r="12" spans="1:73" ht="15.75" customHeight="1" x14ac:dyDescent="0.25">
      <c r="A12" s="8" t="s">
        <v>38</v>
      </c>
      <c r="B12" s="8" t="s">
        <v>3752</v>
      </c>
      <c r="C12" s="8" t="s">
        <v>389</v>
      </c>
      <c r="D12" s="8" t="s">
        <v>3775</v>
      </c>
      <c r="E12" s="8" t="s">
        <v>3776</v>
      </c>
      <c r="F12" s="8" t="s">
        <v>56</v>
      </c>
      <c r="G12" s="8" t="s">
        <v>44</v>
      </c>
      <c r="H12" s="8">
        <v>1000</v>
      </c>
      <c r="I12" s="8" t="s">
        <v>3777</v>
      </c>
      <c r="J12" s="8">
        <v>1</v>
      </c>
      <c r="K12" s="8">
        <v>239</v>
      </c>
      <c r="L12" s="8">
        <v>239</v>
      </c>
      <c r="M12" s="8">
        <v>241</v>
      </c>
      <c r="N12" s="8">
        <v>414</v>
      </c>
      <c r="O12" s="8">
        <v>416</v>
      </c>
      <c r="P12" s="8">
        <v>415</v>
      </c>
      <c r="Q12" s="9"/>
      <c r="R12" s="16"/>
      <c r="S12" s="10"/>
      <c r="T12" s="10"/>
      <c r="U12" s="10"/>
      <c r="V12" s="11"/>
      <c r="W12" s="12" t="s">
        <v>70</v>
      </c>
      <c r="X12" s="17"/>
      <c r="Y12" s="13">
        <v>174</v>
      </c>
      <c r="Z12" s="13">
        <v>149</v>
      </c>
      <c r="AA12" s="13">
        <v>170</v>
      </c>
      <c r="AB12" s="14">
        <v>14</v>
      </c>
      <c r="AC12" s="9" t="s">
        <v>70</v>
      </c>
      <c r="AD12" s="16"/>
      <c r="AE12" s="10">
        <v>163</v>
      </c>
      <c r="AF12" s="10">
        <v>166</v>
      </c>
      <c r="AG12" s="10">
        <v>161</v>
      </c>
      <c r="AH12" s="11">
        <v>9</v>
      </c>
      <c r="AI12" s="12" t="s">
        <v>70</v>
      </c>
      <c r="AJ12" s="17"/>
      <c r="AK12" s="13">
        <v>160</v>
      </c>
      <c r="AL12" s="13">
        <v>131</v>
      </c>
      <c r="AM12" s="13">
        <v>155</v>
      </c>
      <c r="AN12" s="14">
        <v>14</v>
      </c>
      <c r="AO12" s="9"/>
      <c r="AP12" s="16"/>
      <c r="AQ12" s="10"/>
      <c r="AR12" s="10"/>
      <c r="AS12" s="10"/>
      <c r="AT12" s="11"/>
      <c r="AU12" s="12"/>
      <c r="AV12" s="17"/>
      <c r="AW12" s="13"/>
      <c r="AX12" s="13"/>
      <c r="AY12" s="13"/>
      <c r="AZ12" s="14"/>
      <c r="BA12" s="9"/>
      <c r="BB12" s="16"/>
      <c r="BC12" s="10"/>
      <c r="BD12" s="10"/>
      <c r="BE12" s="10"/>
      <c r="BF12" s="11"/>
      <c r="BG12" s="12"/>
      <c r="BH12" s="17"/>
      <c r="BI12" s="13"/>
      <c r="BJ12" s="13"/>
      <c r="BK12" s="13"/>
      <c r="BL12" s="14"/>
      <c r="BM12" s="8">
        <f t="shared" si="0"/>
        <v>497</v>
      </c>
      <c r="BN12" s="8">
        <f t="shared" si="1"/>
        <v>446</v>
      </c>
      <c r="BO12" s="8">
        <f t="shared" si="2"/>
        <v>486</v>
      </c>
      <c r="BP12" s="8">
        <f t="shared" si="3"/>
        <v>37</v>
      </c>
      <c r="BQ12" s="8">
        <f t="shared" si="4"/>
        <v>497</v>
      </c>
      <c r="BR12" s="8">
        <f t="shared" si="5"/>
        <v>446</v>
      </c>
      <c r="BS12" s="15">
        <f t="shared" si="6"/>
        <v>35.638331006375708</v>
      </c>
      <c r="BT12" s="15" t="str">
        <f t="shared" si="7"/>
        <v>OK - No Upgrade</v>
      </c>
      <c r="BU12" s="15" t="str">
        <f t="shared" si="8"/>
        <v>OK - Balanced</v>
      </c>
    </row>
    <row r="13" spans="1:73" ht="15.75" customHeight="1" x14ac:dyDescent="0.25">
      <c r="A13" s="8" t="s">
        <v>38</v>
      </c>
      <c r="B13" s="8" t="s">
        <v>3752</v>
      </c>
      <c r="C13" s="8" t="s">
        <v>389</v>
      </c>
      <c r="D13" s="8" t="s">
        <v>3778</v>
      </c>
      <c r="E13" s="8" t="s">
        <v>3779</v>
      </c>
      <c r="F13" s="8" t="s">
        <v>56</v>
      </c>
      <c r="G13" s="8" t="s">
        <v>44</v>
      </c>
      <c r="H13" s="8">
        <v>1000</v>
      </c>
      <c r="I13" s="8" t="s">
        <v>3780</v>
      </c>
      <c r="J13" s="8">
        <v>1</v>
      </c>
      <c r="K13" s="8">
        <v>240</v>
      </c>
      <c r="L13" s="8">
        <v>239</v>
      </c>
      <c r="M13" s="8">
        <v>241</v>
      </c>
      <c r="N13" s="8">
        <v>412</v>
      </c>
      <c r="O13" s="8">
        <v>417</v>
      </c>
      <c r="P13" s="8">
        <v>417</v>
      </c>
      <c r="Q13" s="9"/>
      <c r="R13" s="16"/>
      <c r="S13" s="10"/>
      <c r="T13" s="10"/>
      <c r="U13" s="10"/>
      <c r="V13" s="11"/>
      <c r="W13" s="12" t="s">
        <v>70</v>
      </c>
      <c r="X13" s="17"/>
      <c r="Y13" s="13">
        <v>170</v>
      </c>
      <c r="Z13" s="13">
        <v>170</v>
      </c>
      <c r="AA13" s="13">
        <v>169</v>
      </c>
      <c r="AB13" s="14">
        <v>4</v>
      </c>
      <c r="AC13" s="9" t="s">
        <v>70</v>
      </c>
      <c r="AD13" s="16"/>
      <c r="AE13" s="10">
        <v>133</v>
      </c>
      <c r="AF13" s="10">
        <v>133</v>
      </c>
      <c r="AG13" s="10">
        <v>130</v>
      </c>
      <c r="AH13" s="11">
        <v>9</v>
      </c>
      <c r="AI13" s="12" t="s">
        <v>70</v>
      </c>
      <c r="AJ13" s="17"/>
      <c r="AK13" s="13">
        <v>123</v>
      </c>
      <c r="AL13" s="13">
        <v>126</v>
      </c>
      <c r="AM13" s="13">
        <v>125</v>
      </c>
      <c r="AN13" s="14">
        <v>12</v>
      </c>
      <c r="AO13" s="9"/>
      <c r="AP13" s="16"/>
      <c r="AQ13" s="10"/>
      <c r="AR13" s="10"/>
      <c r="AS13" s="10"/>
      <c r="AT13" s="11"/>
      <c r="AU13" s="12"/>
      <c r="AV13" s="17"/>
      <c r="AW13" s="13"/>
      <c r="AX13" s="13"/>
      <c r="AY13" s="13"/>
      <c r="AZ13" s="14"/>
      <c r="BA13" s="9"/>
      <c r="BB13" s="16"/>
      <c r="BC13" s="10"/>
      <c r="BD13" s="10"/>
      <c r="BE13" s="10"/>
      <c r="BF13" s="11"/>
      <c r="BG13" s="12"/>
      <c r="BH13" s="17"/>
      <c r="BI13" s="13"/>
      <c r="BJ13" s="13"/>
      <c r="BK13" s="13"/>
      <c r="BL13" s="14"/>
      <c r="BM13" s="8">
        <f t="shared" si="0"/>
        <v>426</v>
      </c>
      <c r="BN13" s="8">
        <f t="shared" si="1"/>
        <v>429</v>
      </c>
      <c r="BO13" s="8">
        <f t="shared" si="2"/>
        <v>424</v>
      </c>
      <c r="BP13" s="8">
        <f t="shared" si="3"/>
        <v>25</v>
      </c>
      <c r="BQ13" s="8">
        <f t="shared" si="4"/>
        <v>429</v>
      </c>
      <c r="BR13" s="8">
        <f t="shared" si="5"/>
        <v>424</v>
      </c>
      <c r="BS13" s="15">
        <f t="shared" si="6"/>
        <v>30.613651613618387</v>
      </c>
      <c r="BT13" s="15" t="str">
        <f t="shared" si="7"/>
        <v>OK - No Upgrade</v>
      </c>
      <c r="BU13" s="15" t="str">
        <f t="shared" si="8"/>
        <v>OK - Balanced</v>
      </c>
    </row>
    <row r="14" spans="1:73" ht="15.75" customHeight="1" x14ac:dyDescent="0.25">
      <c r="A14" s="8" t="s">
        <v>38</v>
      </c>
      <c r="B14" s="8" t="s">
        <v>3752</v>
      </c>
      <c r="C14" s="8" t="s">
        <v>124</v>
      </c>
      <c r="D14" s="8" t="s">
        <v>3781</v>
      </c>
      <c r="E14" s="8" t="s">
        <v>3782</v>
      </c>
      <c r="F14" s="8" t="s">
        <v>43</v>
      </c>
      <c r="G14" s="8" t="s">
        <v>44</v>
      </c>
      <c r="H14" s="8">
        <v>315</v>
      </c>
      <c r="I14" s="8" t="s">
        <v>3783</v>
      </c>
      <c r="J14" s="8">
        <v>1</v>
      </c>
      <c r="K14" s="8">
        <v>246</v>
      </c>
      <c r="L14" s="8">
        <v>248</v>
      </c>
      <c r="M14" s="8">
        <v>248</v>
      </c>
      <c r="N14" s="8">
        <v>426</v>
      </c>
      <c r="O14" s="8">
        <v>427</v>
      </c>
      <c r="P14" s="8">
        <v>428</v>
      </c>
      <c r="Q14" s="9" t="s">
        <v>47</v>
      </c>
      <c r="R14" s="16"/>
      <c r="S14" s="10">
        <v>6</v>
      </c>
      <c r="T14" s="10">
        <v>6</v>
      </c>
      <c r="U14" s="10">
        <v>14</v>
      </c>
      <c r="V14" s="11">
        <v>13</v>
      </c>
      <c r="W14" s="12"/>
      <c r="X14" s="17"/>
      <c r="Y14" s="13"/>
      <c r="Z14" s="13"/>
      <c r="AA14" s="13"/>
      <c r="AB14" s="14"/>
      <c r="AC14" s="9"/>
      <c r="AD14" s="16"/>
      <c r="AE14" s="10"/>
      <c r="AF14" s="10"/>
      <c r="AG14" s="10"/>
      <c r="AH14" s="11"/>
      <c r="AI14" s="12"/>
      <c r="AJ14" s="17"/>
      <c r="AK14" s="13"/>
      <c r="AL14" s="13"/>
      <c r="AM14" s="13"/>
      <c r="AN14" s="14"/>
      <c r="AO14" s="9"/>
      <c r="AP14" s="16"/>
      <c r="AQ14" s="10"/>
      <c r="AR14" s="10"/>
      <c r="AS14" s="10"/>
      <c r="AT14" s="11"/>
      <c r="AU14" s="12"/>
      <c r="AV14" s="17"/>
      <c r="AW14" s="13"/>
      <c r="AX14" s="13"/>
      <c r="AY14" s="13"/>
      <c r="AZ14" s="14"/>
      <c r="BA14" s="9"/>
      <c r="BB14" s="16"/>
      <c r="BC14" s="10"/>
      <c r="BD14" s="10"/>
      <c r="BE14" s="10"/>
      <c r="BF14" s="11"/>
      <c r="BG14" s="12"/>
      <c r="BH14" s="17"/>
      <c r="BI14" s="13"/>
      <c r="BJ14" s="13"/>
      <c r="BK14" s="13"/>
      <c r="BL14" s="14"/>
      <c r="BM14" s="8">
        <f t="shared" si="0"/>
        <v>6</v>
      </c>
      <c r="BN14" s="8">
        <f t="shared" si="1"/>
        <v>6</v>
      </c>
      <c r="BO14" s="8">
        <f t="shared" si="2"/>
        <v>14</v>
      </c>
      <c r="BP14" s="8">
        <f t="shared" si="3"/>
        <v>13</v>
      </c>
      <c r="BQ14" s="8">
        <f t="shared" si="4"/>
        <v>14</v>
      </c>
      <c r="BR14" s="8">
        <f t="shared" si="5"/>
        <v>6</v>
      </c>
      <c r="BS14" s="15">
        <f t="shared" si="6"/>
        <v>3.279349528997074</v>
      </c>
      <c r="BT14" s="15" t="str">
        <f t="shared" si="7"/>
        <v>OK - No Upgrade</v>
      </c>
      <c r="BU14" s="15" t="str">
        <f t="shared" si="8"/>
        <v>Need to Balance</v>
      </c>
    </row>
    <row r="15" spans="1:73" ht="15.75" customHeight="1" x14ac:dyDescent="0.25">
      <c r="A15" s="8" t="s">
        <v>38</v>
      </c>
      <c r="B15" s="8" t="s">
        <v>3752</v>
      </c>
      <c r="C15" s="8" t="s">
        <v>124</v>
      </c>
      <c r="D15" s="8" t="s">
        <v>3784</v>
      </c>
      <c r="E15" s="8" t="s">
        <v>3785</v>
      </c>
      <c r="F15" s="8" t="s">
        <v>43</v>
      </c>
      <c r="G15" s="8" t="s">
        <v>44</v>
      </c>
      <c r="H15" s="8">
        <v>100</v>
      </c>
      <c r="I15" s="8" t="s">
        <v>3786</v>
      </c>
      <c r="J15" s="8">
        <v>1</v>
      </c>
      <c r="K15" s="8">
        <v>245</v>
      </c>
      <c r="L15" s="8">
        <v>244</v>
      </c>
      <c r="M15" s="8">
        <v>247</v>
      </c>
      <c r="N15" s="8">
        <v>422</v>
      </c>
      <c r="O15" s="8">
        <v>421</v>
      </c>
      <c r="P15" s="8">
        <v>423</v>
      </c>
      <c r="Q15" s="9" t="s">
        <v>46</v>
      </c>
      <c r="R15" s="16"/>
      <c r="S15" s="10">
        <v>8</v>
      </c>
      <c r="T15" s="10">
        <v>0</v>
      </c>
      <c r="U15" s="10">
        <v>1</v>
      </c>
      <c r="V15" s="11">
        <v>7</v>
      </c>
      <c r="W15" s="12"/>
      <c r="X15" s="17"/>
      <c r="Y15" s="13"/>
      <c r="Z15" s="13"/>
      <c r="AA15" s="13"/>
      <c r="AB15" s="14"/>
      <c r="AC15" s="9"/>
      <c r="AD15" s="16"/>
      <c r="AE15" s="10"/>
      <c r="AF15" s="10"/>
      <c r="AG15" s="10"/>
      <c r="AH15" s="11"/>
      <c r="AI15" s="12"/>
      <c r="AJ15" s="17"/>
      <c r="AK15" s="13"/>
      <c r="AL15" s="13"/>
      <c r="AM15" s="13"/>
      <c r="AN15" s="14"/>
      <c r="AO15" s="9"/>
      <c r="AP15" s="16"/>
      <c r="AQ15" s="10"/>
      <c r="AR15" s="10"/>
      <c r="AS15" s="10"/>
      <c r="AT15" s="11"/>
      <c r="AU15" s="12"/>
      <c r="AV15" s="17"/>
      <c r="AW15" s="13"/>
      <c r="AX15" s="13"/>
      <c r="AY15" s="13"/>
      <c r="AZ15" s="14"/>
      <c r="BA15" s="9"/>
      <c r="BB15" s="16"/>
      <c r="BC15" s="10"/>
      <c r="BD15" s="10"/>
      <c r="BE15" s="10"/>
      <c r="BF15" s="11"/>
      <c r="BG15" s="12"/>
      <c r="BH15" s="17"/>
      <c r="BI15" s="13"/>
      <c r="BJ15" s="13"/>
      <c r="BK15" s="13"/>
      <c r="BL15" s="14"/>
      <c r="BM15" s="8">
        <f t="shared" si="0"/>
        <v>8</v>
      </c>
      <c r="BN15" s="8">
        <f t="shared" si="1"/>
        <v>0</v>
      </c>
      <c r="BO15" s="8">
        <f t="shared" si="2"/>
        <v>1</v>
      </c>
      <c r="BP15" s="8">
        <f t="shared" si="3"/>
        <v>7</v>
      </c>
      <c r="BQ15" s="8">
        <f t="shared" si="4"/>
        <v>8</v>
      </c>
      <c r="BR15" s="8">
        <f t="shared" si="5"/>
        <v>0</v>
      </c>
      <c r="BS15" s="15">
        <f t="shared" si="6"/>
        <v>5.8474035263525295</v>
      </c>
      <c r="BT15" s="15" t="str">
        <f t="shared" si="7"/>
        <v>OK - No Upgrade</v>
      </c>
      <c r="BU15" s="15" t="str">
        <f t="shared" si="8"/>
        <v>Need to Balance</v>
      </c>
    </row>
    <row r="16" spans="1:73" ht="15.75" customHeight="1" x14ac:dyDescent="0.25">
      <c r="A16" s="8" t="s">
        <v>38</v>
      </c>
      <c r="B16" s="8" t="s">
        <v>3752</v>
      </c>
      <c r="C16" s="8" t="s">
        <v>573</v>
      </c>
      <c r="D16" s="8" t="s">
        <v>3787</v>
      </c>
      <c r="E16" s="8" t="s">
        <v>3788</v>
      </c>
      <c r="F16" s="8" t="s">
        <v>56</v>
      </c>
      <c r="G16" s="8" t="s">
        <v>44</v>
      </c>
      <c r="H16" s="8">
        <v>1000</v>
      </c>
      <c r="I16" s="8" t="s">
        <v>3789</v>
      </c>
      <c r="J16" s="8">
        <v>1</v>
      </c>
      <c r="K16" s="8">
        <v>241</v>
      </c>
      <c r="L16" s="8">
        <v>243</v>
      </c>
      <c r="M16" s="8">
        <v>240</v>
      </c>
      <c r="N16" s="8">
        <v>419</v>
      </c>
      <c r="O16" s="8">
        <v>414</v>
      </c>
      <c r="P16" s="8">
        <v>417</v>
      </c>
      <c r="Q16" s="9" t="s">
        <v>70</v>
      </c>
      <c r="R16" s="16"/>
      <c r="S16" s="10">
        <v>29</v>
      </c>
      <c r="T16" s="10">
        <v>21</v>
      </c>
      <c r="U16" s="10">
        <v>36</v>
      </c>
      <c r="V16" s="11">
        <v>43</v>
      </c>
      <c r="W16" s="12" t="s">
        <v>70</v>
      </c>
      <c r="X16" s="17"/>
      <c r="Y16" s="13">
        <v>61</v>
      </c>
      <c r="Z16" s="13">
        <v>124</v>
      </c>
      <c r="AA16" s="13">
        <v>168</v>
      </c>
      <c r="AB16" s="14">
        <v>3</v>
      </c>
      <c r="AC16" s="9" t="s">
        <v>70</v>
      </c>
      <c r="AD16" s="16"/>
      <c r="AE16" s="10">
        <v>37</v>
      </c>
      <c r="AF16" s="10">
        <v>205</v>
      </c>
      <c r="AG16" s="10">
        <v>212</v>
      </c>
      <c r="AH16" s="11">
        <v>14</v>
      </c>
      <c r="AI16" s="12"/>
      <c r="AJ16" s="17"/>
      <c r="AK16" s="13"/>
      <c r="AL16" s="13"/>
      <c r="AM16" s="13"/>
      <c r="AN16" s="14"/>
      <c r="AO16" s="9"/>
      <c r="AP16" s="16"/>
      <c r="AQ16" s="10"/>
      <c r="AR16" s="10"/>
      <c r="AS16" s="10"/>
      <c r="AT16" s="11"/>
      <c r="AU16" s="12"/>
      <c r="AV16" s="17"/>
      <c r="AW16" s="13"/>
      <c r="AX16" s="13"/>
      <c r="AY16" s="13"/>
      <c r="AZ16" s="14"/>
      <c r="BA16" s="9"/>
      <c r="BB16" s="16"/>
      <c r="BC16" s="10"/>
      <c r="BD16" s="10"/>
      <c r="BE16" s="10"/>
      <c r="BF16" s="11"/>
      <c r="BG16" s="12"/>
      <c r="BH16" s="17"/>
      <c r="BI16" s="13"/>
      <c r="BJ16" s="13"/>
      <c r="BK16" s="13"/>
      <c r="BL16" s="14"/>
      <c r="BM16" s="8">
        <f t="shared" si="0"/>
        <v>127</v>
      </c>
      <c r="BN16" s="8">
        <f t="shared" si="1"/>
        <v>350</v>
      </c>
      <c r="BO16" s="8">
        <f t="shared" si="2"/>
        <v>416</v>
      </c>
      <c r="BP16" s="8">
        <f t="shared" si="3"/>
        <v>60</v>
      </c>
      <c r="BQ16" s="8">
        <f t="shared" si="4"/>
        <v>416</v>
      </c>
      <c r="BR16" s="8">
        <f t="shared" si="5"/>
        <v>127</v>
      </c>
      <c r="BS16" s="15">
        <f t="shared" si="6"/>
        <v>30.190338396248563</v>
      </c>
      <c r="BT16" s="15" t="str">
        <f t="shared" si="7"/>
        <v>OK - No Upgrade</v>
      </c>
      <c r="BU16" s="15" t="str">
        <f t="shared" si="8"/>
        <v>Need to Balance</v>
      </c>
    </row>
    <row r="17" spans="1:73" ht="15.75" customHeight="1" x14ac:dyDescent="0.25">
      <c r="A17" s="8" t="s">
        <v>38</v>
      </c>
      <c r="B17" s="8" t="s">
        <v>3752</v>
      </c>
      <c r="C17" s="8" t="s">
        <v>573</v>
      </c>
      <c r="D17" s="8" t="s">
        <v>3790</v>
      </c>
      <c r="E17" s="8" t="s">
        <v>1054</v>
      </c>
      <c r="F17" s="8" t="s">
        <v>56</v>
      </c>
      <c r="G17" s="8" t="s">
        <v>44</v>
      </c>
      <c r="H17" s="8">
        <v>500</v>
      </c>
      <c r="I17" s="8" t="s">
        <v>3791</v>
      </c>
      <c r="J17" s="8">
        <v>1</v>
      </c>
      <c r="K17" s="8">
        <v>256</v>
      </c>
      <c r="L17" s="8">
        <v>255</v>
      </c>
      <c r="M17" s="8">
        <v>257</v>
      </c>
      <c r="N17" s="8">
        <v>441</v>
      </c>
      <c r="O17" s="8">
        <v>439</v>
      </c>
      <c r="P17" s="8">
        <v>441</v>
      </c>
      <c r="Q17" s="9" t="s">
        <v>70</v>
      </c>
      <c r="R17" s="16"/>
      <c r="S17" s="10">
        <v>6</v>
      </c>
      <c r="T17" s="10">
        <v>11</v>
      </c>
      <c r="U17" s="10">
        <v>29</v>
      </c>
      <c r="V17" s="11">
        <v>10</v>
      </c>
      <c r="W17" s="12" t="s">
        <v>70</v>
      </c>
      <c r="X17" s="17"/>
      <c r="Y17" s="13">
        <v>15</v>
      </c>
      <c r="Z17" s="13">
        <v>20</v>
      </c>
      <c r="AA17" s="13">
        <v>49</v>
      </c>
      <c r="AB17" s="14">
        <v>21</v>
      </c>
      <c r="AC17" s="9"/>
      <c r="AD17" s="16"/>
      <c r="AE17" s="10"/>
      <c r="AF17" s="10"/>
      <c r="AG17" s="10"/>
      <c r="AH17" s="11"/>
      <c r="AI17" s="12"/>
      <c r="AJ17" s="17"/>
      <c r="AK17" s="13"/>
      <c r="AL17" s="13"/>
      <c r="AM17" s="13"/>
      <c r="AN17" s="14"/>
      <c r="AO17" s="9"/>
      <c r="AP17" s="16"/>
      <c r="AQ17" s="10"/>
      <c r="AR17" s="10"/>
      <c r="AS17" s="10"/>
      <c r="AT17" s="11"/>
      <c r="AU17" s="12"/>
      <c r="AV17" s="17"/>
      <c r="AW17" s="13"/>
      <c r="AX17" s="13"/>
      <c r="AY17" s="13"/>
      <c r="AZ17" s="14"/>
      <c r="BA17" s="9"/>
      <c r="BB17" s="16"/>
      <c r="BC17" s="10"/>
      <c r="BD17" s="10"/>
      <c r="BE17" s="10"/>
      <c r="BF17" s="11"/>
      <c r="BG17" s="12"/>
      <c r="BH17" s="17"/>
      <c r="BI17" s="13"/>
      <c r="BJ17" s="13"/>
      <c r="BK17" s="13"/>
      <c r="BL17" s="14"/>
      <c r="BM17" s="8">
        <f t="shared" si="0"/>
        <v>21</v>
      </c>
      <c r="BN17" s="8">
        <f t="shared" si="1"/>
        <v>31</v>
      </c>
      <c r="BO17" s="8">
        <f t="shared" si="2"/>
        <v>78</v>
      </c>
      <c r="BP17" s="8">
        <f t="shared" si="3"/>
        <v>31</v>
      </c>
      <c r="BQ17" s="8">
        <f t="shared" si="4"/>
        <v>78</v>
      </c>
      <c r="BR17" s="8">
        <f t="shared" si="5"/>
        <v>21</v>
      </c>
      <c r="BS17" s="15">
        <f t="shared" si="6"/>
        <v>11.915816735750848</v>
      </c>
      <c r="BT17" s="15" t="str">
        <f t="shared" si="7"/>
        <v>OK - No Upgrade</v>
      </c>
      <c r="BU17" s="15" t="str">
        <f t="shared" si="8"/>
        <v>Need to Balance</v>
      </c>
    </row>
    <row r="18" spans="1:73" ht="15.75" customHeight="1" x14ac:dyDescent="0.25">
      <c r="A18" s="8" t="s">
        <v>38</v>
      </c>
      <c r="B18" s="8" t="s">
        <v>3752</v>
      </c>
      <c r="C18" s="8" t="s">
        <v>124</v>
      </c>
      <c r="D18" s="8" t="s">
        <v>3792</v>
      </c>
      <c r="E18" s="8" t="s">
        <v>3793</v>
      </c>
      <c r="F18" s="8" t="s">
        <v>43</v>
      </c>
      <c r="G18" s="8" t="s">
        <v>44</v>
      </c>
      <c r="H18" s="8">
        <v>100</v>
      </c>
      <c r="I18" s="8" t="s">
        <v>3794</v>
      </c>
      <c r="J18" s="8">
        <v>1</v>
      </c>
      <c r="K18" s="8">
        <v>245</v>
      </c>
      <c r="L18" s="8">
        <v>246</v>
      </c>
      <c r="M18" s="8">
        <v>247</v>
      </c>
      <c r="N18" s="8">
        <v>423</v>
      </c>
      <c r="O18" s="8">
        <v>426</v>
      </c>
      <c r="P18" s="8">
        <v>426</v>
      </c>
      <c r="Q18" s="9" t="s">
        <v>334</v>
      </c>
      <c r="R18" s="16"/>
      <c r="S18" s="10">
        <v>0</v>
      </c>
      <c r="T18" s="10">
        <v>0</v>
      </c>
      <c r="U18" s="10">
        <v>1</v>
      </c>
      <c r="V18" s="11">
        <v>0</v>
      </c>
      <c r="W18" s="12"/>
      <c r="X18" s="17"/>
      <c r="Y18" s="13"/>
      <c r="Z18" s="13"/>
      <c r="AA18" s="13"/>
      <c r="AB18" s="14"/>
      <c r="AC18" s="9"/>
      <c r="AD18" s="16"/>
      <c r="AE18" s="10"/>
      <c r="AF18" s="10"/>
      <c r="AG18" s="10"/>
      <c r="AH18" s="11"/>
      <c r="AI18" s="12"/>
      <c r="AJ18" s="17"/>
      <c r="AK18" s="13"/>
      <c r="AL18" s="13"/>
      <c r="AM18" s="13"/>
      <c r="AN18" s="14"/>
      <c r="AO18" s="9"/>
      <c r="AP18" s="16"/>
      <c r="AQ18" s="10"/>
      <c r="AR18" s="10"/>
      <c r="AS18" s="10"/>
      <c r="AT18" s="11"/>
      <c r="AU18" s="12"/>
      <c r="AV18" s="17"/>
      <c r="AW18" s="13"/>
      <c r="AX18" s="13"/>
      <c r="AY18" s="13"/>
      <c r="AZ18" s="14"/>
      <c r="BA18" s="9"/>
      <c r="BB18" s="16"/>
      <c r="BC18" s="10"/>
      <c r="BD18" s="10"/>
      <c r="BE18" s="10"/>
      <c r="BF18" s="11"/>
      <c r="BG18" s="12"/>
      <c r="BH18" s="17"/>
      <c r="BI18" s="13"/>
      <c r="BJ18" s="13"/>
      <c r="BK18" s="13"/>
      <c r="BL18" s="14"/>
      <c r="BM18" s="8">
        <f t="shared" si="0"/>
        <v>0</v>
      </c>
      <c r="BN18" s="8">
        <f t="shared" si="1"/>
        <v>0</v>
      </c>
      <c r="BO18" s="8">
        <f t="shared" si="2"/>
        <v>1</v>
      </c>
      <c r="BP18" s="8">
        <f t="shared" si="3"/>
        <v>0</v>
      </c>
      <c r="BQ18" s="8">
        <f t="shared" si="4"/>
        <v>1</v>
      </c>
      <c r="BR18" s="8">
        <f t="shared" si="5"/>
        <v>0</v>
      </c>
      <c r="BS18" s="15">
        <f t="shared" si="6"/>
        <v>0.73265749160163507</v>
      </c>
      <c r="BT18" s="15" t="str">
        <f t="shared" si="7"/>
        <v>OK - No Upgrade</v>
      </c>
      <c r="BU18" s="15" t="str">
        <f t="shared" si="8"/>
        <v>Need to Balance</v>
      </c>
    </row>
    <row r="19" spans="1:73" ht="15.75" customHeight="1" x14ac:dyDescent="0.25">
      <c r="A19" s="8" t="s">
        <v>38</v>
      </c>
      <c r="B19" s="8" t="s">
        <v>3752</v>
      </c>
      <c r="C19" s="8" t="s">
        <v>124</v>
      </c>
      <c r="D19" s="8" t="s">
        <v>3792</v>
      </c>
      <c r="E19" s="8" t="s">
        <v>3795</v>
      </c>
      <c r="F19" s="8" t="s">
        <v>43</v>
      </c>
      <c r="G19" s="8" t="s">
        <v>44</v>
      </c>
      <c r="H19" s="8">
        <v>100</v>
      </c>
      <c r="I19" s="8" t="s">
        <v>3796</v>
      </c>
      <c r="J19" s="8">
        <v>1</v>
      </c>
      <c r="K19" s="8">
        <v>236</v>
      </c>
      <c r="L19" s="8">
        <v>234</v>
      </c>
      <c r="M19" s="8">
        <v>234</v>
      </c>
      <c r="N19" s="8">
        <v>408</v>
      </c>
      <c r="O19" s="8">
        <v>407</v>
      </c>
      <c r="P19" s="8">
        <v>403</v>
      </c>
      <c r="Q19" s="9" t="s">
        <v>46</v>
      </c>
      <c r="R19" s="16"/>
      <c r="S19" s="10">
        <v>143</v>
      </c>
      <c r="T19" s="10">
        <v>139</v>
      </c>
      <c r="U19" s="10">
        <v>140</v>
      </c>
      <c r="V19" s="11">
        <v>1</v>
      </c>
      <c r="W19" s="12"/>
      <c r="X19" s="17"/>
      <c r="Y19" s="13"/>
      <c r="Z19" s="13"/>
      <c r="AA19" s="13"/>
      <c r="AB19" s="14"/>
      <c r="AC19" s="9"/>
      <c r="AD19" s="16"/>
      <c r="AE19" s="10"/>
      <c r="AF19" s="10"/>
      <c r="AG19" s="10"/>
      <c r="AH19" s="11"/>
      <c r="AI19" s="12"/>
      <c r="AJ19" s="17"/>
      <c r="AK19" s="13"/>
      <c r="AL19" s="13"/>
      <c r="AM19" s="13"/>
      <c r="AN19" s="14"/>
      <c r="AO19" s="9"/>
      <c r="AP19" s="16"/>
      <c r="AQ19" s="10"/>
      <c r="AR19" s="10"/>
      <c r="AS19" s="10"/>
      <c r="AT19" s="11"/>
      <c r="AU19" s="12"/>
      <c r="AV19" s="17"/>
      <c r="AW19" s="13"/>
      <c r="AX19" s="13"/>
      <c r="AY19" s="13"/>
      <c r="AZ19" s="14"/>
      <c r="BA19" s="9"/>
      <c r="BB19" s="16"/>
      <c r="BC19" s="10"/>
      <c r="BD19" s="10"/>
      <c r="BE19" s="10"/>
      <c r="BF19" s="11"/>
      <c r="BG19" s="12"/>
      <c r="BH19" s="17"/>
      <c r="BI19" s="13"/>
      <c r="BJ19" s="13"/>
      <c r="BK19" s="13"/>
      <c r="BL19" s="14"/>
      <c r="BM19" s="8">
        <f t="shared" si="0"/>
        <v>143</v>
      </c>
      <c r="BN19" s="8">
        <f t="shared" si="1"/>
        <v>139</v>
      </c>
      <c r="BO19" s="8">
        <f t="shared" si="2"/>
        <v>140</v>
      </c>
      <c r="BP19" s="8">
        <f t="shared" si="3"/>
        <v>1</v>
      </c>
      <c r="BQ19" s="8">
        <f t="shared" si="4"/>
        <v>143</v>
      </c>
      <c r="BR19" s="8">
        <f t="shared" si="5"/>
        <v>139</v>
      </c>
      <c r="BS19" s="15">
        <f t="shared" si="6"/>
        <v>101.05477231679856</v>
      </c>
      <c r="BT19" s="15" t="str">
        <f t="shared" si="7"/>
        <v>Upgrade</v>
      </c>
      <c r="BU19" s="15" t="str">
        <f t="shared" si="8"/>
        <v>OK - Balanced</v>
      </c>
    </row>
    <row r="20" spans="1:73" ht="15.75" customHeight="1" x14ac:dyDescent="0.25">
      <c r="A20" s="8" t="s">
        <v>38</v>
      </c>
      <c r="B20" s="8" t="s">
        <v>3752</v>
      </c>
      <c r="C20" s="8" t="s">
        <v>573</v>
      </c>
      <c r="D20" s="8" t="s">
        <v>3797</v>
      </c>
      <c r="E20" s="8" t="s">
        <v>1074</v>
      </c>
      <c r="F20" s="8" t="s">
        <v>56</v>
      </c>
      <c r="G20" s="8" t="s">
        <v>44</v>
      </c>
      <c r="H20" s="8">
        <v>1000</v>
      </c>
      <c r="I20" s="8" t="s">
        <v>3796</v>
      </c>
      <c r="J20" s="8">
        <v>1</v>
      </c>
      <c r="K20" s="8">
        <v>243</v>
      </c>
      <c r="L20" s="8">
        <v>243</v>
      </c>
      <c r="M20" s="8">
        <v>246</v>
      </c>
      <c r="N20" s="8">
        <v>414</v>
      </c>
      <c r="O20" s="8">
        <v>425</v>
      </c>
      <c r="P20" s="8">
        <v>422</v>
      </c>
      <c r="Q20" s="9" t="s">
        <v>70</v>
      </c>
      <c r="R20" s="16"/>
      <c r="S20" s="10">
        <v>61</v>
      </c>
      <c r="T20" s="10">
        <v>115</v>
      </c>
      <c r="U20" s="10">
        <v>31</v>
      </c>
      <c r="V20" s="11">
        <v>37</v>
      </c>
      <c r="W20" s="12"/>
      <c r="X20" s="17"/>
      <c r="Y20" s="13"/>
      <c r="Z20" s="13"/>
      <c r="AA20" s="13"/>
      <c r="AB20" s="14"/>
      <c r="AC20" s="9"/>
      <c r="AD20" s="16"/>
      <c r="AE20" s="10"/>
      <c r="AF20" s="10"/>
      <c r="AG20" s="10"/>
      <c r="AH20" s="11"/>
      <c r="AI20" s="12"/>
      <c r="AJ20" s="17"/>
      <c r="AK20" s="13"/>
      <c r="AL20" s="13"/>
      <c r="AM20" s="13"/>
      <c r="AN20" s="14"/>
      <c r="AO20" s="9"/>
      <c r="AP20" s="16"/>
      <c r="AQ20" s="10"/>
      <c r="AR20" s="10"/>
      <c r="AS20" s="10"/>
      <c r="AT20" s="11"/>
      <c r="AU20" s="12"/>
      <c r="AV20" s="17"/>
      <c r="AW20" s="13"/>
      <c r="AX20" s="13"/>
      <c r="AY20" s="13"/>
      <c r="AZ20" s="14"/>
      <c r="BA20" s="9"/>
      <c r="BB20" s="16"/>
      <c r="BC20" s="10"/>
      <c r="BD20" s="10"/>
      <c r="BE20" s="10"/>
      <c r="BF20" s="11"/>
      <c r="BG20" s="12"/>
      <c r="BH20" s="17"/>
      <c r="BI20" s="13"/>
      <c r="BJ20" s="13"/>
      <c r="BK20" s="13"/>
      <c r="BL20" s="14"/>
      <c r="BM20" s="8">
        <f t="shared" si="0"/>
        <v>61</v>
      </c>
      <c r="BN20" s="8">
        <f t="shared" si="1"/>
        <v>115</v>
      </c>
      <c r="BO20" s="8">
        <f t="shared" si="2"/>
        <v>31</v>
      </c>
      <c r="BP20" s="8">
        <f t="shared" si="3"/>
        <v>37</v>
      </c>
      <c r="BQ20" s="8">
        <f t="shared" si="4"/>
        <v>115</v>
      </c>
      <c r="BR20" s="8">
        <f t="shared" si="5"/>
        <v>31</v>
      </c>
      <c r="BS20" s="15">
        <f t="shared" si="6"/>
        <v>8.246293894835425</v>
      </c>
      <c r="BT20" s="15" t="str">
        <f t="shared" si="7"/>
        <v>OK - No Upgrade</v>
      </c>
      <c r="BU20" s="15" t="str">
        <f t="shared" si="8"/>
        <v>Need to Balance</v>
      </c>
    </row>
    <row r="21" spans="1:73" ht="15.75" customHeight="1" x14ac:dyDescent="0.25">
      <c r="A21" s="8" t="s">
        <v>38</v>
      </c>
      <c r="B21" s="8" t="s">
        <v>3752</v>
      </c>
      <c r="C21" s="8" t="s">
        <v>573</v>
      </c>
      <c r="D21" s="8" t="s">
        <v>3797</v>
      </c>
      <c r="E21" s="8" t="s">
        <v>1208</v>
      </c>
      <c r="F21" s="8" t="s">
        <v>56</v>
      </c>
      <c r="G21" s="8" t="s">
        <v>44</v>
      </c>
      <c r="H21" s="8">
        <v>1000</v>
      </c>
      <c r="I21" s="8" t="s">
        <v>3798</v>
      </c>
      <c r="J21" s="8">
        <v>1</v>
      </c>
      <c r="K21" s="8">
        <v>243</v>
      </c>
      <c r="L21" s="8">
        <v>243</v>
      </c>
      <c r="M21" s="8">
        <v>246</v>
      </c>
      <c r="N21" s="8">
        <v>414</v>
      </c>
      <c r="O21" s="8">
        <v>425</v>
      </c>
      <c r="P21" s="8">
        <v>422</v>
      </c>
      <c r="Q21" s="9" t="s">
        <v>70</v>
      </c>
      <c r="R21" s="16"/>
      <c r="S21" s="10">
        <v>70</v>
      </c>
      <c r="T21" s="10">
        <v>39</v>
      </c>
      <c r="U21" s="10">
        <v>29</v>
      </c>
      <c r="V21" s="11">
        <v>16</v>
      </c>
      <c r="W21" s="12"/>
      <c r="X21" s="17"/>
      <c r="Y21" s="13"/>
      <c r="Z21" s="13"/>
      <c r="AA21" s="13"/>
      <c r="AB21" s="14"/>
      <c r="AC21" s="9"/>
      <c r="AD21" s="16"/>
      <c r="AE21" s="10"/>
      <c r="AF21" s="10"/>
      <c r="AG21" s="10"/>
      <c r="AH21" s="11"/>
      <c r="AI21" s="12"/>
      <c r="AJ21" s="17"/>
      <c r="AK21" s="13"/>
      <c r="AL21" s="13"/>
      <c r="AM21" s="13"/>
      <c r="AN21" s="14"/>
      <c r="AO21" s="9"/>
      <c r="AP21" s="16"/>
      <c r="AQ21" s="10"/>
      <c r="AR21" s="10"/>
      <c r="AS21" s="10"/>
      <c r="AT21" s="11"/>
      <c r="AU21" s="12"/>
      <c r="AV21" s="17"/>
      <c r="AW21" s="13"/>
      <c r="AX21" s="13"/>
      <c r="AY21" s="13"/>
      <c r="AZ21" s="14"/>
      <c r="BA21" s="9"/>
      <c r="BB21" s="16"/>
      <c r="BC21" s="10"/>
      <c r="BD21" s="10"/>
      <c r="BE21" s="10"/>
      <c r="BF21" s="11"/>
      <c r="BG21" s="12"/>
      <c r="BH21" s="17"/>
      <c r="BI21" s="13"/>
      <c r="BJ21" s="13"/>
      <c r="BK21" s="13"/>
      <c r="BL21" s="14"/>
      <c r="BM21" s="8">
        <f t="shared" si="0"/>
        <v>70</v>
      </c>
      <c r="BN21" s="8">
        <f t="shared" si="1"/>
        <v>39</v>
      </c>
      <c r="BO21" s="8">
        <f t="shared" si="2"/>
        <v>29</v>
      </c>
      <c r="BP21" s="8">
        <f t="shared" si="3"/>
        <v>16</v>
      </c>
      <c r="BQ21" s="8">
        <f t="shared" si="4"/>
        <v>70</v>
      </c>
      <c r="BR21" s="8">
        <f t="shared" si="5"/>
        <v>29</v>
      </c>
      <c r="BS21" s="15">
        <f t="shared" si="6"/>
        <v>5.0194832403346057</v>
      </c>
      <c r="BT21" s="15" t="str">
        <f t="shared" si="7"/>
        <v>OK - No Upgrade</v>
      </c>
      <c r="BU21" s="15" t="str">
        <f t="shared" si="8"/>
        <v>Need to Balance</v>
      </c>
    </row>
    <row r="22" spans="1:73" ht="15.75" customHeight="1" x14ac:dyDescent="0.25">
      <c r="A22" s="8" t="s">
        <v>38</v>
      </c>
      <c r="B22" s="8" t="s">
        <v>3752</v>
      </c>
      <c r="C22" s="8" t="s">
        <v>124</v>
      </c>
      <c r="D22" s="8" t="s">
        <v>3799</v>
      </c>
      <c r="E22" s="8" t="s">
        <v>3800</v>
      </c>
      <c r="F22" s="8" t="s">
        <v>43</v>
      </c>
      <c r="G22" s="8" t="s">
        <v>44</v>
      </c>
      <c r="H22" s="8">
        <v>100</v>
      </c>
      <c r="I22" s="8" t="s">
        <v>3801</v>
      </c>
      <c r="J22" s="8">
        <v>1</v>
      </c>
      <c r="K22" s="8">
        <v>248</v>
      </c>
      <c r="L22" s="8">
        <v>245</v>
      </c>
      <c r="M22" s="8">
        <v>245</v>
      </c>
      <c r="N22" s="8">
        <v>427</v>
      </c>
      <c r="O22" s="8">
        <v>427</v>
      </c>
      <c r="P22" s="8">
        <v>425</v>
      </c>
      <c r="Q22" s="9" t="s">
        <v>46</v>
      </c>
      <c r="R22" s="16"/>
      <c r="S22" s="10">
        <v>0</v>
      </c>
      <c r="T22" s="10">
        <v>1</v>
      </c>
      <c r="U22" s="10">
        <v>0</v>
      </c>
      <c r="V22" s="11">
        <v>1</v>
      </c>
      <c r="W22" s="12"/>
      <c r="X22" s="17"/>
      <c r="Y22" s="13"/>
      <c r="Z22" s="13"/>
      <c r="AA22" s="13"/>
      <c r="AB22" s="14"/>
      <c r="AC22" s="9"/>
      <c r="AD22" s="16"/>
      <c r="AE22" s="10"/>
      <c r="AF22" s="10"/>
      <c r="AG22" s="10"/>
      <c r="AH22" s="11"/>
      <c r="AI22" s="12"/>
      <c r="AJ22" s="17"/>
      <c r="AK22" s="13"/>
      <c r="AL22" s="13"/>
      <c r="AM22" s="13"/>
      <c r="AN22" s="14"/>
      <c r="AO22" s="9"/>
      <c r="AP22" s="16"/>
      <c r="AQ22" s="10"/>
      <c r="AR22" s="10"/>
      <c r="AS22" s="10"/>
      <c r="AT22" s="11"/>
      <c r="AU22" s="12"/>
      <c r="AV22" s="17"/>
      <c r="AW22" s="13"/>
      <c r="AX22" s="13"/>
      <c r="AY22" s="13"/>
      <c r="AZ22" s="14"/>
      <c r="BA22" s="9"/>
      <c r="BB22" s="16"/>
      <c r="BC22" s="10"/>
      <c r="BD22" s="10"/>
      <c r="BE22" s="10"/>
      <c r="BF22" s="11"/>
      <c r="BG22" s="12"/>
      <c r="BH22" s="17"/>
      <c r="BI22" s="13"/>
      <c r="BJ22" s="13"/>
      <c r="BK22" s="13"/>
      <c r="BL22" s="14"/>
      <c r="BM22" s="8">
        <f t="shared" si="0"/>
        <v>0</v>
      </c>
      <c r="BN22" s="8">
        <f t="shared" si="1"/>
        <v>1</v>
      </c>
      <c r="BO22" s="8">
        <f t="shared" si="2"/>
        <v>0</v>
      </c>
      <c r="BP22" s="8">
        <f t="shared" si="3"/>
        <v>1</v>
      </c>
      <c r="BQ22" s="8">
        <f t="shared" si="4"/>
        <v>1</v>
      </c>
      <c r="BR22" s="8">
        <f t="shared" si="5"/>
        <v>0</v>
      </c>
      <c r="BS22" s="15">
        <f t="shared" si="6"/>
        <v>0.73958569483191061</v>
      </c>
      <c r="BT22" s="15" t="str">
        <f t="shared" si="7"/>
        <v>OK - No Upgrade</v>
      </c>
      <c r="BU22" s="15" t="str">
        <f t="shared" si="8"/>
        <v>Need to Balance</v>
      </c>
    </row>
    <row r="23" spans="1:73" ht="15.75" customHeight="1" x14ac:dyDescent="0.25">
      <c r="A23" s="8" t="s">
        <v>38</v>
      </c>
      <c r="B23" s="8" t="s">
        <v>3752</v>
      </c>
      <c r="C23" s="8" t="s">
        <v>573</v>
      </c>
      <c r="D23" s="8" t="s">
        <v>3802</v>
      </c>
      <c r="E23" s="8" t="s">
        <v>1201</v>
      </c>
      <c r="F23" s="8" t="s">
        <v>56</v>
      </c>
      <c r="G23" s="8" t="s">
        <v>44</v>
      </c>
      <c r="H23" s="8">
        <v>1000</v>
      </c>
      <c r="I23" s="8" t="s">
        <v>3803</v>
      </c>
      <c r="J23" s="8">
        <v>1</v>
      </c>
      <c r="K23" s="8">
        <v>244</v>
      </c>
      <c r="L23" s="8">
        <v>244</v>
      </c>
      <c r="M23" s="8">
        <v>247</v>
      </c>
      <c r="N23" s="8">
        <v>421</v>
      </c>
      <c r="O23" s="8">
        <v>425</v>
      </c>
      <c r="P23" s="8">
        <v>424</v>
      </c>
      <c r="Q23" s="9"/>
      <c r="R23" s="16"/>
      <c r="S23" s="10"/>
      <c r="T23" s="10"/>
      <c r="U23" s="10"/>
      <c r="V23" s="11"/>
      <c r="W23" s="12"/>
      <c r="X23" s="17"/>
      <c r="Y23" s="13"/>
      <c r="Z23" s="13"/>
      <c r="AA23" s="13"/>
      <c r="AB23" s="14"/>
      <c r="AC23" s="9" t="s">
        <v>70</v>
      </c>
      <c r="AD23" s="16"/>
      <c r="AE23" s="10">
        <v>29</v>
      </c>
      <c r="AF23" s="10">
        <v>9</v>
      </c>
      <c r="AG23" s="10">
        <v>26</v>
      </c>
      <c r="AH23" s="11">
        <v>14</v>
      </c>
      <c r="AI23" s="12"/>
      <c r="AJ23" s="17"/>
      <c r="AK23" s="13"/>
      <c r="AL23" s="13"/>
      <c r="AM23" s="13"/>
      <c r="AN23" s="14"/>
      <c r="AO23" s="9" t="s">
        <v>70</v>
      </c>
      <c r="AP23" s="16"/>
      <c r="AQ23" s="10">
        <v>0</v>
      </c>
      <c r="AR23" s="10">
        <v>11</v>
      </c>
      <c r="AS23" s="10">
        <v>18</v>
      </c>
      <c r="AT23" s="11">
        <v>19</v>
      </c>
      <c r="AU23" s="12" t="s">
        <v>47</v>
      </c>
      <c r="AV23" s="17"/>
      <c r="AW23" s="13">
        <v>0</v>
      </c>
      <c r="AX23" s="13">
        <v>0</v>
      </c>
      <c r="AY23" s="13">
        <v>0</v>
      </c>
      <c r="AZ23" s="14">
        <v>0</v>
      </c>
      <c r="BA23" s="9"/>
      <c r="BB23" s="16"/>
      <c r="BC23" s="10"/>
      <c r="BD23" s="10"/>
      <c r="BE23" s="10"/>
      <c r="BF23" s="11"/>
      <c r="BG23" s="12" t="s">
        <v>334</v>
      </c>
      <c r="BH23" s="17"/>
      <c r="BI23" s="13">
        <v>8</v>
      </c>
      <c r="BJ23" s="13">
        <v>18</v>
      </c>
      <c r="BK23" s="13">
        <v>19</v>
      </c>
      <c r="BL23" s="14">
        <v>7</v>
      </c>
      <c r="BM23" s="8">
        <f t="shared" si="0"/>
        <v>37</v>
      </c>
      <c r="BN23" s="8">
        <f t="shared" si="1"/>
        <v>38</v>
      </c>
      <c r="BO23" s="8">
        <f t="shared" si="2"/>
        <v>63</v>
      </c>
      <c r="BP23" s="8">
        <f t="shared" si="3"/>
        <v>40</v>
      </c>
      <c r="BQ23" s="8">
        <f t="shared" si="4"/>
        <v>63</v>
      </c>
      <c r="BR23" s="8">
        <f t="shared" si="5"/>
        <v>37</v>
      </c>
      <c r="BS23" s="15">
        <f t="shared" si="6"/>
        <v>4.5939183569149327</v>
      </c>
      <c r="BT23" s="15" t="str">
        <f t="shared" si="7"/>
        <v>OK - No Upgrade</v>
      </c>
      <c r="BU23" s="15" t="str">
        <f t="shared" si="8"/>
        <v>Need to Balance</v>
      </c>
    </row>
    <row r="24" spans="1:73" ht="15.75" customHeight="1" x14ac:dyDescent="0.25">
      <c r="A24" s="8" t="s">
        <v>38</v>
      </c>
      <c r="B24" s="8" t="s">
        <v>3752</v>
      </c>
      <c r="C24" s="8" t="s">
        <v>124</v>
      </c>
      <c r="D24" s="8" t="s">
        <v>3804</v>
      </c>
      <c r="E24" s="8" t="s">
        <v>3805</v>
      </c>
      <c r="F24" s="8" t="s">
        <v>43</v>
      </c>
      <c r="G24" s="8" t="s">
        <v>44</v>
      </c>
      <c r="H24" s="8">
        <v>100</v>
      </c>
      <c r="I24" s="8" t="s">
        <v>3806</v>
      </c>
      <c r="J24" s="8">
        <v>1</v>
      </c>
      <c r="K24" s="8">
        <v>246</v>
      </c>
      <c r="L24" s="8">
        <v>246</v>
      </c>
      <c r="M24" s="8">
        <v>248</v>
      </c>
      <c r="N24" s="8">
        <v>425</v>
      </c>
      <c r="O24" s="8">
        <v>428</v>
      </c>
      <c r="P24" s="8">
        <v>427</v>
      </c>
      <c r="Q24" s="9" t="s">
        <v>46</v>
      </c>
      <c r="R24" s="16"/>
      <c r="S24" s="10">
        <v>0</v>
      </c>
      <c r="T24" s="10">
        <v>0</v>
      </c>
      <c r="U24" s="10">
        <v>0</v>
      </c>
      <c r="V24" s="11">
        <v>0</v>
      </c>
      <c r="W24" s="12"/>
      <c r="X24" s="17"/>
      <c r="Y24" s="13"/>
      <c r="Z24" s="13"/>
      <c r="AA24" s="13"/>
      <c r="AB24" s="14"/>
      <c r="AC24" s="9"/>
      <c r="AD24" s="16"/>
      <c r="AE24" s="10"/>
      <c r="AF24" s="10"/>
      <c r="AG24" s="10"/>
      <c r="AH24" s="11"/>
      <c r="AI24" s="12"/>
      <c r="AJ24" s="17"/>
      <c r="AK24" s="13"/>
      <c r="AL24" s="13"/>
      <c r="AM24" s="13"/>
      <c r="AN24" s="14"/>
      <c r="AO24" s="9"/>
      <c r="AP24" s="16"/>
      <c r="AQ24" s="10"/>
      <c r="AR24" s="10"/>
      <c r="AS24" s="10"/>
      <c r="AT24" s="11"/>
      <c r="AU24" s="12"/>
      <c r="AV24" s="17"/>
      <c r="AW24" s="13"/>
      <c r="AX24" s="13"/>
      <c r="AY24" s="13"/>
      <c r="AZ24" s="14"/>
      <c r="BA24" s="9"/>
      <c r="BB24" s="16"/>
      <c r="BC24" s="10"/>
      <c r="BD24" s="10"/>
      <c r="BE24" s="10"/>
      <c r="BF24" s="11"/>
      <c r="BG24" s="12"/>
      <c r="BH24" s="17"/>
      <c r="BI24" s="13"/>
      <c r="BJ24" s="13"/>
      <c r="BK24" s="13"/>
      <c r="BL24" s="14"/>
      <c r="BM24" s="8">
        <f t="shared" si="0"/>
        <v>0</v>
      </c>
      <c r="BN24" s="8">
        <f t="shared" si="1"/>
        <v>0</v>
      </c>
      <c r="BO24" s="8">
        <f t="shared" si="2"/>
        <v>0</v>
      </c>
      <c r="BP24" s="8">
        <f t="shared" si="3"/>
        <v>0</v>
      </c>
      <c r="BQ24" s="8">
        <f t="shared" si="4"/>
        <v>0</v>
      </c>
      <c r="BR24" s="8">
        <f t="shared" si="5"/>
        <v>0</v>
      </c>
      <c r="BS24" s="15">
        <f t="shared" si="6"/>
        <v>0</v>
      </c>
      <c r="BT24" s="15" t="str">
        <f t="shared" si="7"/>
        <v>OK - No Upgrade</v>
      </c>
      <c r="BU24" s="15" t="str">
        <f t="shared" si="8"/>
        <v>OK - Balanced</v>
      </c>
    </row>
    <row r="25" spans="1:73" ht="15.75" customHeight="1" x14ac:dyDescent="0.25">
      <c r="A25" s="8" t="s">
        <v>38</v>
      </c>
      <c r="B25" s="8" t="s">
        <v>3752</v>
      </c>
      <c r="C25" s="8" t="s">
        <v>124</v>
      </c>
      <c r="D25" s="8" t="s">
        <v>3807</v>
      </c>
      <c r="E25" s="8" t="s">
        <v>3808</v>
      </c>
      <c r="F25" s="8" t="s">
        <v>43</v>
      </c>
      <c r="G25" s="8" t="s">
        <v>44</v>
      </c>
      <c r="H25" s="8">
        <v>100</v>
      </c>
      <c r="I25" s="8" t="s">
        <v>3809</v>
      </c>
      <c r="J25" s="8">
        <v>1</v>
      </c>
      <c r="K25" s="8">
        <v>249</v>
      </c>
      <c r="L25" s="8">
        <v>246</v>
      </c>
      <c r="M25" s="8">
        <v>245</v>
      </c>
      <c r="N25" s="8">
        <v>431</v>
      </c>
      <c r="O25" s="8">
        <v>428</v>
      </c>
      <c r="P25" s="8">
        <v>425</v>
      </c>
      <c r="Q25" s="9" t="s">
        <v>46</v>
      </c>
      <c r="R25" s="16"/>
      <c r="S25" s="10">
        <v>0</v>
      </c>
      <c r="T25" s="10">
        <v>0</v>
      </c>
      <c r="U25" s="10">
        <v>17</v>
      </c>
      <c r="V25" s="11">
        <v>16</v>
      </c>
      <c r="W25" s="12"/>
      <c r="X25" s="17"/>
      <c r="Y25" s="13"/>
      <c r="Z25" s="13"/>
      <c r="AA25" s="13"/>
      <c r="AB25" s="14"/>
      <c r="AC25" s="9"/>
      <c r="AD25" s="16"/>
      <c r="AE25" s="10"/>
      <c r="AF25" s="10"/>
      <c r="AG25" s="10"/>
      <c r="AH25" s="11"/>
      <c r="AI25" s="12"/>
      <c r="AJ25" s="17"/>
      <c r="AK25" s="13"/>
      <c r="AL25" s="13"/>
      <c r="AM25" s="13"/>
      <c r="AN25" s="14"/>
      <c r="AO25" s="9"/>
      <c r="AP25" s="16"/>
      <c r="AQ25" s="10"/>
      <c r="AR25" s="10"/>
      <c r="AS25" s="10"/>
      <c r="AT25" s="11"/>
      <c r="AU25" s="12"/>
      <c r="AV25" s="17"/>
      <c r="AW25" s="13"/>
      <c r="AX25" s="13"/>
      <c r="AY25" s="13"/>
      <c r="AZ25" s="14"/>
      <c r="BA25" s="9"/>
      <c r="BB25" s="16"/>
      <c r="BC25" s="10"/>
      <c r="BD25" s="10"/>
      <c r="BE25" s="10"/>
      <c r="BF25" s="11"/>
      <c r="BG25" s="12"/>
      <c r="BH25" s="17"/>
      <c r="BI25" s="13"/>
      <c r="BJ25" s="13"/>
      <c r="BK25" s="13"/>
      <c r="BL25" s="14"/>
      <c r="BM25" s="8">
        <f t="shared" si="0"/>
        <v>0</v>
      </c>
      <c r="BN25" s="8">
        <f t="shared" si="1"/>
        <v>0</v>
      </c>
      <c r="BO25" s="8">
        <f t="shared" si="2"/>
        <v>17</v>
      </c>
      <c r="BP25" s="8">
        <f t="shared" si="3"/>
        <v>16</v>
      </c>
      <c r="BQ25" s="8">
        <f t="shared" si="4"/>
        <v>17</v>
      </c>
      <c r="BR25" s="8">
        <f t="shared" si="5"/>
        <v>0</v>
      </c>
      <c r="BS25" s="15">
        <f t="shared" si="6"/>
        <v>12.690736267057165</v>
      </c>
      <c r="BT25" s="15" t="str">
        <f t="shared" si="7"/>
        <v>OK - No Upgrade</v>
      </c>
      <c r="BU25" s="15" t="str">
        <f t="shared" si="8"/>
        <v>Need to Balance</v>
      </c>
    </row>
    <row r="26" spans="1:73" ht="15.75" customHeight="1" x14ac:dyDescent="0.25">
      <c r="A26" s="8" t="s">
        <v>38</v>
      </c>
      <c r="B26" s="8" t="s">
        <v>3752</v>
      </c>
      <c r="C26" s="8" t="s">
        <v>124</v>
      </c>
      <c r="D26" s="8" t="s">
        <v>3810</v>
      </c>
      <c r="E26" s="8" t="s">
        <v>3811</v>
      </c>
      <c r="F26" s="8" t="s">
        <v>43</v>
      </c>
      <c r="G26" s="8" t="s">
        <v>44</v>
      </c>
      <c r="H26" s="8">
        <v>100</v>
      </c>
      <c r="I26" s="8" t="s">
        <v>3812</v>
      </c>
      <c r="J26" s="8">
        <v>1</v>
      </c>
      <c r="K26" s="8">
        <v>240</v>
      </c>
      <c r="L26" s="8">
        <v>240</v>
      </c>
      <c r="M26" s="8">
        <v>241</v>
      </c>
      <c r="N26" s="8">
        <v>415</v>
      </c>
      <c r="O26" s="8">
        <v>418</v>
      </c>
      <c r="P26" s="8">
        <v>417</v>
      </c>
      <c r="Q26" s="9" t="s">
        <v>46</v>
      </c>
      <c r="R26" s="16"/>
      <c r="S26" s="10">
        <v>91</v>
      </c>
      <c r="T26" s="10">
        <v>97</v>
      </c>
      <c r="U26" s="10">
        <v>102</v>
      </c>
      <c r="V26" s="11">
        <v>14</v>
      </c>
      <c r="W26" s="12"/>
      <c r="X26" s="17"/>
      <c r="Y26" s="13"/>
      <c r="Z26" s="13"/>
      <c r="AA26" s="13"/>
      <c r="AB26" s="14"/>
      <c r="AC26" s="9"/>
      <c r="AD26" s="16"/>
      <c r="AE26" s="10"/>
      <c r="AF26" s="10"/>
      <c r="AG26" s="10"/>
      <c r="AH26" s="11"/>
      <c r="AI26" s="12"/>
      <c r="AJ26" s="17"/>
      <c r="AK26" s="13"/>
      <c r="AL26" s="13"/>
      <c r="AM26" s="13"/>
      <c r="AN26" s="14"/>
      <c r="AO26" s="9"/>
      <c r="AP26" s="16"/>
      <c r="AQ26" s="10"/>
      <c r="AR26" s="10"/>
      <c r="AS26" s="10"/>
      <c r="AT26" s="11"/>
      <c r="AU26" s="12"/>
      <c r="AV26" s="17"/>
      <c r="AW26" s="13"/>
      <c r="AX26" s="13"/>
      <c r="AY26" s="13"/>
      <c r="AZ26" s="14"/>
      <c r="BA26" s="9"/>
      <c r="BB26" s="16"/>
      <c r="BC26" s="10"/>
      <c r="BD26" s="10"/>
      <c r="BE26" s="10"/>
      <c r="BF26" s="11"/>
      <c r="BG26" s="12"/>
      <c r="BH26" s="17"/>
      <c r="BI26" s="13"/>
      <c r="BJ26" s="13"/>
      <c r="BK26" s="13"/>
      <c r="BL26" s="14"/>
      <c r="BM26" s="8">
        <f t="shared" si="0"/>
        <v>91</v>
      </c>
      <c r="BN26" s="8">
        <f t="shared" si="1"/>
        <v>97</v>
      </c>
      <c r="BO26" s="8">
        <f t="shared" si="2"/>
        <v>102</v>
      </c>
      <c r="BP26" s="8">
        <f t="shared" si="3"/>
        <v>14</v>
      </c>
      <c r="BQ26" s="8">
        <f t="shared" si="4"/>
        <v>102</v>
      </c>
      <c r="BR26" s="8">
        <f t="shared" si="5"/>
        <v>91</v>
      </c>
      <c r="BS26" s="15">
        <f t="shared" si="6"/>
        <v>73.317710684390562</v>
      </c>
      <c r="BT26" s="15" t="str">
        <f t="shared" si="7"/>
        <v>Upgrade</v>
      </c>
      <c r="BU26" s="15" t="str">
        <f t="shared" si="8"/>
        <v>OK - Balanced</v>
      </c>
    </row>
    <row r="27" spans="1:73" ht="15.75" customHeight="1" x14ac:dyDescent="0.25">
      <c r="A27" s="8" t="s">
        <v>38</v>
      </c>
      <c r="B27" s="8" t="s">
        <v>3752</v>
      </c>
      <c r="C27" s="8" t="s">
        <v>573</v>
      </c>
      <c r="D27" s="8" t="s">
        <v>3813</v>
      </c>
      <c r="E27" s="8" t="s">
        <v>1198</v>
      </c>
      <c r="F27" s="8" t="s">
        <v>56</v>
      </c>
      <c r="G27" s="8" t="s">
        <v>44</v>
      </c>
      <c r="H27" s="8">
        <v>1000</v>
      </c>
      <c r="I27" s="8" t="s">
        <v>3814</v>
      </c>
      <c r="J27" s="8">
        <v>1</v>
      </c>
      <c r="K27" s="8">
        <v>243</v>
      </c>
      <c r="L27" s="8">
        <v>243</v>
      </c>
      <c r="M27" s="8">
        <v>245</v>
      </c>
      <c r="N27" s="8">
        <v>418</v>
      </c>
      <c r="O27" s="8">
        <v>423</v>
      </c>
      <c r="P27" s="8">
        <v>414</v>
      </c>
      <c r="Q27" s="9" t="s">
        <v>70</v>
      </c>
      <c r="R27" s="16"/>
      <c r="S27" s="10">
        <v>55</v>
      </c>
      <c r="T27" s="10">
        <v>32</v>
      </c>
      <c r="U27" s="10">
        <v>38</v>
      </c>
      <c r="V27" s="11">
        <v>21</v>
      </c>
      <c r="W27" s="12" t="s">
        <v>70</v>
      </c>
      <c r="X27" s="17"/>
      <c r="Y27" s="13">
        <v>96</v>
      </c>
      <c r="Z27" s="13">
        <v>87</v>
      </c>
      <c r="AA27" s="13">
        <v>77</v>
      </c>
      <c r="AB27" s="14">
        <v>20</v>
      </c>
      <c r="AC27" s="9" t="s">
        <v>70</v>
      </c>
      <c r="AD27" s="16"/>
      <c r="AE27" s="10">
        <v>65</v>
      </c>
      <c r="AF27" s="10">
        <v>30</v>
      </c>
      <c r="AG27" s="10">
        <v>51</v>
      </c>
      <c r="AH27" s="11">
        <v>44</v>
      </c>
      <c r="AI27" s="12"/>
      <c r="AJ27" s="17"/>
      <c r="AK27" s="13"/>
      <c r="AL27" s="13"/>
      <c r="AM27" s="13"/>
      <c r="AN27" s="14"/>
      <c r="AO27" s="9"/>
      <c r="AP27" s="16"/>
      <c r="AQ27" s="10"/>
      <c r="AR27" s="10"/>
      <c r="AS27" s="10"/>
      <c r="AT27" s="11"/>
      <c r="AU27" s="12"/>
      <c r="AV27" s="17"/>
      <c r="AW27" s="13"/>
      <c r="AX27" s="13"/>
      <c r="AY27" s="13"/>
      <c r="AZ27" s="14"/>
      <c r="BA27" s="9" t="s">
        <v>46</v>
      </c>
      <c r="BB27" s="16"/>
      <c r="BC27" s="10">
        <v>25</v>
      </c>
      <c r="BD27" s="10">
        <v>33</v>
      </c>
      <c r="BE27" s="10">
        <v>47</v>
      </c>
      <c r="BF27" s="11">
        <v>1</v>
      </c>
      <c r="BG27" s="12" t="s">
        <v>46</v>
      </c>
      <c r="BH27" s="17"/>
      <c r="BI27" s="13">
        <v>14</v>
      </c>
      <c r="BJ27" s="13">
        <v>30</v>
      </c>
      <c r="BK27" s="13">
        <v>1</v>
      </c>
      <c r="BL27" s="14">
        <v>19</v>
      </c>
      <c r="BM27" s="8">
        <f t="shared" si="0"/>
        <v>255</v>
      </c>
      <c r="BN27" s="8">
        <f t="shared" si="1"/>
        <v>212</v>
      </c>
      <c r="BO27" s="8">
        <f t="shared" si="2"/>
        <v>214</v>
      </c>
      <c r="BP27" s="8">
        <f t="shared" si="3"/>
        <v>105</v>
      </c>
      <c r="BQ27" s="8">
        <f t="shared" si="4"/>
        <v>255</v>
      </c>
      <c r="BR27" s="8">
        <f t="shared" si="5"/>
        <v>212</v>
      </c>
      <c r="BS27" s="15">
        <f t="shared" si="6"/>
        <v>18.461929557876662</v>
      </c>
      <c r="BT27" s="15" t="str">
        <f t="shared" si="7"/>
        <v>OK - No Upgrade</v>
      </c>
      <c r="BU27" s="15" t="str">
        <f t="shared" si="8"/>
        <v>Need to Balance</v>
      </c>
    </row>
    <row r="28" spans="1:73" ht="15.75" customHeight="1" x14ac:dyDescent="0.25">
      <c r="A28" s="8" t="s">
        <v>38</v>
      </c>
      <c r="B28" s="8" t="s">
        <v>3752</v>
      </c>
      <c r="C28" s="8" t="s">
        <v>573</v>
      </c>
      <c r="D28" s="8" t="s">
        <v>3815</v>
      </c>
      <c r="E28" s="8" t="s">
        <v>1023</v>
      </c>
      <c r="F28" s="8" t="s">
        <v>56</v>
      </c>
      <c r="G28" s="8" t="s">
        <v>44</v>
      </c>
      <c r="H28" s="8">
        <v>1000</v>
      </c>
      <c r="I28" s="8" t="s">
        <v>3816</v>
      </c>
      <c r="J28" s="8">
        <v>1</v>
      </c>
      <c r="K28" s="8">
        <v>243</v>
      </c>
      <c r="L28" s="8">
        <v>242</v>
      </c>
      <c r="M28" s="8">
        <v>244</v>
      </c>
      <c r="N28" s="8">
        <v>418</v>
      </c>
      <c r="O28" s="8">
        <v>422</v>
      </c>
      <c r="P28" s="8">
        <v>422</v>
      </c>
      <c r="Q28" s="9" t="s">
        <v>46</v>
      </c>
      <c r="R28" s="16"/>
      <c r="S28" s="10">
        <v>3</v>
      </c>
      <c r="T28" s="10">
        <v>0</v>
      </c>
      <c r="U28" s="10">
        <v>0</v>
      </c>
      <c r="V28" s="11">
        <v>0</v>
      </c>
      <c r="W28" s="12" t="s">
        <v>70</v>
      </c>
      <c r="X28" s="17"/>
      <c r="Y28" s="13">
        <v>28</v>
      </c>
      <c r="Z28" s="13">
        <v>56</v>
      </c>
      <c r="AA28" s="13">
        <v>62</v>
      </c>
      <c r="AB28" s="14">
        <v>16</v>
      </c>
      <c r="AC28" s="9" t="s">
        <v>70</v>
      </c>
      <c r="AD28" s="16"/>
      <c r="AE28" s="10">
        <v>12</v>
      </c>
      <c r="AF28" s="10">
        <v>21</v>
      </c>
      <c r="AG28" s="10">
        <v>43</v>
      </c>
      <c r="AH28" s="11">
        <v>16</v>
      </c>
      <c r="AI28" s="12" t="s">
        <v>70</v>
      </c>
      <c r="AJ28" s="17"/>
      <c r="AK28" s="13">
        <v>8</v>
      </c>
      <c r="AL28" s="13">
        <v>9</v>
      </c>
      <c r="AM28" s="13">
        <v>20</v>
      </c>
      <c r="AN28" s="14">
        <v>28</v>
      </c>
      <c r="AO28" s="9"/>
      <c r="AP28" s="16"/>
      <c r="AQ28" s="10"/>
      <c r="AR28" s="10"/>
      <c r="AS28" s="10"/>
      <c r="AT28" s="11"/>
      <c r="AU28" s="12"/>
      <c r="AV28" s="17"/>
      <c r="AW28" s="13"/>
      <c r="AX28" s="13"/>
      <c r="AY28" s="13"/>
      <c r="AZ28" s="14"/>
      <c r="BA28" s="9"/>
      <c r="BB28" s="16"/>
      <c r="BC28" s="10"/>
      <c r="BD28" s="10"/>
      <c r="BE28" s="10"/>
      <c r="BF28" s="11"/>
      <c r="BG28" s="12"/>
      <c r="BH28" s="17"/>
      <c r="BI28" s="13"/>
      <c r="BJ28" s="13"/>
      <c r="BK28" s="13"/>
      <c r="BL28" s="14"/>
      <c r="BM28" s="8">
        <f t="shared" si="0"/>
        <v>51</v>
      </c>
      <c r="BN28" s="8">
        <f t="shared" si="1"/>
        <v>86</v>
      </c>
      <c r="BO28" s="8">
        <f t="shared" si="2"/>
        <v>125</v>
      </c>
      <c r="BP28" s="8">
        <f t="shared" si="3"/>
        <v>60</v>
      </c>
      <c r="BQ28" s="8">
        <f t="shared" si="4"/>
        <v>125</v>
      </c>
      <c r="BR28" s="8">
        <f t="shared" si="5"/>
        <v>51</v>
      </c>
      <c r="BS28" s="15">
        <f t="shared" si="6"/>
        <v>9.0499654695473826</v>
      </c>
      <c r="BT28" s="15" t="str">
        <f t="shared" si="7"/>
        <v>OK - No Upgrade</v>
      </c>
      <c r="BU28" s="15" t="str">
        <f t="shared" si="8"/>
        <v>Need to Balance</v>
      </c>
    </row>
    <row r="29" spans="1:73" ht="15.75" customHeight="1" x14ac:dyDescent="0.25">
      <c r="A29" s="8" t="s">
        <v>38</v>
      </c>
      <c r="B29" s="8" t="s">
        <v>3752</v>
      </c>
      <c r="C29" s="8" t="s">
        <v>573</v>
      </c>
      <c r="D29" s="8" t="s">
        <v>3817</v>
      </c>
      <c r="E29" s="8" t="s">
        <v>1070</v>
      </c>
      <c r="F29" s="8" t="s">
        <v>56</v>
      </c>
      <c r="G29" s="8" t="s">
        <v>44</v>
      </c>
      <c r="H29" s="8">
        <v>1000</v>
      </c>
      <c r="I29" s="8" t="s">
        <v>3818</v>
      </c>
      <c r="J29" s="8">
        <v>1</v>
      </c>
      <c r="K29" s="8">
        <v>237</v>
      </c>
      <c r="L29" s="8">
        <v>237</v>
      </c>
      <c r="M29" s="8">
        <v>239</v>
      </c>
      <c r="N29" s="8">
        <v>409</v>
      </c>
      <c r="O29" s="8">
        <v>411</v>
      </c>
      <c r="P29" s="8">
        <v>413</v>
      </c>
      <c r="Q29" s="9"/>
      <c r="R29" s="16"/>
      <c r="S29" s="10"/>
      <c r="T29" s="10"/>
      <c r="U29" s="10"/>
      <c r="V29" s="11"/>
      <c r="W29" s="12"/>
      <c r="X29" s="17"/>
      <c r="Y29" s="13"/>
      <c r="Z29" s="13"/>
      <c r="AA29" s="13"/>
      <c r="AB29" s="14"/>
      <c r="AC29" s="9" t="s">
        <v>70</v>
      </c>
      <c r="AD29" s="16"/>
      <c r="AE29" s="10">
        <v>32</v>
      </c>
      <c r="AF29" s="10">
        <v>33</v>
      </c>
      <c r="AG29" s="10">
        <v>19</v>
      </c>
      <c r="AH29" s="11">
        <v>18</v>
      </c>
      <c r="AI29" s="12" t="s">
        <v>70</v>
      </c>
      <c r="AJ29" s="17"/>
      <c r="AK29" s="13">
        <v>58</v>
      </c>
      <c r="AL29" s="13">
        <v>172</v>
      </c>
      <c r="AM29" s="13">
        <v>175</v>
      </c>
      <c r="AN29" s="14">
        <v>9</v>
      </c>
      <c r="AO29" s="9" t="s">
        <v>70</v>
      </c>
      <c r="AP29" s="16"/>
      <c r="AQ29" s="10">
        <v>156</v>
      </c>
      <c r="AR29" s="10">
        <v>58</v>
      </c>
      <c r="AS29" s="10">
        <v>108</v>
      </c>
      <c r="AT29" s="11">
        <v>12</v>
      </c>
      <c r="AU29" s="12" t="s">
        <v>46</v>
      </c>
      <c r="AV29" s="17"/>
      <c r="AW29" s="13">
        <v>31</v>
      </c>
      <c r="AX29" s="13">
        <v>64</v>
      </c>
      <c r="AY29" s="13">
        <v>66</v>
      </c>
      <c r="AZ29" s="14">
        <v>12</v>
      </c>
      <c r="BA29" s="9" t="s">
        <v>70</v>
      </c>
      <c r="BB29" s="16"/>
      <c r="BC29" s="10">
        <v>85</v>
      </c>
      <c r="BD29" s="10">
        <v>203</v>
      </c>
      <c r="BE29" s="10">
        <v>220</v>
      </c>
      <c r="BF29" s="11">
        <v>13</v>
      </c>
      <c r="BG29" s="12" t="s">
        <v>70</v>
      </c>
      <c r="BH29" s="17"/>
      <c r="BI29" s="13">
        <v>116</v>
      </c>
      <c r="BJ29" s="13">
        <v>115</v>
      </c>
      <c r="BK29" s="13">
        <v>234</v>
      </c>
      <c r="BL29" s="14">
        <v>9</v>
      </c>
      <c r="BM29" s="8">
        <f t="shared" si="0"/>
        <v>478</v>
      </c>
      <c r="BN29" s="8">
        <f t="shared" si="1"/>
        <v>645</v>
      </c>
      <c r="BO29" s="8">
        <f t="shared" si="2"/>
        <v>822</v>
      </c>
      <c r="BP29" s="8">
        <f t="shared" si="3"/>
        <v>73</v>
      </c>
      <c r="BQ29" s="8">
        <f t="shared" si="4"/>
        <v>822</v>
      </c>
      <c r="BR29" s="8">
        <f t="shared" si="5"/>
        <v>478</v>
      </c>
      <c r="BS29" s="15">
        <f t="shared" si="6"/>
        <v>58.231201740304137</v>
      </c>
      <c r="BT29" s="15" t="str">
        <f t="shared" si="7"/>
        <v>OK - No Upgrade</v>
      </c>
      <c r="BU29" s="15" t="str">
        <f t="shared" si="8"/>
        <v>Need to Balance</v>
      </c>
    </row>
    <row r="30" spans="1:73" ht="15.75" customHeight="1" x14ac:dyDescent="0.25">
      <c r="A30" s="8" t="s">
        <v>38</v>
      </c>
      <c r="B30" s="8" t="s">
        <v>3752</v>
      </c>
      <c r="C30" s="8" t="s">
        <v>573</v>
      </c>
      <c r="D30" s="8" t="s">
        <v>3819</v>
      </c>
      <c r="E30" s="8" t="s">
        <v>3820</v>
      </c>
      <c r="F30" s="8" t="s">
        <v>56</v>
      </c>
      <c r="G30" s="8" t="s">
        <v>44</v>
      </c>
      <c r="H30" s="8">
        <v>1000</v>
      </c>
      <c r="I30" s="8" t="s">
        <v>3821</v>
      </c>
      <c r="J30" s="8">
        <v>1</v>
      </c>
      <c r="K30" s="8">
        <v>243</v>
      </c>
      <c r="L30" s="8">
        <v>243</v>
      </c>
      <c r="M30" s="8">
        <v>246</v>
      </c>
      <c r="N30" s="8">
        <v>418</v>
      </c>
      <c r="O30" s="8">
        <v>422</v>
      </c>
      <c r="P30" s="8">
        <v>422</v>
      </c>
      <c r="Q30" s="9"/>
      <c r="R30" s="16"/>
      <c r="S30" s="10"/>
      <c r="T30" s="10"/>
      <c r="U30" s="10"/>
      <c r="V30" s="11"/>
      <c r="W30" s="12"/>
      <c r="X30" s="17"/>
      <c r="Y30" s="13"/>
      <c r="Z30" s="13"/>
      <c r="AA30" s="13"/>
      <c r="AB30" s="14"/>
      <c r="AC30" s="9"/>
      <c r="AD30" s="16"/>
      <c r="AE30" s="10"/>
      <c r="AF30" s="10"/>
      <c r="AG30" s="10"/>
      <c r="AH30" s="11"/>
      <c r="AI30" s="12"/>
      <c r="AJ30" s="17"/>
      <c r="AK30" s="13"/>
      <c r="AL30" s="13"/>
      <c r="AM30" s="13"/>
      <c r="AN30" s="14"/>
      <c r="AO30" s="9" t="s">
        <v>70</v>
      </c>
      <c r="AP30" s="16"/>
      <c r="AQ30" s="10">
        <v>51</v>
      </c>
      <c r="AR30" s="10">
        <v>55</v>
      </c>
      <c r="AS30" s="10">
        <v>54</v>
      </c>
      <c r="AT30" s="11">
        <v>18</v>
      </c>
      <c r="AU30" s="12" t="s">
        <v>70</v>
      </c>
      <c r="AV30" s="17"/>
      <c r="AW30" s="13">
        <v>8</v>
      </c>
      <c r="AX30" s="13">
        <v>39</v>
      </c>
      <c r="AY30" s="13">
        <v>41</v>
      </c>
      <c r="AZ30" s="14">
        <v>10</v>
      </c>
      <c r="BA30" s="9" t="s">
        <v>70</v>
      </c>
      <c r="BB30" s="16"/>
      <c r="BC30" s="10">
        <v>71</v>
      </c>
      <c r="BD30" s="10">
        <v>46</v>
      </c>
      <c r="BE30" s="10">
        <v>51</v>
      </c>
      <c r="BF30" s="11">
        <v>23</v>
      </c>
      <c r="BG30" s="12" t="s">
        <v>70</v>
      </c>
      <c r="BH30" s="17"/>
      <c r="BI30" s="13">
        <v>53</v>
      </c>
      <c r="BJ30" s="13">
        <v>22</v>
      </c>
      <c r="BK30" s="13">
        <v>50</v>
      </c>
      <c r="BL30" s="14">
        <v>11</v>
      </c>
      <c r="BM30" s="8">
        <f t="shared" si="0"/>
        <v>183</v>
      </c>
      <c r="BN30" s="8">
        <f t="shared" si="1"/>
        <v>162</v>
      </c>
      <c r="BO30" s="8">
        <f t="shared" si="2"/>
        <v>196</v>
      </c>
      <c r="BP30" s="8">
        <f t="shared" si="3"/>
        <v>62</v>
      </c>
      <c r="BQ30" s="8">
        <f t="shared" si="4"/>
        <v>196</v>
      </c>
      <c r="BR30" s="8">
        <f t="shared" si="5"/>
        <v>162</v>
      </c>
      <c r="BS30" s="15">
        <f t="shared" si="6"/>
        <v>14.190345856250296</v>
      </c>
      <c r="BT30" s="15" t="str">
        <f t="shared" si="7"/>
        <v>OK - No Upgrade</v>
      </c>
      <c r="BU30" s="15" t="str">
        <f t="shared" si="8"/>
        <v>OK - Balanced</v>
      </c>
    </row>
    <row r="31" spans="1:73" ht="15.75" customHeight="1" x14ac:dyDescent="0.25">
      <c r="A31" s="8" t="s">
        <v>38</v>
      </c>
      <c r="B31" s="8" t="s">
        <v>3752</v>
      </c>
      <c r="C31" s="8" t="s">
        <v>573</v>
      </c>
      <c r="D31" s="8" t="s">
        <v>3822</v>
      </c>
      <c r="E31" s="8" t="s">
        <v>3823</v>
      </c>
      <c r="F31" s="8" t="s">
        <v>56</v>
      </c>
      <c r="G31" s="8" t="s">
        <v>44</v>
      </c>
      <c r="H31" s="8">
        <v>1000</v>
      </c>
      <c r="I31" s="8" t="s">
        <v>3824</v>
      </c>
      <c r="J31" s="8">
        <v>1</v>
      </c>
      <c r="K31" s="8">
        <v>246</v>
      </c>
      <c r="L31" s="8">
        <v>244</v>
      </c>
      <c r="M31" s="8">
        <v>244</v>
      </c>
      <c r="N31" s="8">
        <v>425</v>
      </c>
      <c r="O31" s="8">
        <v>424</v>
      </c>
      <c r="P31" s="8">
        <v>420</v>
      </c>
      <c r="Q31" s="9"/>
      <c r="R31" s="16"/>
      <c r="S31" s="10"/>
      <c r="T31" s="10"/>
      <c r="U31" s="10"/>
      <c r="V31" s="11"/>
      <c r="W31" s="12"/>
      <c r="X31" s="17"/>
      <c r="Y31" s="13"/>
      <c r="Z31" s="13"/>
      <c r="AA31" s="13"/>
      <c r="AB31" s="14"/>
      <c r="AC31" s="9" t="s">
        <v>70</v>
      </c>
      <c r="AD31" s="16"/>
      <c r="AE31" s="10">
        <v>25</v>
      </c>
      <c r="AF31" s="10">
        <v>38</v>
      </c>
      <c r="AG31" s="10">
        <v>25</v>
      </c>
      <c r="AH31" s="11">
        <v>8</v>
      </c>
      <c r="AI31" s="12" t="s">
        <v>70</v>
      </c>
      <c r="AJ31" s="17"/>
      <c r="AK31" s="13">
        <v>36</v>
      </c>
      <c r="AL31" s="13">
        <v>36</v>
      </c>
      <c r="AM31" s="13">
        <v>22</v>
      </c>
      <c r="AN31" s="14">
        <v>23</v>
      </c>
      <c r="AO31" s="9"/>
      <c r="AP31" s="16"/>
      <c r="AQ31" s="10"/>
      <c r="AR31" s="10"/>
      <c r="AS31" s="10"/>
      <c r="AT31" s="11"/>
      <c r="AU31" s="12" t="s">
        <v>46</v>
      </c>
      <c r="AV31" s="17"/>
      <c r="AW31" s="13">
        <v>12</v>
      </c>
      <c r="AX31" s="13">
        <v>2</v>
      </c>
      <c r="AY31" s="13">
        <v>25</v>
      </c>
      <c r="AZ31" s="14">
        <v>20</v>
      </c>
      <c r="BA31" s="9"/>
      <c r="BB31" s="16"/>
      <c r="BC31" s="10"/>
      <c r="BD31" s="10"/>
      <c r="BE31" s="10"/>
      <c r="BF31" s="11"/>
      <c r="BG31" s="12"/>
      <c r="BH31" s="17"/>
      <c r="BI31" s="13"/>
      <c r="BJ31" s="13"/>
      <c r="BK31" s="13"/>
      <c r="BL31" s="14"/>
      <c r="BM31" s="8">
        <f t="shared" si="0"/>
        <v>73</v>
      </c>
      <c r="BN31" s="8">
        <f t="shared" si="1"/>
        <v>76</v>
      </c>
      <c r="BO31" s="8">
        <f t="shared" si="2"/>
        <v>72</v>
      </c>
      <c r="BP31" s="8">
        <f t="shared" si="3"/>
        <v>51</v>
      </c>
      <c r="BQ31" s="8">
        <f t="shared" si="4"/>
        <v>76</v>
      </c>
      <c r="BR31" s="8">
        <f t="shared" si="5"/>
        <v>72</v>
      </c>
      <c r="BS31" s="15">
        <f t="shared" si="6"/>
        <v>5.5945241084474731</v>
      </c>
      <c r="BT31" s="15" t="str">
        <f t="shared" si="7"/>
        <v>OK - No Upgrade</v>
      </c>
      <c r="BU31" s="15" t="str">
        <f t="shared" si="8"/>
        <v>OK - Balanced</v>
      </c>
    </row>
    <row r="32" spans="1:73" ht="15.75" customHeight="1" x14ac:dyDescent="0.25">
      <c r="A32" s="8" t="s">
        <v>38</v>
      </c>
      <c r="B32" s="8" t="s">
        <v>3752</v>
      </c>
      <c r="C32" s="8" t="s">
        <v>573</v>
      </c>
      <c r="D32" s="8" t="s">
        <v>3822</v>
      </c>
      <c r="E32" s="8" t="s">
        <v>3825</v>
      </c>
      <c r="F32" s="8" t="s">
        <v>56</v>
      </c>
      <c r="G32" s="8" t="s">
        <v>44</v>
      </c>
      <c r="H32" s="8">
        <v>1000</v>
      </c>
      <c r="I32" s="8" t="s">
        <v>3826</v>
      </c>
      <c r="J32" s="8">
        <v>1</v>
      </c>
      <c r="K32" s="8">
        <v>245</v>
      </c>
      <c r="L32" s="8">
        <v>242</v>
      </c>
      <c r="M32" s="8">
        <v>242</v>
      </c>
      <c r="N32" s="8">
        <v>422</v>
      </c>
      <c r="O32" s="8">
        <v>422</v>
      </c>
      <c r="P32" s="8">
        <v>419</v>
      </c>
      <c r="Q32" s="9" t="s">
        <v>70</v>
      </c>
      <c r="R32" s="16"/>
      <c r="S32" s="10">
        <v>186</v>
      </c>
      <c r="T32" s="10">
        <v>195</v>
      </c>
      <c r="U32" s="10">
        <v>211</v>
      </c>
      <c r="V32" s="11">
        <v>64</v>
      </c>
      <c r="W32" s="12"/>
      <c r="X32" s="17"/>
      <c r="Y32" s="13"/>
      <c r="Z32" s="13"/>
      <c r="AA32" s="13"/>
      <c r="AB32" s="14"/>
      <c r="AC32" s="9"/>
      <c r="AD32" s="16"/>
      <c r="AE32" s="10"/>
      <c r="AF32" s="10"/>
      <c r="AG32" s="10"/>
      <c r="AH32" s="11"/>
      <c r="AI32" s="12"/>
      <c r="AJ32" s="17"/>
      <c r="AK32" s="13"/>
      <c r="AL32" s="13"/>
      <c r="AM32" s="13"/>
      <c r="AN32" s="14"/>
      <c r="AO32" s="9"/>
      <c r="AP32" s="16"/>
      <c r="AQ32" s="10"/>
      <c r="AR32" s="10"/>
      <c r="AS32" s="10"/>
      <c r="AT32" s="11"/>
      <c r="AU32" s="12"/>
      <c r="AV32" s="17"/>
      <c r="AW32" s="13"/>
      <c r="AX32" s="13"/>
      <c r="AY32" s="13"/>
      <c r="AZ32" s="14"/>
      <c r="BA32" s="9"/>
      <c r="BB32" s="16"/>
      <c r="BC32" s="10"/>
      <c r="BD32" s="10"/>
      <c r="BE32" s="10"/>
      <c r="BF32" s="11"/>
      <c r="BG32" s="12"/>
      <c r="BH32" s="17"/>
      <c r="BI32" s="13"/>
      <c r="BJ32" s="13"/>
      <c r="BK32" s="13"/>
      <c r="BL32" s="14"/>
      <c r="BM32" s="8">
        <f t="shared" si="0"/>
        <v>186</v>
      </c>
      <c r="BN32" s="8">
        <f t="shared" si="1"/>
        <v>195</v>
      </c>
      <c r="BO32" s="8">
        <f t="shared" si="2"/>
        <v>211</v>
      </c>
      <c r="BP32" s="8">
        <f t="shared" si="3"/>
        <v>64</v>
      </c>
      <c r="BQ32" s="8">
        <f t="shared" si="4"/>
        <v>211</v>
      </c>
      <c r="BR32" s="8">
        <f t="shared" si="5"/>
        <v>186</v>
      </c>
      <c r="BS32" s="15">
        <f t="shared" si="6"/>
        <v>15.422526800754795</v>
      </c>
      <c r="BT32" s="15" t="str">
        <f t="shared" si="7"/>
        <v>OK - No Upgrade</v>
      </c>
      <c r="BU32" s="15" t="str">
        <f t="shared" si="8"/>
        <v>OK - Balanced</v>
      </c>
    </row>
    <row r="33" spans="1:73" ht="15.75" customHeight="1" x14ac:dyDescent="0.25">
      <c r="A33" s="8" t="s">
        <v>38</v>
      </c>
      <c r="B33" s="8" t="s">
        <v>3752</v>
      </c>
      <c r="C33" s="8" t="s">
        <v>573</v>
      </c>
      <c r="D33" s="8" t="s">
        <v>3827</v>
      </c>
      <c r="E33" s="8" t="s">
        <v>1060</v>
      </c>
      <c r="F33" s="8" t="s">
        <v>43</v>
      </c>
      <c r="G33" s="8"/>
      <c r="H33" s="8">
        <v>315</v>
      </c>
      <c r="I33" s="8" t="s">
        <v>3828</v>
      </c>
      <c r="J33" s="8">
        <v>1</v>
      </c>
      <c r="K33" s="8">
        <v>242</v>
      </c>
      <c r="L33" s="8">
        <v>239</v>
      </c>
      <c r="M33" s="8">
        <v>242</v>
      </c>
      <c r="N33" s="8">
        <v>415</v>
      </c>
      <c r="O33" s="8">
        <v>420</v>
      </c>
      <c r="P33" s="8">
        <v>417</v>
      </c>
      <c r="Q33" s="9" t="s">
        <v>46</v>
      </c>
      <c r="R33" s="16"/>
      <c r="S33" s="10">
        <v>34</v>
      </c>
      <c r="T33" s="10">
        <v>49</v>
      </c>
      <c r="U33" s="10">
        <v>60</v>
      </c>
      <c r="V33" s="11">
        <v>24</v>
      </c>
      <c r="W33" s="12" t="s">
        <v>46</v>
      </c>
      <c r="X33" s="17"/>
      <c r="Y33" s="13">
        <v>93</v>
      </c>
      <c r="Z33" s="13">
        <v>105</v>
      </c>
      <c r="AA33" s="13">
        <v>17</v>
      </c>
      <c r="AB33" s="14">
        <v>33</v>
      </c>
      <c r="AC33" s="9"/>
      <c r="AD33" s="16"/>
      <c r="AE33" s="10"/>
      <c r="AF33" s="10"/>
      <c r="AG33" s="10"/>
      <c r="AH33" s="11"/>
      <c r="AI33" s="12"/>
      <c r="AJ33" s="17"/>
      <c r="AK33" s="13"/>
      <c r="AL33" s="13"/>
      <c r="AM33" s="13"/>
      <c r="AN33" s="14"/>
      <c r="AO33" s="9"/>
      <c r="AP33" s="16"/>
      <c r="AQ33" s="10"/>
      <c r="AR33" s="10"/>
      <c r="AS33" s="10"/>
      <c r="AT33" s="11"/>
      <c r="AU33" s="12"/>
      <c r="AV33" s="17"/>
      <c r="AW33" s="13"/>
      <c r="AX33" s="13"/>
      <c r="AY33" s="13"/>
      <c r="AZ33" s="14"/>
      <c r="BA33" s="9"/>
      <c r="BB33" s="16"/>
      <c r="BC33" s="10"/>
      <c r="BD33" s="10"/>
      <c r="BE33" s="10"/>
      <c r="BF33" s="11"/>
      <c r="BG33" s="12"/>
      <c r="BH33" s="17"/>
      <c r="BI33" s="13"/>
      <c r="BJ33" s="13"/>
      <c r="BK33" s="13"/>
      <c r="BL33" s="14"/>
      <c r="BM33" s="8">
        <f t="shared" si="0"/>
        <v>127</v>
      </c>
      <c r="BN33" s="8">
        <f t="shared" si="1"/>
        <v>154</v>
      </c>
      <c r="BO33" s="8">
        <f t="shared" si="2"/>
        <v>77</v>
      </c>
      <c r="BP33" s="8">
        <f t="shared" si="3"/>
        <v>57</v>
      </c>
      <c r="BQ33" s="8">
        <f t="shared" si="4"/>
        <v>154</v>
      </c>
      <c r="BR33" s="8">
        <f t="shared" si="5"/>
        <v>77</v>
      </c>
      <c r="BS33" s="15">
        <f t="shared" si="6"/>
        <v>35.141386384675222</v>
      </c>
      <c r="BT33" s="15" t="str">
        <f t="shared" si="7"/>
        <v>OK - No Upgrade</v>
      </c>
      <c r="BU33" s="15" t="str">
        <f t="shared" si="8"/>
        <v>Need to Balance</v>
      </c>
    </row>
    <row r="34" spans="1:73" ht="15.75" customHeight="1" x14ac:dyDescent="0.25">
      <c r="A34" s="8" t="s">
        <v>38</v>
      </c>
      <c r="B34" s="8" t="s">
        <v>3752</v>
      </c>
      <c r="C34" s="8" t="s">
        <v>573</v>
      </c>
      <c r="D34" s="8" t="s">
        <v>3829</v>
      </c>
      <c r="E34" s="8" t="s">
        <v>1063</v>
      </c>
      <c r="F34" s="8" t="s">
        <v>56</v>
      </c>
      <c r="G34" s="8" t="s">
        <v>44</v>
      </c>
      <c r="H34" s="8">
        <v>1000</v>
      </c>
      <c r="I34" s="8" t="s">
        <v>3830</v>
      </c>
      <c r="J34" s="8">
        <v>1</v>
      </c>
      <c r="K34" s="8">
        <v>245</v>
      </c>
      <c r="L34" s="8">
        <v>243</v>
      </c>
      <c r="M34" s="8">
        <v>242</v>
      </c>
      <c r="N34" s="8">
        <v>425</v>
      </c>
      <c r="O34" s="8">
        <v>421</v>
      </c>
      <c r="P34" s="8">
        <v>417</v>
      </c>
      <c r="Q34" s="9"/>
      <c r="R34" s="16"/>
      <c r="S34" s="10"/>
      <c r="T34" s="10"/>
      <c r="U34" s="10"/>
      <c r="V34" s="11"/>
      <c r="W34" s="12"/>
      <c r="X34" s="17"/>
      <c r="Y34" s="13"/>
      <c r="Z34" s="13"/>
      <c r="AA34" s="13"/>
      <c r="AB34" s="14"/>
      <c r="AC34" s="9" t="s">
        <v>47</v>
      </c>
      <c r="AD34" s="16"/>
      <c r="AE34" s="10">
        <v>23</v>
      </c>
      <c r="AF34" s="10">
        <v>30</v>
      </c>
      <c r="AG34" s="10">
        <v>53</v>
      </c>
      <c r="AH34" s="11">
        <v>26</v>
      </c>
      <c r="AI34" s="12" t="s">
        <v>47</v>
      </c>
      <c r="AJ34" s="17"/>
      <c r="AK34" s="13">
        <v>15</v>
      </c>
      <c r="AL34" s="13">
        <v>85</v>
      </c>
      <c r="AM34" s="13">
        <v>32</v>
      </c>
      <c r="AN34" s="14">
        <v>48</v>
      </c>
      <c r="AO34" s="9" t="s">
        <v>47</v>
      </c>
      <c r="AP34" s="16"/>
      <c r="AQ34" s="10">
        <v>28</v>
      </c>
      <c r="AR34" s="10">
        <v>21</v>
      </c>
      <c r="AS34" s="10">
        <v>36</v>
      </c>
      <c r="AT34" s="11">
        <v>17</v>
      </c>
      <c r="AU34" s="12"/>
      <c r="AV34" s="17"/>
      <c r="AW34" s="13"/>
      <c r="AX34" s="13"/>
      <c r="AY34" s="13"/>
      <c r="AZ34" s="14"/>
      <c r="BA34" s="9"/>
      <c r="BB34" s="16"/>
      <c r="BC34" s="10"/>
      <c r="BD34" s="10"/>
      <c r="BE34" s="10"/>
      <c r="BF34" s="11"/>
      <c r="BG34" s="12"/>
      <c r="BH34" s="17"/>
      <c r="BI34" s="13"/>
      <c r="BJ34" s="13"/>
      <c r="BK34" s="13"/>
      <c r="BL34" s="14"/>
      <c r="BM34" s="8">
        <f t="shared" si="0"/>
        <v>66</v>
      </c>
      <c r="BN34" s="8">
        <f t="shared" si="1"/>
        <v>136</v>
      </c>
      <c r="BO34" s="8">
        <f t="shared" si="2"/>
        <v>121</v>
      </c>
      <c r="BP34" s="8">
        <f t="shared" si="3"/>
        <v>91</v>
      </c>
      <c r="BQ34" s="8">
        <f t="shared" si="4"/>
        <v>136</v>
      </c>
      <c r="BR34" s="8">
        <f t="shared" si="5"/>
        <v>66</v>
      </c>
      <c r="BS34" s="15">
        <f t="shared" si="6"/>
        <v>10.011253667748111</v>
      </c>
      <c r="BT34" s="15" t="str">
        <f t="shared" si="7"/>
        <v>OK - No Upgrade</v>
      </c>
      <c r="BU34" s="15" t="str">
        <f t="shared" si="8"/>
        <v>Need to Balance</v>
      </c>
    </row>
    <row r="35" spans="1:73" ht="15.75" customHeight="1" x14ac:dyDescent="0.25">
      <c r="A35" s="8" t="s">
        <v>38</v>
      </c>
      <c r="B35" s="8" t="s">
        <v>3752</v>
      </c>
      <c r="C35" s="8" t="s">
        <v>573</v>
      </c>
      <c r="D35" s="8" t="s">
        <v>3831</v>
      </c>
      <c r="E35" s="8" t="s">
        <v>3832</v>
      </c>
      <c r="F35" s="8" t="s">
        <v>43</v>
      </c>
      <c r="G35" s="8"/>
      <c r="H35" s="8">
        <v>315</v>
      </c>
      <c r="I35" s="8" t="s">
        <v>1463</v>
      </c>
      <c r="J35" s="8">
        <v>1</v>
      </c>
      <c r="K35" s="8">
        <v>244</v>
      </c>
      <c r="L35" s="8">
        <v>242</v>
      </c>
      <c r="M35" s="8">
        <v>242</v>
      </c>
      <c r="N35" s="8">
        <v>421</v>
      </c>
      <c r="O35" s="8">
        <v>425</v>
      </c>
      <c r="P35" s="8">
        <v>423</v>
      </c>
      <c r="Q35" s="9" t="s">
        <v>47</v>
      </c>
      <c r="R35" s="16"/>
      <c r="S35" s="10">
        <v>11</v>
      </c>
      <c r="T35" s="10">
        <v>1</v>
      </c>
      <c r="U35" s="10">
        <v>31</v>
      </c>
      <c r="V35" s="11">
        <v>23</v>
      </c>
      <c r="W35" s="12" t="s">
        <v>47</v>
      </c>
      <c r="X35" s="17"/>
      <c r="Y35" s="13">
        <v>10</v>
      </c>
      <c r="Z35" s="13">
        <v>6</v>
      </c>
      <c r="AA35" s="13">
        <v>21</v>
      </c>
      <c r="AB35" s="14">
        <v>10</v>
      </c>
      <c r="AC35" s="9"/>
      <c r="AD35" s="16"/>
      <c r="AE35" s="10"/>
      <c r="AF35" s="10"/>
      <c r="AG35" s="10"/>
      <c r="AH35" s="11"/>
      <c r="AI35" s="12"/>
      <c r="AJ35" s="17"/>
      <c r="AK35" s="13"/>
      <c r="AL35" s="13"/>
      <c r="AM35" s="13"/>
      <c r="AN35" s="14"/>
      <c r="AO35" s="9"/>
      <c r="AP35" s="16"/>
      <c r="AQ35" s="10"/>
      <c r="AR35" s="10"/>
      <c r="AS35" s="10"/>
      <c r="AT35" s="11"/>
      <c r="AU35" s="12"/>
      <c r="AV35" s="17"/>
      <c r="AW35" s="13"/>
      <c r="AX35" s="13"/>
      <c r="AY35" s="13"/>
      <c r="AZ35" s="14"/>
      <c r="BA35" s="9"/>
      <c r="BB35" s="16"/>
      <c r="BC35" s="10"/>
      <c r="BD35" s="10"/>
      <c r="BE35" s="10"/>
      <c r="BF35" s="11"/>
      <c r="BG35" s="12"/>
      <c r="BH35" s="17"/>
      <c r="BI35" s="13"/>
      <c r="BJ35" s="13"/>
      <c r="BK35" s="13"/>
      <c r="BL35" s="14"/>
      <c r="BM35" s="8">
        <f t="shared" si="0"/>
        <v>21</v>
      </c>
      <c r="BN35" s="8">
        <f t="shared" si="1"/>
        <v>7</v>
      </c>
      <c r="BO35" s="8">
        <f t="shared" si="2"/>
        <v>52</v>
      </c>
      <c r="BP35" s="8">
        <f t="shared" si="3"/>
        <v>33</v>
      </c>
      <c r="BQ35" s="8">
        <f t="shared" si="4"/>
        <v>52</v>
      </c>
      <c r="BR35" s="8">
        <f t="shared" si="5"/>
        <v>7</v>
      </c>
      <c r="BS35" s="15">
        <f t="shared" si="6"/>
        <v>12.037478183904081</v>
      </c>
      <c r="BT35" s="15" t="str">
        <f t="shared" si="7"/>
        <v>OK - No Upgrade</v>
      </c>
      <c r="BU35" s="15" t="str">
        <f t="shared" si="8"/>
        <v>Need to Balance</v>
      </c>
    </row>
    <row r="36" spans="1:73" ht="15.75" customHeight="1" x14ac:dyDescent="0.25">
      <c r="A36" s="8" t="s">
        <v>38</v>
      </c>
      <c r="B36" s="8" t="s">
        <v>3752</v>
      </c>
      <c r="C36" s="8" t="s">
        <v>573</v>
      </c>
      <c r="D36" s="8" t="s">
        <v>3833</v>
      </c>
      <c r="E36" s="8" t="s">
        <v>1066</v>
      </c>
      <c r="F36" s="8" t="s">
        <v>56</v>
      </c>
      <c r="G36" s="8" t="s">
        <v>44</v>
      </c>
      <c r="H36" s="8">
        <v>500</v>
      </c>
      <c r="I36" s="8"/>
      <c r="J36" s="8">
        <v>1</v>
      </c>
      <c r="K36" s="8"/>
      <c r="L36" s="8"/>
      <c r="M36" s="8"/>
      <c r="N36" s="8"/>
      <c r="O36" s="8"/>
      <c r="P36" s="8"/>
      <c r="Q36" s="9"/>
      <c r="R36" s="16"/>
      <c r="S36" s="10"/>
      <c r="T36" s="10"/>
      <c r="U36" s="10"/>
      <c r="V36" s="11"/>
      <c r="W36" s="12"/>
      <c r="X36" s="17"/>
      <c r="Y36" s="13"/>
      <c r="Z36" s="13"/>
      <c r="AA36" s="13"/>
      <c r="AB36" s="14"/>
      <c r="AC36" s="9"/>
      <c r="AD36" s="16"/>
      <c r="AE36" s="10"/>
      <c r="AF36" s="10"/>
      <c r="AG36" s="10"/>
      <c r="AH36" s="11"/>
      <c r="AI36" s="12"/>
      <c r="AJ36" s="17"/>
      <c r="AK36" s="13"/>
      <c r="AL36" s="13"/>
      <c r="AM36" s="13"/>
      <c r="AN36" s="14"/>
      <c r="AO36" s="9"/>
      <c r="AP36" s="16"/>
      <c r="AQ36" s="10"/>
      <c r="AR36" s="10"/>
      <c r="AS36" s="10"/>
      <c r="AT36" s="11"/>
      <c r="AU36" s="12"/>
      <c r="AV36" s="17"/>
      <c r="AW36" s="13"/>
      <c r="AX36" s="13"/>
      <c r="AY36" s="13"/>
      <c r="AZ36" s="14"/>
      <c r="BA36" s="9"/>
      <c r="BB36" s="16"/>
      <c r="BC36" s="10"/>
      <c r="BD36" s="10"/>
      <c r="BE36" s="10"/>
      <c r="BF36" s="11"/>
      <c r="BG36" s="12"/>
      <c r="BH36" s="17"/>
      <c r="BI36" s="13"/>
      <c r="BJ36" s="13"/>
      <c r="BK36" s="13"/>
      <c r="BL36" s="14"/>
      <c r="BM36" s="8">
        <f t="shared" ref="BM36:BM67" si="9">SUM(S36,Y36,AE36,AK36,AQ36,AW36,BC36,BI36)</f>
        <v>0</v>
      </c>
      <c r="BN36" s="8">
        <f t="shared" ref="BN36:BN67" si="10">SUM(T36,Z36,AF36,AL36,AR36,AX36,BD36,BJ36)</f>
        <v>0</v>
      </c>
      <c r="BO36" s="8">
        <f t="shared" ref="BO36:BO67" si="11">SUM(U36,AA36,AG36,AM36,AS36,AY36,BE36,BK36)</f>
        <v>0</v>
      </c>
      <c r="BP36" s="8">
        <f t="shared" ref="BP36:BP67" si="12">SUM(V36,AB36,AH36,AN36,AT36,AZ36,BF36,BL36)</f>
        <v>0</v>
      </c>
      <c r="BQ36" s="8">
        <f t="shared" ref="BQ36:BQ67" si="13">MAX(BM36:BO36)</f>
        <v>0</v>
      </c>
      <c r="BR36" s="8">
        <f t="shared" ref="BR36:BR67" si="14">MIN(BM36:BO36)</f>
        <v>0</v>
      </c>
      <c r="BS36" s="15">
        <f t="shared" ref="BS36:BS67" si="15">IF(H36&gt;0,(BQ36*SQRT(3)*IF(N36&gt;0,N36,IF(O36&gt;0,O36,IF(P36&gt;0,P36,415)))/(H36*1000))*100,0)</f>
        <v>0</v>
      </c>
      <c r="BT36" s="15" t="str">
        <f t="shared" ref="BT36:BT67" si="16">IF(BS36&gt;70,"Upgrade","OK - No Upgrade")</f>
        <v>OK - No Upgrade</v>
      </c>
      <c r="BU36" s="15" t="str">
        <f t="shared" ref="BU36:BU67" si="17">IF(IF(AVERAGE(BM36:BO36)&gt;0,((BQ36-AVERAGE(BM36:BO36))/AVERAGE(BM36:BO36))*100,0)&gt;10,"Need to Balance","OK - Balanced")</f>
        <v>OK - Balanced</v>
      </c>
    </row>
    <row r="37" spans="1:73" ht="15.75" customHeight="1" x14ac:dyDescent="0.25">
      <c r="A37" s="8" t="s">
        <v>38</v>
      </c>
      <c r="B37" s="8" t="s">
        <v>3752</v>
      </c>
      <c r="C37" s="8" t="s">
        <v>573</v>
      </c>
      <c r="D37" s="8" t="s">
        <v>3834</v>
      </c>
      <c r="E37" s="8" t="s">
        <v>3835</v>
      </c>
      <c r="F37" s="8" t="s">
        <v>43</v>
      </c>
      <c r="G37" s="8"/>
      <c r="H37" s="8">
        <v>315</v>
      </c>
      <c r="I37" s="8" t="s">
        <v>3564</v>
      </c>
      <c r="J37" s="8">
        <v>1</v>
      </c>
      <c r="K37" s="8">
        <v>244</v>
      </c>
      <c r="L37" s="8">
        <v>243</v>
      </c>
      <c r="M37" s="8">
        <v>247</v>
      </c>
      <c r="N37" s="8">
        <v>419</v>
      </c>
      <c r="O37" s="8">
        <v>425</v>
      </c>
      <c r="P37" s="8">
        <v>423</v>
      </c>
      <c r="Q37" s="9" t="s">
        <v>70</v>
      </c>
      <c r="R37" s="16"/>
      <c r="S37" s="10">
        <v>64</v>
      </c>
      <c r="T37" s="10">
        <v>69</v>
      </c>
      <c r="U37" s="10">
        <v>30</v>
      </c>
      <c r="V37" s="11">
        <v>39</v>
      </c>
      <c r="W37" s="12" t="s">
        <v>47</v>
      </c>
      <c r="X37" s="17"/>
      <c r="Y37" s="13">
        <v>0</v>
      </c>
      <c r="Z37" s="13">
        <v>0</v>
      </c>
      <c r="AA37" s="13">
        <v>2</v>
      </c>
      <c r="AB37" s="14">
        <v>1</v>
      </c>
      <c r="AC37" s="9"/>
      <c r="AD37" s="16"/>
      <c r="AE37" s="10"/>
      <c r="AF37" s="10"/>
      <c r="AG37" s="10"/>
      <c r="AH37" s="11"/>
      <c r="AI37" s="12"/>
      <c r="AJ37" s="17"/>
      <c r="AK37" s="13"/>
      <c r="AL37" s="13"/>
      <c r="AM37" s="13"/>
      <c r="AN37" s="14"/>
      <c r="AO37" s="9"/>
      <c r="AP37" s="16"/>
      <c r="AQ37" s="10"/>
      <c r="AR37" s="10"/>
      <c r="AS37" s="10"/>
      <c r="AT37" s="11"/>
      <c r="AU37" s="12"/>
      <c r="AV37" s="17"/>
      <c r="AW37" s="13"/>
      <c r="AX37" s="13"/>
      <c r="AY37" s="13"/>
      <c r="AZ37" s="14"/>
      <c r="BA37" s="9"/>
      <c r="BB37" s="16"/>
      <c r="BC37" s="10"/>
      <c r="BD37" s="10"/>
      <c r="BE37" s="10"/>
      <c r="BF37" s="11"/>
      <c r="BG37" s="12"/>
      <c r="BH37" s="17"/>
      <c r="BI37" s="13"/>
      <c r="BJ37" s="13"/>
      <c r="BK37" s="13"/>
      <c r="BL37" s="14"/>
      <c r="BM37" s="8">
        <f t="shared" si="9"/>
        <v>64</v>
      </c>
      <c r="BN37" s="8">
        <f t="shared" si="10"/>
        <v>69</v>
      </c>
      <c r="BO37" s="8">
        <f t="shared" si="11"/>
        <v>32</v>
      </c>
      <c r="BP37" s="8">
        <f t="shared" si="12"/>
        <v>40</v>
      </c>
      <c r="BQ37" s="8">
        <f t="shared" si="13"/>
        <v>69</v>
      </c>
      <c r="BR37" s="8">
        <f t="shared" si="14"/>
        <v>32</v>
      </c>
      <c r="BS37" s="15">
        <f t="shared" si="15"/>
        <v>15.896927269086925</v>
      </c>
      <c r="BT37" s="15" t="str">
        <f t="shared" si="16"/>
        <v>OK - No Upgrade</v>
      </c>
      <c r="BU37" s="15" t="str">
        <f t="shared" si="17"/>
        <v>Need to Balance</v>
      </c>
    </row>
    <row r="38" spans="1:73" ht="15.75" customHeight="1" x14ac:dyDescent="0.25">
      <c r="A38" s="8" t="s">
        <v>38</v>
      </c>
      <c r="B38" s="8" t="s">
        <v>3752</v>
      </c>
      <c r="C38" s="8" t="s">
        <v>124</v>
      </c>
      <c r="D38" s="8" t="s">
        <v>3836</v>
      </c>
      <c r="E38" s="8" t="s">
        <v>3837</v>
      </c>
      <c r="F38" s="8" t="s">
        <v>43</v>
      </c>
      <c r="G38" s="8" t="s">
        <v>44</v>
      </c>
      <c r="H38" s="8">
        <v>315</v>
      </c>
      <c r="I38" s="8" t="s">
        <v>3566</v>
      </c>
      <c r="J38" s="8">
        <v>1</v>
      </c>
      <c r="K38" s="8">
        <v>244</v>
      </c>
      <c r="L38" s="8">
        <v>245</v>
      </c>
      <c r="M38" s="8">
        <v>248</v>
      </c>
      <c r="N38" s="8">
        <v>422</v>
      </c>
      <c r="O38" s="8">
        <v>424</v>
      </c>
      <c r="P38" s="8">
        <v>426</v>
      </c>
      <c r="Q38" s="9" t="s">
        <v>47</v>
      </c>
      <c r="R38" s="16"/>
      <c r="S38" s="10">
        <v>34</v>
      </c>
      <c r="T38" s="10">
        <v>31</v>
      </c>
      <c r="U38" s="10">
        <v>3</v>
      </c>
      <c r="V38" s="11">
        <v>24</v>
      </c>
      <c r="W38" s="12" t="s">
        <v>47</v>
      </c>
      <c r="X38" s="17"/>
      <c r="Y38" s="13">
        <v>11</v>
      </c>
      <c r="Z38" s="13">
        <v>0</v>
      </c>
      <c r="AA38" s="13">
        <v>0</v>
      </c>
      <c r="AB38" s="14">
        <v>9</v>
      </c>
      <c r="AC38" s="9"/>
      <c r="AD38" s="16"/>
      <c r="AE38" s="10"/>
      <c r="AF38" s="10"/>
      <c r="AG38" s="10"/>
      <c r="AH38" s="11"/>
      <c r="AI38" s="12"/>
      <c r="AJ38" s="17"/>
      <c r="AK38" s="13"/>
      <c r="AL38" s="13"/>
      <c r="AM38" s="13"/>
      <c r="AN38" s="14"/>
      <c r="AO38" s="9"/>
      <c r="AP38" s="16"/>
      <c r="AQ38" s="10"/>
      <c r="AR38" s="10"/>
      <c r="AS38" s="10"/>
      <c r="AT38" s="11"/>
      <c r="AU38" s="12"/>
      <c r="AV38" s="17"/>
      <c r="AW38" s="13"/>
      <c r="AX38" s="13"/>
      <c r="AY38" s="13"/>
      <c r="AZ38" s="14"/>
      <c r="BA38" s="9"/>
      <c r="BB38" s="16"/>
      <c r="BC38" s="10"/>
      <c r="BD38" s="10"/>
      <c r="BE38" s="10"/>
      <c r="BF38" s="11"/>
      <c r="BG38" s="12"/>
      <c r="BH38" s="17"/>
      <c r="BI38" s="13"/>
      <c r="BJ38" s="13"/>
      <c r="BK38" s="13"/>
      <c r="BL38" s="14"/>
      <c r="BM38" s="8">
        <f t="shared" si="9"/>
        <v>45</v>
      </c>
      <c r="BN38" s="8">
        <f t="shared" si="10"/>
        <v>31</v>
      </c>
      <c r="BO38" s="8">
        <f t="shared" si="11"/>
        <v>3</v>
      </c>
      <c r="BP38" s="8">
        <f t="shared" si="12"/>
        <v>33</v>
      </c>
      <c r="BQ38" s="8">
        <f t="shared" si="13"/>
        <v>45</v>
      </c>
      <c r="BR38" s="8">
        <f t="shared" si="14"/>
        <v>3</v>
      </c>
      <c r="BS38" s="15">
        <f t="shared" si="15"/>
        <v>10.441792011343804</v>
      </c>
      <c r="BT38" s="15" t="str">
        <f t="shared" si="16"/>
        <v>OK - No Upgrade</v>
      </c>
      <c r="BU38" s="15" t="str">
        <f t="shared" si="17"/>
        <v>Need to Balance</v>
      </c>
    </row>
    <row r="39" spans="1:73" ht="15.75" customHeight="1" x14ac:dyDescent="0.25">
      <c r="A39" s="8" t="s">
        <v>38</v>
      </c>
      <c r="B39" s="8" t="s">
        <v>3752</v>
      </c>
      <c r="C39" s="8" t="s">
        <v>124</v>
      </c>
      <c r="D39" s="8" t="s">
        <v>3838</v>
      </c>
      <c r="E39" s="8" t="s">
        <v>3839</v>
      </c>
      <c r="F39" s="8" t="s">
        <v>43</v>
      </c>
      <c r="G39" s="8" t="s">
        <v>1381</v>
      </c>
      <c r="H39" s="8">
        <v>100</v>
      </c>
      <c r="I39" s="8" t="s">
        <v>1471</v>
      </c>
      <c r="J39" s="8">
        <v>1</v>
      </c>
      <c r="K39" s="8">
        <v>231</v>
      </c>
      <c r="L39" s="8">
        <v>231</v>
      </c>
      <c r="M39" s="8">
        <v>233</v>
      </c>
      <c r="N39" s="8">
        <v>398</v>
      </c>
      <c r="O39" s="8">
        <v>401</v>
      </c>
      <c r="P39" s="8">
        <v>402</v>
      </c>
      <c r="Q39" s="9" t="s">
        <v>47</v>
      </c>
      <c r="R39" s="16"/>
      <c r="S39" s="10">
        <v>44</v>
      </c>
      <c r="T39" s="10">
        <v>35</v>
      </c>
      <c r="U39" s="10">
        <v>45</v>
      </c>
      <c r="V39" s="11">
        <v>14</v>
      </c>
      <c r="W39" s="12" t="s">
        <v>46</v>
      </c>
      <c r="X39" s="17"/>
      <c r="Y39" s="13">
        <v>0</v>
      </c>
      <c r="Z39" s="13">
        <v>3</v>
      </c>
      <c r="AA39" s="13">
        <v>0</v>
      </c>
      <c r="AB39" s="14">
        <v>2</v>
      </c>
      <c r="AC39" s="9"/>
      <c r="AD39" s="16"/>
      <c r="AE39" s="10"/>
      <c r="AF39" s="10"/>
      <c r="AG39" s="10"/>
      <c r="AH39" s="11"/>
      <c r="AI39" s="12"/>
      <c r="AJ39" s="17"/>
      <c r="AK39" s="13"/>
      <c r="AL39" s="13"/>
      <c r="AM39" s="13"/>
      <c r="AN39" s="14"/>
      <c r="AO39" s="9"/>
      <c r="AP39" s="16"/>
      <c r="AQ39" s="10"/>
      <c r="AR39" s="10"/>
      <c r="AS39" s="10"/>
      <c r="AT39" s="11"/>
      <c r="AU39" s="12"/>
      <c r="AV39" s="17"/>
      <c r="AW39" s="13"/>
      <c r="AX39" s="13"/>
      <c r="AY39" s="13"/>
      <c r="AZ39" s="14"/>
      <c r="BA39" s="9"/>
      <c r="BB39" s="16"/>
      <c r="BC39" s="10"/>
      <c r="BD39" s="10"/>
      <c r="BE39" s="10"/>
      <c r="BF39" s="11"/>
      <c r="BG39" s="12"/>
      <c r="BH39" s="17"/>
      <c r="BI39" s="13"/>
      <c r="BJ39" s="13"/>
      <c r="BK39" s="13"/>
      <c r="BL39" s="14"/>
      <c r="BM39" s="8">
        <f t="shared" si="9"/>
        <v>44</v>
      </c>
      <c r="BN39" s="8">
        <f t="shared" si="10"/>
        <v>38</v>
      </c>
      <c r="BO39" s="8">
        <f t="shared" si="11"/>
        <v>45</v>
      </c>
      <c r="BP39" s="8">
        <f t="shared" si="12"/>
        <v>16</v>
      </c>
      <c r="BQ39" s="8">
        <f t="shared" si="13"/>
        <v>45</v>
      </c>
      <c r="BR39" s="8">
        <f t="shared" si="14"/>
        <v>38</v>
      </c>
      <c r="BS39" s="15">
        <f t="shared" si="15"/>
        <v>31.021029963558593</v>
      </c>
      <c r="BT39" s="15" t="str">
        <f t="shared" si="16"/>
        <v>OK - No Upgrade</v>
      </c>
      <c r="BU39" s="15" t="str">
        <f t="shared" si="17"/>
        <v>OK - Balanced</v>
      </c>
    </row>
    <row r="40" spans="1:73" ht="15.75" customHeight="1" x14ac:dyDescent="0.25">
      <c r="A40" s="8" t="s">
        <v>38</v>
      </c>
      <c r="B40" s="8" t="s">
        <v>3752</v>
      </c>
      <c r="C40" s="8" t="s">
        <v>124</v>
      </c>
      <c r="D40" s="8" t="s">
        <v>3840</v>
      </c>
      <c r="E40" s="8" t="s">
        <v>3841</v>
      </c>
      <c r="F40" s="8" t="s">
        <v>43</v>
      </c>
      <c r="G40" s="8" t="s">
        <v>44</v>
      </c>
      <c r="H40" s="8">
        <v>315</v>
      </c>
      <c r="I40" s="8" t="s">
        <v>3842</v>
      </c>
      <c r="J40" s="8">
        <v>1</v>
      </c>
      <c r="K40" s="8">
        <v>246</v>
      </c>
      <c r="L40" s="8">
        <v>247</v>
      </c>
      <c r="M40" s="8">
        <v>248</v>
      </c>
      <c r="N40" s="8">
        <v>424</v>
      </c>
      <c r="O40" s="8">
        <v>426</v>
      </c>
      <c r="P40" s="8">
        <v>428</v>
      </c>
      <c r="Q40" s="9" t="s">
        <v>47</v>
      </c>
      <c r="R40" s="16"/>
      <c r="S40" s="10">
        <v>0</v>
      </c>
      <c r="T40" s="10">
        <v>0</v>
      </c>
      <c r="U40" s="10">
        <v>0</v>
      </c>
      <c r="V40" s="11">
        <v>0</v>
      </c>
      <c r="W40" s="12" t="s">
        <v>47</v>
      </c>
      <c r="X40" s="17"/>
      <c r="Y40" s="13">
        <v>12</v>
      </c>
      <c r="Z40" s="13">
        <v>13</v>
      </c>
      <c r="AA40" s="13">
        <v>10</v>
      </c>
      <c r="AB40" s="14">
        <v>5</v>
      </c>
      <c r="AC40" s="9"/>
      <c r="AD40" s="16"/>
      <c r="AE40" s="10"/>
      <c r="AF40" s="10"/>
      <c r="AG40" s="10"/>
      <c r="AH40" s="11"/>
      <c r="AI40" s="12"/>
      <c r="AJ40" s="17"/>
      <c r="AK40" s="13"/>
      <c r="AL40" s="13"/>
      <c r="AM40" s="13"/>
      <c r="AN40" s="14"/>
      <c r="AO40" s="9"/>
      <c r="AP40" s="16"/>
      <c r="AQ40" s="10"/>
      <c r="AR40" s="10"/>
      <c r="AS40" s="10"/>
      <c r="AT40" s="11"/>
      <c r="AU40" s="12"/>
      <c r="AV40" s="17"/>
      <c r="AW40" s="13"/>
      <c r="AX40" s="13"/>
      <c r="AY40" s="13"/>
      <c r="AZ40" s="14"/>
      <c r="BA40" s="9"/>
      <c r="BB40" s="16"/>
      <c r="BC40" s="10"/>
      <c r="BD40" s="10"/>
      <c r="BE40" s="10"/>
      <c r="BF40" s="11"/>
      <c r="BG40" s="12"/>
      <c r="BH40" s="17"/>
      <c r="BI40" s="13"/>
      <c r="BJ40" s="13"/>
      <c r="BK40" s="13"/>
      <c r="BL40" s="14"/>
      <c r="BM40" s="8">
        <f t="shared" si="9"/>
        <v>12</v>
      </c>
      <c r="BN40" s="8">
        <f t="shared" si="10"/>
        <v>13</v>
      </c>
      <c r="BO40" s="8">
        <f t="shared" si="11"/>
        <v>10</v>
      </c>
      <c r="BP40" s="8">
        <f t="shared" si="12"/>
        <v>5</v>
      </c>
      <c r="BQ40" s="8">
        <f t="shared" si="13"/>
        <v>13</v>
      </c>
      <c r="BR40" s="8">
        <f t="shared" si="14"/>
        <v>10</v>
      </c>
      <c r="BS40" s="15">
        <f t="shared" si="15"/>
        <v>3.0308139845459205</v>
      </c>
      <c r="BT40" s="15" t="str">
        <f t="shared" si="16"/>
        <v>OK - No Upgrade</v>
      </c>
      <c r="BU40" s="15" t="str">
        <f t="shared" si="17"/>
        <v>Need to Balance</v>
      </c>
    </row>
    <row r="41" spans="1:73" ht="15.75" customHeight="1" x14ac:dyDescent="0.25">
      <c r="A41" s="8" t="s">
        <v>38</v>
      </c>
      <c r="B41" s="8" t="s">
        <v>3752</v>
      </c>
      <c r="C41" s="8" t="s">
        <v>124</v>
      </c>
      <c r="D41" s="8" t="s">
        <v>3843</v>
      </c>
      <c r="E41" s="8" t="s">
        <v>3844</v>
      </c>
      <c r="F41" s="8" t="s">
        <v>56</v>
      </c>
      <c r="G41" s="8" t="s">
        <v>1381</v>
      </c>
      <c r="H41" s="8">
        <v>500</v>
      </c>
      <c r="I41" s="8" t="s">
        <v>3845</v>
      </c>
      <c r="J41" s="8">
        <v>1</v>
      </c>
      <c r="K41" s="8">
        <v>238</v>
      </c>
      <c r="L41" s="8">
        <v>240</v>
      </c>
      <c r="M41" s="8">
        <v>241</v>
      </c>
      <c r="N41" s="8">
        <v>412</v>
      </c>
      <c r="O41" s="8">
        <v>411</v>
      </c>
      <c r="P41" s="8">
        <v>418</v>
      </c>
      <c r="Q41" s="9"/>
      <c r="R41" s="16"/>
      <c r="S41" s="10"/>
      <c r="T41" s="10"/>
      <c r="U41" s="10"/>
      <c r="V41" s="11"/>
      <c r="W41" s="12" t="s">
        <v>47</v>
      </c>
      <c r="X41" s="17"/>
      <c r="Y41" s="13">
        <v>60</v>
      </c>
      <c r="Z41" s="13">
        <v>16</v>
      </c>
      <c r="AA41" s="13">
        <v>2</v>
      </c>
      <c r="AB41" s="14">
        <v>53</v>
      </c>
      <c r="AC41" s="9"/>
      <c r="AD41" s="16"/>
      <c r="AE41" s="10"/>
      <c r="AF41" s="10"/>
      <c r="AG41" s="10"/>
      <c r="AH41" s="11"/>
      <c r="AI41" s="12" t="s">
        <v>70</v>
      </c>
      <c r="AJ41" s="17"/>
      <c r="AK41" s="13">
        <v>30</v>
      </c>
      <c r="AL41" s="13">
        <v>25</v>
      </c>
      <c r="AM41" s="13">
        <v>18</v>
      </c>
      <c r="AN41" s="14">
        <v>10</v>
      </c>
      <c r="AO41" s="9"/>
      <c r="AP41" s="16"/>
      <c r="AQ41" s="10"/>
      <c r="AR41" s="10"/>
      <c r="AS41" s="10"/>
      <c r="AT41" s="11"/>
      <c r="AU41" s="12" t="s">
        <v>70</v>
      </c>
      <c r="AV41" s="17"/>
      <c r="AW41" s="13">
        <v>55</v>
      </c>
      <c r="AX41" s="13">
        <v>25</v>
      </c>
      <c r="AY41" s="13">
        <v>41</v>
      </c>
      <c r="AZ41" s="14">
        <v>21</v>
      </c>
      <c r="BA41" s="9"/>
      <c r="BB41" s="16"/>
      <c r="BC41" s="10"/>
      <c r="BD41" s="10"/>
      <c r="BE41" s="10"/>
      <c r="BF41" s="11"/>
      <c r="BG41" s="12"/>
      <c r="BH41" s="17"/>
      <c r="BI41" s="13"/>
      <c r="BJ41" s="13"/>
      <c r="BK41" s="13"/>
      <c r="BL41" s="14"/>
      <c r="BM41" s="8">
        <f t="shared" si="9"/>
        <v>145</v>
      </c>
      <c r="BN41" s="8">
        <f t="shared" si="10"/>
        <v>66</v>
      </c>
      <c r="BO41" s="8">
        <f t="shared" si="11"/>
        <v>61</v>
      </c>
      <c r="BP41" s="8">
        <f t="shared" si="12"/>
        <v>84</v>
      </c>
      <c r="BQ41" s="8">
        <f t="shared" si="13"/>
        <v>145</v>
      </c>
      <c r="BR41" s="8">
        <f t="shared" si="14"/>
        <v>61</v>
      </c>
      <c r="BS41" s="15">
        <f t="shared" si="15"/>
        <v>20.694543048832948</v>
      </c>
      <c r="BT41" s="15" t="str">
        <f t="shared" si="16"/>
        <v>OK - No Upgrade</v>
      </c>
      <c r="BU41" s="15" t="str">
        <f t="shared" si="17"/>
        <v>Need to Balance</v>
      </c>
    </row>
    <row r="42" spans="1:73" ht="15.75" customHeight="1" x14ac:dyDescent="0.25">
      <c r="A42" s="8" t="s">
        <v>38</v>
      </c>
      <c r="B42" s="8" t="s">
        <v>3752</v>
      </c>
      <c r="C42" s="8" t="s">
        <v>124</v>
      </c>
      <c r="D42" s="8" t="s">
        <v>3846</v>
      </c>
      <c r="E42" s="8" t="s">
        <v>3847</v>
      </c>
      <c r="F42" s="8" t="s">
        <v>56</v>
      </c>
      <c r="G42" s="8" t="s">
        <v>44</v>
      </c>
      <c r="H42" s="8">
        <v>1000</v>
      </c>
      <c r="I42" s="8"/>
      <c r="J42" s="8">
        <v>1</v>
      </c>
      <c r="K42" s="8">
        <v>248</v>
      </c>
      <c r="L42" s="8">
        <v>247</v>
      </c>
      <c r="M42" s="8">
        <v>249</v>
      </c>
      <c r="N42" s="8">
        <v>426</v>
      </c>
      <c r="O42" s="8">
        <v>430</v>
      </c>
      <c r="P42" s="8">
        <v>427</v>
      </c>
      <c r="Q42" s="9"/>
      <c r="R42" s="16"/>
      <c r="S42" s="10"/>
      <c r="T42" s="10"/>
      <c r="U42" s="10"/>
      <c r="V42" s="11"/>
      <c r="W42" s="12"/>
      <c r="X42" s="17"/>
      <c r="Y42" s="13"/>
      <c r="Z42" s="13"/>
      <c r="AA42" s="13"/>
      <c r="AB42" s="14"/>
      <c r="AC42" s="9"/>
      <c r="AD42" s="16"/>
      <c r="AE42" s="10"/>
      <c r="AF42" s="10"/>
      <c r="AG42" s="10"/>
      <c r="AH42" s="11"/>
      <c r="AI42" s="12"/>
      <c r="AJ42" s="17"/>
      <c r="AK42" s="13"/>
      <c r="AL42" s="13"/>
      <c r="AM42" s="13"/>
      <c r="AN42" s="14"/>
      <c r="AO42" s="9"/>
      <c r="AP42" s="16"/>
      <c r="AQ42" s="10"/>
      <c r="AR42" s="10"/>
      <c r="AS42" s="10"/>
      <c r="AT42" s="11"/>
      <c r="AU42" s="12"/>
      <c r="AV42" s="17"/>
      <c r="AW42" s="13"/>
      <c r="AX42" s="13"/>
      <c r="AY42" s="13"/>
      <c r="AZ42" s="14"/>
      <c r="BA42" s="9"/>
      <c r="BB42" s="16"/>
      <c r="BC42" s="10"/>
      <c r="BD42" s="10"/>
      <c r="BE42" s="10"/>
      <c r="BF42" s="11"/>
      <c r="BG42" s="12"/>
      <c r="BH42" s="17"/>
      <c r="BI42" s="13"/>
      <c r="BJ42" s="13"/>
      <c r="BK42" s="13"/>
      <c r="BL42" s="14"/>
      <c r="BM42" s="8">
        <f t="shared" si="9"/>
        <v>0</v>
      </c>
      <c r="BN42" s="8">
        <f t="shared" si="10"/>
        <v>0</v>
      </c>
      <c r="BO42" s="8">
        <f t="shared" si="11"/>
        <v>0</v>
      </c>
      <c r="BP42" s="8">
        <f t="shared" si="12"/>
        <v>0</v>
      </c>
      <c r="BQ42" s="8">
        <f t="shared" si="13"/>
        <v>0</v>
      </c>
      <c r="BR42" s="8">
        <f t="shared" si="14"/>
        <v>0</v>
      </c>
      <c r="BS42" s="15">
        <f t="shared" si="15"/>
        <v>0</v>
      </c>
      <c r="BT42" s="15" t="str">
        <f t="shared" si="16"/>
        <v>OK - No Upgrade</v>
      </c>
      <c r="BU42" s="15" t="str">
        <f t="shared" si="17"/>
        <v>OK - Balanced</v>
      </c>
    </row>
    <row r="43" spans="1:73" ht="15.75" customHeight="1" x14ac:dyDescent="0.25">
      <c r="A43" s="8" t="s">
        <v>38</v>
      </c>
      <c r="B43" s="8" t="s">
        <v>3752</v>
      </c>
      <c r="C43" s="8" t="s">
        <v>124</v>
      </c>
      <c r="D43" s="8" t="s">
        <v>3846</v>
      </c>
      <c r="E43" s="8" t="s">
        <v>3847</v>
      </c>
      <c r="F43" s="8" t="s">
        <v>56</v>
      </c>
      <c r="G43" s="8" t="s">
        <v>44</v>
      </c>
      <c r="H43" s="8">
        <v>1000</v>
      </c>
      <c r="I43" s="8" t="s">
        <v>3848</v>
      </c>
      <c r="J43" s="8">
        <v>2</v>
      </c>
      <c r="K43" s="8">
        <v>248</v>
      </c>
      <c r="L43" s="8">
        <v>247</v>
      </c>
      <c r="M43" s="8">
        <v>249</v>
      </c>
      <c r="N43" s="8">
        <v>426</v>
      </c>
      <c r="O43" s="8">
        <v>430</v>
      </c>
      <c r="P43" s="8">
        <v>427</v>
      </c>
      <c r="Q43" s="9"/>
      <c r="R43" s="16"/>
      <c r="S43" s="10"/>
      <c r="T43" s="10"/>
      <c r="U43" s="10"/>
      <c r="V43" s="11"/>
      <c r="W43" s="12"/>
      <c r="X43" s="17"/>
      <c r="Y43" s="13"/>
      <c r="Z43" s="13"/>
      <c r="AA43" s="13"/>
      <c r="AB43" s="14"/>
      <c r="AC43" s="9"/>
      <c r="AD43" s="16"/>
      <c r="AE43" s="10"/>
      <c r="AF43" s="10"/>
      <c r="AG43" s="10"/>
      <c r="AH43" s="11"/>
      <c r="AI43" s="12"/>
      <c r="AJ43" s="17"/>
      <c r="AK43" s="13"/>
      <c r="AL43" s="13"/>
      <c r="AM43" s="13"/>
      <c r="AN43" s="14"/>
      <c r="AO43" s="9"/>
      <c r="AP43" s="16"/>
      <c r="AQ43" s="10"/>
      <c r="AR43" s="10"/>
      <c r="AS43" s="10"/>
      <c r="AT43" s="11"/>
      <c r="AU43" s="12" t="s">
        <v>47</v>
      </c>
      <c r="AV43" s="17"/>
      <c r="AW43" s="13">
        <v>44</v>
      </c>
      <c r="AX43" s="13">
        <v>22</v>
      </c>
      <c r="AY43" s="13">
        <v>48</v>
      </c>
      <c r="AZ43" s="14">
        <v>14</v>
      </c>
      <c r="BA43" s="9" t="s">
        <v>46</v>
      </c>
      <c r="BB43" s="16"/>
      <c r="BC43" s="10">
        <v>28</v>
      </c>
      <c r="BD43" s="10">
        <v>22</v>
      </c>
      <c r="BE43" s="10">
        <v>24</v>
      </c>
      <c r="BF43" s="11">
        <v>14</v>
      </c>
      <c r="BG43" s="12" t="s">
        <v>46</v>
      </c>
      <c r="BH43" s="17"/>
      <c r="BI43" s="13">
        <v>59</v>
      </c>
      <c r="BJ43" s="13">
        <v>40</v>
      </c>
      <c r="BK43" s="13">
        <v>70</v>
      </c>
      <c r="BL43" s="14">
        <v>23</v>
      </c>
      <c r="BM43" s="8">
        <f t="shared" si="9"/>
        <v>131</v>
      </c>
      <c r="BN43" s="8">
        <f t="shared" si="10"/>
        <v>84</v>
      </c>
      <c r="BO43" s="8">
        <f t="shared" si="11"/>
        <v>142</v>
      </c>
      <c r="BP43" s="8">
        <f t="shared" si="12"/>
        <v>51</v>
      </c>
      <c r="BQ43" s="8">
        <f t="shared" si="13"/>
        <v>142</v>
      </c>
      <c r="BR43" s="8">
        <f t="shared" si="14"/>
        <v>84</v>
      </c>
      <c r="BS43" s="15">
        <f t="shared" si="15"/>
        <v>10.477521745145653</v>
      </c>
      <c r="BT43" s="15" t="str">
        <f t="shared" si="16"/>
        <v>OK - No Upgrade</v>
      </c>
      <c r="BU43" s="15" t="str">
        <f t="shared" si="17"/>
        <v>Need to Balance</v>
      </c>
    </row>
    <row r="44" spans="1:73" ht="15.75" customHeight="1" x14ac:dyDescent="0.25">
      <c r="A44" s="8" t="s">
        <v>38</v>
      </c>
      <c r="B44" s="8" t="s">
        <v>3752</v>
      </c>
      <c r="C44" s="8" t="s">
        <v>124</v>
      </c>
      <c r="D44" s="8" t="s">
        <v>3849</v>
      </c>
      <c r="E44" s="8" t="s">
        <v>3850</v>
      </c>
      <c r="F44" s="8" t="s">
        <v>56</v>
      </c>
      <c r="G44" s="8" t="s">
        <v>44</v>
      </c>
      <c r="H44" s="8">
        <v>500</v>
      </c>
      <c r="I44" s="8" t="s">
        <v>3851</v>
      </c>
      <c r="J44" s="8">
        <v>1</v>
      </c>
      <c r="K44" s="8">
        <v>242</v>
      </c>
      <c r="L44" s="8">
        <v>241</v>
      </c>
      <c r="M44" s="8">
        <v>244</v>
      </c>
      <c r="N44" s="8">
        <v>417</v>
      </c>
      <c r="O44" s="8">
        <v>422</v>
      </c>
      <c r="P44" s="8">
        <v>420</v>
      </c>
      <c r="Q44" s="9"/>
      <c r="R44" s="16"/>
      <c r="S44" s="10"/>
      <c r="T44" s="10"/>
      <c r="U44" s="10"/>
      <c r="V44" s="11"/>
      <c r="W44" s="12"/>
      <c r="X44" s="17"/>
      <c r="Y44" s="13"/>
      <c r="Z44" s="13"/>
      <c r="AA44" s="13"/>
      <c r="AB44" s="14"/>
      <c r="AC44" s="9" t="s">
        <v>47</v>
      </c>
      <c r="AD44" s="16"/>
      <c r="AE44" s="10">
        <v>36</v>
      </c>
      <c r="AF44" s="10">
        <v>25</v>
      </c>
      <c r="AG44" s="10">
        <v>14</v>
      </c>
      <c r="AH44" s="11">
        <v>23</v>
      </c>
      <c r="AI44" s="12" t="s">
        <v>70</v>
      </c>
      <c r="AJ44" s="17"/>
      <c r="AK44" s="13">
        <v>141</v>
      </c>
      <c r="AL44" s="13">
        <v>90</v>
      </c>
      <c r="AM44" s="13">
        <v>147</v>
      </c>
      <c r="AN44" s="14">
        <v>1</v>
      </c>
      <c r="AO44" s="9"/>
      <c r="AP44" s="16"/>
      <c r="AQ44" s="10"/>
      <c r="AR44" s="10"/>
      <c r="AS44" s="10"/>
      <c r="AT44" s="11"/>
      <c r="AU44" s="12" t="s">
        <v>70</v>
      </c>
      <c r="AV44" s="17"/>
      <c r="AW44" s="13">
        <v>26</v>
      </c>
      <c r="AX44" s="13">
        <v>13</v>
      </c>
      <c r="AY44" s="13">
        <v>16</v>
      </c>
      <c r="AZ44" s="14">
        <v>11</v>
      </c>
      <c r="BA44" s="9"/>
      <c r="BB44" s="16"/>
      <c r="BC44" s="10"/>
      <c r="BD44" s="10"/>
      <c r="BE44" s="10"/>
      <c r="BF44" s="11"/>
      <c r="BG44" s="12"/>
      <c r="BH44" s="17"/>
      <c r="BI44" s="13"/>
      <c r="BJ44" s="13"/>
      <c r="BK44" s="13"/>
      <c r="BL44" s="14"/>
      <c r="BM44" s="8">
        <f t="shared" si="9"/>
        <v>203</v>
      </c>
      <c r="BN44" s="8">
        <f t="shared" si="10"/>
        <v>128</v>
      </c>
      <c r="BO44" s="8">
        <f t="shared" si="11"/>
        <v>177</v>
      </c>
      <c r="BP44" s="8">
        <f t="shared" si="12"/>
        <v>35</v>
      </c>
      <c r="BQ44" s="8">
        <f t="shared" si="13"/>
        <v>203</v>
      </c>
      <c r="BR44" s="8">
        <f t="shared" si="14"/>
        <v>128</v>
      </c>
      <c r="BS44" s="15">
        <f t="shared" si="15"/>
        <v>29.323966582302603</v>
      </c>
      <c r="BT44" s="15" t="str">
        <f t="shared" si="16"/>
        <v>OK - No Upgrade</v>
      </c>
      <c r="BU44" s="15" t="str">
        <f t="shared" si="17"/>
        <v>Need to Balance</v>
      </c>
    </row>
    <row r="45" spans="1:73" ht="15.75" customHeight="1" x14ac:dyDescent="0.25">
      <c r="A45" s="8" t="s">
        <v>38</v>
      </c>
      <c r="B45" s="8" t="s">
        <v>3752</v>
      </c>
      <c r="C45" s="8" t="s">
        <v>124</v>
      </c>
      <c r="D45" s="8" t="s">
        <v>3852</v>
      </c>
      <c r="E45" s="8" t="s">
        <v>3853</v>
      </c>
      <c r="F45" s="8" t="s">
        <v>56</v>
      </c>
      <c r="G45" s="8" t="s">
        <v>44</v>
      </c>
      <c r="H45" s="8">
        <v>1000</v>
      </c>
      <c r="I45" s="8" t="s">
        <v>3854</v>
      </c>
      <c r="J45" s="8">
        <v>1</v>
      </c>
      <c r="K45" s="8">
        <v>245</v>
      </c>
      <c r="L45" s="8">
        <v>244</v>
      </c>
      <c r="M45" s="8">
        <v>247</v>
      </c>
      <c r="N45" s="8">
        <v>421</v>
      </c>
      <c r="O45" s="8">
        <v>425</v>
      </c>
      <c r="P45" s="8">
        <v>424</v>
      </c>
      <c r="Q45" s="9"/>
      <c r="R45" s="16"/>
      <c r="S45" s="10"/>
      <c r="T45" s="10"/>
      <c r="U45" s="10"/>
      <c r="V45" s="11"/>
      <c r="W45" s="12"/>
      <c r="X45" s="17"/>
      <c r="Y45" s="13"/>
      <c r="Z45" s="13"/>
      <c r="AA45" s="13"/>
      <c r="AB45" s="14"/>
      <c r="AC45" s="9" t="s">
        <v>46</v>
      </c>
      <c r="AD45" s="16"/>
      <c r="AE45" s="10">
        <v>0</v>
      </c>
      <c r="AF45" s="10">
        <v>0</v>
      </c>
      <c r="AG45" s="10">
        <v>0</v>
      </c>
      <c r="AH45" s="11">
        <v>0</v>
      </c>
      <c r="AI45" s="12" t="s">
        <v>46</v>
      </c>
      <c r="AJ45" s="17"/>
      <c r="AK45" s="13">
        <v>21</v>
      </c>
      <c r="AL45" s="13">
        <v>20</v>
      </c>
      <c r="AM45" s="13">
        <v>22</v>
      </c>
      <c r="AN45" s="14">
        <v>9</v>
      </c>
      <c r="AO45" s="9" t="s">
        <v>47</v>
      </c>
      <c r="AP45" s="16"/>
      <c r="AQ45" s="10">
        <v>34</v>
      </c>
      <c r="AR45" s="10">
        <v>32</v>
      </c>
      <c r="AS45" s="10">
        <v>60</v>
      </c>
      <c r="AT45" s="11">
        <v>27</v>
      </c>
      <c r="AU45" s="12" t="s">
        <v>47</v>
      </c>
      <c r="AV45" s="17"/>
      <c r="AW45" s="13">
        <v>13</v>
      </c>
      <c r="AX45" s="13">
        <v>52</v>
      </c>
      <c r="AY45" s="13">
        <v>32</v>
      </c>
      <c r="AZ45" s="14">
        <v>32</v>
      </c>
      <c r="BA45" s="9"/>
      <c r="BB45" s="16"/>
      <c r="BC45" s="10"/>
      <c r="BD45" s="10"/>
      <c r="BE45" s="10"/>
      <c r="BF45" s="11"/>
      <c r="BG45" s="12"/>
      <c r="BH45" s="17"/>
      <c r="BI45" s="13"/>
      <c r="BJ45" s="13"/>
      <c r="BK45" s="13"/>
      <c r="BL45" s="14"/>
      <c r="BM45" s="8">
        <f t="shared" si="9"/>
        <v>68</v>
      </c>
      <c r="BN45" s="8">
        <f t="shared" si="10"/>
        <v>104</v>
      </c>
      <c r="BO45" s="8">
        <f t="shared" si="11"/>
        <v>114</v>
      </c>
      <c r="BP45" s="8">
        <f t="shared" si="12"/>
        <v>68</v>
      </c>
      <c r="BQ45" s="8">
        <f t="shared" si="13"/>
        <v>114</v>
      </c>
      <c r="BR45" s="8">
        <f t="shared" si="14"/>
        <v>68</v>
      </c>
      <c r="BS45" s="15">
        <f t="shared" si="15"/>
        <v>8.312804645846068</v>
      </c>
      <c r="BT45" s="15" t="str">
        <f t="shared" si="16"/>
        <v>OK - No Upgrade</v>
      </c>
      <c r="BU45" s="15" t="str">
        <f t="shared" si="17"/>
        <v>Need to Balance</v>
      </c>
    </row>
    <row r="46" spans="1:73" ht="15.75" customHeight="1" x14ac:dyDescent="0.25">
      <c r="A46" s="8" t="s">
        <v>38</v>
      </c>
      <c r="B46" s="8" t="s">
        <v>3752</v>
      </c>
      <c r="C46" s="8" t="s">
        <v>124</v>
      </c>
      <c r="D46" s="8" t="s">
        <v>3855</v>
      </c>
      <c r="E46" s="8" t="s">
        <v>3856</v>
      </c>
      <c r="F46" s="8" t="s">
        <v>56</v>
      </c>
      <c r="G46" s="8" t="s">
        <v>44</v>
      </c>
      <c r="H46" s="8">
        <v>1000</v>
      </c>
      <c r="I46" s="8" t="s">
        <v>2299</v>
      </c>
      <c r="J46" s="8">
        <v>1</v>
      </c>
      <c r="K46" s="8">
        <v>244</v>
      </c>
      <c r="L46" s="8">
        <v>244</v>
      </c>
      <c r="M46" s="8">
        <v>247</v>
      </c>
      <c r="N46" s="8">
        <v>420</v>
      </c>
      <c r="O46" s="8">
        <v>425</v>
      </c>
      <c r="P46" s="8">
        <v>424</v>
      </c>
      <c r="Q46" s="9" t="s">
        <v>47</v>
      </c>
      <c r="R46" s="16"/>
      <c r="S46" s="10">
        <v>151</v>
      </c>
      <c r="T46" s="10">
        <v>111</v>
      </c>
      <c r="U46" s="10">
        <v>189</v>
      </c>
      <c r="V46" s="11">
        <v>57</v>
      </c>
      <c r="W46" s="12" t="s">
        <v>47</v>
      </c>
      <c r="X46" s="17"/>
      <c r="Y46" s="13">
        <v>30</v>
      </c>
      <c r="Z46" s="13">
        <v>15</v>
      </c>
      <c r="AA46" s="13">
        <v>45</v>
      </c>
      <c r="AB46" s="14">
        <v>35</v>
      </c>
      <c r="AC46" s="9" t="s">
        <v>47</v>
      </c>
      <c r="AD46" s="16"/>
      <c r="AE46" s="10">
        <v>26</v>
      </c>
      <c r="AF46" s="10">
        <v>31</v>
      </c>
      <c r="AG46" s="10">
        <v>12</v>
      </c>
      <c r="AH46" s="11">
        <v>11</v>
      </c>
      <c r="AI46" s="12" t="s">
        <v>47</v>
      </c>
      <c r="AJ46" s="17"/>
      <c r="AK46" s="13">
        <v>103</v>
      </c>
      <c r="AL46" s="13">
        <v>22</v>
      </c>
      <c r="AM46" s="13">
        <v>3</v>
      </c>
      <c r="AN46" s="14">
        <v>10</v>
      </c>
      <c r="AO46" s="9" t="s">
        <v>47</v>
      </c>
      <c r="AP46" s="16"/>
      <c r="AQ46" s="10">
        <v>8</v>
      </c>
      <c r="AR46" s="10">
        <v>11</v>
      </c>
      <c r="AS46" s="10">
        <v>10</v>
      </c>
      <c r="AT46" s="11">
        <v>4</v>
      </c>
      <c r="AU46" s="12"/>
      <c r="AV46" s="17"/>
      <c r="AW46" s="13"/>
      <c r="AX46" s="13"/>
      <c r="AY46" s="13"/>
      <c r="AZ46" s="14"/>
      <c r="BA46" s="9"/>
      <c r="BB46" s="16"/>
      <c r="BC46" s="10"/>
      <c r="BD46" s="10"/>
      <c r="BE46" s="10"/>
      <c r="BF46" s="11"/>
      <c r="BG46" s="12"/>
      <c r="BH46" s="17"/>
      <c r="BI46" s="13"/>
      <c r="BJ46" s="13"/>
      <c r="BK46" s="13"/>
      <c r="BL46" s="14"/>
      <c r="BM46" s="8">
        <f t="shared" si="9"/>
        <v>318</v>
      </c>
      <c r="BN46" s="8">
        <f t="shared" si="10"/>
        <v>190</v>
      </c>
      <c r="BO46" s="8">
        <f t="shared" si="11"/>
        <v>259</v>
      </c>
      <c r="BP46" s="8">
        <f t="shared" si="12"/>
        <v>117</v>
      </c>
      <c r="BQ46" s="8">
        <f t="shared" si="13"/>
        <v>318</v>
      </c>
      <c r="BR46" s="8">
        <f t="shared" si="14"/>
        <v>190</v>
      </c>
      <c r="BS46" s="15">
        <f t="shared" si="15"/>
        <v>23.133270585889925</v>
      </c>
      <c r="BT46" s="15" t="str">
        <f t="shared" si="16"/>
        <v>OK - No Upgrade</v>
      </c>
      <c r="BU46" s="15" t="str">
        <f t="shared" si="17"/>
        <v>Need to Balance</v>
      </c>
    </row>
    <row r="47" spans="1:73" ht="15.75" customHeight="1" x14ac:dyDescent="0.25">
      <c r="A47" s="8" t="s">
        <v>38</v>
      </c>
      <c r="B47" s="8" t="s">
        <v>3752</v>
      </c>
      <c r="C47" s="8" t="s">
        <v>124</v>
      </c>
      <c r="D47" s="8" t="s">
        <v>3857</v>
      </c>
      <c r="E47" s="8" t="s">
        <v>3858</v>
      </c>
      <c r="F47" s="8" t="s">
        <v>56</v>
      </c>
      <c r="G47" s="8" t="s">
        <v>44</v>
      </c>
      <c r="H47" s="8">
        <v>1000</v>
      </c>
      <c r="I47" s="8" t="s">
        <v>3859</v>
      </c>
      <c r="J47" s="8">
        <v>1</v>
      </c>
      <c r="K47" s="8">
        <v>244</v>
      </c>
      <c r="L47" s="8">
        <v>244</v>
      </c>
      <c r="M47" s="8">
        <v>246</v>
      </c>
      <c r="N47" s="8">
        <v>421</v>
      </c>
      <c r="O47" s="8">
        <v>423</v>
      </c>
      <c r="P47" s="8">
        <v>424</v>
      </c>
      <c r="Q47" s="9" t="s">
        <v>47</v>
      </c>
      <c r="R47" s="16"/>
      <c r="S47" s="10">
        <v>5</v>
      </c>
      <c r="T47" s="10">
        <v>0</v>
      </c>
      <c r="U47" s="10">
        <v>1</v>
      </c>
      <c r="V47" s="11">
        <v>2</v>
      </c>
      <c r="W47" s="12" t="s">
        <v>47</v>
      </c>
      <c r="X47" s="17"/>
      <c r="Y47" s="13">
        <v>17</v>
      </c>
      <c r="Z47" s="13">
        <v>8</v>
      </c>
      <c r="AA47" s="13">
        <v>42</v>
      </c>
      <c r="AB47" s="14">
        <v>7</v>
      </c>
      <c r="AC47" s="9" t="s">
        <v>47</v>
      </c>
      <c r="AD47" s="16"/>
      <c r="AE47" s="10">
        <v>6</v>
      </c>
      <c r="AF47" s="10">
        <v>38</v>
      </c>
      <c r="AG47" s="10">
        <v>66</v>
      </c>
      <c r="AH47" s="11">
        <v>15</v>
      </c>
      <c r="AI47" s="12" t="s">
        <v>47</v>
      </c>
      <c r="AJ47" s="17"/>
      <c r="AK47" s="13">
        <v>3</v>
      </c>
      <c r="AL47" s="13">
        <v>11</v>
      </c>
      <c r="AM47" s="13">
        <v>11</v>
      </c>
      <c r="AN47" s="14">
        <v>9</v>
      </c>
      <c r="AO47" s="9"/>
      <c r="AP47" s="16"/>
      <c r="AQ47" s="10"/>
      <c r="AR47" s="10"/>
      <c r="AS47" s="10"/>
      <c r="AT47" s="11"/>
      <c r="AU47" s="12"/>
      <c r="AV47" s="17"/>
      <c r="AW47" s="13"/>
      <c r="AX47" s="13"/>
      <c r="AY47" s="13"/>
      <c r="AZ47" s="14"/>
      <c r="BA47" s="9"/>
      <c r="BB47" s="16"/>
      <c r="BC47" s="10"/>
      <c r="BD47" s="10"/>
      <c r="BE47" s="10"/>
      <c r="BF47" s="11"/>
      <c r="BG47" s="12"/>
      <c r="BH47" s="17"/>
      <c r="BI47" s="13"/>
      <c r="BJ47" s="13"/>
      <c r="BK47" s="13"/>
      <c r="BL47" s="14"/>
      <c r="BM47" s="8">
        <f t="shared" si="9"/>
        <v>31</v>
      </c>
      <c r="BN47" s="8">
        <f t="shared" si="10"/>
        <v>57</v>
      </c>
      <c r="BO47" s="8">
        <f t="shared" si="11"/>
        <v>120</v>
      </c>
      <c r="BP47" s="8">
        <f t="shared" si="12"/>
        <v>33</v>
      </c>
      <c r="BQ47" s="8">
        <f t="shared" si="13"/>
        <v>120</v>
      </c>
      <c r="BR47" s="8">
        <f t="shared" si="14"/>
        <v>31</v>
      </c>
      <c r="BS47" s="15">
        <f t="shared" si="15"/>
        <v>8.7503206798379676</v>
      </c>
      <c r="BT47" s="15" t="str">
        <f t="shared" si="16"/>
        <v>OK - No Upgrade</v>
      </c>
      <c r="BU47" s="15" t="str">
        <f t="shared" si="17"/>
        <v>Need to Balance</v>
      </c>
    </row>
    <row r="48" spans="1:73" ht="15.75" customHeight="1" x14ac:dyDescent="0.25">
      <c r="A48" s="8" t="s">
        <v>38</v>
      </c>
      <c r="B48" s="8" t="s">
        <v>3752</v>
      </c>
      <c r="C48" s="8" t="s">
        <v>40</v>
      </c>
      <c r="D48" s="8" t="s">
        <v>3860</v>
      </c>
      <c r="E48" s="8" t="s">
        <v>3861</v>
      </c>
      <c r="F48" s="8" t="s">
        <v>56</v>
      </c>
      <c r="G48" s="8" t="s">
        <v>44</v>
      </c>
      <c r="H48" s="8">
        <v>1000</v>
      </c>
      <c r="I48" s="8" t="s">
        <v>3862</v>
      </c>
      <c r="J48" s="8">
        <v>1</v>
      </c>
      <c r="K48" s="8">
        <v>246</v>
      </c>
      <c r="L48" s="8">
        <v>245</v>
      </c>
      <c r="M48" s="8">
        <v>247</v>
      </c>
      <c r="N48" s="8">
        <v>425</v>
      </c>
      <c r="O48" s="8">
        <v>428</v>
      </c>
      <c r="P48" s="8">
        <v>426</v>
      </c>
      <c r="Q48" s="9" t="s">
        <v>47</v>
      </c>
      <c r="R48" s="16"/>
      <c r="S48" s="10">
        <v>10</v>
      </c>
      <c r="T48" s="10">
        <v>6</v>
      </c>
      <c r="U48" s="10">
        <v>10</v>
      </c>
      <c r="V48" s="11">
        <v>3</v>
      </c>
      <c r="W48" s="12" t="s">
        <v>47</v>
      </c>
      <c r="X48" s="17"/>
      <c r="Y48" s="13">
        <v>3</v>
      </c>
      <c r="Z48" s="13">
        <v>9</v>
      </c>
      <c r="AA48" s="13">
        <v>5</v>
      </c>
      <c r="AB48" s="14">
        <v>8</v>
      </c>
      <c r="AC48" s="9" t="s">
        <v>47</v>
      </c>
      <c r="AD48" s="16"/>
      <c r="AE48" s="10">
        <v>1</v>
      </c>
      <c r="AF48" s="10">
        <v>5</v>
      </c>
      <c r="AG48" s="10">
        <v>2</v>
      </c>
      <c r="AH48" s="11">
        <v>1</v>
      </c>
      <c r="AI48" s="12" t="s">
        <v>47</v>
      </c>
      <c r="AJ48" s="17"/>
      <c r="AK48" s="13">
        <v>0</v>
      </c>
      <c r="AL48" s="13">
        <v>4</v>
      </c>
      <c r="AM48" s="13">
        <v>1</v>
      </c>
      <c r="AN48" s="14">
        <v>4</v>
      </c>
      <c r="AO48" s="9"/>
      <c r="AP48" s="16"/>
      <c r="AQ48" s="10"/>
      <c r="AR48" s="10"/>
      <c r="AS48" s="10"/>
      <c r="AT48" s="11"/>
      <c r="AU48" s="12"/>
      <c r="AV48" s="17"/>
      <c r="AW48" s="13"/>
      <c r="AX48" s="13"/>
      <c r="AY48" s="13"/>
      <c r="AZ48" s="14"/>
      <c r="BA48" s="9"/>
      <c r="BB48" s="16"/>
      <c r="BC48" s="10"/>
      <c r="BD48" s="10"/>
      <c r="BE48" s="10"/>
      <c r="BF48" s="11"/>
      <c r="BG48" s="12"/>
      <c r="BH48" s="17"/>
      <c r="BI48" s="13"/>
      <c r="BJ48" s="13"/>
      <c r="BK48" s="13"/>
      <c r="BL48" s="14"/>
      <c r="BM48" s="8">
        <f t="shared" si="9"/>
        <v>14</v>
      </c>
      <c r="BN48" s="8">
        <f t="shared" si="10"/>
        <v>24</v>
      </c>
      <c r="BO48" s="8">
        <f t="shared" si="11"/>
        <v>18</v>
      </c>
      <c r="BP48" s="8">
        <f t="shared" si="12"/>
        <v>16</v>
      </c>
      <c r="BQ48" s="8">
        <f t="shared" si="13"/>
        <v>24</v>
      </c>
      <c r="BR48" s="8">
        <f t="shared" si="14"/>
        <v>14</v>
      </c>
      <c r="BS48" s="15">
        <f t="shared" si="15"/>
        <v>1.7666918237202549</v>
      </c>
      <c r="BT48" s="15" t="str">
        <f t="shared" si="16"/>
        <v>OK - No Upgrade</v>
      </c>
      <c r="BU48" s="15" t="str">
        <f t="shared" si="17"/>
        <v>Need to Balance</v>
      </c>
    </row>
    <row r="49" spans="1:73" ht="15.75" customHeight="1" x14ac:dyDescent="0.25">
      <c r="A49" s="8" t="s">
        <v>38</v>
      </c>
      <c r="B49" s="8" t="s">
        <v>3752</v>
      </c>
      <c r="C49" s="8" t="s">
        <v>124</v>
      </c>
      <c r="D49" s="8" t="s">
        <v>3863</v>
      </c>
      <c r="E49" s="8" t="s">
        <v>3864</v>
      </c>
      <c r="F49" s="8" t="s">
        <v>56</v>
      </c>
      <c r="G49" s="8" t="s">
        <v>44</v>
      </c>
      <c r="H49" s="8">
        <v>1000</v>
      </c>
      <c r="I49" s="8" t="s">
        <v>3865</v>
      </c>
      <c r="J49" s="8">
        <v>1</v>
      </c>
      <c r="K49" s="8">
        <v>243</v>
      </c>
      <c r="L49" s="8">
        <v>244</v>
      </c>
      <c r="M49" s="8">
        <v>246</v>
      </c>
      <c r="N49" s="8">
        <v>422</v>
      </c>
      <c r="O49" s="8">
        <v>423</v>
      </c>
      <c r="P49" s="8">
        <v>424</v>
      </c>
      <c r="Q49" s="9"/>
      <c r="R49" s="16"/>
      <c r="S49" s="10"/>
      <c r="T49" s="10"/>
      <c r="U49" s="10"/>
      <c r="V49" s="11"/>
      <c r="W49" s="12"/>
      <c r="X49" s="17"/>
      <c r="Y49" s="13"/>
      <c r="Z49" s="13"/>
      <c r="AA49" s="13"/>
      <c r="AB49" s="14"/>
      <c r="AC49" s="9"/>
      <c r="AD49" s="16"/>
      <c r="AE49" s="10"/>
      <c r="AF49" s="10"/>
      <c r="AG49" s="10"/>
      <c r="AH49" s="11"/>
      <c r="AI49" s="12" t="s">
        <v>47</v>
      </c>
      <c r="AJ49" s="17"/>
      <c r="AK49" s="13">
        <v>0</v>
      </c>
      <c r="AL49" s="13">
        <v>43</v>
      </c>
      <c r="AM49" s="13">
        <v>1</v>
      </c>
      <c r="AN49" s="14">
        <v>41</v>
      </c>
      <c r="AO49" s="9" t="s">
        <v>47</v>
      </c>
      <c r="AP49" s="16"/>
      <c r="AQ49" s="10">
        <v>53</v>
      </c>
      <c r="AR49" s="10">
        <v>91</v>
      </c>
      <c r="AS49" s="10">
        <v>89</v>
      </c>
      <c r="AT49" s="11">
        <v>29</v>
      </c>
      <c r="AU49" s="12" t="s">
        <v>47</v>
      </c>
      <c r="AV49" s="17"/>
      <c r="AW49" s="13">
        <v>0</v>
      </c>
      <c r="AX49" s="13">
        <v>0</v>
      </c>
      <c r="AY49" s="13">
        <v>0</v>
      </c>
      <c r="AZ49" s="14">
        <v>0</v>
      </c>
      <c r="BA49" s="9"/>
      <c r="BB49" s="16"/>
      <c r="BC49" s="10"/>
      <c r="BD49" s="10"/>
      <c r="BE49" s="10"/>
      <c r="BF49" s="11"/>
      <c r="BG49" s="12"/>
      <c r="BH49" s="17"/>
      <c r="BI49" s="13"/>
      <c r="BJ49" s="13"/>
      <c r="BK49" s="13"/>
      <c r="BL49" s="14"/>
      <c r="BM49" s="8">
        <f t="shared" si="9"/>
        <v>53</v>
      </c>
      <c r="BN49" s="8">
        <f t="shared" si="10"/>
        <v>134</v>
      </c>
      <c r="BO49" s="8">
        <f t="shared" si="11"/>
        <v>90</v>
      </c>
      <c r="BP49" s="8">
        <f t="shared" si="12"/>
        <v>70</v>
      </c>
      <c r="BQ49" s="8">
        <f t="shared" si="13"/>
        <v>134</v>
      </c>
      <c r="BR49" s="8">
        <f t="shared" si="14"/>
        <v>53</v>
      </c>
      <c r="BS49" s="15">
        <f t="shared" si="15"/>
        <v>9.7944009066404867</v>
      </c>
      <c r="BT49" s="15" t="str">
        <f t="shared" si="16"/>
        <v>OK - No Upgrade</v>
      </c>
      <c r="BU49" s="15" t="str">
        <f t="shared" si="17"/>
        <v>Need to Balance</v>
      </c>
    </row>
    <row r="50" spans="1:73" ht="15.75" customHeight="1" x14ac:dyDescent="0.25">
      <c r="A50" s="8" t="s">
        <v>38</v>
      </c>
      <c r="B50" s="8" t="s">
        <v>3752</v>
      </c>
      <c r="C50" s="8" t="s">
        <v>265</v>
      </c>
      <c r="D50" s="8" t="s">
        <v>3866</v>
      </c>
      <c r="E50" s="8" t="s">
        <v>3867</v>
      </c>
      <c r="F50" s="8" t="s">
        <v>56</v>
      </c>
      <c r="G50" s="8" t="s">
        <v>44</v>
      </c>
      <c r="H50" s="8">
        <v>1000</v>
      </c>
      <c r="I50" s="8" t="s">
        <v>3865</v>
      </c>
      <c r="J50" s="8">
        <v>1</v>
      </c>
      <c r="K50" s="8">
        <v>245</v>
      </c>
      <c r="L50" s="8">
        <v>245</v>
      </c>
      <c r="M50" s="8">
        <v>247</v>
      </c>
      <c r="N50" s="8">
        <v>423</v>
      </c>
      <c r="O50" s="8">
        <v>427</v>
      </c>
      <c r="P50" s="8">
        <v>425</v>
      </c>
      <c r="Q50" s="9" t="s">
        <v>47</v>
      </c>
      <c r="R50" s="16"/>
      <c r="S50" s="10">
        <v>0</v>
      </c>
      <c r="T50" s="10">
        <v>0</v>
      </c>
      <c r="U50" s="10">
        <v>2</v>
      </c>
      <c r="V50" s="11">
        <v>0</v>
      </c>
      <c r="W50" s="12" t="s">
        <v>47</v>
      </c>
      <c r="X50" s="17"/>
      <c r="Y50" s="13">
        <v>5</v>
      </c>
      <c r="Z50" s="13">
        <v>0</v>
      </c>
      <c r="AA50" s="13">
        <v>0</v>
      </c>
      <c r="AB50" s="14">
        <v>5</v>
      </c>
      <c r="AC50" s="9" t="s">
        <v>47</v>
      </c>
      <c r="AD50" s="16"/>
      <c r="AE50" s="10">
        <v>10</v>
      </c>
      <c r="AF50" s="10">
        <v>2</v>
      </c>
      <c r="AG50" s="10">
        <v>5</v>
      </c>
      <c r="AH50" s="11">
        <v>1</v>
      </c>
      <c r="AI50" s="12" t="s">
        <v>47</v>
      </c>
      <c r="AJ50" s="17"/>
      <c r="AK50" s="13">
        <v>5</v>
      </c>
      <c r="AL50" s="13">
        <v>6</v>
      </c>
      <c r="AM50" s="13">
        <v>5</v>
      </c>
      <c r="AN50" s="14">
        <v>8</v>
      </c>
      <c r="AO50" s="9" t="s">
        <v>334</v>
      </c>
      <c r="AP50" s="16"/>
      <c r="AQ50" s="10">
        <v>0</v>
      </c>
      <c r="AR50" s="10">
        <v>0</v>
      </c>
      <c r="AS50" s="10">
        <v>0</v>
      </c>
      <c r="AT50" s="11">
        <v>0</v>
      </c>
      <c r="AU50" s="12"/>
      <c r="AV50" s="17"/>
      <c r="AW50" s="13"/>
      <c r="AX50" s="13"/>
      <c r="AY50" s="13"/>
      <c r="AZ50" s="14"/>
      <c r="BA50" s="9"/>
      <c r="BB50" s="16"/>
      <c r="BC50" s="10"/>
      <c r="BD50" s="10"/>
      <c r="BE50" s="10"/>
      <c r="BF50" s="11"/>
      <c r="BG50" s="12"/>
      <c r="BH50" s="17"/>
      <c r="BI50" s="13"/>
      <c r="BJ50" s="13"/>
      <c r="BK50" s="13"/>
      <c r="BL50" s="14"/>
      <c r="BM50" s="8">
        <f t="shared" si="9"/>
        <v>20</v>
      </c>
      <c r="BN50" s="8">
        <f t="shared" si="10"/>
        <v>8</v>
      </c>
      <c r="BO50" s="8">
        <f t="shared" si="11"/>
        <v>12</v>
      </c>
      <c r="BP50" s="8">
        <f t="shared" si="12"/>
        <v>14</v>
      </c>
      <c r="BQ50" s="8">
        <f t="shared" si="13"/>
        <v>20</v>
      </c>
      <c r="BR50" s="8">
        <f t="shared" si="14"/>
        <v>8</v>
      </c>
      <c r="BS50" s="15">
        <f t="shared" si="15"/>
        <v>1.4653149832032701</v>
      </c>
      <c r="BT50" s="15" t="str">
        <f t="shared" si="16"/>
        <v>OK - No Upgrade</v>
      </c>
      <c r="BU50" s="15" t="str">
        <f t="shared" si="17"/>
        <v>Need to Balance</v>
      </c>
    </row>
    <row r="51" spans="1:73" ht="15.75" customHeight="1" x14ac:dyDescent="0.25">
      <c r="A51" s="8" t="s">
        <v>38</v>
      </c>
      <c r="B51" s="8" t="s">
        <v>3752</v>
      </c>
      <c r="C51" s="8" t="s">
        <v>40</v>
      </c>
      <c r="D51" s="8" t="s">
        <v>3868</v>
      </c>
      <c r="E51" s="8" t="s">
        <v>3869</v>
      </c>
      <c r="F51" s="8" t="s">
        <v>56</v>
      </c>
      <c r="G51" s="8" t="s">
        <v>44</v>
      </c>
      <c r="H51" s="8">
        <v>1000</v>
      </c>
      <c r="I51" s="8" t="s">
        <v>3870</v>
      </c>
      <c r="J51" s="8">
        <v>1</v>
      </c>
      <c r="K51" s="8">
        <v>242</v>
      </c>
      <c r="L51" s="8">
        <v>240</v>
      </c>
      <c r="M51" s="8">
        <v>243</v>
      </c>
      <c r="N51" s="8">
        <v>417</v>
      </c>
      <c r="O51" s="8">
        <v>420</v>
      </c>
      <c r="P51" s="8">
        <v>419</v>
      </c>
      <c r="Q51" s="9" t="s">
        <v>70</v>
      </c>
      <c r="R51" s="16"/>
      <c r="S51" s="10">
        <v>0</v>
      </c>
      <c r="T51" s="10">
        <v>0</v>
      </c>
      <c r="U51" s="10">
        <v>7</v>
      </c>
      <c r="V51" s="11">
        <v>0</v>
      </c>
      <c r="W51" s="12"/>
      <c r="X51" s="17"/>
      <c r="Y51" s="13"/>
      <c r="Z51" s="13"/>
      <c r="AA51" s="13"/>
      <c r="AB51" s="14"/>
      <c r="AC51" s="9"/>
      <c r="AD51" s="16"/>
      <c r="AE51" s="10"/>
      <c r="AF51" s="10"/>
      <c r="AG51" s="10"/>
      <c r="AH51" s="11"/>
      <c r="AI51" s="12"/>
      <c r="AJ51" s="17"/>
      <c r="AK51" s="13"/>
      <c r="AL51" s="13"/>
      <c r="AM51" s="13"/>
      <c r="AN51" s="14"/>
      <c r="AO51" s="9"/>
      <c r="AP51" s="16"/>
      <c r="AQ51" s="10"/>
      <c r="AR51" s="10"/>
      <c r="AS51" s="10"/>
      <c r="AT51" s="11"/>
      <c r="AU51" s="12"/>
      <c r="AV51" s="17"/>
      <c r="AW51" s="13"/>
      <c r="AX51" s="13"/>
      <c r="AY51" s="13"/>
      <c r="AZ51" s="14"/>
      <c r="BA51" s="9"/>
      <c r="BB51" s="16"/>
      <c r="BC51" s="10"/>
      <c r="BD51" s="10"/>
      <c r="BE51" s="10"/>
      <c r="BF51" s="11"/>
      <c r="BG51" s="12"/>
      <c r="BH51" s="17"/>
      <c r="BI51" s="13"/>
      <c r="BJ51" s="13"/>
      <c r="BK51" s="13"/>
      <c r="BL51" s="14"/>
      <c r="BM51" s="8">
        <f t="shared" si="9"/>
        <v>0</v>
      </c>
      <c r="BN51" s="8">
        <f t="shared" si="10"/>
        <v>0</v>
      </c>
      <c r="BO51" s="8">
        <f t="shared" si="11"/>
        <v>7</v>
      </c>
      <c r="BP51" s="8">
        <f t="shared" si="12"/>
        <v>0</v>
      </c>
      <c r="BQ51" s="8">
        <f t="shared" si="13"/>
        <v>7</v>
      </c>
      <c r="BR51" s="8">
        <f t="shared" si="14"/>
        <v>0</v>
      </c>
      <c r="BS51" s="15">
        <f t="shared" si="15"/>
        <v>0.50558563072935525</v>
      </c>
      <c r="BT51" s="15" t="str">
        <f t="shared" si="16"/>
        <v>OK - No Upgrade</v>
      </c>
      <c r="BU51" s="15" t="str">
        <f t="shared" si="17"/>
        <v>Need to Balance</v>
      </c>
    </row>
    <row r="52" spans="1:73" ht="15.75" customHeight="1" x14ac:dyDescent="0.25">
      <c r="A52" s="8" t="s">
        <v>38</v>
      </c>
      <c r="B52" s="8" t="s">
        <v>3752</v>
      </c>
      <c r="C52" s="8" t="s">
        <v>40</v>
      </c>
      <c r="D52" s="8" t="s">
        <v>3871</v>
      </c>
      <c r="E52" s="8" t="s">
        <v>3872</v>
      </c>
      <c r="F52" s="8" t="s">
        <v>56</v>
      </c>
      <c r="G52" s="8" t="s">
        <v>1381</v>
      </c>
      <c r="H52" s="8">
        <v>1000</v>
      </c>
      <c r="I52" s="8" t="s">
        <v>3873</v>
      </c>
      <c r="J52" s="8">
        <v>1</v>
      </c>
      <c r="K52" s="8">
        <v>242</v>
      </c>
      <c r="L52" s="8">
        <v>240</v>
      </c>
      <c r="M52" s="8">
        <v>243</v>
      </c>
      <c r="N52" s="8">
        <v>417</v>
      </c>
      <c r="O52" s="8">
        <v>420</v>
      </c>
      <c r="P52" s="8">
        <v>419</v>
      </c>
      <c r="Q52" s="9" t="s">
        <v>70</v>
      </c>
      <c r="R52" s="16"/>
      <c r="S52" s="10">
        <v>1</v>
      </c>
      <c r="T52" s="10">
        <v>4</v>
      </c>
      <c r="U52" s="10">
        <v>4</v>
      </c>
      <c r="V52" s="11">
        <v>0</v>
      </c>
      <c r="W52" s="12"/>
      <c r="X52" s="17"/>
      <c r="Y52" s="13"/>
      <c r="Z52" s="13"/>
      <c r="AA52" s="13"/>
      <c r="AB52" s="14"/>
      <c r="AC52" s="9"/>
      <c r="AD52" s="16"/>
      <c r="AE52" s="10"/>
      <c r="AF52" s="10"/>
      <c r="AG52" s="10"/>
      <c r="AH52" s="11"/>
      <c r="AI52" s="12"/>
      <c r="AJ52" s="17"/>
      <c r="AK52" s="13"/>
      <c r="AL52" s="13"/>
      <c r="AM52" s="13"/>
      <c r="AN52" s="14"/>
      <c r="AO52" s="9"/>
      <c r="AP52" s="16"/>
      <c r="AQ52" s="10"/>
      <c r="AR52" s="10"/>
      <c r="AS52" s="10"/>
      <c r="AT52" s="11"/>
      <c r="AU52" s="12"/>
      <c r="AV52" s="17"/>
      <c r="AW52" s="13"/>
      <c r="AX52" s="13"/>
      <c r="AY52" s="13"/>
      <c r="AZ52" s="14"/>
      <c r="BA52" s="9"/>
      <c r="BB52" s="16"/>
      <c r="BC52" s="10"/>
      <c r="BD52" s="10"/>
      <c r="BE52" s="10"/>
      <c r="BF52" s="11"/>
      <c r="BG52" s="12"/>
      <c r="BH52" s="17"/>
      <c r="BI52" s="13"/>
      <c r="BJ52" s="13"/>
      <c r="BK52" s="13"/>
      <c r="BL52" s="14"/>
      <c r="BM52" s="8">
        <f t="shared" si="9"/>
        <v>1</v>
      </c>
      <c r="BN52" s="8">
        <f t="shared" si="10"/>
        <v>4</v>
      </c>
      <c r="BO52" s="8">
        <f t="shared" si="11"/>
        <v>4</v>
      </c>
      <c r="BP52" s="8">
        <f t="shared" si="12"/>
        <v>0</v>
      </c>
      <c r="BQ52" s="8">
        <f t="shared" si="13"/>
        <v>4</v>
      </c>
      <c r="BR52" s="8">
        <f t="shared" si="14"/>
        <v>1</v>
      </c>
      <c r="BS52" s="15">
        <f t="shared" si="15"/>
        <v>0.28890607470248869</v>
      </c>
      <c r="BT52" s="15" t="str">
        <f t="shared" si="16"/>
        <v>OK - No Upgrade</v>
      </c>
      <c r="BU52" s="15" t="str">
        <f t="shared" si="17"/>
        <v>Need to Balance</v>
      </c>
    </row>
    <row r="53" spans="1:73" ht="15.75" customHeight="1" x14ac:dyDescent="0.25">
      <c r="A53" s="8" t="s">
        <v>38</v>
      </c>
      <c r="B53" s="8" t="s">
        <v>3752</v>
      </c>
      <c r="C53" s="8" t="s">
        <v>124</v>
      </c>
      <c r="D53" s="8" t="s">
        <v>3874</v>
      </c>
      <c r="E53" s="8" t="s">
        <v>3875</v>
      </c>
      <c r="F53" s="8" t="s">
        <v>56</v>
      </c>
      <c r="G53" s="8" t="s">
        <v>44</v>
      </c>
      <c r="H53" s="8">
        <v>1000</v>
      </c>
      <c r="I53" s="8" t="s">
        <v>3870</v>
      </c>
      <c r="J53" s="8">
        <v>1</v>
      </c>
      <c r="K53" s="8">
        <v>243</v>
      </c>
      <c r="L53" s="8">
        <v>244</v>
      </c>
      <c r="M53" s="8">
        <v>246</v>
      </c>
      <c r="N53" s="8">
        <v>419</v>
      </c>
      <c r="O53" s="8">
        <v>422</v>
      </c>
      <c r="P53" s="8">
        <v>425</v>
      </c>
      <c r="Q53" s="9" t="s">
        <v>70</v>
      </c>
      <c r="R53" s="16"/>
      <c r="S53" s="10">
        <v>16</v>
      </c>
      <c r="T53" s="10">
        <v>23</v>
      </c>
      <c r="U53" s="10">
        <v>22</v>
      </c>
      <c r="V53" s="11">
        <v>8</v>
      </c>
      <c r="W53" s="12" t="s">
        <v>70</v>
      </c>
      <c r="X53" s="17"/>
      <c r="Y53" s="13">
        <v>22</v>
      </c>
      <c r="Z53" s="13">
        <v>37</v>
      </c>
      <c r="AA53" s="13">
        <v>3</v>
      </c>
      <c r="AB53" s="14">
        <v>18</v>
      </c>
      <c r="AC53" s="9" t="s">
        <v>70</v>
      </c>
      <c r="AD53" s="16"/>
      <c r="AE53" s="10">
        <v>6</v>
      </c>
      <c r="AF53" s="10">
        <v>15</v>
      </c>
      <c r="AG53" s="10">
        <v>44</v>
      </c>
      <c r="AH53" s="11">
        <v>18</v>
      </c>
      <c r="AI53" s="12" t="s">
        <v>47</v>
      </c>
      <c r="AJ53" s="17"/>
      <c r="AK53" s="13">
        <v>166</v>
      </c>
      <c r="AL53" s="13">
        <v>135</v>
      </c>
      <c r="AM53" s="13">
        <v>68</v>
      </c>
      <c r="AN53" s="14">
        <v>50</v>
      </c>
      <c r="AO53" s="9" t="s">
        <v>47</v>
      </c>
      <c r="AP53" s="16"/>
      <c r="AQ53" s="10">
        <v>45</v>
      </c>
      <c r="AR53" s="10">
        <v>54</v>
      </c>
      <c r="AS53" s="10">
        <v>40</v>
      </c>
      <c r="AT53" s="11">
        <v>18</v>
      </c>
      <c r="AU53" s="12" t="s">
        <v>47</v>
      </c>
      <c r="AV53" s="17"/>
      <c r="AW53" s="13">
        <v>0</v>
      </c>
      <c r="AX53" s="13">
        <v>0</v>
      </c>
      <c r="AY53" s="13">
        <v>0</v>
      </c>
      <c r="AZ53" s="14">
        <v>0</v>
      </c>
      <c r="BA53" s="9"/>
      <c r="BB53" s="16"/>
      <c r="BC53" s="10"/>
      <c r="BD53" s="10"/>
      <c r="BE53" s="10"/>
      <c r="BF53" s="11"/>
      <c r="BG53" s="12"/>
      <c r="BH53" s="17"/>
      <c r="BI53" s="13"/>
      <c r="BJ53" s="13"/>
      <c r="BK53" s="13"/>
      <c r="BL53" s="14"/>
      <c r="BM53" s="8">
        <f t="shared" si="9"/>
        <v>255</v>
      </c>
      <c r="BN53" s="8">
        <f t="shared" si="10"/>
        <v>264</v>
      </c>
      <c r="BO53" s="8">
        <f t="shared" si="11"/>
        <v>177</v>
      </c>
      <c r="BP53" s="8">
        <f t="shared" si="12"/>
        <v>112</v>
      </c>
      <c r="BQ53" s="8">
        <f t="shared" si="13"/>
        <v>264</v>
      </c>
      <c r="BR53" s="8">
        <f t="shared" si="14"/>
        <v>177</v>
      </c>
      <c r="BS53" s="15">
        <f t="shared" si="15"/>
        <v>19.15925321300389</v>
      </c>
      <c r="BT53" s="15" t="str">
        <f t="shared" si="16"/>
        <v>OK - No Upgrade</v>
      </c>
      <c r="BU53" s="15" t="str">
        <f t="shared" si="17"/>
        <v>Need to Balance</v>
      </c>
    </row>
    <row r="54" spans="1:73" ht="15.75" customHeight="1" x14ac:dyDescent="0.25">
      <c r="A54" s="8" t="s">
        <v>38</v>
      </c>
      <c r="B54" s="8" t="s">
        <v>3752</v>
      </c>
      <c r="C54" s="8" t="s">
        <v>40</v>
      </c>
      <c r="D54" s="8" t="s">
        <v>3871</v>
      </c>
      <c r="E54" s="8" t="s">
        <v>3876</v>
      </c>
      <c r="F54" s="8" t="s">
        <v>56</v>
      </c>
      <c r="G54" s="8" t="s">
        <v>44</v>
      </c>
      <c r="H54" s="8">
        <v>1000</v>
      </c>
      <c r="I54" s="8" t="s">
        <v>3593</v>
      </c>
      <c r="J54" s="8">
        <v>1</v>
      </c>
      <c r="K54" s="8">
        <v>242</v>
      </c>
      <c r="L54" s="8">
        <v>240</v>
      </c>
      <c r="M54" s="8">
        <v>243</v>
      </c>
      <c r="N54" s="8">
        <v>417</v>
      </c>
      <c r="O54" s="8">
        <v>420</v>
      </c>
      <c r="P54" s="8">
        <v>419</v>
      </c>
      <c r="Q54" s="9" t="s">
        <v>70</v>
      </c>
      <c r="R54" s="16"/>
      <c r="S54" s="10">
        <v>167</v>
      </c>
      <c r="T54" s="10">
        <v>179</v>
      </c>
      <c r="U54" s="10">
        <v>223</v>
      </c>
      <c r="V54" s="11">
        <v>86</v>
      </c>
      <c r="W54" s="12"/>
      <c r="X54" s="17"/>
      <c r="Y54" s="13"/>
      <c r="Z54" s="13"/>
      <c r="AA54" s="13"/>
      <c r="AB54" s="14"/>
      <c r="AC54" s="9"/>
      <c r="AD54" s="16"/>
      <c r="AE54" s="10"/>
      <c r="AF54" s="10"/>
      <c r="AG54" s="10"/>
      <c r="AH54" s="11"/>
      <c r="AI54" s="12"/>
      <c r="AJ54" s="17"/>
      <c r="AK54" s="13"/>
      <c r="AL54" s="13"/>
      <c r="AM54" s="13"/>
      <c r="AN54" s="14"/>
      <c r="AO54" s="9"/>
      <c r="AP54" s="16"/>
      <c r="AQ54" s="10"/>
      <c r="AR54" s="10"/>
      <c r="AS54" s="10"/>
      <c r="AT54" s="11"/>
      <c r="AU54" s="12"/>
      <c r="AV54" s="17"/>
      <c r="AW54" s="13"/>
      <c r="AX54" s="13"/>
      <c r="AY54" s="13"/>
      <c r="AZ54" s="14"/>
      <c r="BA54" s="9"/>
      <c r="BB54" s="16"/>
      <c r="BC54" s="10"/>
      <c r="BD54" s="10"/>
      <c r="BE54" s="10"/>
      <c r="BF54" s="11"/>
      <c r="BG54" s="12"/>
      <c r="BH54" s="17"/>
      <c r="BI54" s="13"/>
      <c r="BJ54" s="13"/>
      <c r="BK54" s="13"/>
      <c r="BL54" s="14"/>
      <c r="BM54" s="8">
        <f t="shared" si="9"/>
        <v>167</v>
      </c>
      <c r="BN54" s="8">
        <f t="shared" si="10"/>
        <v>179</v>
      </c>
      <c r="BO54" s="8">
        <f t="shared" si="11"/>
        <v>223</v>
      </c>
      <c r="BP54" s="8">
        <f t="shared" si="12"/>
        <v>86</v>
      </c>
      <c r="BQ54" s="8">
        <f t="shared" si="13"/>
        <v>223</v>
      </c>
      <c r="BR54" s="8">
        <f t="shared" si="14"/>
        <v>167</v>
      </c>
      <c r="BS54" s="15">
        <f t="shared" si="15"/>
        <v>16.106513664663748</v>
      </c>
      <c r="BT54" s="15" t="str">
        <f t="shared" si="16"/>
        <v>OK - No Upgrade</v>
      </c>
      <c r="BU54" s="15" t="str">
        <f t="shared" si="17"/>
        <v>Need to Balance</v>
      </c>
    </row>
    <row r="55" spans="1:73" ht="15.75" customHeight="1" x14ac:dyDescent="0.25">
      <c r="A55" s="8" t="s">
        <v>38</v>
      </c>
      <c r="B55" s="8" t="s">
        <v>3752</v>
      </c>
      <c r="C55" s="8" t="s">
        <v>265</v>
      </c>
      <c r="D55" s="8" t="s">
        <v>3877</v>
      </c>
      <c r="E55" s="8" t="s">
        <v>3878</v>
      </c>
      <c r="F55" s="8" t="s">
        <v>56</v>
      </c>
      <c r="G55" s="8" t="s">
        <v>44</v>
      </c>
      <c r="H55" s="8">
        <v>1000</v>
      </c>
      <c r="I55" s="8" t="s">
        <v>3879</v>
      </c>
      <c r="J55" s="8">
        <v>1</v>
      </c>
      <c r="K55" s="8">
        <v>242</v>
      </c>
      <c r="L55" s="8">
        <v>240</v>
      </c>
      <c r="M55" s="8">
        <v>243</v>
      </c>
      <c r="N55" s="8">
        <v>417</v>
      </c>
      <c r="O55" s="8">
        <v>420</v>
      </c>
      <c r="P55" s="8">
        <v>419</v>
      </c>
      <c r="Q55" s="9" t="s">
        <v>70</v>
      </c>
      <c r="R55" s="16"/>
      <c r="S55" s="10">
        <v>261</v>
      </c>
      <c r="T55" s="10">
        <v>257</v>
      </c>
      <c r="U55" s="10">
        <v>208</v>
      </c>
      <c r="V55" s="11">
        <v>99</v>
      </c>
      <c r="W55" s="12"/>
      <c r="X55" s="17"/>
      <c r="Y55" s="13"/>
      <c r="Z55" s="13"/>
      <c r="AA55" s="13"/>
      <c r="AB55" s="14"/>
      <c r="AC55" s="9"/>
      <c r="AD55" s="16"/>
      <c r="AE55" s="10"/>
      <c r="AF55" s="10"/>
      <c r="AG55" s="10"/>
      <c r="AH55" s="11"/>
      <c r="AI55" s="12"/>
      <c r="AJ55" s="17"/>
      <c r="AK55" s="13"/>
      <c r="AL55" s="13"/>
      <c r="AM55" s="13"/>
      <c r="AN55" s="14"/>
      <c r="AO55" s="9"/>
      <c r="AP55" s="16"/>
      <c r="AQ55" s="10"/>
      <c r="AR55" s="10"/>
      <c r="AS55" s="10"/>
      <c r="AT55" s="11"/>
      <c r="AU55" s="12"/>
      <c r="AV55" s="17"/>
      <c r="AW55" s="13"/>
      <c r="AX55" s="13"/>
      <c r="AY55" s="13"/>
      <c r="AZ55" s="14"/>
      <c r="BA55" s="9"/>
      <c r="BB55" s="16"/>
      <c r="BC55" s="10"/>
      <c r="BD55" s="10"/>
      <c r="BE55" s="10"/>
      <c r="BF55" s="11"/>
      <c r="BG55" s="12"/>
      <c r="BH55" s="17"/>
      <c r="BI55" s="13"/>
      <c r="BJ55" s="13"/>
      <c r="BK55" s="13"/>
      <c r="BL55" s="14"/>
      <c r="BM55" s="8">
        <f t="shared" si="9"/>
        <v>261</v>
      </c>
      <c r="BN55" s="8">
        <f t="shared" si="10"/>
        <v>257</v>
      </c>
      <c r="BO55" s="8">
        <f t="shared" si="11"/>
        <v>208</v>
      </c>
      <c r="BP55" s="8">
        <f t="shared" si="12"/>
        <v>99</v>
      </c>
      <c r="BQ55" s="8">
        <f t="shared" si="13"/>
        <v>261</v>
      </c>
      <c r="BR55" s="8">
        <f t="shared" si="14"/>
        <v>208</v>
      </c>
      <c r="BS55" s="15">
        <f t="shared" si="15"/>
        <v>18.851121374337389</v>
      </c>
      <c r="BT55" s="15" t="str">
        <f t="shared" si="16"/>
        <v>OK - No Upgrade</v>
      </c>
      <c r="BU55" s="15" t="str">
        <f t="shared" si="17"/>
        <v>OK - Balanced</v>
      </c>
    </row>
    <row r="56" spans="1:73" ht="15.75" customHeight="1" x14ac:dyDescent="0.25">
      <c r="A56" s="8" t="s">
        <v>38</v>
      </c>
      <c r="B56" s="8" t="s">
        <v>3752</v>
      </c>
      <c r="C56" s="8" t="s">
        <v>124</v>
      </c>
      <c r="D56" s="8" t="s">
        <v>3880</v>
      </c>
      <c r="E56" s="8" t="s">
        <v>3881</v>
      </c>
      <c r="F56" s="8" t="s">
        <v>43</v>
      </c>
      <c r="G56" s="8" t="s">
        <v>44</v>
      </c>
      <c r="H56" s="8">
        <v>100</v>
      </c>
      <c r="I56" s="8" t="s">
        <v>3882</v>
      </c>
      <c r="J56" s="8">
        <v>1</v>
      </c>
      <c r="K56" s="8">
        <v>243</v>
      </c>
      <c r="L56" s="8">
        <v>244</v>
      </c>
      <c r="M56" s="8">
        <v>243</v>
      </c>
      <c r="N56" s="8">
        <v>420</v>
      </c>
      <c r="O56" s="8">
        <v>419</v>
      </c>
      <c r="P56" s="8">
        <v>421</v>
      </c>
      <c r="Q56" s="9"/>
      <c r="R56" s="16"/>
      <c r="S56" s="10">
        <v>0</v>
      </c>
      <c r="T56" s="10">
        <v>0</v>
      </c>
      <c r="U56" s="10">
        <v>0</v>
      </c>
      <c r="V56" s="11">
        <v>0</v>
      </c>
      <c r="W56" s="12"/>
      <c r="X56" s="17"/>
      <c r="Y56" s="13"/>
      <c r="Z56" s="13"/>
      <c r="AA56" s="13"/>
      <c r="AB56" s="14"/>
      <c r="AC56" s="9"/>
      <c r="AD56" s="16"/>
      <c r="AE56" s="10"/>
      <c r="AF56" s="10"/>
      <c r="AG56" s="10"/>
      <c r="AH56" s="11"/>
      <c r="AI56" s="12"/>
      <c r="AJ56" s="17"/>
      <c r="AK56" s="13"/>
      <c r="AL56" s="13"/>
      <c r="AM56" s="13"/>
      <c r="AN56" s="14"/>
      <c r="AO56" s="9"/>
      <c r="AP56" s="16"/>
      <c r="AQ56" s="10"/>
      <c r="AR56" s="10"/>
      <c r="AS56" s="10"/>
      <c r="AT56" s="11"/>
      <c r="AU56" s="12"/>
      <c r="AV56" s="17"/>
      <c r="AW56" s="13"/>
      <c r="AX56" s="13"/>
      <c r="AY56" s="13"/>
      <c r="AZ56" s="14"/>
      <c r="BA56" s="9"/>
      <c r="BB56" s="16"/>
      <c r="BC56" s="10"/>
      <c r="BD56" s="10"/>
      <c r="BE56" s="10"/>
      <c r="BF56" s="11"/>
      <c r="BG56" s="12"/>
      <c r="BH56" s="17"/>
      <c r="BI56" s="13"/>
      <c r="BJ56" s="13"/>
      <c r="BK56" s="13"/>
      <c r="BL56" s="14"/>
      <c r="BM56" s="8">
        <f t="shared" si="9"/>
        <v>0</v>
      </c>
      <c r="BN56" s="8">
        <f t="shared" si="10"/>
        <v>0</v>
      </c>
      <c r="BO56" s="8">
        <f t="shared" si="11"/>
        <v>0</v>
      </c>
      <c r="BP56" s="8">
        <f t="shared" si="12"/>
        <v>0</v>
      </c>
      <c r="BQ56" s="8">
        <f t="shared" si="13"/>
        <v>0</v>
      </c>
      <c r="BR56" s="8">
        <f t="shared" si="14"/>
        <v>0</v>
      </c>
      <c r="BS56" s="15">
        <f t="shared" si="15"/>
        <v>0</v>
      </c>
      <c r="BT56" s="15" t="str">
        <f t="shared" si="16"/>
        <v>OK - No Upgrade</v>
      </c>
      <c r="BU56" s="15" t="str">
        <f t="shared" si="17"/>
        <v>OK - Balanced</v>
      </c>
    </row>
    <row r="57" spans="1:73" ht="15.75" customHeight="1" x14ac:dyDescent="0.25">
      <c r="A57" s="8" t="s">
        <v>38</v>
      </c>
      <c r="B57" s="8" t="s">
        <v>3752</v>
      </c>
      <c r="C57" s="8" t="s">
        <v>265</v>
      </c>
      <c r="D57" s="8" t="s">
        <v>3877</v>
      </c>
      <c r="E57" s="8" t="s">
        <v>3883</v>
      </c>
      <c r="F57" s="8" t="s">
        <v>56</v>
      </c>
      <c r="G57" s="8" t="s">
        <v>44</v>
      </c>
      <c r="H57" s="8">
        <v>1000</v>
      </c>
      <c r="I57" s="8" t="s">
        <v>3596</v>
      </c>
      <c r="J57" s="8">
        <v>1</v>
      </c>
      <c r="K57" s="8">
        <v>242</v>
      </c>
      <c r="L57" s="8">
        <v>240</v>
      </c>
      <c r="M57" s="8">
        <v>243</v>
      </c>
      <c r="N57" s="8">
        <v>417</v>
      </c>
      <c r="O57" s="8">
        <v>420</v>
      </c>
      <c r="P57" s="8">
        <v>419</v>
      </c>
      <c r="Q57" s="9" t="s">
        <v>70</v>
      </c>
      <c r="R57" s="16"/>
      <c r="S57" s="10">
        <v>435</v>
      </c>
      <c r="T57" s="10">
        <v>432</v>
      </c>
      <c r="U57" s="10">
        <v>321</v>
      </c>
      <c r="V57" s="11">
        <v>56</v>
      </c>
      <c r="W57" s="12"/>
      <c r="X57" s="17"/>
      <c r="Y57" s="13"/>
      <c r="Z57" s="13"/>
      <c r="AA57" s="13"/>
      <c r="AB57" s="14"/>
      <c r="AC57" s="9"/>
      <c r="AD57" s="16"/>
      <c r="AE57" s="10"/>
      <c r="AF57" s="10"/>
      <c r="AG57" s="10"/>
      <c r="AH57" s="11"/>
      <c r="AI57" s="12"/>
      <c r="AJ57" s="17"/>
      <c r="AK57" s="13"/>
      <c r="AL57" s="13"/>
      <c r="AM57" s="13"/>
      <c r="AN57" s="14"/>
      <c r="AO57" s="9"/>
      <c r="AP57" s="16"/>
      <c r="AQ57" s="10"/>
      <c r="AR57" s="10"/>
      <c r="AS57" s="10"/>
      <c r="AT57" s="11"/>
      <c r="AU57" s="12"/>
      <c r="AV57" s="17"/>
      <c r="AW57" s="13"/>
      <c r="AX57" s="13"/>
      <c r="AY57" s="13"/>
      <c r="AZ57" s="14"/>
      <c r="BA57" s="9"/>
      <c r="BB57" s="16"/>
      <c r="BC57" s="10"/>
      <c r="BD57" s="10"/>
      <c r="BE57" s="10"/>
      <c r="BF57" s="11"/>
      <c r="BG57" s="12"/>
      <c r="BH57" s="17"/>
      <c r="BI57" s="13"/>
      <c r="BJ57" s="13"/>
      <c r="BK57" s="13"/>
      <c r="BL57" s="14"/>
      <c r="BM57" s="8">
        <f t="shared" si="9"/>
        <v>435</v>
      </c>
      <c r="BN57" s="8">
        <f t="shared" si="10"/>
        <v>432</v>
      </c>
      <c r="BO57" s="8">
        <f t="shared" si="11"/>
        <v>321</v>
      </c>
      <c r="BP57" s="8">
        <f t="shared" si="12"/>
        <v>56</v>
      </c>
      <c r="BQ57" s="8">
        <f t="shared" si="13"/>
        <v>435</v>
      </c>
      <c r="BR57" s="8">
        <f t="shared" si="14"/>
        <v>321</v>
      </c>
      <c r="BS57" s="15">
        <f t="shared" si="15"/>
        <v>31.418535623895643</v>
      </c>
      <c r="BT57" s="15" t="str">
        <f t="shared" si="16"/>
        <v>OK - No Upgrade</v>
      </c>
      <c r="BU57" s="15" t="str">
        <f t="shared" si="17"/>
        <v>OK - Balanced</v>
      </c>
    </row>
    <row r="58" spans="1:73" ht="15.75" customHeight="1" x14ac:dyDescent="0.25">
      <c r="A58" s="8" t="s">
        <v>38</v>
      </c>
      <c r="B58" s="8" t="s">
        <v>3752</v>
      </c>
      <c r="C58" s="8" t="s">
        <v>265</v>
      </c>
      <c r="D58" s="8" t="s">
        <v>3884</v>
      </c>
      <c r="E58" s="8" t="s">
        <v>3885</v>
      </c>
      <c r="F58" s="8" t="s">
        <v>56</v>
      </c>
      <c r="G58" s="8" t="s">
        <v>1381</v>
      </c>
      <c r="H58" s="8">
        <v>1000</v>
      </c>
      <c r="I58" s="8" t="s">
        <v>3599</v>
      </c>
      <c r="J58" s="8">
        <v>1</v>
      </c>
      <c r="K58" s="8">
        <v>242</v>
      </c>
      <c r="L58" s="8">
        <v>240</v>
      </c>
      <c r="M58" s="8">
        <v>243</v>
      </c>
      <c r="N58" s="8">
        <v>417</v>
      </c>
      <c r="O58" s="8">
        <v>420</v>
      </c>
      <c r="P58" s="8">
        <v>419</v>
      </c>
      <c r="Q58" s="9" t="s">
        <v>70</v>
      </c>
      <c r="R58" s="16"/>
      <c r="S58" s="10">
        <v>327</v>
      </c>
      <c r="T58" s="10">
        <v>304</v>
      </c>
      <c r="U58" s="10">
        <v>260</v>
      </c>
      <c r="V58" s="11">
        <v>127</v>
      </c>
      <c r="W58" s="12"/>
      <c r="X58" s="17"/>
      <c r="Y58" s="13"/>
      <c r="Z58" s="13"/>
      <c r="AA58" s="13"/>
      <c r="AB58" s="14"/>
      <c r="AC58" s="9"/>
      <c r="AD58" s="16"/>
      <c r="AE58" s="10"/>
      <c r="AF58" s="10"/>
      <c r="AG58" s="10"/>
      <c r="AH58" s="11"/>
      <c r="AI58" s="12"/>
      <c r="AJ58" s="17"/>
      <c r="AK58" s="13"/>
      <c r="AL58" s="13"/>
      <c r="AM58" s="13"/>
      <c r="AN58" s="14"/>
      <c r="AO58" s="9"/>
      <c r="AP58" s="16"/>
      <c r="AQ58" s="10"/>
      <c r="AR58" s="10"/>
      <c r="AS58" s="10"/>
      <c r="AT58" s="11"/>
      <c r="AU58" s="12"/>
      <c r="AV58" s="17"/>
      <c r="AW58" s="13"/>
      <c r="AX58" s="13"/>
      <c r="AY58" s="13"/>
      <c r="AZ58" s="14"/>
      <c r="BA58" s="9"/>
      <c r="BB58" s="16"/>
      <c r="BC58" s="10"/>
      <c r="BD58" s="10"/>
      <c r="BE58" s="10"/>
      <c r="BF58" s="11"/>
      <c r="BG58" s="12"/>
      <c r="BH58" s="17"/>
      <c r="BI58" s="13"/>
      <c r="BJ58" s="13"/>
      <c r="BK58" s="13"/>
      <c r="BL58" s="14"/>
      <c r="BM58" s="8">
        <f t="shared" si="9"/>
        <v>327</v>
      </c>
      <c r="BN58" s="8">
        <f t="shared" si="10"/>
        <v>304</v>
      </c>
      <c r="BO58" s="8">
        <f t="shared" si="11"/>
        <v>260</v>
      </c>
      <c r="BP58" s="8">
        <f t="shared" si="12"/>
        <v>127</v>
      </c>
      <c r="BQ58" s="8">
        <f t="shared" si="13"/>
        <v>327</v>
      </c>
      <c r="BR58" s="8">
        <f t="shared" si="14"/>
        <v>260</v>
      </c>
      <c r="BS58" s="15">
        <f t="shared" si="15"/>
        <v>23.618071606928453</v>
      </c>
      <c r="BT58" s="15" t="str">
        <f t="shared" si="16"/>
        <v>OK - No Upgrade</v>
      </c>
      <c r="BU58" s="15" t="str">
        <f t="shared" si="17"/>
        <v>Need to Balance</v>
      </c>
    </row>
    <row r="59" spans="1:73" ht="15.75" customHeight="1" x14ac:dyDescent="0.25">
      <c r="A59" s="8" t="s">
        <v>38</v>
      </c>
      <c r="B59" s="8" t="s">
        <v>3752</v>
      </c>
      <c r="C59" s="8" t="s">
        <v>124</v>
      </c>
      <c r="D59" s="8" t="s">
        <v>3886</v>
      </c>
      <c r="E59" s="8" t="s">
        <v>3887</v>
      </c>
      <c r="F59" s="8" t="s">
        <v>56</v>
      </c>
      <c r="G59" s="8" t="s">
        <v>44</v>
      </c>
      <c r="H59" s="8">
        <v>1000</v>
      </c>
      <c r="I59" s="8" t="s">
        <v>3888</v>
      </c>
      <c r="J59" s="8">
        <v>1</v>
      </c>
      <c r="K59" s="8">
        <v>246</v>
      </c>
      <c r="L59" s="8">
        <v>243</v>
      </c>
      <c r="M59" s="8">
        <v>244</v>
      </c>
      <c r="N59" s="8">
        <v>424</v>
      </c>
      <c r="O59" s="8">
        <v>425</v>
      </c>
      <c r="P59" s="8">
        <v>422</v>
      </c>
      <c r="Q59" s="9"/>
      <c r="R59" s="16"/>
      <c r="S59" s="10"/>
      <c r="T59" s="10"/>
      <c r="U59" s="10"/>
      <c r="V59" s="11"/>
      <c r="W59" s="12"/>
      <c r="X59" s="17"/>
      <c r="Y59" s="13"/>
      <c r="Z59" s="13"/>
      <c r="AA59" s="13"/>
      <c r="AB59" s="14"/>
      <c r="AC59" s="9"/>
      <c r="AD59" s="16"/>
      <c r="AE59" s="10"/>
      <c r="AF59" s="10"/>
      <c r="AG59" s="10"/>
      <c r="AH59" s="11"/>
      <c r="AI59" s="12" t="s">
        <v>47</v>
      </c>
      <c r="AJ59" s="17"/>
      <c r="AK59" s="13">
        <v>87</v>
      </c>
      <c r="AL59" s="13">
        <v>63</v>
      </c>
      <c r="AM59" s="13">
        <v>81</v>
      </c>
      <c r="AN59" s="14">
        <v>22</v>
      </c>
      <c r="AO59" s="9" t="s">
        <v>47</v>
      </c>
      <c r="AP59" s="16"/>
      <c r="AQ59" s="10">
        <v>10</v>
      </c>
      <c r="AR59" s="10">
        <v>38</v>
      </c>
      <c r="AS59" s="10">
        <v>35</v>
      </c>
      <c r="AT59" s="11">
        <v>28</v>
      </c>
      <c r="AU59" s="12" t="s">
        <v>47</v>
      </c>
      <c r="AV59" s="17"/>
      <c r="AW59" s="13">
        <v>66</v>
      </c>
      <c r="AX59" s="13">
        <v>121</v>
      </c>
      <c r="AY59" s="13">
        <v>63</v>
      </c>
      <c r="AZ59" s="14">
        <v>50</v>
      </c>
      <c r="BA59" s="9"/>
      <c r="BB59" s="16"/>
      <c r="BC59" s="10"/>
      <c r="BD59" s="10"/>
      <c r="BE59" s="10"/>
      <c r="BF59" s="11"/>
      <c r="BG59" s="12"/>
      <c r="BH59" s="17"/>
      <c r="BI59" s="13"/>
      <c r="BJ59" s="13"/>
      <c r="BK59" s="13"/>
      <c r="BL59" s="14"/>
      <c r="BM59" s="8">
        <f t="shared" si="9"/>
        <v>163</v>
      </c>
      <c r="BN59" s="8">
        <f t="shared" si="10"/>
        <v>222</v>
      </c>
      <c r="BO59" s="8">
        <f t="shared" si="11"/>
        <v>179</v>
      </c>
      <c r="BP59" s="8">
        <f t="shared" si="12"/>
        <v>100</v>
      </c>
      <c r="BQ59" s="8">
        <f t="shared" si="13"/>
        <v>222</v>
      </c>
      <c r="BR59" s="8">
        <f t="shared" si="14"/>
        <v>163</v>
      </c>
      <c r="BS59" s="15">
        <f t="shared" si="15"/>
        <v>16.303447841484324</v>
      </c>
      <c r="BT59" s="15" t="str">
        <f t="shared" si="16"/>
        <v>OK - No Upgrade</v>
      </c>
      <c r="BU59" s="15" t="str">
        <f t="shared" si="17"/>
        <v>Need to Balance</v>
      </c>
    </row>
    <row r="60" spans="1:73" ht="15.75" customHeight="1" x14ac:dyDescent="0.25">
      <c r="A60" s="8" t="s">
        <v>38</v>
      </c>
      <c r="B60" s="8" t="s">
        <v>3752</v>
      </c>
      <c r="C60" s="8" t="s">
        <v>124</v>
      </c>
      <c r="D60" s="8" t="s">
        <v>3889</v>
      </c>
      <c r="E60" s="8" t="s">
        <v>3890</v>
      </c>
      <c r="F60" s="8" t="s">
        <v>56</v>
      </c>
      <c r="G60" s="8" t="s">
        <v>44</v>
      </c>
      <c r="H60" s="8">
        <v>1000</v>
      </c>
      <c r="I60" s="8" t="s">
        <v>3891</v>
      </c>
      <c r="J60" s="8">
        <v>1</v>
      </c>
      <c r="K60" s="8">
        <v>233</v>
      </c>
      <c r="L60" s="8">
        <v>233</v>
      </c>
      <c r="M60" s="8">
        <v>234</v>
      </c>
      <c r="N60" s="8">
        <v>399</v>
      </c>
      <c r="O60" s="8">
        <v>404</v>
      </c>
      <c r="P60" s="8">
        <v>405</v>
      </c>
      <c r="Q60" s="9" t="s">
        <v>46</v>
      </c>
      <c r="R60" s="16"/>
      <c r="S60" s="10"/>
      <c r="T60" s="10"/>
      <c r="U60" s="10"/>
      <c r="V60" s="11"/>
      <c r="W60" s="12"/>
      <c r="X60" s="17"/>
      <c r="Y60" s="13"/>
      <c r="Z60" s="13"/>
      <c r="AA60" s="13"/>
      <c r="AB60" s="14"/>
      <c r="AC60" s="9" t="s">
        <v>47</v>
      </c>
      <c r="AD60" s="16"/>
      <c r="AE60" s="10">
        <v>66</v>
      </c>
      <c r="AF60" s="10">
        <v>146</v>
      </c>
      <c r="AG60" s="10">
        <v>117</v>
      </c>
      <c r="AH60" s="11">
        <v>57</v>
      </c>
      <c r="AI60" s="12" t="s">
        <v>47</v>
      </c>
      <c r="AJ60" s="17"/>
      <c r="AK60" s="13">
        <v>64</v>
      </c>
      <c r="AL60" s="13">
        <v>80</v>
      </c>
      <c r="AM60" s="13">
        <v>89</v>
      </c>
      <c r="AN60" s="14">
        <v>17</v>
      </c>
      <c r="AO60" s="9"/>
      <c r="AP60" s="16"/>
      <c r="AQ60" s="10"/>
      <c r="AR60" s="10"/>
      <c r="AS60" s="10"/>
      <c r="AT60" s="11"/>
      <c r="AU60" s="12"/>
      <c r="AV60" s="17"/>
      <c r="AW60" s="13"/>
      <c r="AX60" s="13"/>
      <c r="AY60" s="13"/>
      <c r="AZ60" s="14"/>
      <c r="BA60" s="9"/>
      <c r="BB60" s="16"/>
      <c r="BC60" s="10"/>
      <c r="BD60" s="10"/>
      <c r="BE60" s="10"/>
      <c r="BF60" s="11"/>
      <c r="BG60" s="12"/>
      <c r="BH60" s="17"/>
      <c r="BI60" s="13"/>
      <c r="BJ60" s="13"/>
      <c r="BK60" s="13"/>
      <c r="BL60" s="14"/>
      <c r="BM60" s="8">
        <f t="shared" si="9"/>
        <v>130</v>
      </c>
      <c r="BN60" s="8">
        <f t="shared" si="10"/>
        <v>226</v>
      </c>
      <c r="BO60" s="8">
        <f t="shared" si="11"/>
        <v>206</v>
      </c>
      <c r="BP60" s="8">
        <f t="shared" si="12"/>
        <v>74</v>
      </c>
      <c r="BQ60" s="8">
        <f t="shared" si="13"/>
        <v>226</v>
      </c>
      <c r="BR60" s="8">
        <f t="shared" si="14"/>
        <v>130</v>
      </c>
      <c r="BS60" s="15">
        <f t="shared" si="15"/>
        <v>15.618594952171595</v>
      </c>
      <c r="BT60" s="15" t="str">
        <f t="shared" si="16"/>
        <v>OK - No Upgrade</v>
      </c>
      <c r="BU60" s="15" t="str">
        <f t="shared" si="17"/>
        <v>Need to Balance</v>
      </c>
    </row>
    <row r="61" spans="1:73" ht="15.75" customHeight="1" x14ac:dyDescent="0.25">
      <c r="A61" s="8" t="s">
        <v>38</v>
      </c>
      <c r="B61" s="8" t="s">
        <v>3752</v>
      </c>
      <c r="C61" s="8" t="s">
        <v>124</v>
      </c>
      <c r="D61" s="8" t="s">
        <v>3892</v>
      </c>
      <c r="E61" s="8" t="s">
        <v>3893</v>
      </c>
      <c r="F61" s="8" t="s">
        <v>43</v>
      </c>
      <c r="G61" s="8" t="s">
        <v>44</v>
      </c>
      <c r="H61" s="8">
        <v>315</v>
      </c>
      <c r="I61" s="8" t="s">
        <v>3894</v>
      </c>
      <c r="J61" s="8">
        <v>1</v>
      </c>
      <c r="K61" s="8">
        <v>242</v>
      </c>
      <c r="L61" s="8">
        <v>245</v>
      </c>
      <c r="M61" s="8">
        <v>246</v>
      </c>
      <c r="N61" s="8">
        <v>421</v>
      </c>
      <c r="O61" s="8">
        <v>422</v>
      </c>
      <c r="P61" s="8">
        <v>425</v>
      </c>
      <c r="Q61" s="9" t="s">
        <v>46</v>
      </c>
      <c r="R61" s="16"/>
      <c r="S61" s="10">
        <v>120</v>
      </c>
      <c r="T61" s="10">
        <v>58</v>
      </c>
      <c r="U61" s="10">
        <v>76</v>
      </c>
      <c r="V61" s="11">
        <v>49</v>
      </c>
      <c r="W61" s="12"/>
      <c r="X61" s="17"/>
      <c r="Y61" s="13"/>
      <c r="Z61" s="13"/>
      <c r="AA61" s="13"/>
      <c r="AB61" s="14"/>
      <c r="AC61" s="9"/>
      <c r="AD61" s="16"/>
      <c r="AE61" s="10"/>
      <c r="AF61" s="10"/>
      <c r="AG61" s="10"/>
      <c r="AH61" s="11"/>
      <c r="AI61" s="12"/>
      <c r="AJ61" s="17"/>
      <c r="AK61" s="13"/>
      <c r="AL61" s="13"/>
      <c r="AM61" s="13"/>
      <c r="AN61" s="14"/>
      <c r="AO61" s="9"/>
      <c r="AP61" s="16"/>
      <c r="AQ61" s="10"/>
      <c r="AR61" s="10"/>
      <c r="AS61" s="10"/>
      <c r="AT61" s="11"/>
      <c r="AU61" s="12"/>
      <c r="AV61" s="17"/>
      <c r="AW61" s="13"/>
      <c r="AX61" s="13"/>
      <c r="AY61" s="13"/>
      <c r="AZ61" s="14"/>
      <c r="BA61" s="9"/>
      <c r="BB61" s="16"/>
      <c r="BC61" s="10"/>
      <c r="BD61" s="10"/>
      <c r="BE61" s="10"/>
      <c r="BF61" s="11"/>
      <c r="BG61" s="12"/>
      <c r="BH61" s="17"/>
      <c r="BI61" s="13"/>
      <c r="BJ61" s="13"/>
      <c r="BK61" s="13"/>
      <c r="BL61" s="14"/>
      <c r="BM61" s="8">
        <f t="shared" si="9"/>
        <v>120</v>
      </c>
      <c r="BN61" s="8">
        <f t="shared" si="10"/>
        <v>58</v>
      </c>
      <c r="BO61" s="8">
        <f t="shared" si="11"/>
        <v>76</v>
      </c>
      <c r="BP61" s="8">
        <f t="shared" si="12"/>
        <v>49</v>
      </c>
      <c r="BQ61" s="8">
        <f t="shared" si="13"/>
        <v>120</v>
      </c>
      <c r="BR61" s="8">
        <f t="shared" si="14"/>
        <v>58</v>
      </c>
      <c r="BS61" s="15">
        <f t="shared" si="15"/>
        <v>27.77879580900942</v>
      </c>
      <c r="BT61" s="15" t="str">
        <f t="shared" si="16"/>
        <v>OK - No Upgrade</v>
      </c>
      <c r="BU61" s="15" t="str">
        <f t="shared" si="17"/>
        <v>Need to Balance</v>
      </c>
    </row>
    <row r="62" spans="1:73" ht="15.75" customHeight="1" x14ac:dyDescent="0.25">
      <c r="A62" s="8" t="s">
        <v>38</v>
      </c>
      <c r="B62" s="8" t="s">
        <v>3752</v>
      </c>
      <c r="C62" s="8" t="s">
        <v>265</v>
      </c>
      <c r="D62" s="8" t="s">
        <v>3895</v>
      </c>
      <c r="E62" s="8" t="s">
        <v>3896</v>
      </c>
      <c r="F62" s="8" t="s">
        <v>56</v>
      </c>
      <c r="G62" s="8" t="s">
        <v>44</v>
      </c>
      <c r="H62" s="8">
        <v>1000</v>
      </c>
      <c r="I62" s="8" t="s">
        <v>3897</v>
      </c>
      <c r="J62" s="8">
        <v>1</v>
      </c>
      <c r="K62" s="8">
        <v>242</v>
      </c>
      <c r="L62" s="8">
        <v>240</v>
      </c>
      <c r="M62" s="8">
        <v>243</v>
      </c>
      <c r="N62" s="8">
        <v>417</v>
      </c>
      <c r="O62" s="8">
        <v>420</v>
      </c>
      <c r="P62" s="8">
        <v>419</v>
      </c>
      <c r="Q62" s="9" t="s">
        <v>70</v>
      </c>
      <c r="R62" s="16"/>
      <c r="S62" s="10">
        <v>260</v>
      </c>
      <c r="T62" s="10">
        <v>344</v>
      </c>
      <c r="U62" s="10">
        <v>376</v>
      </c>
      <c r="V62" s="11">
        <v>29</v>
      </c>
      <c r="W62" s="12"/>
      <c r="X62" s="17"/>
      <c r="Y62" s="13"/>
      <c r="Z62" s="13"/>
      <c r="AA62" s="13"/>
      <c r="AB62" s="14"/>
      <c r="AC62" s="9"/>
      <c r="AD62" s="16"/>
      <c r="AE62" s="10"/>
      <c r="AF62" s="10"/>
      <c r="AG62" s="10"/>
      <c r="AH62" s="11"/>
      <c r="AI62" s="12"/>
      <c r="AJ62" s="17"/>
      <c r="AK62" s="13"/>
      <c r="AL62" s="13"/>
      <c r="AM62" s="13"/>
      <c r="AN62" s="14"/>
      <c r="AO62" s="9"/>
      <c r="AP62" s="16"/>
      <c r="AQ62" s="10"/>
      <c r="AR62" s="10"/>
      <c r="AS62" s="10"/>
      <c r="AT62" s="11"/>
      <c r="AU62" s="12"/>
      <c r="AV62" s="17"/>
      <c r="AW62" s="13"/>
      <c r="AX62" s="13"/>
      <c r="AY62" s="13"/>
      <c r="AZ62" s="14"/>
      <c r="BA62" s="9"/>
      <c r="BB62" s="16"/>
      <c r="BC62" s="10"/>
      <c r="BD62" s="10"/>
      <c r="BE62" s="10"/>
      <c r="BF62" s="11"/>
      <c r="BG62" s="12"/>
      <c r="BH62" s="17"/>
      <c r="BI62" s="13"/>
      <c r="BJ62" s="13"/>
      <c r="BK62" s="13"/>
      <c r="BL62" s="14"/>
      <c r="BM62" s="8">
        <f t="shared" si="9"/>
        <v>260</v>
      </c>
      <c r="BN62" s="8">
        <f t="shared" si="10"/>
        <v>344</v>
      </c>
      <c r="BO62" s="8">
        <f t="shared" si="11"/>
        <v>376</v>
      </c>
      <c r="BP62" s="8">
        <f t="shared" si="12"/>
        <v>29</v>
      </c>
      <c r="BQ62" s="8">
        <f t="shared" si="13"/>
        <v>376</v>
      </c>
      <c r="BR62" s="8">
        <f t="shared" si="14"/>
        <v>260</v>
      </c>
      <c r="BS62" s="15">
        <f t="shared" si="15"/>
        <v>27.157171022033943</v>
      </c>
      <c r="BT62" s="15" t="str">
        <f t="shared" si="16"/>
        <v>OK - No Upgrade</v>
      </c>
      <c r="BU62" s="15" t="str">
        <f t="shared" si="17"/>
        <v>Need to Balance</v>
      </c>
    </row>
    <row r="63" spans="1:73" ht="15.75" customHeight="1" x14ac:dyDescent="0.25">
      <c r="A63" s="8" t="s">
        <v>38</v>
      </c>
      <c r="B63" s="8" t="s">
        <v>3752</v>
      </c>
      <c r="C63" s="8" t="s">
        <v>124</v>
      </c>
      <c r="D63" s="8" t="s">
        <v>3898</v>
      </c>
      <c r="E63" s="8" t="s">
        <v>3899</v>
      </c>
      <c r="F63" s="8" t="s">
        <v>43</v>
      </c>
      <c r="G63" s="8" t="s">
        <v>44</v>
      </c>
      <c r="H63" s="8">
        <v>315</v>
      </c>
      <c r="I63" s="8" t="s">
        <v>3900</v>
      </c>
      <c r="J63" s="8">
        <v>1</v>
      </c>
      <c r="K63" s="8">
        <v>245</v>
      </c>
      <c r="L63" s="8">
        <v>246</v>
      </c>
      <c r="M63" s="8">
        <v>248</v>
      </c>
      <c r="N63" s="8">
        <v>422</v>
      </c>
      <c r="O63" s="8">
        <v>423</v>
      </c>
      <c r="P63" s="8">
        <v>426</v>
      </c>
      <c r="Q63" s="9" t="s">
        <v>46</v>
      </c>
      <c r="R63" s="16"/>
      <c r="S63" s="10">
        <v>0</v>
      </c>
      <c r="T63" s="10">
        <v>10</v>
      </c>
      <c r="U63" s="10">
        <v>0</v>
      </c>
      <c r="V63" s="11">
        <v>10</v>
      </c>
      <c r="W63" s="12" t="s">
        <v>46</v>
      </c>
      <c r="X63" s="17"/>
      <c r="Y63" s="13">
        <v>71</v>
      </c>
      <c r="Z63" s="13">
        <v>39</v>
      </c>
      <c r="AA63" s="13">
        <v>56</v>
      </c>
      <c r="AB63" s="14">
        <v>25</v>
      </c>
      <c r="AC63" s="9"/>
      <c r="AD63" s="16"/>
      <c r="AE63" s="10"/>
      <c r="AF63" s="10"/>
      <c r="AG63" s="10"/>
      <c r="AH63" s="11"/>
      <c r="AI63" s="12"/>
      <c r="AJ63" s="17"/>
      <c r="AK63" s="13"/>
      <c r="AL63" s="13"/>
      <c r="AM63" s="13"/>
      <c r="AN63" s="14"/>
      <c r="AO63" s="9"/>
      <c r="AP63" s="16"/>
      <c r="AQ63" s="10"/>
      <c r="AR63" s="10"/>
      <c r="AS63" s="10"/>
      <c r="AT63" s="11"/>
      <c r="AU63" s="12"/>
      <c r="AV63" s="17"/>
      <c r="AW63" s="13"/>
      <c r="AX63" s="13"/>
      <c r="AY63" s="13"/>
      <c r="AZ63" s="14"/>
      <c r="BA63" s="9"/>
      <c r="BB63" s="16"/>
      <c r="BC63" s="10"/>
      <c r="BD63" s="10"/>
      <c r="BE63" s="10"/>
      <c r="BF63" s="11"/>
      <c r="BG63" s="12"/>
      <c r="BH63" s="17"/>
      <c r="BI63" s="13"/>
      <c r="BJ63" s="13"/>
      <c r="BK63" s="13"/>
      <c r="BL63" s="14"/>
      <c r="BM63" s="8">
        <f t="shared" si="9"/>
        <v>71</v>
      </c>
      <c r="BN63" s="8">
        <f t="shared" si="10"/>
        <v>49</v>
      </c>
      <c r="BO63" s="8">
        <f t="shared" si="11"/>
        <v>56</v>
      </c>
      <c r="BP63" s="8">
        <f t="shared" si="12"/>
        <v>35</v>
      </c>
      <c r="BQ63" s="8">
        <f t="shared" si="13"/>
        <v>71</v>
      </c>
      <c r="BR63" s="8">
        <f t="shared" si="14"/>
        <v>49</v>
      </c>
      <c r="BS63" s="15">
        <f t="shared" si="15"/>
        <v>16.474827395675778</v>
      </c>
      <c r="BT63" s="15" t="str">
        <f t="shared" si="16"/>
        <v>OK - No Upgrade</v>
      </c>
      <c r="BU63" s="15" t="str">
        <f t="shared" si="17"/>
        <v>Need to Balance</v>
      </c>
    </row>
    <row r="64" spans="1:73" ht="15.75" customHeight="1" x14ac:dyDescent="0.25">
      <c r="A64" s="8" t="s">
        <v>38</v>
      </c>
      <c r="B64" s="8" t="s">
        <v>3752</v>
      </c>
      <c r="C64" s="8" t="s">
        <v>124</v>
      </c>
      <c r="D64" s="8" t="s">
        <v>3901</v>
      </c>
      <c r="E64" s="8" t="s">
        <v>1433</v>
      </c>
      <c r="F64" s="8" t="s">
        <v>43</v>
      </c>
      <c r="G64" s="8" t="s">
        <v>44</v>
      </c>
      <c r="H64" s="8">
        <v>315</v>
      </c>
      <c r="I64" s="8" t="s">
        <v>3902</v>
      </c>
      <c r="J64" s="8">
        <v>1</v>
      </c>
      <c r="K64" s="8">
        <v>246</v>
      </c>
      <c r="L64" s="8">
        <v>245</v>
      </c>
      <c r="M64" s="8">
        <v>248</v>
      </c>
      <c r="N64" s="8">
        <v>424</v>
      </c>
      <c r="O64" s="8">
        <v>428</v>
      </c>
      <c r="P64" s="8">
        <v>426</v>
      </c>
      <c r="Q64" s="9" t="s">
        <v>47</v>
      </c>
      <c r="R64" s="16"/>
      <c r="S64" s="10">
        <v>1</v>
      </c>
      <c r="T64" s="10">
        <v>0</v>
      </c>
      <c r="U64" s="10">
        <v>12</v>
      </c>
      <c r="V64" s="11">
        <v>10</v>
      </c>
      <c r="W64" s="12" t="s">
        <v>132</v>
      </c>
      <c r="X64" s="17"/>
      <c r="Y64" s="13">
        <v>11</v>
      </c>
      <c r="Z64" s="13">
        <v>2</v>
      </c>
      <c r="AA64" s="13">
        <v>1</v>
      </c>
      <c r="AB64" s="14">
        <v>3</v>
      </c>
      <c r="AC64" s="9" t="s">
        <v>334</v>
      </c>
      <c r="AD64" s="16"/>
      <c r="AE64" s="10">
        <v>1</v>
      </c>
      <c r="AF64" s="10">
        <v>0</v>
      </c>
      <c r="AG64" s="10">
        <v>0</v>
      </c>
      <c r="AH64" s="11">
        <v>1</v>
      </c>
      <c r="AI64" s="12"/>
      <c r="AJ64" s="17"/>
      <c r="AK64" s="13"/>
      <c r="AL64" s="13"/>
      <c r="AM64" s="13"/>
      <c r="AN64" s="14"/>
      <c r="AO64" s="9"/>
      <c r="AP64" s="16"/>
      <c r="AQ64" s="10"/>
      <c r="AR64" s="10"/>
      <c r="AS64" s="10"/>
      <c r="AT64" s="11"/>
      <c r="AU64" s="12"/>
      <c r="AV64" s="17"/>
      <c r="AW64" s="13"/>
      <c r="AX64" s="13"/>
      <c r="AY64" s="13"/>
      <c r="AZ64" s="14"/>
      <c r="BA64" s="9"/>
      <c r="BB64" s="16"/>
      <c r="BC64" s="10"/>
      <c r="BD64" s="10"/>
      <c r="BE64" s="10"/>
      <c r="BF64" s="11"/>
      <c r="BG64" s="12"/>
      <c r="BH64" s="17"/>
      <c r="BI64" s="13"/>
      <c r="BJ64" s="13"/>
      <c r="BK64" s="13"/>
      <c r="BL64" s="14"/>
      <c r="BM64" s="8">
        <f t="shared" si="9"/>
        <v>13</v>
      </c>
      <c r="BN64" s="8">
        <f t="shared" si="10"/>
        <v>2</v>
      </c>
      <c r="BO64" s="8">
        <f t="shared" si="11"/>
        <v>13</v>
      </c>
      <c r="BP64" s="8">
        <f t="shared" si="12"/>
        <v>14</v>
      </c>
      <c r="BQ64" s="8">
        <f t="shared" si="13"/>
        <v>13</v>
      </c>
      <c r="BR64" s="8">
        <f t="shared" si="14"/>
        <v>2</v>
      </c>
      <c r="BS64" s="15">
        <f t="shared" si="15"/>
        <v>3.0308139845459205</v>
      </c>
      <c r="BT64" s="15" t="str">
        <f t="shared" si="16"/>
        <v>OK - No Upgrade</v>
      </c>
      <c r="BU64" s="15" t="str">
        <f t="shared" si="17"/>
        <v>Need to Balance</v>
      </c>
    </row>
    <row r="65" spans="1:73" ht="15.75" customHeight="1" x14ac:dyDescent="0.25">
      <c r="A65" s="8" t="s">
        <v>38</v>
      </c>
      <c r="B65" s="8" t="s">
        <v>3752</v>
      </c>
      <c r="C65" s="8" t="s">
        <v>124</v>
      </c>
      <c r="D65" s="8" t="s">
        <v>3903</v>
      </c>
      <c r="E65" s="8" t="s">
        <v>3904</v>
      </c>
      <c r="F65" s="8" t="s">
        <v>43</v>
      </c>
      <c r="G65" s="8" t="s">
        <v>44</v>
      </c>
      <c r="H65" s="8">
        <v>200</v>
      </c>
      <c r="I65" s="8" t="s">
        <v>3905</v>
      </c>
      <c r="J65" s="8">
        <v>1</v>
      </c>
      <c r="K65" s="8">
        <v>245</v>
      </c>
      <c r="L65" s="8">
        <v>243</v>
      </c>
      <c r="M65" s="8">
        <v>247</v>
      </c>
      <c r="N65" s="8">
        <v>421</v>
      </c>
      <c r="O65" s="8">
        <v>428</v>
      </c>
      <c r="P65" s="8">
        <v>425</v>
      </c>
      <c r="Q65" s="9" t="s">
        <v>132</v>
      </c>
      <c r="R65" s="16"/>
      <c r="S65" s="10">
        <v>0</v>
      </c>
      <c r="T65" s="10">
        <v>0</v>
      </c>
      <c r="U65" s="10">
        <v>0</v>
      </c>
      <c r="V65" s="11">
        <v>0</v>
      </c>
      <c r="W65" s="12" t="s">
        <v>132</v>
      </c>
      <c r="X65" s="17"/>
      <c r="Y65" s="13">
        <v>15</v>
      </c>
      <c r="Z65" s="13">
        <v>28</v>
      </c>
      <c r="AA65" s="13">
        <v>24</v>
      </c>
      <c r="AB65" s="14">
        <v>16</v>
      </c>
      <c r="AC65" s="9" t="s">
        <v>47</v>
      </c>
      <c r="AD65" s="16"/>
      <c r="AE65" s="10">
        <v>1</v>
      </c>
      <c r="AF65" s="10">
        <v>1</v>
      </c>
      <c r="AG65" s="10">
        <v>7</v>
      </c>
      <c r="AH65" s="11">
        <v>5</v>
      </c>
      <c r="AI65" s="12"/>
      <c r="AJ65" s="17"/>
      <c r="AK65" s="13"/>
      <c r="AL65" s="13"/>
      <c r="AM65" s="13"/>
      <c r="AN65" s="14"/>
      <c r="AO65" s="9"/>
      <c r="AP65" s="16"/>
      <c r="AQ65" s="10"/>
      <c r="AR65" s="10"/>
      <c r="AS65" s="10"/>
      <c r="AT65" s="11"/>
      <c r="AU65" s="12"/>
      <c r="AV65" s="17"/>
      <c r="AW65" s="13"/>
      <c r="AX65" s="13"/>
      <c r="AY65" s="13"/>
      <c r="AZ65" s="14"/>
      <c r="BA65" s="9"/>
      <c r="BB65" s="16"/>
      <c r="BC65" s="10"/>
      <c r="BD65" s="10"/>
      <c r="BE65" s="10"/>
      <c r="BF65" s="11"/>
      <c r="BG65" s="12"/>
      <c r="BH65" s="17"/>
      <c r="BI65" s="13"/>
      <c r="BJ65" s="13"/>
      <c r="BK65" s="13"/>
      <c r="BL65" s="14"/>
      <c r="BM65" s="8">
        <f t="shared" si="9"/>
        <v>16</v>
      </c>
      <c r="BN65" s="8">
        <f t="shared" si="10"/>
        <v>29</v>
      </c>
      <c r="BO65" s="8">
        <f t="shared" si="11"/>
        <v>31</v>
      </c>
      <c r="BP65" s="8">
        <f t="shared" si="12"/>
        <v>21</v>
      </c>
      <c r="BQ65" s="8">
        <f t="shared" si="13"/>
        <v>31</v>
      </c>
      <c r="BR65" s="8">
        <f t="shared" si="14"/>
        <v>16</v>
      </c>
      <c r="BS65" s="15">
        <f t="shared" si="15"/>
        <v>11.302497544790709</v>
      </c>
      <c r="BT65" s="15" t="str">
        <f t="shared" si="16"/>
        <v>OK - No Upgrade</v>
      </c>
      <c r="BU65" s="15" t="str">
        <f t="shared" si="17"/>
        <v>Need to Balance</v>
      </c>
    </row>
    <row r="66" spans="1:73" ht="15.75" customHeight="1" x14ac:dyDescent="0.25">
      <c r="A66" s="8" t="s">
        <v>38</v>
      </c>
      <c r="B66" s="8" t="s">
        <v>3752</v>
      </c>
      <c r="C66" s="8" t="s">
        <v>512</v>
      </c>
      <c r="D66" s="8" t="s">
        <v>3906</v>
      </c>
      <c r="E66" s="8" t="s">
        <v>3907</v>
      </c>
      <c r="F66" s="8" t="s">
        <v>43</v>
      </c>
      <c r="G66" s="8"/>
      <c r="H66" s="8">
        <v>315</v>
      </c>
      <c r="I66" s="8" t="s">
        <v>3908</v>
      </c>
      <c r="J66" s="8">
        <v>1</v>
      </c>
      <c r="K66" s="8">
        <v>243</v>
      </c>
      <c r="L66" s="8">
        <v>242</v>
      </c>
      <c r="M66" s="8">
        <v>244</v>
      </c>
      <c r="N66" s="8">
        <v>418</v>
      </c>
      <c r="O66" s="8">
        <v>422</v>
      </c>
      <c r="P66" s="8">
        <v>421</v>
      </c>
      <c r="Q66" s="9" t="s">
        <v>46</v>
      </c>
      <c r="R66" s="16"/>
      <c r="S66" s="10">
        <v>0</v>
      </c>
      <c r="T66" s="10">
        <v>0</v>
      </c>
      <c r="U66" s="10">
        <v>0</v>
      </c>
      <c r="V66" s="11">
        <v>0</v>
      </c>
      <c r="W66" s="12"/>
      <c r="X66" s="17"/>
      <c r="Y66" s="13"/>
      <c r="Z66" s="13"/>
      <c r="AA66" s="13"/>
      <c r="AB66" s="14"/>
      <c r="AC66" s="9"/>
      <c r="AD66" s="16"/>
      <c r="AE66" s="10"/>
      <c r="AF66" s="10"/>
      <c r="AG66" s="10"/>
      <c r="AH66" s="11"/>
      <c r="AI66" s="12"/>
      <c r="AJ66" s="17"/>
      <c r="AK66" s="13"/>
      <c r="AL66" s="13"/>
      <c r="AM66" s="13"/>
      <c r="AN66" s="14"/>
      <c r="AO66" s="9"/>
      <c r="AP66" s="16"/>
      <c r="AQ66" s="10"/>
      <c r="AR66" s="10"/>
      <c r="AS66" s="10"/>
      <c r="AT66" s="11"/>
      <c r="AU66" s="12"/>
      <c r="AV66" s="17"/>
      <c r="AW66" s="13"/>
      <c r="AX66" s="13"/>
      <c r="AY66" s="13"/>
      <c r="AZ66" s="14"/>
      <c r="BA66" s="9"/>
      <c r="BB66" s="16"/>
      <c r="BC66" s="10"/>
      <c r="BD66" s="10"/>
      <c r="BE66" s="10"/>
      <c r="BF66" s="11"/>
      <c r="BG66" s="12"/>
      <c r="BH66" s="17"/>
      <c r="BI66" s="13"/>
      <c r="BJ66" s="13"/>
      <c r="BK66" s="13"/>
      <c r="BL66" s="14"/>
      <c r="BM66" s="8">
        <f t="shared" si="9"/>
        <v>0</v>
      </c>
      <c r="BN66" s="8">
        <f t="shared" si="10"/>
        <v>0</v>
      </c>
      <c r="BO66" s="8">
        <f t="shared" si="11"/>
        <v>0</v>
      </c>
      <c r="BP66" s="8">
        <f t="shared" si="12"/>
        <v>0</v>
      </c>
      <c r="BQ66" s="8">
        <f t="shared" si="13"/>
        <v>0</v>
      </c>
      <c r="BR66" s="8">
        <f t="shared" si="14"/>
        <v>0</v>
      </c>
      <c r="BS66" s="15">
        <f t="shared" si="15"/>
        <v>0</v>
      </c>
      <c r="BT66" s="15" t="str">
        <f t="shared" si="16"/>
        <v>OK - No Upgrade</v>
      </c>
      <c r="BU66" s="15" t="str">
        <f t="shared" si="17"/>
        <v>OK - Balanced</v>
      </c>
    </row>
    <row r="67" spans="1:73" ht="15.75" customHeight="1" x14ac:dyDescent="0.25">
      <c r="A67" s="8" t="s">
        <v>38</v>
      </c>
      <c r="B67" s="8" t="s">
        <v>3752</v>
      </c>
      <c r="C67" s="8" t="s">
        <v>124</v>
      </c>
      <c r="D67" s="8" t="s">
        <v>3909</v>
      </c>
      <c r="E67" s="8" t="s">
        <v>3910</v>
      </c>
      <c r="F67" s="8" t="s">
        <v>43</v>
      </c>
      <c r="G67" s="8" t="s">
        <v>44</v>
      </c>
      <c r="H67" s="8">
        <v>315</v>
      </c>
      <c r="I67" s="8" t="s">
        <v>1489</v>
      </c>
      <c r="J67" s="8">
        <v>1</v>
      </c>
      <c r="K67" s="8">
        <v>246</v>
      </c>
      <c r="L67" s="8">
        <v>245</v>
      </c>
      <c r="M67" s="8">
        <v>244</v>
      </c>
      <c r="N67" s="8">
        <v>426</v>
      </c>
      <c r="O67" s="8">
        <v>421</v>
      </c>
      <c r="P67" s="8">
        <v>421</v>
      </c>
      <c r="Q67" s="9" t="s">
        <v>46</v>
      </c>
      <c r="R67" s="16"/>
      <c r="S67" s="10">
        <v>19</v>
      </c>
      <c r="T67" s="10">
        <v>29</v>
      </c>
      <c r="U67" s="10">
        <v>18</v>
      </c>
      <c r="V67" s="11">
        <v>15</v>
      </c>
      <c r="W67" s="12" t="s">
        <v>47</v>
      </c>
      <c r="X67" s="17"/>
      <c r="Y67" s="13">
        <v>130</v>
      </c>
      <c r="Z67" s="13">
        <v>45</v>
      </c>
      <c r="AA67" s="13">
        <v>62</v>
      </c>
      <c r="AB67" s="14">
        <v>69</v>
      </c>
      <c r="AC67" s="9" t="s">
        <v>47</v>
      </c>
      <c r="AD67" s="16"/>
      <c r="AE67" s="10">
        <v>62</v>
      </c>
      <c r="AF67" s="10">
        <v>39</v>
      </c>
      <c r="AG67" s="10">
        <v>28</v>
      </c>
      <c r="AH67" s="11">
        <v>28</v>
      </c>
      <c r="AI67" s="12"/>
      <c r="AJ67" s="17"/>
      <c r="AK67" s="13"/>
      <c r="AL67" s="13"/>
      <c r="AM67" s="13"/>
      <c r="AN67" s="14"/>
      <c r="AO67" s="9"/>
      <c r="AP67" s="16"/>
      <c r="AQ67" s="10"/>
      <c r="AR67" s="10"/>
      <c r="AS67" s="10"/>
      <c r="AT67" s="11"/>
      <c r="AU67" s="12"/>
      <c r="AV67" s="17"/>
      <c r="AW67" s="13"/>
      <c r="AX67" s="13"/>
      <c r="AY67" s="13"/>
      <c r="AZ67" s="14"/>
      <c r="BA67" s="9"/>
      <c r="BB67" s="16"/>
      <c r="BC67" s="10"/>
      <c r="BD67" s="10"/>
      <c r="BE67" s="10"/>
      <c r="BF67" s="11"/>
      <c r="BG67" s="12"/>
      <c r="BH67" s="17"/>
      <c r="BI67" s="13"/>
      <c r="BJ67" s="13"/>
      <c r="BK67" s="13"/>
      <c r="BL67" s="14"/>
      <c r="BM67" s="8">
        <f t="shared" si="9"/>
        <v>211</v>
      </c>
      <c r="BN67" s="8">
        <f t="shared" si="10"/>
        <v>113</v>
      </c>
      <c r="BO67" s="8">
        <f t="shared" si="11"/>
        <v>108</v>
      </c>
      <c r="BP67" s="8">
        <f t="shared" si="12"/>
        <v>112</v>
      </c>
      <c r="BQ67" s="8">
        <f t="shared" si="13"/>
        <v>211</v>
      </c>
      <c r="BR67" s="8">
        <f t="shared" si="14"/>
        <v>108</v>
      </c>
      <c r="BS67" s="15">
        <f t="shared" si="15"/>
        <v>49.42448218702733</v>
      </c>
      <c r="BT67" s="15" t="str">
        <f t="shared" si="16"/>
        <v>OK - No Upgrade</v>
      </c>
      <c r="BU67" s="15" t="str">
        <f t="shared" si="17"/>
        <v>Need to Balance</v>
      </c>
    </row>
    <row r="68" spans="1:73" ht="15.75" customHeight="1" x14ac:dyDescent="0.25">
      <c r="A68" s="8" t="s">
        <v>38</v>
      </c>
      <c r="B68" s="8" t="s">
        <v>3752</v>
      </c>
      <c r="C68" s="8" t="s">
        <v>124</v>
      </c>
      <c r="D68" s="8" t="s">
        <v>3911</v>
      </c>
      <c r="E68" s="8" t="s">
        <v>3912</v>
      </c>
      <c r="F68" s="8" t="s">
        <v>56</v>
      </c>
      <c r="G68" s="8" t="s">
        <v>44</v>
      </c>
      <c r="H68" s="8">
        <v>500</v>
      </c>
      <c r="I68" s="8" t="s">
        <v>3913</v>
      </c>
      <c r="J68" s="8">
        <v>1</v>
      </c>
      <c r="K68" s="8">
        <v>239</v>
      </c>
      <c r="L68" s="8">
        <v>240</v>
      </c>
      <c r="M68" s="8">
        <v>242</v>
      </c>
      <c r="N68" s="8">
        <v>411</v>
      </c>
      <c r="O68" s="8">
        <v>415</v>
      </c>
      <c r="P68" s="8">
        <v>417</v>
      </c>
      <c r="Q68" s="9" t="s">
        <v>46</v>
      </c>
      <c r="R68" s="16"/>
      <c r="S68" s="10">
        <v>60</v>
      </c>
      <c r="T68" s="10">
        <v>65</v>
      </c>
      <c r="U68" s="10">
        <v>64</v>
      </c>
      <c r="V68" s="11">
        <v>13</v>
      </c>
      <c r="W68" s="12"/>
      <c r="X68" s="17"/>
      <c r="Y68" s="13"/>
      <c r="Z68" s="13"/>
      <c r="AA68" s="13"/>
      <c r="AB68" s="14"/>
      <c r="AC68" s="9" t="s">
        <v>47</v>
      </c>
      <c r="AD68" s="16"/>
      <c r="AE68" s="10">
        <v>161</v>
      </c>
      <c r="AF68" s="10">
        <v>94</v>
      </c>
      <c r="AG68" s="10">
        <v>32</v>
      </c>
      <c r="AH68" s="11">
        <v>118</v>
      </c>
      <c r="AI68" s="12" t="s">
        <v>46</v>
      </c>
      <c r="AJ68" s="17"/>
      <c r="AK68" s="13">
        <v>53</v>
      </c>
      <c r="AL68" s="13">
        <v>89</v>
      </c>
      <c r="AM68" s="13">
        <v>74</v>
      </c>
      <c r="AN68" s="14">
        <v>33</v>
      </c>
      <c r="AO68" s="9" t="s">
        <v>46</v>
      </c>
      <c r="AP68" s="16"/>
      <c r="AQ68" s="10">
        <v>26</v>
      </c>
      <c r="AR68" s="10">
        <v>22</v>
      </c>
      <c r="AS68" s="10">
        <v>44</v>
      </c>
      <c r="AT68" s="11">
        <v>17</v>
      </c>
      <c r="AU68" s="12" t="s">
        <v>46</v>
      </c>
      <c r="AV68" s="17"/>
      <c r="AW68" s="13">
        <v>45</v>
      </c>
      <c r="AX68" s="13">
        <v>12</v>
      </c>
      <c r="AY68" s="13">
        <v>43</v>
      </c>
      <c r="AZ68" s="14">
        <v>28</v>
      </c>
      <c r="BA68" s="9" t="s">
        <v>46</v>
      </c>
      <c r="BB68" s="16"/>
      <c r="BC68" s="10">
        <v>29</v>
      </c>
      <c r="BD68" s="10">
        <v>21</v>
      </c>
      <c r="BE68" s="10">
        <v>43</v>
      </c>
      <c r="BF68" s="11">
        <v>21</v>
      </c>
      <c r="BG68" s="12"/>
      <c r="BH68" s="17"/>
      <c r="BI68" s="13"/>
      <c r="BJ68" s="13"/>
      <c r="BK68" s="13"/>
      <c r="BL68" s="14"/>
      <c r="BM68" s="8">
        <f t="shared" ref="BM68:BM76" si="18">SUM(S68,Y68,AE68,AK68,AQ68,AW68,BC68,BI68)</f>
        <v>374</v>
      </c>
      <c r="BN68" s="8">
        <f t="shared" ref="BN68:BN76" si="19">SUM(T68,Z68,AF68,AL68,AR68,AX68,BD68,BJ68)</f>
        <v>303</v>
      </c>
      <c r="BO68" s="8">
        <f t="shared" ref="BO68:BO76" si="20">SUM(U68,AA68,AG68,AM68,AS68,AY68,BE68,BK68)</f>
        <v>300</v>
      </c>
      <c r="BP68" s="8">
        <f t="shared" ref="BP68:BP76" si="21">SUM(V68,AB68,AH68,AN68,AT68,AZ68,BF68,BL68)</f>
        <v>230</v>
      </c>
      <c r="BQ68" s="8">
        <f t="shared" ref="BQ68:BQ76" si="22">MAX(BM68:BO68)</f>
        <v>374</v>
      </c>
      <c r="BR68" s="8">
        <f t="shared" ref="BR68:BR76" si="23">MIN(BM68:BO68)</f>
        <v>300</v>
      </c>
      <c r="BS68" s="15">
        <f t="shared" ref="BS68:BS76" si="24">IF(H68&gt;0,(BQ68*SQRT(3)*IF(N68&gt;0,N68,IF(O68&gt;0,O68,IF(P68&gt;0,P68,415)))/(H68*1000))*100,0)</f>
        <v>53.24809156692848</v>
      </c>
      <c r="BT68" s="15" t="str">
        <f t="shared" ref="BT68:BT99" si="25">IF(BS68&gt;70,"Upgrade","OK - No Upgrade")</f>
        <v>OK - No Upgrade</v>
      </c>
      <c r="BU68" s="15" t="str">
        <f t="shared" ref="BU68:BU76" si="26">IF(IF(AVERAGE(BM68:BO68)&gt;0,((BQ68-AVERAGE(BM68:BO68))/AVERAGE(BM68:BO68))*100,0)&gt;10,"Need to Balance","OK - Balanced")</f>
        <v>Need to Balance</v>
      </c>
    </row>
    <row r="69" spans="1:73" ht="15.75" customHeight="1" x14ac:dyDescent="0.25">
      <c r="A69" s="8" t="s">
        <v>38</v>
      </c>
      <c r="B69" s="8" t="s">
        <v>3752</v>
      </c>
      <c r="C69" s="8" t="s">
        <v>573</v>
      </c>
      <c r="D69" s="8" t="s">
        <v>3914</v>
      </c>
      <c r="E69" s="8" t="s">
        <v>3915</v>
      </c>
      <c r="F69" s="8" t="s">
        <v>56</v>
      </c>
      <c r="G69" s="8"/>
      <c r="H69" s="8">
        <v>1000</v>
      </c>
      <c r="I69" s="8" t="s">
        <v>3916</v>
      </c>
      <c r="J69" s="8">
        <v>1</v>
      </c>
      <c r="K69" s="8">
        <v>245</v>
      </c>
      <c r="L69" s="8">
        <v>244</v>
      </c>
      <c r="M69" s="8">
        <v>245</v>
      </c>
      <c r="N69" s="8">
        <v>423</v>
      </c>
      <c r="O69" s="8">
        <v>427</v>
      </c>
      <c r="P69" s="8">
        <v>425</v>
      </c>
      <c r="Q69" s="9" t="s">
        <v>70</v>
      </c>
      <c r="R69" s="16"/>
      <c r="S69" s="10">
        <v>60</v>
      </c>
      <c r="T69" s="10">
        <v>38</v>
      </c>
      <c r="U69" s="10">
        <v>15</v>
      </c>
      <c r="V69" s="11">
        <v>15</v>
      </c>
      <c r="W69" s="12" t="s">
        <v>46</v>
      </c>
      <c r="X69" s="17"/>
      <c r="Y69" s="13">
        <v>70</v>
      </c>
      <c r="Z69" s="13">
        <v>50</v>
      </c>
      <c r="AA69" s="13">
        <v>53</v>
      </c>
      <c r="AB69" s="14">
        <v>28</v>
      </c>
      <c r="AC69" s="9"/>
      <c r="AD69" s="16"/>
      <c r="AE69" s="10"/>
      <c r="AF69" s="10"/>
      <c r="AG69" s="10"/>
      <c r="AH69" s="11"/>
      <c r="AI69" s="12"/>
      <c r="AJ69" s="17"/>
      <c r="AK69" s="13"/>
      <c r="AL69" s="13"/>
      <c r="AM69" s="13"/>
      <c r="AN69" s="14"/>
      <c r="AO69" s="9" t="s">
        <v>47</v>
      </c>
      <c r="AP69" s="16"/>
      <c r="AQ69" s="10">
        <v>123</v>
      </c>
      <c r="AR69" s="10">
        <v>118</v>
      </c>
      <c r="AS69" s="10">
        <v>146</v>
      </c>
      <c r="AT69" s="11">
        <v>33</v>
      </c>
      <c r="AU69" s="12" t="s">
        <v>47</v>
      </c>
      <c r="AV69" s="17"/>
      <c r="AW69" s="13">
        <v>13</v>
      </c>
      <c r="AX69" s="13">
        <v>11</v>
      </c>
      <c r="AY69" s="13">
        <v>4</v>
      </c>
      <c r="AZ69" s="14">
        <v>14</v>
      </c>
      <c r="BA69" s="9" t="s">
        <v>47</v>
      </c>
      <c r="BB69" s="16"/>
      <c r="BC69" s="10">
        <v>1</v>
      </c>
      <c r="BD69" s="10">
        <v>9</v>
      </c>
      <c r="BE69" s="10">
        <v>0</v>
      </c>
      <c r="BF69" s="11">
        <v>7</v>
      </c>
      <c r="BG69" s="12"/>
      <c r="BH69" s="17"/>
      <c r="BI69" s="13"/>
      <c r="BJ69" s="13"/>
      <c r="BK69" s="13"/>
      <c r="BL69" s="14"/>
      <c r="BM69" s="8">
        <f t="shared" si="18"/>
        <v>267</v>
      </c>
      <c r="BN69" s="8">
        <f t="shared" si="19"/>
        <v>226</v>
      </c>
      <c r="BO69" s="8">
        <f t="shared" si="20"/>
        <v>218</v>
      </c>
      <c r="BP69" s="8">
        <f t="shared" si="21"/>
        <v>97</v>
      </c>
      <c r="BQ69" s="8">
        <f t="shared" si="22"/>
        <v>267</v>
      </c>
      <c r="BR69" s="8">
        <f t="shared" si="23"/>
        <v>218</v>
      </c>
      <c r="BS69" s="15">
        <f t="shared" si="24"/>
        <v>19.561955025763655</v>
      </c>
      <c r="BT69" s="15" t="str">
        <f t="shared" si="25"/>
        <v>OK - No Upgrade</v>
      </c>
      <c r="BU69" s="15" t="str">
        <f t="shared" si="26"/>
        <v>Need to Balance</v>
      </c>
    </row>
    <row r="70" spans="1:73" ht="15.75" customHeight="1" x14ac:dyDescent="0.25">
      <c r="A70" s="8" t="s">
        <v>38</v>
      </c>
      <c r="B70" s="8" t="s">
        <v>3752</v>
      </c>
      <c r="C70" s="8" t="s">
        <v>573</v>
      </c>
      <c r="D70" s="8" t="s">
        <v>3914</v>
      </c>
      <c r="E70" s="8" t="s">
        <v>3915</v>
      </c>
      <c r="F70" s="8" t="s">
        <v>56</v>
      </c>
      <c r="G70" s="8" t="s">
        <v>44</v>
      </c>
      <c r="H70" s="8">
        <v>1000</v>
      </c>
      <c r="I70" s="8" t="s">
        <v>3917</v>
      </c>
      <c r="J70" s="8">
        <v>2</v>
      </c>
      <c r="K70" s="8">
        <v>242</v>
      </c>
      <c r="L70" s="8">
        <v>241</v>
      </c>
      <c r="M70" s="8">
        <v>244</v>
      </c>
      <c r="N70" s="8">
        <v>416</v>
      </c>
      <c r="O70" s="8">
        <v>421</v>
      </c>
      <c r="P70" s="8">
        <v>418</v>
      </c>
      <c r="Q70" s="9" t="s">
        <v>70</v>
      </c>
      <c r="R70" s="16"/>
      <c r="S70" s="10">
        <v>3</v>
      </c>
      <c r="T70" s="10">
        <v>39</v>
      </c>
      <c r="U70" s="10">
        <v>44</v>
      </c>
      <c r="V70" s="11">
        <v>2</v>
      </c>
      <c r="W70" s="12" t="s">
        <v>46</v>
      </c>
      <c r="X70" s="17"/>
      <c r="Y70" s="13">
        <v>64</v>
      </c>
      <c r="Z70" s="13">
        <v>97</v>
      </c>
      <c r="AA70" s="13">
        <v>103</v>
      </c>
      <c r="AB70" s="14">
        <v>45</v>
      </c>
      <c r="AC70" s="9"/>
      <c r="AD70" s="16"/>
      <c r="AE70" s="10"/>
      <c r="AF70" s="10"/>
      <c r="AG70" s="10"/>
      <c r="AH70" s="11"/>
      <c r="AI70" s="12"/>
      <c r="AJ70" s="17"/>
      <c r="AK70" s="13"/>
      <c r="AL70" s="13"/>
      <c r="AM70" s="13"/>
      <c r="AN70" s="14"/>
      <c r="AO70" s="9" t="s">
        <v>47</v>
      </c>
      <c r="AP70" s="16"/>
      <c r="AQ70" s="10">
        <v>146</v>
      </c>
      <c r="AR70" s="10">
        <v>98</v>
      </c>
      <c r="AS70" s="10">
        <v>182</v>
      </c>
      <c r="AT70" s="11">
        <v>61</v>
      </c>
      <c r="AU70" s="12" t="s">
        <v>46</v>
      </c>
      <c r="AV70" s="17"/>
      <c r="AW70" s="13">
        <v>14</v>
      </c>
      <c r="AX70" s="13">
        <v>25</v>
      </c>
      <c r="AY70" s="13">
        <v>0</v>
      </c>
      <c r="AZ70" s="14">
        <v>49</v>
      </c>
      <c r="BA70" s="9" t="s">
        <v>47</v>
      </c>
      <c r="BB70" s="16"/>
      <c r="BC70" s="10">
        <v>7</v>
      </c>
      <c r="BD70" s="10">
        <v>8</v>
      </c>
      <c r="BE70" s="10">
        <v>8</v>
      </c>
      <c r="BF70" s="11">
        <v>6</v>
      </c>
      <c r="BG70" s="12"/>
      <c r="BH70" s="17"/>
      <c r="BI70" s="13"/>
      <c r="BJ70" s="13"/>
      <c r="BK70" s="13"/>
      <c r="BL70" s="14"/>
      <c r="BM70" s="8">
        <f t="shared" si="18"/>
        <v>234</v>
      </c>
      <c r="BN70" s="8">
        <f t="shared" si="19"/>
        <v>267</v>
      </c>
      <c r="BO70" s="8">
        <f t="shared" si="20"/>
        <v>337</v>
      </c>
      <c r="BP70" s="8">
        <f t="shared" si="21"/>
        <v>163</v>
      </c>
      <c r="BQ70" s="8">
        <f t="shared" si="22"/>
        <v>337</v>
      </c>
      <c r="BR70" s="8">
        <f t="shared" si="23"/>
        <v>234</v>
      </c>
      <c r="BS70" s="15">
        <f t="shared" si="24"/>
        <v>24.281966681469605</v>
      </c>
      <c r="BT70" s="15" t="str">
        <f t="shared" si="25"/>
        <v>OK - No Upgrade</v>
      </c>
      <c r="BU70" s="15" t="str">
        <f t="shared" si="26"/>
        <v>Need to Balance</v>
      </c>
    </row>
    <row r="71" spans="1:73" ht="15.75" customHeight="1" x14ac:dyDescent="0.25">
      <c r="A71" s="8" t="s">
        <v>38</v>
      </c>
      <c r="B71" s="8" t="s">
        <v>3752</v>
      </c>
      <c r="C71" s="8" t="s">
        <v>573</v>
      </c>
      <c r="D71" s="8" t="s">
        <v>3918</v>
      </c>
      <c r="E71" s="8" t="s">
        <v>3919</v>
      </c>
      <c r="F71" s="8" t="s">
        <v>56</v>
      </c>
      <c r="G71" s="8"/>
      <c r="H71" s="8">
        <v>1000</v>
      </c>
      <c r="I71" s="8" t="s">
        <v>3920</v>
      </c>
      <c r="J71" s="8">
        <v>1</v>
      </c>
      <c r="K71" s="8">
        <v>247</v>
      </c>
      <c r="L71" s="8">
        <v>245</v>
      </c>
      <c r="M71" s="8">
        <v>243</v>
      </c>
      <c r="N71" s="8">
        <v>426</v>
      </c>
      <c r="O71" s="8">
        <v>423</v>
      </c>
      <c r="P71" s="8">
        <v>423</v>
      </c>
      <c r="Q71" s="9"/>
      <c r="R71" s="16"/>
      <c r="S71" s="10"/>
      <c r="T71" s="10"/>
      <c r="U71" s="10"/>
      <c r="V71" s="11"/>
      <c r="W71" s="12"/>
      <c r="X71" s="17"/>
      <c r="Y71" s="13"/>
      <c r="Z71" s="13"/>
      <c r="AA71" s="13"/>
      <c r="AB71" s="14"/>
      <c r="AC71" s="9" t="s">
        <v>70</v>
      </c>
      <c r="AD71" s="16"/>
      <c r="AE71" s="10">
        <v>60</v>
      </c>
      <c r="AF71" s="10">
        <v>38</v>
      </c>
      <c r="AG71" s="10">
        <v>67</v>
      </c>
      <c r="AH71" s="11">
        <v>19</v>
      </c>
      <c r="AI71" s="12" t="s">
        <v>47</v>
      </c>
      <c r="AJ71" s="17"/>
      <c r="AK71" s="13">
        <v>82</v>
      </c>
      <c r="AL71" s="13">
        <v>91</v>
      </c>
      <c r="AM71" s="13">
        <v>51</v>
      </c>
      <c r="AN71" s="14">
        <v>24</v>
      </c>
      <c r="AO71" s="9" t="s">
        <v>47</v>
      </c>
      <c r="AP71" s="16"/>
      <c r="AQ71" s="10">
        <v>7</v>
      </c>
      <c r="AR71" s="10">
        <v>0</v>
      </c>
      <c r="AS71" s="10">
        <v>1</v>
      </c>
      <c r="AT71" s="11">
        <v>4</v>
      </c>
      <c r="AU71" s="12"/>
      <c r="AV71" s="17"/>
      <c r="AW71" s="13"/>
      <c r="AX71" s="13"/>
      <c r="AY71" s="13"/>
      <c r="AZ71" s="14"/>
      <c r="BA71" s="9"/>
      <c r="BB71" s="16"/>
      <c r="BC71" s="10"/>
      <c r="BD71" s="10"/>
      <c r="BE71" s="10"/>
      <c r="BF71" s="11"/>
      <c r="BG71" s="12"/>
      <c r="BH71" s="17"/>
      <c r="BI71" s="13"/>
      <c r="BJ71" s="13"/>
      <c r="BK71" s="13"/>
      <c r="BL71" s="14"/>
      <c r="BM71" s="8">
        <f t="shared" si="18"/>
        <v>149</v>
      </c>
      <c r="BN71" s="8">
        <f t="shared" si="19"/>
        <v>129</v>
      </c>
      <c r="BO71" s="8">
        <f t="shared" si="20"/>
        <v>119</v>
      </c>
      <c r="BP71" s="8">
        <f t="shared" si="21"/>
        <v>47</v>
      </c>
      <c r="BQ71" s="8">
        <f t="shared" si="22"/>
        <v>149</v>
      </c>
      <c r="BR71" s="8">
        <f t="shared" si="23"/>
        <v>119</v>
      </c>
      <c r="BS71" s="15">
        <f t="shared" si="24"/>
        <v>10.994019295962691</v>
      </c>
      <c r="BT71" s="15" t="str">
        <f t="shared" si="25"/>
        <v>OK - No Upgrade</v>
      </c>
      <c r="BU71" s="15" t="str">
        <f t="shared" si="26"/>
        <v>Need to Balance</v>
      </c>
    </row>
    <row r="72" spans="1:73" ht="15.75" customHeight="1" x14ac:dyDescent="0.25">
      <c r="A72" s="8" t="s">
        <v>38</v>
      </c>
      <c r="B72" s="8" t="s">
        <v>3752</v>
      </c>
      <c r="C72" s="8" t="s">
        <v>573</v>
      </c>
      <c r="D72" s="8" t="s">
        <v>3918</v>
      </c>
      <c r="E72" s="8" t="s">
        <v>3919</v>
      </c>
      <c r="F72" s="8" t="s">
        <v>56</v>
      </c>
      <c r="G72" s="8" t="s">
        <v>44</v>
      </c>
      <c r="H72" s="8">
        <v>1000</v>
      </c>
      <c r="I72" s="8" t="s">
        <v>3921</v>
      </c>
      <c r="J72" s="8">
        <v>2</v>
      </c>
      <c r="K72" s="8">
        <v>245</v>
      </c>
      <c r="L72" s="8">
        <v>243</v>
      </c>
      <c r="M72" s="8">
        <v>242</v>
      </c>
      <c r="N72" s="8">
        <v>424</v>
      </c>
      <c r="O72" s="8">
        <v>422</v>
      </c>
      <c r="P72" s="8">
        <v>417</v>
      </c>
      <c r="Q72" s="9"/>
      <c r="R72" s="16"/>
      <c r="S72" s="10"/>
      <c r="T72" s="10"/>
      <c r="U72" s="10"/>
      <c r="V72" s="11"/>
      <c r="W72" s="12"/>
      <c r="X72" s="17"/>
      <c r="Y72" s="13"/>
      <c r="Z72" s="13"/>
      <c r="AA72" s="13"/>
      <c r="AB72" s="14"/>
      <c r="AC72" s="9" t="s">
        <v>70</v>
      </c>
      <c r="AD72" s="16"/>
      <c r="AE72" s="10">
        <v>64</v>
      </c>
      <c r="AF72" s="10">
        <v>45</v>
      </c>
      <c r="AG72" s="10">
        <v>7</v>
      </c>
      <c r="AH72" s="11">
        <v>4</v>
      </c>
      <c r="AI72" s="12" t="s">
        <v>47</v>
      </c>
      <c r="AJ72" s="17"/>
      <c r="AK72" s="13">
        <v>26</v>
      </c>
      <c r="AL72" s="13">
        <v>123</v>
      </c>
      <c r="AM72" s="13">
        <v>33</v>
      </c>
      <c r="AN72" s="14">
        <v>77</v>
      </c>
      <c r="AO72" s="9" t="s">
        <v>70</v>
      </c>
      <c r="AP72" s="16"/>
      <c r="AQ72" s="10">
        <v>0</v>
      </c>
      <c r="AR72" s="10">
        <v>0</v>
      </c>
      <c r="AS72" s="10">
        <v>0</v>
      </c>
      <c r="AT72" s="11">
        <v>0</v>
      </c>
      <c r="AU72" s="12"/>
      <c r="AV72" s="17"/>
      <c r="AW72" s="13"/>
      <c r="AX72" s="13"/>
      <c r="AY72" s="13"/>
      <c r="AZ72" s="14"/>
      <c r="BA72" s="9"/>
      <c r="BB72" s="16"/>
      <c r="BC72" s="10"/>
      <c r="BD72" s="10"/>
      <c r="BE72" s="10"/>
      <c r="BF72" s="11"/>
      <c r="BG72" s="12"/>
      <c r="BH72" s="17"/>
      <c r="BI72" s="13"/>
      <c r="BJ72" s="13"/>
      <c r="BK72" s="13"/>
      <c r="BL72" s="14"/>
      <c r="BM72" s="8">
        <f t="shared" si="18"/>
        <v>90</v>
      </c>
      <c r="BN72" s="8">
        <f t="shared" si="19"/>
        <v>168</v>
      </c>
      <c r="BO72" s="8">
        <f t="shared" si="20"/>
        <v>40</v>
      </c>
      <c r="BP72" s="8">
        <f t="shared" si="21"/>
        <v>81</v>
      </c>
      <c r="BQ72" s="8">
        <f t="shared" si="22"/>
        <v>168</v>
      </c>
      <c r="BR72" s="8">
        <f t="shared" si="23"/>
        <v>40</v>
      </c>
      <c r="BS72" s="15">
        <f t="shared" si="24"/>
        <v>12.337744312474626</v>
      </c>
      <c r="BT72" s="15" t="str">
        <f t="shared" si="25"/>
        <v>OK - No Upgrade</v>
      </c>
      <c r="BU72" s="15" t="str">
        <f t="shared" si="26"/>
        <v>Need to Balance</v>
      </c>
    </row>
    <row r="73" spans="1:73" ht="15.75" customHeight="1" x14ac:dyDescent="0.25">
      <c r="A73" s="8" t="s">
        <v>38</v>
      </c>
      <c r="B73" s="8" t="s">
        <v>3752</v>
      </c>
      <c r="C73" s="8" t="s">
        <v>573</v>
      </c>
      <c r="D73" s="8" t="s">
        <v>3922</v>
      </c>
      <c r="E73" s="8" t="s">
        <v>3923</v>
      </c>
      <c r="F73" s="8" t="s">
        <v>56</v>
      </c>
      <c r="G73" s="8"/>
      <c r="H73" s="8">
        <v>1000</v>
      </c>
      <c r="I73" s="8" t="s">
        <v>3924</v>
      </c>
      <c r="J73" s="8">
        <v>1</v>
      </c>
      <c r="K73" s="8">
        <v>245</v>
      </c>
      <c r="L73" s="8">
        <v>244</v>
      </c>
      <c r="M73" s="8">
        <v>247</v>
      </c>
      <c r="N73" s="8">
        <v>421</v>
      </c>
      <c r="O73" s="8">
        <v>426</v>
      </c>
      <c r="P73" s="8">
        <v>425</v>
      </c>
      <c r="Q73" s="9" t="s">
        <v>46</v>
      </c>
      <c r="R73" s="16"/>
      <c r="S73" s="10">
        <v>1</v>
      </c>
      <c r="T73" s="10">
        <v>1</v>
      </c>
      <c r="U73" s="10">
        <v>0</v>
      </c>
      <c r="V73" s="11">
        <v>2</v>
      </c>
      <c r="W73" s="12" t="s">
        <v>47</v>
      </c>
      <c r="X73" s="17"/>
      <c r="Y73" s="13">
        <v>50</v>
      </c>
      <c r="Z73" s="13">
        <v>4</v>
      </c>
      <c r="AA73" s="13">
        <v>34</v>
      </c>
      <c r="AB73" s="14">
        <v>32</v>
      </c>
      <c r="AC73" s="9" t="s">
        <v>47</v>
      </c>
      <c r="AD73" s="16"/>
      <c r="AE73" s="10">
        <v>61</v>
      </c>
      <c r="AF73" s="10">
        <v>43</v>
      </c>
      <c r="AG73" s="10">
        <v>41</v>
      </c>
      <c r="AH73" s="11">
        <v>20</v>
      </c>
      <c r="AI73" s="12" t="s">
        <v>47</v>
      </c>
      <c r="AJ73" s="17"/>
      <c r="AK73" s="13">
        <v>23</v>
      </c>
      <c r="AL73" s="13">
        <v>9</v>
      </c>
      <c r="AM73" s="13">
        <v>0</v>
      </c>
      <c r="AN73" s="14">
        <v>29</v>
      </c>
      <c r="AO73" s="9" t="s">
        <v>47</v>
      </c>
      <c r="AP73" s="16"/>
      <c r="AQ73" s="10">
        <v>35</v>
      </c>
      <c r="AR73" s="10">
        <v>23</v>
      </c>
      <c r="AS73" s="10">
        <v>1</v>
      </c>
      <c r="AT73" s="11">
        <v>34</v>
      </c>
      <c r="AU73" s="12" t="s">
        <v>47</v>
      </c>
      <c r="AV73" s="17"/>
      <c r="AW73" s="13">
        <v>34</v>
      </c>
      <c r="AX73" s="13">
        <v>30</v>
      </c>
      <c r="AY73" s="13">
        <v>28</v>
      </c>
      <c r="AZ73" s="14">
        <v>13</v>
      </c>
      <c r="BA73" s="9" t="s">
        <v>47</v>
      </c>
      <c r="BB73" s="16"/>
      <c r="BC73" s="10">
        <v>22</v>
      </c>
      <c r="BD73" s="10">
        <v>9</v>
      </c>
      <c r="BE73" s="10">
        <v>2</v>
      </c>
      <c r="BF73" s="11">
        <v>15</v>
      </c>
      <c r="BG73" s="12" t="s">
        <v>47</v>
      </c>
      <c r="BH73" s="17"/>
      <c r="BI73" s="13">
        <v>102</v>
      </c>
      <c r="BJ73" s="13">
        <v>56</v>
      </c>
      <c r="BK73" s="13">
        <v>62</v>
      </c>
      <c r="BL73" s="14">
        <v>33</v>
      </c>
      <c r="BM73" s="8">
        <f t="shared" si="18"/>
        <v>328</v>
      </c>
      <c r="BN73" s="8">
        <f t="shared" si="19"/>
        <v>175</v>
      </c>
      <c r="BO73" s="8">
        <f t="shared" si="20"/>
        <v>168</v>
      </c>
      <c r="BP73" s="8">
        <f t="shared" si="21"/>
        <v>178</v>
      </c>
      <c r="BQ73" s="8">
        <f t="shared" si="22"/>
        <v>328</v>
      </c>
      <c r="BR73" s="8">
        <f t="shared" si="23"/>
        <v>168</v>
      </c>
      <c r="BS73" s="15">
        <f t="shared" si="24"/>
        <v>23.917543191557115</v>
      </c>
      <c r="BT73" s="15" t="str">
        <f t="shared" si="25"/>
        <v>OK - No Upgrade</v>
      </c>
      <c r="BU73" s="15" t="str">
        <f t="shared" si="26"/>
        <v>Need to Balance</v>
      </c>
    </row>
    <row r="74" spans="1:73" ht="15.75" customHeight="1" x14ac:dyDescent="0.25">
      <c r="A74" s="8" t="s">
        <v>38</v>
      </c>
      <c r="B74" s="8" t="s">
        <v>3752</v>
      </c>
      <c r="C74" s="8" t="s">
        <v>573</v>
      </c>
      <c r="D74" s="8" t="s">
        <v>3922</v>
      </c>
      <c r="E74" s="8" t="s">
        <v>3923</v>
      </c>
      <c r="F74" s="8" t="s">
        <v>56</v>
      </c>
      <c r="G74" s="8" t="s">
        <v>44</v>
      </c>
      <c r="H74" s="8">
        <v>1000</v>
      </c>
      <c r="I74" s="8" t="s">
        <v>3925</v>
      </c>
      <c r="J74" s="8">
        <v>2</v>
      </c>
      <c r="K74" s="8">
        <v>242</v>
      </c>
      <c r="L74" s="8">
        <v>243</v>
      </c>
      <c r="M74" s="8">
        <v>246</v>
      </c>
      <c r="N74" s="8">
        <v>417</v>
      </c>
      <c r="O74" s="8">
        <v>424</v>
      </c>
      <c r="P74" s="8">
        <v>422</v>
      </c>
      <c r="Q74" s="9" t="s">
        <v>46</v>
      </c>
      <c r="R74" s="16"/>
      <c r="S74" s="10">
        <v>39</v>
      </c>
      <c r="T74" s="10">
        <v>6</v>
      </c>
      <c r="U74" s="10">
        <v>7</v>
      </c>
      <c r="V74" s="11">
        <v>28</v>
      </c>
      <c r="W74" s="12" t="s">
        <v>47</v>
      </c>
      <c r="X74" s="17"/>
      <c r="Y74" s="13">
        <v>151</v>
      </c>
      <c r="Z74" s="13">
        <v>60</v>
      </c>
      <c r="AA74" s="13">
        <v>45</v>
      </c>
      <c r="AB74" s="14">
        <v>83</v>
      </c>
      <c r="AC74" s="9" t="s">
        <v>47</v>
      </c>
      <c r="AD74" s="16"/>
      <c r="AE74" s="10">
        <v>2</v>
      </c>
      <c r="AF74" s="10">
        <v>8</v>
      </c>
      <c r="AG74" s="10">
        <v>2</v>
      </c>
      <c r="AH74" s="11">
        <v>7</v>
      </c>
      <c r="AI74" s="12" t="s">
        <v>47</v>
      </c>
      <c r="AJ74" s="17"/>
      <c r="AK74" s="13">
        <v>11</v>
      </c>
      <c r="AL74" s="13">
        <v>8</v>
      </c>
      <c r="AM74" s="13">
        <v>12</v>
      </c>
      <c r="AN74" s="14">
        <v>11</v>
      </c>
      <c r="AO74" s="9" t="s">
        <v>47</v>
      </c>
      <c r="AP74" s="16"/>
      <c r="AQ74" s="10">
        <v>25</v>
      </c>
      <c r="AR74" s="10">
        <v>19</v>
      </c>
      <c r="AS74" s="10">
        <v>20</v>
      </c>
      <c r="AT74" s="11">
        <v>18</v>
      </c>
      <c r="AU74" s="12" t="s">
        <v>47</v>
      </c>
      <c r="AV74" s="17"/>
      <c r="AW74" s="13">
        <v>37</v>
      </c>
      <c r="AX74" s="13">
        <v>11</v>
      </c>
      <c r="AY74" s="13">
        <v>50</v>
      </c>
      <c r="AZ74" s="14">
        <v>43</v>
      </c>
      <c r="BA74" s="9" t="s">
        <v>47</v>
      </c>
      <c r="BB74" s="16"/>
      <c r="BC74" s="10">
        <v>38</v>
      </c>
      <c r="BD74" s="10">
        <v>29</v>
      </c>
      <c r="BE74" s="10">
        <v>20</v>
      </c>
      <c r="BF74" s="11">
        <v>15</v>
      </c>
      <c r="BG74" s="12" t="s">
        <v>47</v>
      </c>
      <c r="BH74" s="17"/>
      <c r="BI74" s="13">
        <v>152</v>
      </c>
      <c r="BJ74" s="13">
        <v>38</v>
      </c>
      <c r="BK74" s="13">
        <v>58</v>
      </c>
      <c r="BL74" s="14">
        <v>89</v>
      </c>
      <c r="BM74" s="8">
        <f t="shared" si="18"/>
        <v>455</v>
      </c>
      <c r="BN74" s="8">
        <f t="shared" si="19"/>
        <v>179</v>
      </c>
      <c r="BO74" s="8">
        <f t="shared" si="20"/>
        <v>214</v>
      </c>
      <c r="BP74" s="8">
        <f t="shared" si="21"/>
        <v>294</v>
      </c>
      <c r="BQ74" s="8">
        <f t="shared" si="22"/>
        <v>455</v>
      </c>
      <c r="BR74" s="8">
        <f t="shared" si="23"/>
        <v>179</v>
      </c>
      <c r="BS74" s="15">
        <f t="shared" si="24"/>
        <v>32.863065997408093</v>
      </c>
      <c r="BT74" s="15" t="str">
        <f t="shared" si="25"/>
        <v>OK - No Upgrade</v>
      </c>
      <c r="BU74" s="15" t="str">
        <f t="shared" si="26"/>
        <v>Need to Balance</v>
      </c>
    </row>
    <row r="75" spans="1:73" ht="15.75" customHeight="1" x14ac:dyDescent="0.25">
      <c r="A75" s="8" t="s">
        <v>38</v>
      </c>
      <c r="B75" s="8" t="s">
        <v>3752</v>
      </c>
      <c r="C75" s="8" t="s">
        <v>512</v>
      </c>
      <c r="D75" s="8" t="s">
        <v>3926</v>
      </c>
      <c r="E75" s="8" t="s">
        <v>3927</v>
      </c>
      <c r="F75" s="8" t="s">
        <v>56</v>
      </c>
      <c r="G75" s="8"/>
      <c r="H75" s="8">
        <v>1000</v>
      </c>
      <c r="I75" s="8" t="s">
        <v>3928</v>
      </c>
      <c r="J75" s="8">
        <v>1</v>
      </c>
      <c r="K75" s="8">
        <v>241</v>
      </c>
      <c r="L75" s="8">
        <v>241</v>
      </c>
      <c r="M75" s="8">
        <v>242</v>
      </c>
      <c r="N75" s="8">
        <v>417</v>
      </c>
      <c r="O75" s="8">
        <v>419</v>
      </c>
      <c r="P75" s="8">
        <v>418</v>
      </c>
      <c r="Q75" s="9"/>
      <c r="R75" s="16"/>
      <c r="S75" s="10"/>
      <c r="T75" s="10"/>
      <c r="U75" s="10"/>
      <c r="V75" s="11"/>
      <c r="W75" s="12" t="s">
        <v>70</v>
      </c>
      <c r="X75" s="17"/>
      <c r="Y75" s="13">
        <v>31</v>
      </c>
      <c r="Z75" s="13">
        <v>29</v>
      </c>
      <c r="AA75" s="13">
        <v>26</v>
      </c>
      <c r="AB75" s="14">
        <v>8</v>
      </c>
      <c r="AC75" s="9" t="s">
        <v>70</v>
      </c>
      <c r="AD75" s="16"/>
      <c r="AE75" s="10">
        <v>25</v>
      </c>
      <c r="AF75" s="10">
        <v>30</v>
      </c>
      <c r="AG75" s="10">
        <v>26</v>
      </c>
      <c r="AH75" s="11">
        <v>11</v>
      </c>
      <c r="AI75" s="12" t="s">
        <v>70</v>
      </c>
      <c r="AJ75" s="17"/>
      <c r="AK75" s="13">
        <v>35</v>
      </c>
      <c r="AL75" s="13">
        <v>33</v>
      </c>
      <c r="AM75" s="13">
        <v>29</v>
      </c>
      <c r="AN75" s="14">
        <v>26</v>
      </c>
      <c r="AO75" s="9" t="s">
        <v>70</v>
      </c>
      <c r="AP75" s="16"/>
      <c r="AQ75" s="10">
        <v>266</v>
      </c>
      <c r="AR75" s="10">
        <v>246</v>
      </c>
      <c r="AS75" s="10">
        <v>170</v>
      </c>
      <c r="AT75" s="11">
        <v>7</v>
      </c>
      <c r="AU75" s="12" t="s">
        <v>70</v>
      </c>
      <c r="AV75" s="17"/>
      <c r="AW75" s="13">
        <v>267</v>
      </c>
      <c r="AX75" s="13">
        <v>115</v>
      </c>
      <c r="AY75" s="13">
        <v>289</v>
      </c>
      <c r="AZ75" s="14">
        <v>10</v>
      </c>
      <c r="BA75" s="9"/>
      <c r="BB75" s="16"/>
      <c r="BC75" s="10"/>
      <c r="BD75" s="10"/>
      <c r="BE75" s="10"/>
      <c r="BF75" s="11"/>
      <c r="BG75" s="12"/>
      <c r="BH75" s="17"/>
      <c r="BI75" s="13"/>
      <c r="BJ75" s="13"/>
      <c r="BK75" s="13"/>
      <c r="BL75" s="14"/>
      <c r="BM75" s="8">
        <f t="shared" si="18"/>
        <v>624</v>
      </c>
      <c r="BN75" s="8">
        <f t="shared" si="19"/>
        <v>453</v>
      </c>
      <c r="BO75" s="8">
        <f t="shared" si="20"/>
        <v>540</v>
      </c>
      <c r="BP75" s="8">
        <f t="shared" si="21"/>
        <v>62</v>
      </c>
      <c r="BQ75" s="8">
        <f t="shared" si="22"/>
        <v>624</v>
      </c>
      <c r="BR75" s="8">
        <f t="shared" si="23"/>
        <v>453</v>
      </c>
      <c r="BS75" s="15">
        <f t="shared" si="24"/>
        <v>45.069347653588245</v>
      </c>
      <c r="BT75" s="15" t="str">
        <f t="shared" si="25"/>
        <v>OK - No Upgrade</v>
      </c>
      <c r="BU75" s="15" t="str">
        <f t="shared" si="26"/>
        <v>Need to Balance</v>
      </c>
    </row>
    <row r="76" spans="1:73" ht="15.75" customHeight="1" x14ac:dyDescent="0.25">
      <c r="A76" s="8" t="s">
        <v>38</v>
      </c>
      <c r="B76" s="8" t="s">
        <v>3752</v>
      </c>
      <c r="C76" s="8" t="s">
        <v>512</v>
      </c>
      <c r="D76" s="8" t="s">
        <v>3926</v>
      </c>
      <c r="E76" s="8" t="s">
        <v>3927</v>
      </c>
      <c r="F76" s="8" t="s">
        <v>56</v>
      </c>
      <c r="G76" s="8"/>
      <c r="H76" s="8">
        <v>1000</v>
      </c>
      <c r="I76" s="8" t="s">
        <v>3929</v>
      </c>
      <c r="J76" s="8">
        <v>2</v>
      </c>
      <c r="K76" s="8">
        <v>239</v>
      </c>
      <c r="L76" s="8">
        <v>239</v>
      </c>
      <c r="M76" s="8">
        <v>240</v>
      </c>
      <c r="N76" s="8">
        <v>413</v>
      </c>
      <c r="O76" s="8">
        <v>415</v>
      </c>
      <c r="P76" s="8">
        <v>413</v>
      </c>
      <c r="Q76" s="9"/>
      <c r="R76" s="16"/>
      <c r="S76" s="10"/>
      <c r="T76" s="10"/>
      <c r="U76" s="10"/>
      <c r="V76" s="11"/>
      <c r="W76" s="12" t="s">
        <v>70</v>
      </c>
      <c r="X76" s="17"/>
      <c r="Y76" s="13">
        <v>39</v>
      </c>
      <c r="Z76" s="13">
        <v>43</v>
      </c>
      <c r="AA76" s="13">
        <v>42</v>
      </c>
      <c r="AB76" s="14">
        <v>7</v>
      </c>
      <c r="AC76" s="9" t="s">
        <v>70</v>
      </c>
      <c r="AD76" s="16"/>
      <c r="AE76" s="10">
        <v>41</v>
      </c>
      <c r="AF76" s="10">
        <v>45</v>
      </c>
      <c r="AG76" s="10">
        <v>43</v>
      </c>
      <c r="AH76" s="11">
        <v>5</v>
      </c>
      <c r="AI76" s="12" t="s">
        <v>70</v>
      </c>
      <c r="AJ76" s="17"/>
      <c r="AK76" s="13">
        <v>42</v>
      </c>
      <c r="AL76" s="13">
        <v>35</v>
      </c>
      <c r="AM76" s="13">
        <v>42</v>
      </c>
      <c r="AN76" s="14">
        <v>15</v>
      </c>
      <c r="AO76" s="9"/>
      <c r="AP76" s="16"/>
      <c r="AQ76" s="10">
        <v>175</v>
      </c>
      <c r="AR76" s="10">
        <v>278</v>
      </c>
      <c r="AS76" s="10">
        <v>187</v>
      </c>
      <c r="AT76" s="11">
        <v>7</v>
      </c>
      <c r="AU76" s="12" t="s">
        <v>70</v>
      </c>
      <c r="AV76" s="17"/>
      <c r="AW76" s="13">
        <v>255</v>
      </c>
      <c r="AX76" s="13">
        <v>97</v>
      </c>
      <c r="AY76" s="13">
        <v>271</v>
      </c>
      <c r="AZ76" s="14">
        <v>7</v>
      </c>
      <c r="BA76" s="9"/>
      <c r="BB76" s="16"/>
      <c r="BC76" s="10"/>
      <c r="BD76" s="10"/>
      <c r="BE76" s="10"/>
      <c r="BF76" s="11"/>
      <c r="BG76" s="12"/>
      <c r="BH76" s="17"/>
      <c r="BI76" s="13"/>
      <c r="BJ76" s="13"/>
      <c r="BK76" s="13"/>
      <c r="BL76" s="14"/>
      <c r="BM76" s="8">
        <f t="shared" si="18"/>
        <v>552</v>
      </c>
      <c r="BN76" s="8">
        <f t="shared" si="19"/>
        <v>498</v>
      </c>
      <c r="BO76" s="8">
        <f t="shared" si="20"/>
        <v>585</v>
      </c>
      <c r="BP76" s="8">
        <f t="shared" si="21"/>
        <v>41</v>
      </c>
      <c r="BQ76" s="8">
        <f t="shared" si="22"/>
        <v>585</v>
      </c>
      <c r="BR76" s="8">
        <f t="shared" si="23"/>
        <v>498</v>
      </c>
      <c r="BS76" s="15">
        <f t="shared" si="24"/>
        <v>41.847213536267859</v>
      </c>
      <c r="BT76" s="15" t="str">
        <f t="shared" si="25"/>
        <v>OK - No Upgrade</v>
      </c>
      <c r="BU76" s="15" t="str">
        <f t="shared" si="26"/>
        <v>OK - Balanced</v>
      </c>
    </row>
  </sheetData>
  <mergeCells count="79">
    <mergeCell ref="BU1:BU3"/>
    <mergeCell ref="BI2:BI3"/>
    <mergeCell ref="AE2:AE3"/>
    <mergeCell ref="AG2:AG3"/>
    <mergeCell ref="Y2:Y3"/>
    <mergeCell ref="AQ2:AQ3"/>
    <mergeCell ref="AS2:AS3"/>
    <mergeCell ref="AY2:AY3"/>
    <mergeCell ref="BK2:BK3"/>
    <mergeCell ref="AZ2:AZ3"/>
    <mergeCell ref="BB2:BB3"/>
    <mergeCell ref="BL2:BL3"/>
    <mergeCell ref="BN2:BN3"/>
    <mergeCell ref="AU1:AZ1"/>
    <mergeCell ref="AJ2:AJ3"/>
    <mergeCell ref="AL2:AL3"/>
    <mergeCell ref="BR1:BR3"/>
    <mergeCell ref="H1:H3"/>
    <mergeCell ref="AR2:AR3"/>
    <mergeCell ref="AT2:AT3"/>
    <mergeCell ref="E1:E3"/>
    <mergeCell ref="BF2:BF3"/>
    <mergeCell ref="K2:M2"/>
    <mergeCell ref="F1:F3"/>
    <mergeCell ref="J1:J3"/>
    <mergeCell ref="R2:R3"/>
    <mergeCell ref="AD2:AD3"/>
    <mergeCell ref="AN2:AN3"/>
    <mergeCell ref="AP2:AP3"/>
    <mergeCell ref="A1:A3"/>
    <mergeCell ref="BA1:BF1"/>
    <mergeCell ref="C1:C3"/>
    <mergeCell ref="D1:D2"/>
    <mergeCell ref="BQ1:BQ3"/>
    <mergeCell ref="BS1:BS3"/>
    <mergeCell ref="BA2:BA3"/>
    <mergeCell ref="S2:S3"/>
    <mergeCell ref="BC2:BC3"/>
    <mergeCell ref="K1:P1"/>
    <mergeCell ref="BM2:BM3"/>
    <mergeCell ref="BO2:BO3"/>
    <mergeCell ref="W1:AB1"/>
    <mergeCell ref="Q1:V1"/>
    <mergeCell ref="BP2:BP3"/>
    <mergeCell ref="AC1:AH1"/>
    <mergeCell ref="AO1:AT1"/>
    <mergeCell ref="Z2:Z3"/>
    <mergeCell ref="B1:B3"/>
    <mergeCell ref="AI1:AN1"/>
    <mergeCell ref="V2:V3"/>
    <mergeCell ref="X2:X3"/>
    <mergeCell ref="BG1:BL1"/>
    <mergeCell ref="BD2:BD3"/>
    <mergeCell ref="AV2:AV3"/>
    <mergeCell ref="AX2:AX3"/>
    <mergeCell ref="I1:I3"/>
    <mergeCell ref="BH2:BH3"/>
    <mergeCell ref="BJ2:BJ3"/>
    <mergeCell ref="AF2:AF3"/>
    <mergeCell ref="AH2:AH3"/>
    <mergeCell ref="Q2:Q3"/>
    <mergeCell ref="AI2:AI3"/>
    <mergeCell ref="AK2:AK3"/>
    <mergeCell ref="N2:P2"/>
    <mergeCell ref="G1:G3"/>
    <mergeCell ref="U2:U3"/>
    <mergeCell ref="BT1:BT3"/>
    <mergeCell ref="BE2:BE3"/>
    <mergeCell ref="W2:W3"/>
    <mergeCell ref="BG2:BG3"/>
    <mergeCell ref="AA2:AA3"/>
    <mergeCell ref="AC2:AC3"/>
    <mergeCell ref="AM2:AM3"/>
    <mergeCell ref="AO2:AO3"/>
    <mergeCell ref="BM1:BP1"/>
    <mergeCell ref="AU2:AU3"/>
    <mergeCell ref="AW2:AW3"/>
    <mergeCell ref="AB2:AB3"/>
    <mergeCell ref="T2:T3"/>
  </mergeCells>
  <dataValidations count="1">
    <dataValidation type="list" allowBlank="1" errorTitle="Invalid value" error="Please choose Cu or Al" promptTitle="Cable Type" prompt="Choose cable material" sqref="R4:R76 BH4:BH76 BB4:BB76 AV4:AV76 AP4:AP76 AJ4:AJ76 AD4:AD76 X4:X76" xr:uid="{00000000-0002-0000-1300-000000000000}">
      <formula1>"Cu,Al"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U47"/>
  <sheetViews>
    <sheetView workbookViewId="0"/>
  </sheetViews>
  <sheetFormatPr defaultRowHeight="15" x14ac:dyDescent="0.25"/>
  <cols>
    <col min="1" max="1" width="12.85546875" customWidth="1"/>
    <col min="2" max="2" width="14.85546875" customWidth="1"/>
    <col min="3" max="3" width="9.85546875" customWidth="1"/>
    <col min="4" max="4" width="20.85546875" customWidth="1"/>
    <col min="5" max="5" width="8.85546875" customWidth="1"/>
    <col min="6" max="6" width="10.85546875" customWidth="1"/>
    <col min="7" max="7" width="5.85546875" customWidth="1"/>
    <col min="8" max="8" width="9.85546875" customWidth="1"/>
    <col min="9" max="9" width="10.85546875" customWidth="1"/>
    <col min="10" max="10" width="5.85546875" customWidth="1"/>
    <col min="11" max="11" width="7.85546875" customWidth="1"/>
    <col min="12" max="16" width="6.85546875" customWidth="1"/>
    <col min="17" max="17" width="8.85546875" customWidth="1"/>
    <col min="18" max="21" width="6.85546875" customWidth="1"/>
    <col min="22" max="22" width="8.85546875" customWidth="1"/>
    <col min="23" max="26" width="6.85546875" customWidth="1"/>
    <col min="27" max="27" width="8.85546875" customWidth="1"/>
    <col min="28" max="31" width="6.85546875" customWidth="1"/>
    <col min="32" max="32" width="8.85546875" customWidth="1"/>
    <col min="33" max="36" width="6.85546875" customWidth="1"/>
    <col min="37" max="37" width="8.85546875" customWidth="1"/>
    <col min="38" max="41" width="6.85546875" customWidth="1"/>
    <col min="42" max="42" width="8.85546875" customWidth="1"/>
    <col min="43" max="46" width="6.85546875" customWidth="1"/>
    <col min="47" max="47" width="8.85546875" customWidth="1"/>
    <col min="48" max="51" width="6.85546875" customWidth="1"/>
    <col min="52" max="52" width="8.85546875" customWidth="1"/>
    <col min="53" max="60" width="6.85546875" customWidth="1"/>
    <col min="61" max="62" width="7.85546875" customWidth="1"/>
    <col min="63" max="63" width="9.85546875" customWidth="1"/>
    <col min="64" max="65" width="24.85546875" customWidth="1"/>
  </cols>
  <sheetData>
    <row r="1" spans="1:73" ht="19.5" customHeight="1" x14ac:dyDescent="0.25">
      <c r="A1" s="21" t="s">
        <v>0</v>
      </c>
      <c r="B1" s="21" t="s">
        <v>1</v>
      </c>
      <c r="C1" s="21" t="s">
        <v>2</v>
      </c>
      <c r="D1" s="38" t="s">
        <v>3</v>
      </c>
      <c r="E1" s="21" t="s">
        <v>4</v>
      </c>
      <c r="F1" s="40" t="s">
        <v>5</v>
      </c>
      <c r="G1" s="21" t="s">
        <v>6</v>
      </c>
      <c r="H1" s="21" t="s">
        <v>7</v>
      </c>
      <c r="I1" s="21" t="s">
        <v>8</v>
      </c>
      <c r="J1" s="41" t="s">
        <v>9</v>
      </c>
      <c r="K1" s="18" t="s">
        <v>10</v>
      </c>
      <c r="L1" s="19"/>
      <c r="M1" s="19"/>
      <c r="N1" s="19"/>
      <c r="O1" s="19"/>
      <c r="P1" s="20"/>
      <c r="Q1" s="29" t="s">
        <v>11</v>
      </c>
      <c r="R1" s="30"/>
      <c r="S1" s="30"/>
      <c r="T1" s="30"/>
      <c r="U1" s="30"/>
      <c r="V1" s="31"/>
      <c r="W1" s="29" t="s">
        <v>12</v>
      </c>
      <c r="X1" s="30"/>
      <c r="Y1" s="30"/>
      <c r="Z1" s="30"/>
      <c r="AA1" s="30"/>
      <c r="AB1" s="31"/>
      <c r="AC1" s="29" t="s">
        <v>13</v>
      </c>
      <c r="AD1" s="30"/>
      <c r="AE1" s="30"/>
      <c r="AF1" s="30"/>
      <c r="AG1" s="30"/>
      <c r="AH1" s="31"/>
      <c r="AI1" s="29" t="s">
        <v>14</v>
      </c>
      <c r="AJ1" s="30"/>
      <c r="AK1" s="30"/>
      <c r="AL1" s="30"/>
      <c r="AM1" s="30"/>
      <c r="AN1" s="31"/>
      <c r="AO1" s="29" t="s">
        <v>15</v>
      </c>
      <c r="AP1" s="30"/>
      <c r="AQ1" s="30"/>
      <c r="AR1" s="30"/>
      <c r="AS1" s="30"/>
      <c r="AT1" s="31"/>
      <c r="AU1" s="29" t="s">
        <v>16</v>
      </c>
      <c r="AV1" s="30"/>
      <c r="AW1" s="30"/>
      <c r="AX1" s="30"/>
      <c r="AY1" s="30"/>
      <c r="AZ1" s="31"/>
      <c r="BA1" s="29" t="s">
        <v>17</v>
      </c>
      <c r="BB1" s="30"/>
      <c r="BC1" s="30"/>
      <c r="BD1" s="30"/>
      <c r="BE1" s="30"/>
      <c r="BF1" s="31"/>
      <c r="BG1" s="29" t="s">
        <v>18</v>
      </c>
      <c r="BH1" s="30"/>
      <c r="BI1" s="30"/>
      <c r="BJ1" s="30"/>
      <c r="BK1" s="30"/>
      <c r="BL1" s="31"/>
      <c r="BM1" s="37" t="s">
        <v>19</v>
      </c>
      <c r="BN1" s="19"/>
      <c r="BO1" s="19"/>
      <c r="BP1" s="20"/>
      <c r="BQ1" s="18" t="s">
        <v>20</v>
      </c>
      <c r="BR1" s="18" t="s">
        <v>21</v>
      </c>
      <c r="BS1" s="39" t="s">
        <v>22</v>
      </c>
      <c r="BT1" s="26" t="s">
        <v>23</v>
      </c>
      <c r="BU1" s="26" t="s">
        <v>24</v>
      </c>
    </row>
    <row r="2" spans="1:73" ht="19.5" customHeight="1" x14ac:dyDescent="0.25">
      <c r="A2" s="22"/>
      <c r="B2" s="22"/>
      <c r="C2" s="22"/>
      <c r="D2" s="23"/>
      <c r="E2" s="22"/>
      <c r="F2" s="22"/>
      <c r="G2" s="22"/>
      <c r="H2" s="22"/>
      <c r="I2" s="22"/>
      <c r="J2" s="22"/>
      <c r="K2" s="18" t="s">
        <v>25</v>
      </c>
      <c r="L2" s="19"/>
      <c r="M2" s="20"/>
      <c r="N2" s="18" t="s">
        <v>26</v>
      </c>
      <c r="O2" s="19"/>
      <c r="P2" s="20"/>
      <c r="Q2" s="27" t="s">
        <v>27</v>
      </c>
      <c r="R2" s="34" t="s">
        <v>5</v>
      </c>
      <c r="S2" s="36" t="s">
        <v>28</v>
      </c>
      <c r="T2" s="35" t="s">
        <v>29</v>
      </c>
      <c r="U2" s="24" t="s">
        <v>30</v>
      </c>
      <c r="V2" s="32" t="s">
        <v>31</v>
      </c>
      <c r="W2" s="27" t="s">
        <v>27</v>
      </c>
      <c r="X2" s="34" t="s">
        <v>5</v>
      </c>
      <c r="Y2" s="36" t="s">
        <v>28</v>
      </c>
      <c r="Z2" s="35" t="s">
        <v>29</v>
      </c>
      <c r="AA2" s="24" t="s">
        <v>30</v>
      </c>
      <c r="AB2" s="32" t="s">
        <v>31</v>
      </c>
      <c r="AC2" s="27" t="s">
        <v>27</v>
      </c>
      <c r="AD2" s="34" t="s">
        <v>5</v>
      </c>
      <c r="AE2" s="36" t="s">
        <v>28</v>
      </c>
      <c r="AF2" s="35" t="s">
        <v>29</v>
      </c>
      <c r="AG2" s="24" t="s">
        <v>30</v>
      </c>
      <c r="AH2" s="32" t="s">
        <v>31</v>
      </c>
      <c r="AI2" s="27" t="s">
        <v>27</v>
      </c>
      <c r="AJ2" s="34" t="s">
        <v>5</v>
      </c>
      <c r="AK2" s="36" t="s">
        <v>28</v>
      </c>
      <c r="AL2" s="35" t="s">
        <v>29</v>
      </c>
      <c r="AM2" s="24" t="s">
        <v>30</v>
      </c>
      <c r="AN2" s="32" t="s">
        <v>31</v>
      </c>
      <c r="AO2" s="27" t="s">
        <v>27</v>
      </c>
      <c r="AP2" s="34" t="s">
        <v>5</v>
      </c>
      <c r="AQ2" s="36" t="s">
        <v>28</v>
      </c>
      <c r="AR2" s="35" t="s">
        <v>29</v>
      </c>
      <c r="AS2" s="24" t="s">
        <v>30</v>
      </c>
      <c r="AT2" s="32" t="s">
        <v>31</v>
      </c>
      <c r="AU2" s="27" t="s">
        <v>27</v>
      </c>
      <c r="AV2" s="34" t="s">
        <v>5</v>
      </c>
      <c r="AW2" s="36" t="s">
        <v>28</v>
      </c>
      <c r="AX2" s="35" t="s">
        <v>29</v>
      </c>
      <c r="AY2" s="24" t="s">
        <v>30</v>
      </c>
      <c r="AZ2" s="32" t="s">
        <v>31</v>
      </c>
      <c r="BA2" s="27" t="s">
        <v>27</v>
      </c>
      <c r="BB2" s="34" t="s">
        <v>5</v>
      </c>
      <c r="BC2" s="36" t="s">
        <v>28</v>
      </c>
      <c r="BD2" s="35" t="s">
        <v>29</v>
      </c>
      <c r="BE2" s="24" t="s">
        <v>30</v>
      </c>
      <c r="BF2" s="32" t="s">
        <v>31</v>
      </c>
      <c r="BG2" s="27" t="s">
        <v>27</v>
      </c>
      <c r="BH2" s="34" t="s">
        <v>5</v>
      </c>
      <c r="BI2" s="36" t="s">
        <v>28</v>
      </c>
      <c r="BJ2" s="35" t="s">
        <v>29</v>
      </c>
      <c r="BK2" s="24" t="s">
        <v>30</v>
      </c>
      <c r="BL2" s="32" t="s">
        <v>31</v>
      </c>
      <c r="BM2" s="37" t="s">
        <v>28</v>
      </c>
      <c r="BN2" s="37" t="s">
        <v>29</v>
      </c>
      <c r="BO2" s="37" t="s">
        <v>30</v>
      </c>
      <c r="BP2" s="37" t="s">
        <v>31</v>
      </c>
      <c r="BQ2" s="22"/>
      <c r="BR2" s="22"/>
      <c r="BS2" s="22"/>
      <c r="BT2" s="22"/>
      <c r="BU2" s="22"/>
    </row>
    <row r="3" spans="1:73" ht="19.5" customHeight="1" x14ac:dyDescent="0.25">
      <c r="A3" s="23"/>
      <c r="B3" s="23"/>
      <c r="C3" s="23"/>
      <c r="D3" s="1"/>
      <c r="E3" s="23"/>
      <c r="F3" s="23"/>
      <c r="G3" s="23"/>
      <c r="H3" s="23"/>
      <c r="I3" s="23"/>
      <c r="J3" s="23"/>
      <c r="K3" s="2" t="s">
        <v>32</v>
      </c>
      <c r="L3" s="3" t="s">
        <v>33</v>
      </c>
      <c r="M3" s="4" t="s">
        <v>34</v>
      </c>
      <c r="N3" s="5" t="s">
        <v>35</v>
      </c>
      <c r="O3" s="6" t="s">
        <v>36</v>
      </c>
      <c r="P3" s="7" t="s">
        <v>37</v>
      </c>
      <c r="Q3" s="28"/>
      <c r="R3" s="25"/>
      <c r="S3" s="25"/>
      <c r="T3" s="25"/>
      <c r="U3" s="25"/>
      <c r="V3" s="33"/>
      <c r="W3" s="28"/>
      <c r="X3" s="25"/>
      <c r="Y3" s="25"/>
      <c r="Z3" s="25"/>
      <c r="AA3" s="25"/>
      <c r="AB3" s="33"/>
      <c r="AC3" s="28"/>
      <c r="AD3" s="25"/>
      <c r="AE3" s="25"/>
      <c r="AF3" s="25"/>
      <c r="AG3" s="25"/>
      <c r="AH3" s="33"/>
      <c r="AI3" s="28"/>
      <c r="AJ3" s="25"/>
      <c r="AK3" s="25"/>
      <c r="AL3" s="25"/>
      <c r="AM3" s="25"/>
      <c r="AN3" s="33"/>
      <c r="AO3" s="28"/>
      <c r="AP3" s="25"/>
      <c r="AQ3" s="25"/>
      <c r="AR3" s="25"/>
      <c r="AS3" s="25"/>
      <c r="AT3" s="33"/>
      <c r="AU3" s="28"/>
      <c r="AV3" s="25"/>
      <c r="AW3" s="25"/>
      <c r="AX3" s="25"/>
      <c r="AY3" s="25"/>
      <c r="AZ3" s="33"/>
      <c r="BA3" s="28"/>
      <c r="BB3" s="25"/>
      <c r="BC3" s="25"/>
      <c r="BD3" s="25"/>
      <c r="BE3" s="25"/>
      <c r="BF3" s="33"/>
      <c r="BG3" s="28"/>
      <c r="BH3" s="25"/>
      <c r="BI3" s="25"/>
      <c r="BJ3" s="25"/>
      <c r="BK3" s="25"/>
      <c r="BL3" s="33"/>
      <c r="BM3" s="23"/>
      <c r="BN3" s="23"/>
      <c r="BO3" s="23"/>
      <c r="BP3" s="23"/>
      <c r="BQ3" s="23"/>
      <c r="BR3" s="23"/>
      <c r="BS3" s="23"/>
      <c r="BT3" s="23"/>
      <c r="BU3" s="23"/>
    </row>
    <row r="4" spans="1:73" ht="15.75" customHeight="1" x14ac:dyDescent="0.25">
      <c r="A4" s="8" t="s">
        <v>904</v>
      </c>
      <c r="B4" s="8" t="s">
        <v>3930</v>
      </c>
      <c r="C4" s="8" t="s">
        <v>2296</v>
      </c>
      <c r="D4" s="8" t="s">
        <v>3931</v>
      </c>
      <c r="E4" s="8" t="s">
        <v>3932</v>
      </c>
      <c r="F4" s="8" t="s">
        <v>56</v>
      </c>
      <c r="G4" s="8" t="s">
        <v>44</v>
      </c>
      <c r="H4" s="8">
        <v>500</v>
      </c>
      <c r="I4" s="8" t="s">
        <v>3933</v>
      </c>
      <c r="J4" s="8">
        <v>1</v>
      </c>
      <c r="K4" s="8">
        <v>245</v>
      </c>
      <c r="L4" s="8">
        <v>248</v>
      </c>
      <c r="M4" s="8">
        <v>243</v>
      </c>
      <c r="N4" s="8">
        <v>422</v>
      </c>
      <c r="O4" s="8">
        <v>428</v>
      </c>
      <c r="P4" s="8">
        <v>426</v>
      </c>
      <c r="Q4" s="9"/>
      <c r="R4" s="16"/>
      <c r="S4" s="10"/>
      <c r="T4" s="10"/>
      <c r="U4" s="10"/>
      <c r="V4" s="11"/>
      <c r="W4" s="12"/>
      <c r="X4" s="17"/>
      <c r="Y4" s="13"/>
      <c r="Z4" s="13"/>
      <c r="AA4" s="13"/>
      <c r="AB4" s="14"/>
      <c r="AC4" s="9" t="s">
        <v>47</v>
      </c>
      <c r="AD4" s="16"/>
      <c r="AE4" s="10">
        <v>107</v>
      </c>
      <c r="AF4" s="10">
        <v>146</v>
      </c>
      <c r="AG4" s="10">
        <v>59</v>
      </c>
      <c r="AH4" s="11">
        <v>50</v>
      </c>
      <c r="AI4" s="12" t="s">
        <v>47</v>
      </c>
      <c r="AJ4" s="17"/>
      <c r="AK4" s="13">
        <v>51</v>
      </c>
      <c r="AL4" s="13">
        <v>70</v>
      </c>
      <c r="AM4" s="13">
        <v>40</v>
      </c>
      <c r="AN4" s="14">
        <v>29</v>
      </c>
      <c r="AO4" s="9"/>
      <c r="AP4" s="16"/>
      <c r="AQ4" s="10"/>
      <c r="AR4" s="10"/>
      <c r="AS4" s="10"/>
      <c r="AT4" s="11"/>
      <c r="AU4" s="12"/>
      <c r="AV4" s="17"/>
      <c r="AW4" s="13"/>
      <c r="AX4" s="13"/>
      <c r="AY4" s="13"/>
      <c r="AZ4" s="14"/>
      <c r="BA4" s="9" t="s">
        <v>47</v>
      </c>
      <c r="BB4" s="16"/>
      <c r="BC4" s="10">
        <v>78</v>
      </c>
      <c r="BD4" s="10">
        <v>11</v>
      </c>
      <c r="BE4" s="10">
        <v>31</v>
      </c>
      <c r="BF4" s="11">
        <v>50</v>
      </c>
      <c r="BG4" s="12" t="s">
        <v>47</v>
      </c>
      <c r="BH4" s="17"/>
      <c r="BI4" s="13">
        <v>100</v>
      </c>
      <c r="BJ4" s="13">
        <v>119</v>
      </c>
      <c r="BK4" s="13">
        <v>125</v>
      </c>
      <c r="BL4" s="14">
        <v>28</v>
      </c>
      <c r="BM4" s="8">
        <f t="shared" ref="BM4:BM47" si="0">SUM(S4,Y4,AE4,AK4,AQ4,AW4,BC4,BI4)</f>
        <v>336</v>
      </c>
      <c r="BN4" s="8">
        <f t="shared" ref="BN4:BN47" si="1">SUM(T4,Z4,AF4,AL4,AR4,AX4,BD4,BJ4)</f>
        <v>346</v>
      </c>
      <c r="BO4" s="8">
        <f t="shared" ref="BO4:BO47" si="2">SUM(U4,AA4,AG4,AM4,AS4,AY4,BE4,BK4)</f>
        <v>255</v>
      </c>
      <c r="BP4" s="8">
        <f t="shared" ref="BP4:BP47" si="3">SUM(V4,AB4,AH4,AN4,AT4,AZ4,BF4,BL4)</f>
        <v>157</v>
      </c>
      <c r="BQ4" s="8">
        <f t="shared" ref="BQ4:BQ47" si="4">MAX(BM4:BO4)</f>
        <v>346</v>
      </c>
      <c r="BR4" s="8">
        <f t="shared" ref="BR4:BR47" si="5">MIN(BM4:BO4)</f>
        <v>255</v>
      </c>
      <c r="BS4" s="15">
        <f t="shared" ref="BS4:BS47" si="6">IF(H4&gt;0,(BQ4*SQRT(3)*IF(N4&gt;0,N4,IF(O4&gt;0,O4,IF(P4&gt;0,P4,415)))/(H4*1000))*100,0)</f>
        <v>50.580040502949373</v>
      </c>
      <c r="BT4" s="15" t="str">
        <f t="shared" ref="BT4:BT47" si="7">IF(BS4&gt;70,"Upgrade","OK - No Upgrade")</f>
        <v>OK - No Upgrade</v>
      </c>
      <c r="BU4" s="15" t="str">
        <f t="shared" ref="BU4:BU47" si="8">IF(IF(AVERAGE(BM4:BO4)&gt;0,((BQ4-AVERAGE(BM4:BO4))/AVERAGE(BM4:BO4))*100,0)&gt;10,"Need to Balance","OK - Balanced")</f>
        <v>Need to Balance</v>
      </c>
    </row>
    <row r="5" spans="1:73" ht="15.75" customHeight="1" x14ac:dyDescent="0.25">
      <c r="A5" s="8" t="s">
        <v>904</v>
      </c>
      <c r="B5" s="8" t="s">
        <v>3930</v>
      </c>
      <c r="C5" s="8" t="s">
        <v>2296</v>
      </c>
      <c r="D5" s="8" t="s">
        <v>3934</v>
      </c>
      <c r="E5" s="8" t="s">
        <v>3935</v>
      </c>
      <c r="F5" s="8" t="s">
        <v>43</v>
      </c>
      <c r="G5" s="8" t="s">
        <v>44</v>
      </c>
      <c r="H5" s="8">
        <v>315</v>
      </c>
      <c r="I5" s="8" t="s">
        <v>901</v>
      </c>
      <c r="J5" s="8">
        <v>1</v>
      </c>
      <c r="K5" s="8">
        <v>248</v>
      </c>
      <c r="L5" s="8">
        <v>247</v>
      </c>
      <c r="M5" s="8">
        <v>249</v>
      </c>
      <c r="N5" s="8">
        <v>430</v>
      </c>
      <c r="O5" s="8">
        <v>433</v>
      </c>
      <c r="P5" s="8">
        <v>430</v>
      </c>
      <c r="Q5" s="9" t="s">
        <v>47</v>
      </c>
      <c r="R5" s="16"/>
      <c r="S5" s="10">
        <v>70</v>
      </c>
      <c r="T5" s="10">
        <v>60</v>
      </c>
      <c r="U5" s="10">
        <v>90</v>
      </c>
      <c r="V5" s="11">
        <v>34</v>
      </c>
      <c r="W5" s="12"/>
      <c r="X5" s="17"/>
      <c r="Y5" s="13"/>
      <c r="Z5" s="13"/>
      <c r="AA5" s="13"/>
      <c r="AB5" s="14"/>
      <c r="AC5" s="9"/>
      <c r="AD5" s="16"/>
      <c r="AE5" s="10"/>
      <c r="AF5" s="10"/>
      <c r="AG5" s="10"/>
      <c r="AH5" s="11"/>
      <c r="AI5" s="12"/>
      <c r="AJ5" s="17"/>
      <c r="AK5" s="13"/>
      <c r="AL5" s="13"/>
      <c r="AM5" s="13"/>
      <c r="AN5" s="14"/>
      <c r="AO5" s="9"/>
      <c r="AP5" s="16"/>
      <c r="AQ5" s="10"/>
      <c r="AR5" s="10"/>
      <c r="AS5" s="10"/>
      <c r="AT5" s="11"/>
      <c r="AU5" s="12"/>
      <c r="AV5" s="17"/>
      <c r="AW5" s="13"/>
      <c r="AX5" s="13"/>
      <c r="AY5" s="13"/>
      <c r="AZ5" s="14"/>
      <c r="BA5" s="9"/>
      <c r="BB5" s="16"/>
      <c r="BC5" s="10"/>
      <c r="BD5" s="10"/>
      <c r="BE5" s="10"/>
      <c r="BF5" s="11"/>
      <c r="BG5" s="12"/>
      <c r="BH5" s="17"/>
      <c r="BI5" s="13"/>
      <c r="BJ5" s="13"/>
      <c r="BK5" s="13"/>
      <c r="BL5" s="14"/>
      <c r="BM5" s="8">
        <f t="shared" si="0"/>
        <v>70</v>
      </c>
      <c r="BN5" s="8">
        <f t="shared" si="1"/>
        <v>60</v>
      </c>
      <c r="BO5" s="8">
        <f t="shared" si="2"/>
        <v>90</v>
      </c>
      <c r="BP5" s="8">
        <f t="shared" si="3"/>
        <v>34</v>
      </c>
      <c r="BQ5" s="8">
        <f t="shared" si="4"/>
        <v>90</v>
      </c>
      <c r="BR5" s="8">
        <f t="shared" si="5"/>
        <v>60</v>
      </c>
      <c r="BS5" s="15">
        <f t="shared" si="6"/>
        <v>21.279481350131924</v>
      </c>
      <c r="BT5" s="15" t="str">
        <f t="shared" si="7"/>
        <v>OK - No Upgrade</v>
      </c>
      <c r="BU5" s="15" t="str">
        <f t="shared" si="8"/>
        <v>Need to Balance</v>
      </c>
    </row>
    <row r="6" spans="1:73" ht="15.75" customHeight="1" x14ac:dyDescent="0.25">
      <c r="A6" s="8" t="s">
        <v>904</v>
      </c>
      <c r="B6" s="8" t="s">
        <v>3930</v>
      </c>
      <c r="C6" s="8" t="s">
        <v>2296</v>
      </c>
      <c r="D6" s="8" t="s">
        <v>3936</v>
      </c>
      <c r="E6" s="8" t="s">
        <v>3937</v>
      </c>
      <c r="F6" s="8" t="s">
        <v>56</v>
      </c>
      <c r="G6" s="8" t="s">
        <v>44</v>
      </c>
      <c r="H6" s="8">
        <v>500</v>
      </c>
      <c r="I6" s="8" t="s">
        <v>3938</v>
      </c>
      <c r="J6" s="8">
        <v>1</v>
      </c>
      <c r="K6" s="8">
        <v>248</v>
      </c>
      <c r="L6" s="8">
        <v>247</v>
      </c>
      <c r="M6" s="8">
        <v>245</v>
      </c>
      <c r="N6" s="8">
        <v>428</v>
      </c>
      <c r="O6" s="8">
        <v>429</v>
      </c>
      <c r="P6" s="8">
        <v>432</v>
      </c>
      <c r="Q6" s="9" t="s">
        <v>334</v>
      </c>
      <c r="R6" s="16"/>
      <c r="S6" s="10">
        <v>35</v>
      </c>
      <c r="T6" s="10">
        <v>32</v>
      </c>
      <c r="U6" s="10">
        <v>30</v>
      </c>
      <c r="V6" s="11">
        <v>19</v>
      </c>
      <c r="W6" s="12" t="s">
        <v>47</v>
      </c>
      <c r="X6" s="17"/>
      <c r="Y6" s="13">
        <v>92</v>
      </c>
      <c r="Z6" s="13">
        <v>80</v>
      </c>
      <c r="AA6" s="13">
        <v>101</v>
      </c>
      <c r="AB6" s="14">
        <v>47</v>
      </c>
      <c r="AC6" s="9" t="s">
        <v>47</v>
      </c>
      <c r="AD6" s="16"/>
      <c r="AE6" s="10">
        <v>40</v>
      </c>
      <c r="AF6" s="10">
        <v>60</v>
      </c>
      <c r="AG6" s="10">
        <v>29</v>
      </c>
      <c r="AH6" s="11">
        <v>25</v>
      </c>
      <c r="AI6" s="12"/>
      <c r="AJ6" s="17"/>
      <c r="AK6" s="13"/>
      <c r="AL6" s="13"/>
      <c r="AM6" s="13"/>
      <c r="AN6" s="14"/>
      <c r="AO6" s="9"/>
      <c r="AP6" s="16"/>
      <c r="AQ6" s="10"/>
      <c r="AR6" s="10"/>
      <c r="AS6" s="10"/>
      <c r="AT6" s="11"/>
      <c r="AU6" s="12" t="s">
        <v>132</v>
      </c>
      <c r="AV6" s="17"/>
      <c r="AW6" s="13">
        <v>22</v>
      </c>
      <c r="AX6" s="13">
        <v>28</v>
      </c>
      <c r="AY6" s="13">
        <v>30</v>
      </c>
      <c r="AZ6" s="14">
        <v>19</v>
      </c>
      <c r="BA6" s="9"/>
      <c r="BB6" s="16"/>
      <c r="BC6" s="10"/>
      <c r="BD6" s="10"/>
      <c r="BE6" s="10"/>
      <c r="BF6" s="11"/>
      <c r="BG6" s="12"/>
      <c r="BH6" s="17"/>
      <c r="BI6" s="13"/>
      <c r="BJ6" s="13"/>
      <c r="BK6" s="13"/>
      <c r="BL6" s="14"/>
      <c r="BM6" s="8">
        <f t="shared" si="0"/>
        <v>189</v>
      </c>
      <c r="BN6" s="8">
        <f t="shared" si="1"/>
        <v>200</v>
      </c>
      <c r="BO6" s="8">
        <f t="shared" si="2"/>
        <v>190</v>
      </c>
      <c r="BP6" s="8">
        <f t="shared" si="3"/>
        <v>110</v>
      </c>
      <c r="BQ6" s="8">
        <f t="shared" si="4"/>
        <v>200</v>
      </c>
      <c r="BR6" s="8">
        <f t="shared" si="5"/>
        <v>189</v>
      </c>
      <c r="BS6" s="15">
        <f t="shared" si="6"/>
        <v>29.652709825579176</v>
      </c>
      <c r="BT6" s="15" t="str">
        <f t="shared" si="7"/>
        <v>OK - No Upgrade</v>
      </c>
      <c r="BU6" s="15" t="str">
        <f t="shared" si="8"/>
        <v>OK - Balanced</v>
      </c>
    </row>
    <row r="7" spans="1:73" ht="15.75" customHeight="1" x14ac:dyDescent="0.25">
      <c r="A7" s="8" t="s">
        <v>904</v>
      </c>
      <c r="B7" s="8" t="s">
        <v>3930</v>
      </c>
      <c r="C7" s="8" t="s">
        <v>2296</v>
      </c>
      <c r="D7" s="8" t="s">
        <v>3939</v>
      </c>
      <c r="E7" s="8" t="s">
        <v>3940</v>
      </c>
      <c r="F7" s="8" t="s">
        <v>56</v>
      </c>
      <c r="G7" s="8" t="s">
        <v>44</v>
      </c>
      <c r="H7" s="8">
        <v>500</v>
      </c>
      <c r="I7" s="8" t="s">
        <v>3941</v>
      </c>
      <c r="J7" s="8">
        <v>1</v>
      </c>
      <c r="K7" s="8">
        <v>250</v>
      </c>
      <c r="L7" s="8">
        <v>248</v>
      </c>
      <c r="M7" s="8">
        <v>252</v>
      </c>
      <c r="N7" s="8">
        <v>42</v>
      </c>
      <c r="O7" s="8">
        <v>423</v>
      </c>
      <c r="P7" s="8">
        <v>425</v>
      </c>
      <c r="Q7" s="9"/>
      <c r="R7" s="16"/>
      <c r="S7" s="10"/>
      <c r="T7" s="10"/>
      <c r="U7" s="10"/>
      <c r="V7" s="11"/>
      <c r="W7" s="12" t="s">
        <v>47</v>
      </c>
      <c r="X7" s="17"/>
      <c r="Y7" s="13">
        <v>35</v>
      </c>
      <c r="Z7" s="13">
        <v>40</v>
      </c>
      <c r="AA7" s="13">
        <v>31</v>
      </c>
      <c r="AB7" s="14">
        <v>10</v>
      </c>
      <c r="AC7" s="9"/>
      <c r="AD7" s="16"/>
      <c r="AE7" s="10"/>
      <c r="AF7" s="10"/>
      <c r="AG7" s="10"/>
      <c r="AH7" s="11"/>
      <c r="AI7" s="12"/>
      <c r="AJ7" s="17"/>
      <c r="AK7" s="13"/>
      <c r="AL7" s="13"/>
      <c r="AM7" s="13"/>
      <c r="AN7" s="14"/>
      <c r="AO7" s="9"/>
      <c r="AP7" s="16"/>
      <c r="AQ7" s="10"/>
      <c r="AR7" s="10"/>
      <c r="AS7" s="10"/>
      <c r="AT7" s="11"/>
      <c r="AU7" s="12"/>
      <c r="AV7" s="17"/>
      <c r="AW7" s="13"/>
      <c r="AX7" s="13"/>
      <c r="AY7" s="13"/>
      <c r="AZ7" s="14"/>
      <c r="BA7" s="9"/>
      <c r="BB7" s="16"/>
      <c r="BC7" s="10"/>
      <c r="BD7" s="10"/>
      <c r="BE7" s="10"/>
      <c r="BF7" s="11"/>
      <c r="BG7" s="12"/>
      <c r="BH7" s="17"/>
      <c r="BI7" s="13"/>
      <c r="BJ7" s="13"/>
      <c r="BK7" s="13"/>
      <c r="BL7" s="14"/>
      <c r="BM7" s="8">
        <f t="shared" si="0"/>
        <v>35</v>
      </c>
      <c r="BN7" s="8">
        <f t="shared" si="1"/>
        <v>40</v>
      </c>
      <c r="BO7" s="8">
        <f t="shared" si="2"/>
        <v>31</v>
      </c>
      <c r="BP7" s="8">
        <f t="shared" si="3"/>
        <v>10</v>
      </c>
      <c r="BQ7" s="8">
        <f t="shared" si="4"/>
        <v>40</v>
      </c>
      <c r="BR7" s="8">
        <f t="shared" si="5"/>
        <v>31</v>
      </c>
      <c r="BS7" s="15">
        <f t="shared" si="6"/>
        <v>0.58196907134314269</v>
      </c>
      <c r="BT7" s="15" t="str">
        <f t="shared" si="7"/>
        <v>OK - No Upgrade</v>
      </c>
      <c r="BU7" s="15" t="str">
        <f t="shared" si="8"/>
        <v>Need to Balance</v>
      </c>
    </row>
    <row r="8" spans="1:73" ht="15.75" customHeight="1" x14ac:dyDescent="0.25">
      <c r="A8" s="8" t="s">
        <v>904</v>
      </c>
      <c r="B8" s="8" t="s">
        <v>3930</v>
      </c>
      <c r="C8" s="8" t="s">
        <v>2296</v>
      </c>
      <c r="D8" s="8" t="s">
        <v>3942</v>
      </c>
      <c r="E8" s="8" t="s">
        <v>3943</v>
      </c>
      <c r="F8" s="8" t="s">
        <v>56</v>
      </c>
      <c r="G8" s="8" t="s">
        <v>44</v>
      </c>
      <c r="H8" s="8">
        <v>1000</v>
      </c>
      <c r="I8" s="8" t="s">
        <v>3944</v>
      </c>
      <c r="J8" s="8">
        <v>1</v>
      </c>
      <c r="K8" s="8">
        <v>251</v>
      </c>
      <c r="L8" s="8">
        <v>250</v>
      </c>
      <c r="M8" s="8">
        <v>248</v>
      </c>
      <c r="N8" s="8">
        <v>439</v>
      </c>
      <c r="O8" s="8">
        <v>433</v>
      </c>
      <c r="P8" s="8">
        <v>431</v>
      </c>
      <c r="Q8" s="9"/>
      <c r="R8" s="16"/>
      <c r="S8" s="10"/>
      <c r="T8" s="10"/>
      <c r="U8" s="10"/>
      <c r="V8" s="11"/>
      <c r="W8" s="12" t="s">
        <v>47</v>
      </c>
      <c r="X8" s="17"/>
      <c r="Y8" s="13">
        <v>17</v>
      </c>
      <c r="Z8" s="13">
        <v>4</v>
      </c>
      <c r="AA8" s="13">
        <v>2</v>
      </c>
      <c r="AB8" s="14">
        <v>9</v>
      </c>
      <c r="AC8" s="9" t="s">
        <v>70</v>
      </c>
      <c r="AD8" s="16"/>
      <c r="AE8" s="10">
        <v>17</v>
      </c>
      <c r="AF8" s="10">
        <v>22</v>
      </c>
      <c r="AG8" s="10">
        <v>20</v>
      </c>
      <c r="AH8" s="11">
        <v>17</v>
      </c>
      <c r="AI8" s="12" t="s">
        <v>46</v>
      </c>
      <c r="AJ8" s="17"/>
      <c r="AK8" s="13">
        <v>10</v>
      </c>
      <c r="AL8" s="13">
        <v>11</v>
      </c>
      <c r="AM8" s="13">
        <v>8</v>
      </c>
      <c r="AN8" s="14">
        <v>6</v>
      </c>
      <c r="AO8" s="9" t="s">
        <v>334</v>
      </c>
      <c r="AP8" s="16"/>
      <c r="AQ8" s="10">
        <v>7</v>
      </c>
      <c r="AR8" s="10">
        <v>34</v>
      </c>
      <c r="AS8" s="10">
        <v>3</v>
      </c>
      <c r="AT8" s="11">
        <v>15</v>
      </c>
      <c r="AU8" s="12" t="s">
        <v>334</v>
      </c>
      <c r="AV8" s="17"/>
      <c r="AW8" s="13">
        <v>79</v>
      </c>
      <c r="AX8" s="13">
        <v>38</v>
      </c>
      <c r="AY8" s="13">
        <v>2</v>
      </c>
      <c r="AZ8" s="14">
        <v>40</v>
      </c>
      <c r="BA8" s="9" t="s">
        <v>334</v>
      </c>
      <c r="BB8" s="16"/>
      <c r="BC8" s="10">
        <v>11</v>
      </c>
      <c r="BD8" s="10">
        <v>0</v>
      </c>
      <c r="BE8" s="10">
        <v>0</v>
      </c>
      <c r="BF8" s="11">
        <v>8</v>
      </c>
      <c r="BG8" s="12" t="s">
        <v>334</v>
      </c>
      <c r="BH8" s="17"/>
      <c r="BI8" s="13">
        <v>0</v>
      </c>
      <c r="BJ8" s="13">
        <v>0</v>
      </c>
      <c r="BK8" s="13">
        <v>0</v>
      </c>
      <c r="BL8" s="14">
        <v>0</v>
      </c>
      <c r="BM8" s="8">
        <f t="shared" si="0"/>
        <v>141</v>
      </c>
      <c r="BN8" s="8">
        <f t="shared" si="1"/>
        <v>109</v>
      </c>
      <c r="BO8" s="8">
        <f t="shared" si="2"/>
        <v>35</v>
      </c>
      <c r="BP8" s="8">
        <f t="shared" si="3"/>
        <v>95</v>
      </c>
      <c r="BQ8" s="8">
        <f t="shared" si="4"/>
        <v>141</v>
      </c>
      <c r="BR8" s="8">
        <f t="shared" si="5"/>
        <v>35</v>
      </c>
      <c r="BS8" s="15">
        <f t="shared" si="6"/>
        <v>10.721221293770594</v>
      </c>
      <c r="BT8" s="15" t="str">
        <f t="shared" si="7"/>
        <v>OK - No Upgrade</v>
      </c>
      <c r="BU8" s="15" t="str">
        <f t="shared" si="8"/>
        <v>Need to Balance</v>
      </c>
    </row>
    <row r="9" spans="1:73" ht="15.75" customHeight="1" x14ac:dyDescent="0.25">
      <c r="A9" s="8" t="s">
        <v>904</v>
      </c>
      <c r="B9" s="8" t="s">
        <v>3930</v>
      </c>
      <c r="C9" s="8" t="s">
        <v>2296</v>
      </c>
      <c r="D9" s="8"/>
      <c r="E9" s="8" t="s">
        <v>3945</v>
      </c>
      <c r="F9" s="8" t="s">
        <v>56</v>
      </c>
      <c r="G9" s="8" t="s">
        <v>44</v>
      </c>
      <c r="H9" s="8">
        <v>500</v>
      </c>
      <c r="I9" s="8" t="s">
        <v>3946</v>
      </c>
      <c r="J9" s="8">
        <v>1</v>
      </c>
      <c r="K9" s="8">
        <v>249</v>
      </c>
      <c r="L9" s="8">
        <v>246</v>
      </c>
      <c r="M9" s="8">
        <v>451</v>
      </c>
      <c r="N9" s="8">
        <v>429</v>
      </c>
      <c r="O9" s="8">
        <v>435</v>
      </c>
      <c r="P9" s="8">
        <v>433</v>
      </c>
      <c r="Q9" s="9" t="s">
        <v>47</v>
      </c>
      <c r="R9" s="16"/>
      <c r="S9" s="10">
        <v>30</v>
      </c>
      <c r="T9" s="10">
        <v>38</v>
      </c>
      <c r="U9" s="10">
        <v>30</v>
      </c>
      <c r="V9" s="11">
        <v>19</v>
      </c>
      <c r="W9" s="12" t="s">
        <v>132</v>
      </c>
      <c r="X9" s="17"/>
      <c r="Y9" s="13">
        <v>30</v>
      </c>
      <c r="Z9" s="13">
        <v>32</v>
      </c>
      <c r="AA9" s="13">
        <v>29</v>
      </c>
      <c r="AB9" s="14">
        <v>22</v>
      </c>
      <c r="AC9" s="9" t="s">
        <v>47</v>
      </c>
      <c r="AD9" s="16"/>
      <c r="AE9" s="10">
        <v>55</v>
      </c>
      <c r="AF9" s="10">
        <v>47</v>
      </c>
      <c r="AG9" s="10">
        <v>42</v>
      </c>
      <c r="AH9" s="11">
        <v>18</v>
      </c>
      <c r="AI9" s="12" t="s">
        <v>47</v>
      </c>
      <c r="AJ9" s="17"/>
      <c r="AK9" s="13">
        <v>60</v>
      </c>
      <c r="AL9" s="13">
        <v>68</v>
      </c>
      <c r="AM9" s="13">
        <v>56</v>
      </c>
      <c r="AN9" s="14">
        <v>30</v>
      </c>
      <c r="AO9" s="9" t="s">
        <v>47</v>
      </c>
      <c r="AP9" s="16"/>
      <c r="AQ9" s="10">
        <v>26</v>
      </c>
      <c r="AR9" s="10">
        <v>25</v>
      </c>
      <c r="AS9" s="10">
        <v>22</v>
      </c>
      <c r="AT9" s="11">
        <v>17</v>
      </c>
      <c r="AU9" s="12" t="s">
        <v>47</v>
      </c>
      <c r="AV9" s="17"/>
      <c r="AW9" s="13">
        <v>12</v>
      </c>
      <c r="AX9" s="13">
        <v>18</v>
      </c>
      <c r="AY9" s="13">
        <v>22</v>
      </c>
      <c r="AZ9" s="14">
        <v>16</v>
      </c>
      <c r="BA9" s="9" t="s">
        <v>47</v>
      </c>
      <c r="BB9" s="16"/>
      <c r="BC9" s="10">
        <v>9</v>
      </c>
      <c r="BD9" s="10">
        <v>32</v>
      </c>
      <c r="BE9" s="10">
        <v>34</v>
      </c>
      <c r="BF9" s="11">
        <v>22</v>
      </c>
      <c r="BG9" s="12"/>
      <c r="BH9" s="17"/>
      <c r="BI9" s="13"/>
      <c r="BJ9" s="13"/>
      <c r="BK9" s="13"/>
      <c r="BL9" s="14"/>
      <c r="BM9" s="8">
        <f t="shared" si="0"/>
        <v>222</v>
      </c>
      <c r="BN9" s="8">
        <f t="shared" si="1"/>
        <v>260</v>
      </c>
      <c r="BO9" s="8">
        <f t="shared" si="2"/>
        <v>235</v>
      </c>
      <c r="BP9" s="8">
        <f t="shared" si="3"/>
        <v>144</v>
      </c>
      <c r="BQ9" s="8">
        <f t="shared" si="4"/>
        <v>260</v>
      </c>
      <c r="BR9" s="8">
        <f t="shared" si="5"/>
        <v>222</v>
      </c>
      <c r="BS9" s="15">
        <f t="shared" si="6"/>
        <v>38.638589415246514</v>
      </c>
      <c r="BT9" s="15" t="str">
        <f t="shared" si="7"/>
        <v>OK - No Upgrade</v>
      </c>
      <c r="BU9" s="15" t="str">
        <f t="shared" si="8"/>
        <v>OK - Balanced</v>
      </c>
    </row>
    <row r="10" spans="1:73" ht="15.75" customHeight="1" x14ac:dyDescent="0.25">
      <c r="A10" s="8" t="s">
        <v>904</v>
      </c>
      <c r="B10" s="8" t="s">
        <v>3930</v>
      </c>
      <c r="C10" s="8" t="s">
        <v>2296</v>
      </c>
      <c r="D10" s="8" t="s">
        <v>3947</v>
      </c>
      <c r="E10" s="8" t="s">
        <v>3948</v>
      </c>
      <c r="F10" s="8" t="s">
        <v>56</v>
      </c>
      <c r="G10" s="8" t="s">
        <v>44</v>
      </c>
      <c r="H10" s="8">
        <v>1000</v>
      </c>
      <c r="I10" s="8" t="s">
        <v>3949</v>
      </c>
      <c r="J10" s="8">
        <v>1</v>
      </c>
      <c r="K10" s="8">
        <v>250</v>
      </c>
      <c r="L10" s="8">
        <v>249</v>
      </c>
      <c r="M10" s="8">
        <v>253</v>
      </c>
      <c r="N10" s="8">
        <v>433</v>
      </c>
      <c r="O10" s="8">
        <v>437</v>
      </c>
      <c r="P10" s="8">
        <v>436</v>
      </c>
      <c r="Q10" s="9"/>
      <c r="R10" s="16"/>
      <c r="S10" s="10"/>
      <c r="T10" s="10"/>
      <c r="U10" s="10"/>
      <c r="V10" s="11"/>
      <c r="W10" s="12"/>
      <c r="X10" s="17"/>
      <c r="Y10" s="13"/>
      <c r="Z10" s="13"/>
      <c r="AA10" s="13"/>
      <c r="AB10" s="14"/>
      <c r="AC10" s="9" t="s">
        <v>70</v>
      </c>
      <c r="AD10" s="16"/>
      <c r="AE10" s="10">
        <v>12</v>
      </c>
      <c r="AF10" s="10">
        <v>8</v>
      </c>
      <c r="AG10" s="10">
        <v>3</v>
      </c>
      <c r="AH10" s="11">
        <v>6</v>
      </c>
      <c r="AI10" s="12" t="s">
        <v>47</v>
      </c>
      <c r="AJ10" s="17"/>
      <c r="AK10" s="13">
        <v>20</v>
      </c>
      <c r="AL10" s="13">
        <v>17</v>
      </c>
      <c r="AM10" s="13">
        <v>16</v>
      </c>
      <c r="AN10" s="14">
        <v>14</v>
      </c>
      <c r="AO10" s="9" t="s">
        <v>47</v>
      </c>
      <c r="AP10" s="16"/>
      <c r="AQ10" s="10">
        <v>1</v>
      </c>
      <c r="AR10" s="10">
        <v>1</v>
      </c>
      <c r="AS10" s="10">
        <v>0</v>
      </c>
      <c r="AT10" s="11">
        <v>1</v>
      </c>
      <c r="AU10" s="12" t="s">
        <v>47</v>
      </c>
      <c r="AV10" s="17"/>
      <c r="AW10" s="13">
        <v>10</v>
      </c>
      <c r="AX10" s="13">
        <v>65</v>
      </c>
      <c r="AY10" s="13">
        <v>13</v>
      </c>
      <c r="AZ10" s="14">
        <v>46</v>
      </c>
      <c r="BA10" s="9"/>
      <c r="BB10" s="16"/>
      <c r="BC10" s="10"/>
      <c r="BD10" s="10"/>
      <c r="BE10" s="10"/>
      <c r="BF10" s="11"/>
      <c r="BG10" s="12"/>
      <c r="BH10" s="17"/>
      <c r="BI10" s="13"/>
      <c r="BJ10" s="13"/>
      <c r="BK10" s="13"/>
      <c r="BL10" s="14"/>
      <c r="BM10" s="8">
        <f t="shared" si="0"/>
        <v>43</v>
      </c>
      <c r="BN10" s="8">
        <f t="shared" si="1"/>
        <v>91</v>
      </c>
      <c r="BO10" s="8">
        <f t="shared" si="2"/>
        <v>32</v>
      </c>
      <c r="BP10" s="8">
        <f t="shared" si="3"/>
        <v>67</v>
      </c>
      <c r="BQ10" s="8">
        <f t="shared" si="4"/>
        <v>91</v>
      </c>
      <c r="BR10" s="8">
        <f t="shared" si="5"/>
        <v>32</v>
      </c>
      <c r="BS10" s="15">
        <f t="shared" si="6"/>
        <v>6.8247997970636467</v>
      </c>
      <c r="BT10" s="15" t="str">
        <f t="shared" si="7"/>
        <v>OK - No Upgrade</v>
      </c>
      <c r="BU10" s="15" t="str">
        <f t="shared" si="8"/>
        <v>Need to Balance</v>
      </c>
    </row>
    <row r="11" spans="1:73" ht="15.75" customHeight="1" x14ac:dyDescent="0.25">
      <c r="A11" s="8" t="s">
        <v>904</v>
      </c>
      <c r="B11" s="8" t="s">
        <v>3930</v>
      </c>
      <c r="C11" s="8" t="s">
        <v>2296</v>
      </c>
      <c r="D11" s="8" t="s">
        <v>3950</v>
      </c>
      <c r="E11" s="8" t="s">
        <v>3951</v>
      </c>
      <c r="F11" s="8" t="s">
        <v>56</v>
      </c>
      <c r="G11" s="8" t="s">
        <v>44</v>
      </c>
      <c r="H11" s="8">
        <v>1000</v>
      </c>
      <c r="I11" s="8" t="s">
        <v>3952</v>
      </c>
      <c r="J11" s="8">
        <v>1</v>
      </c>
      <c r="K11" s="8">
        <v>250</v>
      </c>
      <c r="L11" s="8">
        <v>249</v>
      </c>
      <c r="M11" s="8">
        <v>252</v>
      </c>
      <c r="N11" s="8">
        <v>433</v>
      </c>
      <c r="O11" s="8">
        <v>438</v>
      </c>
      <c r="P11" s="8">
        <v>436</v>
      </c>
      <c r="Q11" s="9"/>
      <c r="R11" s="16"/>
      <c r="S11" s="10"/>
      <c r="T11" s="10"/>
      <c r="U11" s="10"/>
      <c r="V11" s="11"/>
      <c r="W11" s="12"/>
      <c r="X11" s="17"/>
      <c r="Y11" s="13"/>
      <c r="Z11" s="13"/>
      <c r="AA11" s="13"/>
      <c r="AB11" s="14"/>
      <c r="AC11" s="9"/>
      <c r="AD11" s="16"/>
      <c r="AE11" s="10"/>
      <c r="AF11" s="10"/>
      <c r="AG11" s="10"/>
      <c r="AH11" s="11"/>
      <c r="AI11" s="12" t="s">
        <v>47</v>
      </c>
      <c r="AJ11" s="17"/>
      <c r="AK11" s="13">
        <v>0</v>
      </c>
      <c r="AL11" s="13">
        <v>0</v>
      </c>
      <c r="AM11" s="13">
        <v>13</v>
      </c>
      <c r="AN11" s="14">
        <v>11</v>
      </c>
      <c r="AO11" s="9" t="s">
        <v>47</v>
      </c>
      <c r="AP11" s="16"/>
      <c r="AQ11" s="10">
        <v>3</v>
      </c>
      <c r="AR11" s="10">
        <v>23</v>
      </c>
      <c r="AS11" s="10">
        <v>7</v>
      </c>
      <c r="AT11" s="11">
        <v>14</v>
      </c>
      <c r="AU11" s="12" t="s">
        <v>47</v>
      </c>
      <c r="AV11" s="17"/>
      <c r="AW11" s="13">
        <v>136</v>
      </c>
      <c r="AX11" s="13">
        <v>100</v>
      </c>
      <c r="AY11" s="13">
        <v>105</v>
      </c>
      <c r="AZ11" s="14">
        <v>40</v>
      </c>
      <c r="BA11" s="9"/>
      <c r="BB11" s="16"/>
      <c r="BC11" s="10"/>
      <c r="BD11" s="10"/>
      <c r="BE11" s="10"/>
      <c r="BF11" s="11"/>
      <c r="BG11" s="12"/>
      <c r="BH11" s="17"/>
      <c r="BI11" s="13"/>
      <c r="BJ11" s="13"/>
      <c r="BK11" s="13"/>
      <c r="BL11" s="14"/>
      <c r="BM11" s="8">
        <f t="shared" si="0"/>
        <v>139</v>
      </c>
      <c r="BN11" s="8">
        <f t="shared" si="1"/>
        <v>123</v>
      </c>
      <c r="BO11" s="8">
        <f t="shared" si="2"/>
        <v>125</v>
      </c>
      <c r="BP11" s="8">
        <f t="shared" si="3"/>
        <v>65</v>
      </c>
      <c r="BQ11" s="8">
        <f t="shared" si="4"/>
        <v>139</v>
      </c>
      <c r="BR11" s="8">
        <f t="shared" si="5"/>
        <v>123</v>
      </c>
      <c r="BS11" s="15">
        <f t="shared" si="6"/>
        <v>10.424694195514801</v>
      </c>
      <c r="BT11" s="15" t="str">
        <f t="shared" si="7"/>
        <v>OK - No Upgrade</v>
      </c>
      <c r="BU11" s="15" t="str">
        <f t="shared" si="8"/>
        <v>OK - Balanced</v>
      </c>
    </row>
    <row r="12" spans="1:73" ht="15.75" customHeight="1" x14ac:dyDescent="0.25">
      <c r="A12" s="8" t="s">
        <v>904</v>
      </c>
      <c r="B12" s="8" t="s">
        <v>3930</v>
      </c>
      <c r="C12" s="8" t="s">
        <v>938</v>
      </c>
      <c r="D12" s="8" t="s">
        <v>3953</v>
      </c>
      <c r="E12" s="8" t="s">
        <v>3954</v>
      </c>
      <c r="F12" s="8" t="s">
        <v>43</v>
      </c>
      <c r="G12" s="8" t="s">
        <v>44</v>
      </c>
      <c r="H12" s="8">
        <v>315</v>
      </c>
      <c r="I12" s="8" t="s">
        <v>3955</v>
      </c>
      <c r="J12" s="8">
        <v>1</v>
      </c>
      <c r="K12" s="8">
        <v>242</v>
      </c>
      <c r="L12" s="8">
        <v>240</v>
      </c>
      <c r="M12" s="8">
        <v>242</v>
      </c>
      <c r="N12" s="8">
        <v>417</v>
      </c>
      <c r="O12" s="8">
        <v>420</v>
      </c>
      <c r="P12" s="8">
        <v>419</v>
      </c>
      <c r="Q12" s="9" t="s">
        <v>47</v>
      </c>
      <c r="R12" s="16"/>
      <c r="S12" s="10">
        <v>92</v>
      </c>
      <c r="T12" s="10">
        <v>81</v>
      </c>
      <c r="U12" s="10">
        <v>92</v>
      </c>
      <c r="V12" s="11">
        <v>21</v>
      </c>
      <c r="W12" s="12" t="s">
        <v>47</v>
      </c>
      <c r="X12" s="17"/>
      <c r="Y12" s="13">
        <v>72</v>
      </c>
      <c r="Z12" s="13">
        <v>50</v>
      </c>
      <c r="AA12" s="13">
        <v>43</v>
      </c>
      <c r="AB12" s="14">
        <v>15</v>
      </c>
      <c r="AC12" s="9"/>
      <c r="AD12" s="16"/>
      <c r="AE12" s="10"/>
      <c r="AF12" s="10"/>
      <c r="AG12" s="10"/>
      <c r="AH12" s="11"/>
      <c r="AI12" s="12"/>
      <c r="AJ12" s="17"/>
      <c r="AK12" s="13"/>
      <c r="AL12" s="13"/>
      <c r="AM12" s="13"/>
      <c r="AN12" s="14"/>
      <c r="AO12" s="9"/>
      <c r="AP12" s="16"/>
      <c r="AQ12" s="10"/>
      <c r="AR12" s="10"/>
      <c r="AS12" s="10"/>
      <c r="AT12" s="11"/>
      <c r="AU12" s="12"/>
      <c r="AV12" s="17"/>
      <c r="AW12" s="13"/>
      <c r="AX12" s="13"/>
      <c r="AY12" s="13"/>
      <c r="AZ12" s="14"/>
      <c r="BA12" s="9"/>
      <c r="BB12" s="16"/>
      <c r="BC12" s="10"/>
      <c r="BD12" s="10"/>
      <c r="BE12" s="10"/>
      <c r="BF12" s="11"/>
      <c r="BG12" s="12"/>
      <c r="BH12" s="17"/>
      <c r="BI12" s="13"/>
      <c r="BJ12" s="13"/>
      <c r="BK12" s="13"/>
      <c r="BL12" s="14"/>
      <c r="BM12" s="8">
        <f t="shared" si="0"/>
        <v>164</v>
      </c>
      <c r="BN12" s="8">
        <f t="shared" si="1"/>
        <v>131</v>
      </c>
      <c r="BO12" s="8">
        <f t="shared" si="2"/>
        <v>135</v>
      </c>
      <c r="BP12" s="8">
        <f t="shared" si="3"/>
        <v>36</v>
      </c>
      <c r="BQ12" s="8">
        <f t="shared" si="4"/>
        <v>164</v>
      </c>
      <c r="BR12" s="8">
        <f t="shared" si="5"/>
        <v>131</v>
      </c>
      <c r="BS12" s="15">
        <f t="shared" si="6"/>
        <v>37.603647818419169</v>
      </c>
      <c r="BT12" s="15" t="str">
        <f t="shared" si="7"/>
        <v>OK - No Upgrade</v>
      </c>
      <c r="BU12" s="15" t="str">
        <f t="shared" si="8"/>
        <v>Need to Balance</v>
      </c>
    </row>
    <row r="13" spans="1:73" ht="15.75" customHeight="1" x14ac:dyDescent="0.25">
      <c r="A13" s="8" t="s">
        <v>904</v>
      </c>
      <c r="B13" s="8" t="s">
        <v>3930</v>
      </c>
      <c r="C13" s="8" t="s">
        <v>938</v>
      </c>
      <c r="D13" s="8" t="s">
        <v>3956</v>
      </c>
      <c r="E13" s="8" t="s">
        <v>3957</v>
      </c>
      <c r="F13" s="8" t="s">
        <v>56</v>
      </c>
      <c r="G13" s="8" t="s">
        <v>44</v>
      </c>
      <c r="H13" s="8">
        <v>1000</v>
      </c>
      <c r="I13" s="8" t="s">
        <v>2822</v>
      </c>
      <c r="J13" s="8">
        <v>1</v>
      </c>
      <c r="K13" s="8">
        <v>241</v>
      </c>
      <c r="L13" s="8">
        <v>242</v>
      </c>
      <c r="M13" s="8">
        <v>245</v>
      </c>
      <c r="N13" s="8">
        <v>429</v>
      </c>
      <c r="O13" s="8">
        <v>426</v>
      </c>
      <c r="P13" s="8">
        <v>428</v>
      </c>
      <c r="Q13" s="9"/>
      <c r="R13" s="16"/>
      <c r="S13" s="10"/>
      <c r="T13" s="10"/>
      <c r="U13" s="10"/>
      <c r="V13" s="11"/>
      <c r="W13" s="12"/>
      <c r="X13" s="17"/>
      <c r="Y13" s="13"/>
      <c r="Z13" s="13"/>
      <c r="AA13" s="13"/>
      <c r="AB13" s="14"/>
      <c r="AC13" s="9" t="s">
        <v>47</v>
      </c>
      <c r="AD13" s="16"/>
      <c r="AE13" s="10">
        <v>38</v>
      </c>
      <c r="AF13" s="10">
        <v>55</v>
      </c>
      <c r="AG13" s="10">
        <v>36</v>
      </c>
      <c r="AH13" s="11">
        <v>20</v>
      </c>
      <c r="AI13" s="12" t="s">
        <v>47</v>
      </c>
      <c r="AJ13" s="17"/>
      <c r="AK13" s="13">
        <v>50</v>
      </c>
      <c r="AL13" s="13">
        <v>52</v>
      </c>
      <c r="AM13" s="13">
        <v>58</v>
      </c>
      <c r="AN13" s="14">
        <v>25</v>
      </c>
      <c r="AO13" s="9" t="s">
        <v>47</v>
      </c>
      <c r="AP13" s="16"/>
      <c r="AQ13" s="10">
        <v>205</v>
      </c>
      <c r="AR13" s="10">
        <v>170</v>
      </c>
      <c r="AS13" s="10">
        <v>180</v>
      </c>
      <c r="AT13" s="11">
        <v>41</v>
      </c>
      <c r="AU13" s="12" t="s">
        <v>47</v>
      </c>
      <c r="AV13" s="17"/>
      <c r="AW13" s="13">
        <v>130</v>
      </c>
      <c r="AX13" s="13">
        <v>127</v>
      </c>
      <c r="AY13" s="13">
        <v>229</v>
      </c>
      <c r="AZ13" s="14">
        <v>90</v>
      </c>
      <c r="BA13" s="9"/>
      <c r="BB13" s="16"/>
      <c r="BC13" s="10"/>
      <c r="BD13" s="10"/>
      <c r="BE13" s="10"/>
      <c r="BF13" s="11"/>
      <c r="BG13" s="12"/>
      <c r="BH13" s="17"/>
      <c r="BI13" s="13"/>
      <c r="BJ13" s="13"/>
      <c r="BK13" s="13"/>
      <c r="BL13" s="14"/>
      <c r="BM13" s="8">
        <f t="shared" si="0"/>
        <v>423</v>
      </c>
      <c r="BN13" s="8">
        <f t="shared" si="1"/>
        <v>404</v>
      </c>
      <c r="BO13" s="8">
        <f t="shared" si="2"/>
        <v>503</v>
      </c>
      <c r="BP13" s="8">
        <f t="shared" si="3"/>
        <v>176</v>
      </c>
      <c r="BQ13" s="8">
        <f t="shared" si="4"/>
        <v>503</v>
      </c>
      <c r="BR13" s="8">
        <f t="shared" si="5"/>
        <v>404</v>
      </c>
      <c r="BS13" s="15">
        <f t="shared" si="6"/>
        <v>37.375404761286532</v>
      </c>
      <c r="BT13" s="15" t="str">
        <f t="shared" si="7"/>
        <v>OK - No Upgrade</v>
      </c>
      <c r="BU13" s="15" t="str">
        <f t="shared" si="8"/>
        <v>Need to Balance</v>
      </c>
    </row>
    <row r="14" spans="1:73" ht="15.75" customHeight="1" x14ac:dyDescent="0.25">
      <c r="A14" s="8" t="s">
        <v>904</v>
      </c>
      <c r="B14" s="8" t="s">
        <v>3930</v>
      </c>
      <c r="C14" s="8" t="s">
        <v>938</v>
      </c>
      <c r="D14" s="8" t="s">
        <v>3958</v>
      </c>
      <c r="E14" s="8" t="s">
        <v>3959</v>
      </c>
      <c r="F14" s="8" t="s">
        <v>56</v>
      </c>
      <c r="G14" s="8" t="s">
        <v>44</v>
      </c>
      <c r="H14" s="8">
        <v>1000</v>
      </c>
      <c r="I14" s="8" t="s">
        <v>2828</v>
      </c>
      <c r="J14" s="8">
        <v>1</v>
      </c>
      <c r="K14" s="8">
        <v>242</v>
      </c>
      <c r="L14" s="8">
        <v>241</v>
      </c>
      <c r="M14" s="8">
        <v>243</v>
      </c>
      <c r="N14" s="8">
        <v>418</v>
      </c>
      <c r="O14" s="8">
        <v>421</v>
      </c>
      <c r="P14" s="8">
        <v>420</v>
      </c>
      <c r="Q14" s="9" t="s">
        <v>47</v>
      </c>
      <c r="R14" s="16"/>
      <c r="S14" s="10">
        <v>40</v>
      </c>
      <c r="T14" s="10">
        <v>35</v>
      </c>
      <c r="U14" s="10">
        <v>38</v>
      </c>
      <c r="V14" s="11">
        <v>29</v>
      </c>
      <c r="W14" s="12" t="s">
        <v>47</v>
      </c>
      <c r="X14" s="17"/>
      <c r="Y14" s="13">
        <v>0</v>
      </c>
      <c r="Z14" s="13">
        <v>11</v>
      </c>
      <c r="AA14" s="13">
        <v>13</v>
      </c>
      <c r="AB14" s="14">
        <v>12</v>
      </c>
      <c r="AC14" s="9" t="s">
        <v>47</v>
      </c>
      <c r="AD14" s="16"/>
      <c r="AE14" s="10">
        <v>88</v>
      </c>
      <c r="AF14" s="10">
        <v>89</v>
      </c>
      <c r="AG14" s="10">
        <v>110</v>
      </c>
      <c r="AH14" s="11">
        <v>35</v>
      </c>
      <c r="AI14" s="12"/>
      <c r="AJ14" s="17"/>
      <c r="AK14" s="13"/>
      <c r="AL14" s="13"/>
      <c r="AM14" s="13"/>
      <c r="AN14" s="14"/>
      <c r="AO14" s="9"/>
      <c r="AP14" s="16"/>
      <c r="AQ14" s="10"/>
      <c r="AR14" s="10"/>
      <c r="AS14" s="10"/>
      <c r="AT14" s="11"/>
      <c r="AU14" s="12"/>
      <c r="AV14" s="17"/>
      <c r="AW14" s="13"/>
      <c r="AX14" s="13"/>
      <c r="AY14" s="13"/>
      <c r="AZ14" s="14"/>
      <c r="BA14" s="9"/>
      <c r="BB14" s="16"/>
      <c r="BC14" s="10"/>
      <c r="BD14" s="10"/>
      <c r="BE14" s="10"/>
      <c r="BF14" s="11"/>
      <c r="BG14" s="12"/>
      <c r="BH14" s="17"/>
      <c r="BI14" s="13"/>
      <c r="BJ14" s="13"/>
      <c r="BK14" s="13"/>
      <c r="BL14" s="14"/>
      <c r="BM14" s="8">
        <f t="shared" si="0"/>
        <v>128</v>
      </c>
      <c r="BN14" s="8">
        <f t="shared" si="1"/>
        <v>135</v>
      </c>
      <c r="BO14" s="8">
        <f t="shared" si="2"/>
        <v>161</v>
      </c>
      <c r="BP14" s="8">
        <f t="shared" si="3"/>
        <v>76</v>
      </c>
      <c r="BQ14" s="8">
        <f t="shared" si="4"/>
        <v>161</v>
      </c>
      <c r="BR14" s="8">
        <f t="shared" si="5"/>
        <v>128</v>
      </c>
      <c r="BS14" s="15">
        <f t="shared" si="6"/>
        <v>11.65635552477703</v>
      </c>
      <c r="BT14" s="15" t="str">
        <f t="shared" si="7"/>
        <v>OK - No Upgrade</v>
      </c>
      <c r="BU14" s="15" t="str">
        <f t="shared" si="8"/>
        <v>Need to Balance</v>
      </c>
    </row>
    <row r="15" spans="1:73" ht="15.75" customHeight="1" x14ac:dyDescent="0.25">
      <c r="A15" s="8" t="s">
        <v>904</v>
      </c>
      <c r="B15" s="8" t="s">
        <v>3930</v>
      </c>
      <c r="C15" s="8" t="s">
        <v>938</v>
      </c>
      <c r="D15" s="8" t="s">
        <v>3960</v>
      </c>
      <c r="E15" s="8" t="s">
        <v>3961</v>
      </c>
      <c r="F15" s="8" t="s">
        <v>56</v>
      </c>
      <c r="G15" s="8" t="s">
        <v>44</v>
      </c>
      <c r="H15" s="8">
        <v>1000</v>
      </c>
      <c r="I15" s="8" t="s">
        <v>2831</v>
      </c>
      <c r="J15" s="8">
        <v>1</v>
      </c>
      <c r="K15" s="8">
        <v>242</v>
      </c>
      <c r="L15" s="8">
        <v>241</v>
      </c>
      <c r="M15" s="8">
        <v>243</v>
      </c>
      <c r="N15" s="8">
        <v>420</v>
      </c>
      <c r="O15" s="8">
        <v>422</v>
      </c>
      <c r="P15" s="8">
        <v>420</v>
      </c>
      <c r="Q15" s="9"/>
      <c r="R15" s="16"/>
      <c r="S15" s="10"/>
      <c r="T15" s="10"/>
      <c r="U15" s="10"/>
      <c r="V15" s="11"/>
      <c r="W15" s="12"/>
      <c r="X15" s="17"/>
      <c r="Y15" s="13"/>
      <c r="Z15" s="13"/>
      <c r="AA15" s="13"/>
      <c r="AB15" s="14"/>
      <c r="AC15" s="9" t="s">
        <v>47</v>
      </c>
      <c r="AD15" s="16"/>
      <c r="AE15" s="10">
        <v>130</v>
      </c>
      <c r="AF15" s="10">
        <v>125</v>
      </c>
      <c r="AG15" s="10">
        <v>212</v>
      </c>
      <c r="AH15" s="11">
        <v>80</v>
      </c>
      <c r="AI15" s="12" t="s">
        <v>47</v>
      </c>
      <c r="AJ15" s="17"/>
      <c r="AK15" s="13">
        <v>60</v>
      </c>
      <c r="AL15" s="13">
        <v>97</v>
      </c>
      <c r="AM15" s="13">
        <v>75</v>
      </c>
      <c r="AN15" s="14">
        <v>32</v>
      </c>
      <c r="AO15" s="9"/>
      <c r="AP15" s="16"/>
      <c r="AQ15" s="10"/>
      <c r="AR15" s="10"/>
      <c r="AS15" s="10"/>
      <c r="AT15" s="11"/>
      <c r="AU15" s="12"/>
      <c r="AV15" s="17"/>
      <c r="AW15" s="13"/>
      <c r="AX15" s="13"/>
      <c r="AY15" s="13"/>
      <c r="AZ15" s="14"/>
      <c r="BA15" s="9"/>
      <c r="BB15" s="16"/>
      <c r="BC15" s="10"/>
      <c r="BD15" s="10"/>
      <c r="BE15" s="10"/>
      <c r="BF15" s="11"/>
      <c r="BG15" s="12"/>
      <c r="BH15" s="17"/>
      <c r="BI15" s="13"/>
      <c r="BJ15" s="13"/>
      <c r="BK15" s="13"/>
      <c r="BL15" s="14"/>
      <c r="BM15" s="8">
        <f t="shared" si="0"/>
        <v>190</v>
      </c>
      <c r="BN15" s="8">
        <f t="shared" si="1"/>
        <v>222</v>
      </c>
      <c r="BO15" s="8">
        <f t="shared" si="2"/>
        <v>287</v>
      </c>
      <c r="BP15" s="8">
        <f t="shared" si="3"/>
        <v>112</v>
      </c>
      <c r="BQ15" s="8">
        <f t="shared" si="4"/>
        <v>287</v>
      </c>
      <c r="BR15" s="8">
        <f t="shared" si="5"/>
        <v>190</v>
      </c>
      <c r="BS15" s="15">
        <f t="shared" si="6"/>
        <v>20.878140434435245</v>
      </c>
      <c r="BT15" s="15" t="str">
        <f t="shared" si="7"/>
        <v>OK - No Upgrade</v>
      </c>
      <c r="BU15" s="15" t="str">
        <f t="shared" si="8"/>
        <v>Need to Balance</v>
      </c>
    </row>
    <row r="16" spans="1:73" ht="15.75" customHeight="1" x14ac:dyDescent="0.25">
      <c r="A16" s="8" t="s">
        <v>904</v>
      </c>
      <c r="B16" s="8" t="s">
        <v>3930</v>
      </c>
      <c r="C16" s="8" t="s">
        <v>938</v>
      </c>
      <c r="D16" s="8" t="s">
        <v>3962</v>
      </c>
      <c r="E16" s="8" t="s">
        <v>3963</v>
      </c>
      <c r="F16" s="8" t="s">
        <v>43</v>
      </c>
      <c r="G16" s="8" t="s">
        <v>44</v>
      </c>
      <c r="H16" s="8">
        <v>200</v>
      </c>
      <c r="I16" s="8" t="s">
        <v>2819</v>
      </c>
      <c r="J16" s="8">
        <v>1</v>
      </c>
      <c r="K16" s="8">
        <v>240</v>
      </c>
      <c r="L16" s="8">
        <v>242</v>
      </c>
      <c r="M16" s="8">
        <v>241</v>
      </c>
      <c r="N16" s="8">
        <v>419</v>
      </c>
      <c r="O16" s="8">
        <v>416</v>
      </c>
      <c r="P16" s="8">
        <v>419</v>
      </c>
      <c r="Q16" s="9" t="s">
        <v>46</v>
      </c>
      <c r="R16" s="16"/>
      <c r="S16" s="10">
        <v>135</v>
      </c>
      <c r="T16" s="10">
        <v>144</v>
      </c>
      <c r="U16" s="10">
        <v>115</v>
      </c>
      <c r="V16" s="11">
        <v>25</v>
      </c>
      <c r="W16" s="12" t="s">
        <v>46</v>
      </c>
      <c r="X16" s="17"/>
      <c r="Y16" s="13">
        <v>45</v>
      </c>
      <c r="Z16" s="13">
        <v>30</v>
      </c>
      <c r="AA16" s="13">
        <v>70</v>
      </c>
      <c r="AB16" s="14">
        <v>40</v>
      </c>
      <c r="AC16" s="9"/>
      <c r="AD16" s="16"/>
      <c r="AE16" s="10"/>
      <c r="AF16" s="10"/>
      <c r="AG16" s="10"/>
      <c r="AH16" s="11"/>
      <c r="AI16" s="12"/>
      <c r="AJ16" s="17"/>
      <c r="AK16" s="13"/>
      <c r="AL16" s="13"/>
      <c r="AM16" s="13"/>
      <c r="AN16" s="14"/>
      <c r="AO16" s="9"/>
      <c r="AP16" s="16"/>
      <c r="AQ16" s="10"/>
      <c r="AR16" s="10"/>
      <c r="AS16" s="10"/>
      <c r="AT16" s="11"/>
      <c r="AU16" s="12"/>
      <c r="AV16" s="17"/>
      <c r="AW16" s="13"/>
      <c r="AX16" s="13"/>
      <c r="AY16" s="13"/>
      <c r="AZ16" s="14"/>
      <c r="BA16" s="9"/>
      <c r="BB16" s="16"/>
      <c r="BC16" s="10"/>
      <c r="BD16" s="10"/>
      <c r="BE16" s="10"/>
      <c r="BF16" s="11"/>
      <c r="BG16" s="12"/>
      <c r="BH16" s="17"/>
      <c r="BI16" s="13"/>
      <c r="BJ16" s="13"/>
      <c r="BK16" s="13"/>
      <c r="BL16" s="14"/>
      <c r="BM16" s="8">
        <f t="shared" si="0"/>
        <v>180</v>
      </c>
      <c r="BN16" s="8">
        <f t="shared" si="1"/>
        <v>174</v>
      </c>
      <c r="BO16" s="8">
        <f t="shared" si="2"/>
        <v>185</v>
      </c>
      <c r="BP16" s="8">
        <f t="shared" si="3"/>
        <v>65</v>
      </c>
      <c r="BQ16" s="8">
        <f t="shared" si="4"/>
        <v>185</v>
      </c>
      <c r="BR16" s="8">
        <f t="shared" si="5"/>
        <v>174</v>
      </c>
      <c r="BS16" s="15">
        <f t="shared" si="6"/>
        <v>67.129959174350759</v>
      </c>
      <c r="BT16" s="15" t="str">
        <f t="shared" si="7"/>
        <v>OK - No Upgrade</v>
      </c>
      <c r="BU16" s="15" t="str">
        <f t="shared" si="8"/>
        <v>OK - Balanced</v>
      </c>
    </row>
    <row r="17" spans="1:73" ht="15.75" customHeight="1" x14ac:dyDescent="0.25">
      <c r="A17" s="8" t="s">
        <v>904</v>
      </c>
      <c r="B17" s="8" t="s">
        <v>3930</v>
      </c>
      <c r="C17" s="8" t="s">
        <v>938</v>
      </c>
      <c r="D17" s="8" t="s">
        <v>3964</v>
      </c>
      <c r="E17" s="8" t="s">
        <v>3965</v>
      </c>
      <c r="F17" s="8" t="s">
        <v>43</v>
      </c>
      <c r="G17" s="8"/>
      <c r="H17" s="8">
        <v>315</v>
      </c>
      <c r="I17" s="8" t="s">
        <v>3966</v>
      </c>
      <c r="J17" s="8">
        <v>1</v>
      </c>
      <c r="K17" s="8">
        <v>241</v>
      </c>
      <c r="L17" s="8">
        <v>242</v>
      </c>
      <c r="M17" s="8">
        <v>243</v>
      </c>
      <c r="N17" s="8">
        <v>416</v>
      </c>
      <c r="O17" s="8">
        <v>424</v>
      </c>
      <c r="P17" s="8">
        <v>420</v>
      </c>
      <c r="Q17" s="9" t="s">
        <v>47</v>
      </c>
      <c r="R17" s="16"/>
      <c r="S17" s="10">
        <v>90</v>
      </c>
      <c r="T17" s="10">
        <v>106</v>
      </c>
      <c r="U17" s="10">
        <v>69</v>
      </c>
      <c r="V17" s="11">
        <v>44</v>
      </c>
      <c r="W17" s="12" t="s">
        <v>47</v>
      </c>
      <c r="X17" s="17"/>
      <c r="Y17" s="13">
        <v>154</v>
      </c>
      <c r="Z17" s="13">
        <v>130</v>
      </c>
      <c r="AA17" s="13">
        <v>122</v>
      </c>
      <c r="AB17" s="14">
        <v>31</v>
      </c>
      <c r="AC17" s="9"/>
      <c r="AD17" s="16"/>
      <c r="AE17" s="10"/>
      <c r="AF17" s="10"/>
      <c r="AG17" s="10"/>
      <c r="AH17" s="11"/>
      <c r="AI17" s="12"/>
      <c r="AJ17" s="17"/>
      <c r="AK17" s="13"/>
      <c r="AL17" s="13"/>
      <c r="AM17" s="13"/>
      <c r="AN17" s="14"/>
      <c r="AO17" s="9"/>
      <c r="AP17" s="16"/>
      <c r="AQ17" s="10"/>
      <c r="AR17" s="10"/>
      <c r="AS17" s="10"/>
      <c r="AT17" s="11"/>
      <c r="AU17" s="12"/>
      <c r="AV17" s="17"/>
      <c r="AW17" s="13"/>
      <c r="AX17" s="13"/>
      <c r="AY17" s="13"/>
      <c r="AZ17" s="14"/>
      <c r="BA17" s="9"/>
      <c r="BB17" s="16"/>
      <c r="BC17" s="10"/>
      <c r="BD17" s="10"/>
      <c r="BE17" s="10"/>
      <c r="BF17" s="11"/>
      <c r="BG17" s="12"/>
      <c r="BH17" s="17"/>
      <c r="BI17" s="13"/>
      <c r="BJ17" s="13"/>
      <c r="BK17" s="13"/>
      <c r="BL17" s="14"/>
      <c r="BM17" s="8">
        <f t="shared" si="0"/>
        <v>244</v>
      </c>
      <c r="BN17" s="8">
        <f t="shared" si="1"/>
        <v>236</v>
      </c>
      <c r="BO17" s="8">
        <f t="shared" si="2"/>
        <v>191</v>
      </c>
      <c r="BP17" s="8">
        <f t="shared" si="3"/>
        <v>75</v>
      </c>
      <c r="BQ17" s="8">
        <f t="shared" si="4"/>
        <v>244</v>
      </c>
      <c r="BR17" s="8">
        <f t="shared" si="5"/>
        <v>191</v>
      </c>
      <c r="BS17" s="15">
        <f t="shared" si="6"/>
        <v>55.812725451260739</v>
      </c>
      <c r="BT17" s="15" t="str">
        <f t="shared" si="7"/>
        <v>OK - No Upgrade</v>
      </c>
      <c r="BU17" s="15" t="str">
        <f t="shared" si="8"/>
        <v>OK - Balanced</v>
      </c>
    </row>
    <row r="18" spans="1:73" ht="15.75" customHeight="1" x14ac:dyDescent="0.25">
      <c r="A18" s="8" t="s">
        <v>904</v>
      </c>
      <c r="B18" s="8" t="s">
        <v>3930</v>
      </c>
      <c r="C18" s="8" t="s">
        <v>938</v>
      </c>
      <c r="D18" s="8" t="s">
        <v>3964</v>
      </c>
      <c r="E18" s="8" t="s">
        <v>3965</v>
      </c>
      <c r="F18" s="8" t="s">
        <v>43</v>
      </c>
      <c r="G18" s="8" t="s">
        <v>44</v>
      </c>
      <c r="H18" s="8">
        <v>315</v>
      </c>
      <c r="I18" s="8" t="s">
        <v>3967</v>
      </c>
      <c r="J18" s="8">
        <v>2</v>
      </c>
      <c r="K18" s="8">
        <v>241</v>
      </c>
      <c r="L18" s="8">
        <v>242</v>
      </c>
      <c r="M18" s="8">
        <v>243</v>
      </c>
      <c r="N18" s="8">
        <v>416</v>
      </c>
      <c r="O18" s="8">
        <v>424</v>
      </c>
      <c r="P18" s="8">
        <v>420</v>
      </c>
      <c r="Q18" s="9" t="s">
        <v>47</v>
      </c>
      <c r="R18" s="16"/>
      <c r="S18" s="10">
        <v>168</v>
      </c>
      <c r="T18" s="10">
        <v>145</v>
      </c>
      <c r="U18" s="10">
        <v>60</v>
      </c>
      <c r="V18" s="11">
        <v>97</v>
      </c>
      <c r="W18" s="12" t="s">
        <v>47</v>
      </c>
      <c r="X18" s="17"/>
      <c r="Y18" s="13">
        <v>220</v>
      </c>
      <c r="Z18" s="13">
        <v>210</v>
      </c>
      <c r="AA18" s="13">
        <v>136</v>
      </c>
      <c r="AB18" s="14">
        <v>98</v>
      </c>
      <c r="AC18" s="9"/>
      <c r="AD18" s="16"/>
      <c r="AE18" s="10"/>
      <c r="AF18" s="10"/>
      <c r="AG18" s="10"/>
      <c r="AH18" s="11"/>
      <c r="AI18" s="12"/>
      <c r="AJ18" s="17"/>
      <c r="AK18" s="13"/>
      <c r="AL18" s="13"/>
      <c r="AM18" s="13"/>
      <c r="AN18" s="14"/>
      <c r="AO18" s="9"/>
      <c r="AP18" s="16"/>
      <c r="AQ18" s="10"/>
      <c r="AR18" s="10"/>
      <c r="AS18" s="10"/>
      <c r="AT18" s="11"/>
      <c r="AU18" s="12"/>
      <c r="AV18" s="17"/>
      <c r="AW18" s="13"/>
      <c r="AX18" s="13"/>
      <c r="AY18" s="13"/>
      <c r="AZ18" s="14"/>
      <c r="BA18" s="9"/>
      <c r="BB18" s="16"/>
      <c r="BC18" s="10"/>
      <c r="BD18" s="10"/>
      <c r="BE18" s="10"/>
      <c r="BF18" s="11"/>
      <c r="BG18" s="12"/>
      <c r="BH18" s="17"/>
      <c r="BI18" s="13"/>
      <c r="BJ18" s="13"/>
      <c r="BK18" s="13"/>
      <c r="BL18" s="14"/>
      <c r="BM18" s="8">
        <f t="shared" si="0"/>
        <v>388</v>
      </c>
      <c r="BN18" s="8">
        <f t="shared" si="1"/>
        <v>355</v>
      </c>
      <c r="BO18" s="8">
        <f t="shared" si="2"/>
        <v>196</v>
      </c>
      <c r="BP18" s="8">
        <f t="shared" si="3"/>
        <v>195</v>
      </c>
      <c r="BQ18" s="8">
        <f t="shared" si="4"/>
        <v>388</v>
      </c>
      <c r="BR18" s="8">
        <f t="shared" si="5"/>
        <v>196</v>
      </c>
      <c r="BS18" s="15">
        <f t="shared" si="6"/>
        <v>88.751383094627727</v>
      </c>
      <c r="BT18" s="15" t="str">
        <f t="shared" si="7"/>
        <v>Upgrade</v>
      </c>
      <c r="BU18" s="15" t="str">
        <f t="shared" si="8"/>
        <v>Need to Balance</v>
      </c>
    </row>
    <row r="19" spans="1:73" ht="15.75" customHeight="1" x14ac:dyDescent="0.25">
      <c r="A19" s="8" t="s">
        <v>904</v>
      </c>
      <c r="B19" s="8" t="s">
        <v>3930</v>
      </c>
      <c r="C19" s="8" t="s">
        <v>938</v>
      </c>
      <c r="D19" s="8" t="s">
        <v>3964</v>
      </c>
      <c r="E19" s="8" t="s">
        <v>3965</v>
      </c>
      <c r="F19" s="8" t="s">
        <v>43</v>
      </c>
      <c r="G19" s="8"/>
      <c r="H19" s="8">
        <v>315</v>
      </c>
      <c r="I19" s="8" t="s">
        <v>3968</v>
      </c>
      <c r="J19" s="8">
        <v>3</v>
      </c>
      <c r="K19" s="8">
        <v>242</v>
      </c>
      <c r="L19" s="8">
        <v>241</v>
      </c>
      <c r="M19" s="8">
        <v>243</v>
      </c>
      <c r="N19" s="8">
        <v>417</v>
      </c>
      <c r="O19" s="8">
        <v>422</v>
      </c>
      <c r="P19" s="8">
        <v>421</v>
      </c>
      <c r="Q19" s="9" t="s">
        <v>47</v>
      </c>
      <c r="R19" s="16"/>
      <c r="S19" s="10">
        <v>148</v>
      </c>
      <c r="T19" s="10">
        <v>131</v>
      </c>
      <c r="U19" s="10">
        <v>61</v>
      </c>
      <c r="V19" s="11">
        <v>87</v>
      </c>
      <c r="W19" s="12" t="s">
        <v>47</v>
      </c>
      <c r="X19" s="17"/>
      <c r="Y19" s="13">
        <v>215</v>
      </c>
      <c r="Z19" s="13">
        <v>117</v>
      </c>
      <c r="AA19" s="13">
        <v>139</v>
      </c>
      <c r="AB19" s="14">
        <v>97</v>
      </c>
      <c r="AC19" s="9"/>
      <c r="AD19" s="16"/>
      <c r="AE19" s="10"/>
      <c r="AF19" s="10"/>
      <c r="AG19" s="10"/>
      <c r="AH19" s="11"/>
      <c r="AI19" s="12"/>
      <c r="AJ19" s="17"/>
      <c r="AK19" s="13"/>
      <c r="AL19" s="13"/>
      <c r="AM19" s="13"/>
      <c r="AN19" s="14"/>
      <c r="AO19" s="9"/>
      <c r="AP19" s="16"/>
      <c r="AQ19" s="10"/>
      <c r="AR19" s="10"/>
      <c r="AS19" s="10"/>
      <c r="AT19" s="11"/>
      <c r="AU19" s="12"/>
      <c r="AV19" s="17"/>
      <c r="AW19" s="13"/>
      <c r="AX19" s="13"/>
      <c r="AY19" s="13"/>
      <c r="AZ19" s="14"/>
      <c r="BA19" s="9"/>
      <c r="BB19" s="16"/>
      <c r="BC19" s="10"/>
      <c r="BD19" s="10"/>
      <c r="BE19" s="10"/>
      <c r="BF19" s="11"/>
      <c r="BG19" s="12"/>
      <c r="BH19" s="17"/>
      <c r="BI19" s="13"/>
      <c r="BJ19" s="13"/>
      <c r="BK19" s="13"/>
      <c r="BL19" s="14"/>
      <c r="BM19" s="8">
        <f t="shared" si="0"/>
        <v>363</v>
      </c>
      <c r="BN19" s="8">
        <f t="shared" si="1"/>
        <v>248</v>
      </c>
      <c r="BO19" s="8">
        <f t="shared" si="2"/>
        <v>200</v>
      </c>
      <c r="BP19" s="8">
        <f t="shared" si="3"/>
        <v>184</v>
      </c>
      <c r="BQ19" s="8">
        <f t="shared" si="4"/>
        <v>363</v>
      </c>
      <c r="BR19" s="8">
        <f t="shared" si="5"/>
        <v>200</v>
      </c>
      <c r="BS19" s="15">
        <f t="shared" si="6"/>
        <v>83.232464378574136</v>
      </c>
      <c r="BT19" s="15" t="str">
        <f t="shared" si="7"/>
        <v>Upgrade</v>
      </c>
      <c r="BU19" s="15" t="str">
        <f t="shared" si="8"/>
        <v>Need to Balance</v>
      </c>
    </row>
    <row r="20" spans="1:73" ht="15.75" customHeight="1" x14ac:dyDescent="0.25">
      <c r="A20" s="8" t="s">
        <v>904</v>
      </c>
      <c r="B20" s="8" t="s">
        <v>3930</v>
      </c>
      <c r="C20" s="8" t="s">
        <v>938</v>
      </c>
      <c r="D20" s="8" t="s">
        <v>3969</v>
      </c>
      <c r="E20" s="8" t="s">
        <v>3970</v>
      </c>
      <c r="F20" s="8" t="s">
        <v>56</v>
      </c>
      <c r="G20" s="8"/>
      <c r="H20" s="8">
        <v>1000</v>
      </c>
      <c r="I20" s="8" t="s">
        <v>2344</v>
      </c>
      <c r="J20" s="8">
        <v>1</v>
      </c>
      <c r="K20" s="8">
        <v>240</v>
      </c>
      <c r="L20" s="8">
        <v>240</v>
      </c>
      <c r="M20" s="8">
        <v>241</v>
      </c>
      <c r="N20" s="8">
        <v>415</v>
      </c>
      <c r="O20" s="8">
        <v>422</v>
      </c>
      <c r="P20" s="8">
        <v>419</v>
      </c>
      <c r="Q20" s="9"/>
      <c r="R20" s="16"/>
      <c r="S20" s="10"/>
      <c r="T20" s="10"/>
      <c r="U20" s="10"/>
      <c r="V20" s="11"/>
      <c r="W20" s="12"/>
      <c r="X20" s="17"/>
      <c r="Y20" s="13"/>
      <c r="Z20" s="13"/>
      <c r="AA20" s="13"/>
      <c r="AB20" s="14"/>
      <c r="AC20" s="9" t="s">
        <v>47</v>
      </c>
      <c r="AD20" s="16"/>
      <c r="AE20" s="10">
        <v>56</v>
      </c>
      <c r="AF20" s="10">
        <v>10</v>
      </c>
      <c r="AG20" s="10">
        <v>34</v>
      </c>
      <c r="AH20" s="11">
        <v>36</v>
      </c>
      <c r="AI20" s="12" t="s">
        <v>47</v>
      </c>
      <c r="AJ20" s="17"/>
      <c r="AK20" s="13">
        <v>145</v>
      </c>
      <c r="AL20" s="13">
        <v>140</v>
      </c>
      <c r="AM20" s="13">
        <v>101</v>
      </c>
      <c r="AN20" s="14">
        <v>62</v>
      </c>
      <c r="AO20" s="9" t="s">
        <v>47</v>
      </c>
      <c r="AP20" s="16"/>
      <c r="AQ20" s="10">
        <v>45</v>
      </c>
      <c r="AR20" s="10">
        <v>50</v>
      </c>
      <c r="AS20" s="10">
        <v>12</v>
      </c>
      <c r="AT20" s="11">
        <v>10</v>
      </c>
      <c r="AU20" s="12" t="s">
        <v>47</v>
      </c>
      <c r="AV20" s="17"/>
      <c r="AW20" s="13">
        <v>140</v>
      </c>
      <c r="AX20" s="13">
        <v>120</v>
      </c>
      <c r="AY20" s="13">
        <v>101</v>
      </c>
      <c r="AZ20" s="14">
        <v>49</v>
      </c>
      <c r="BA20" s="9" t="s">
        <v>47</v>
      </c>
      <c r="BB20" s="16"/>
      <c r="BC20" s="10">
        <v>68</v>
      </c>
      <c r="BD20" s="10">
        <v>71</v>
      </c>
      <c r="BE20" s="10">
        <v>36</v>
      </c>
      <c r="BF20" s="11">
        <v>50</v>
      </c>
      <c r="BG20" s="12"/>
      <c r="BH20" s="17"/>
      <c r="BI20" s="13"/>
      <c r="BJ20" s="13"/>
      <c r="BK20" s="13"/>
      <c r="BL20" s="14"/>
      <c r="BM20" s="8">
        <f t="shared" si="0"/>
        <v>454</v>
      </c>
      <c r="BN20" s="8">
        <f t="shared" si="1"/>
        <v>391</v>
      </c>
      <c r="BO20" s="8">
        <f t="shared" si="2"/>
        <v>284</v>
      </c>
      <c r="BP20" s="8">
        <f t="shared" si="3"/>
        <v>207</v>
      </c>
      <c r="BQ20" s="8">
        <f t="shared" si="4"/>
        <v>454</v>
      </c>
      <c r="BR20" s="8">
        <f t="shared" si="5"/>
        <v>284</v>
      </c>
      <c r="BS20" s="15">
        <f t="shared" si="6"/>
        <v>32.633569265405214</v>
      </c>
      <c r="BT20" s="15" t="str">
        <f t="shared" si="7"/>
        <v>OK - No Upgrade</v>
      </c>
      <c r="BU20" s="15" t="str">
        <f t="shared" si="8"/>
        <v>Need to Balance</v>
      </c>
    </row>
    <row r="21" spans="1:73" ht="15.75" customHeight="1" x14ac:dyDescent="0.25">
      <c r="A21" s="8" t="s">
        <v>904</v>
      </c>
      <c r="B21" s="8" t="s">
        <v>3930</v>
      </c>
      <c r="C21" s="8" t="s">
        <v>938</v>
      </c>
      <c r="D21" s="8" t="s">
        <v>3971</v>
      </c>
      <c r="E21" s="8" t="s">
        <v>3972</v>
      </c>
      <c r="F21" s="8" t="s">
        <v>43</v>
      </c>
      <c r="G21" s="8"/>
      <c r="H21" s="8">
        <v>315</v>
      </c>
      <c r="I21" s="8" t="s">
        <v>2353</v>
      </c>
      <c r="J21" s="8">
        <v>1</v>
      </c>
      <c r="K21" s="8">
        <v>242</v>
      </c>
      <c r="L21" s="8">
        <v>241</v>
      </c>
      <c r="M21" s="8">
        <v>243</v>
      </c>
      <c r="N21" s="8">
        <v>418</v>
      </c>
      <c r="O21" s="8">
        <v>422</v>
      </c>
      <c r="P21" s="8">
        <v>419</v>
      </c>
      <c r="Q21" s="9" t="s">
        <v>47</v>
      </c>
      <c r="R21" s="16"/>
      <c r="S21" s="10">
        <v>101</v>
      </c>
      <c r="T21" s="10">
        <v>99</v>
      </c>
      <c r="U21" s="10">
        <v>98</v>
      </c>
      <c r="V21" s="11">
        <v>17</v>
      </c>
      <c r="W21" s="12" t="s">
        <v>47</v>
      </c>
      <c r="X21" s="17"/>
      <c r="Y21" s="13">
        <v>0</v>
      </c>
      <c r="Z21" s="13">
        <v>0</v>
      </c>
      <c r="AA21" s="13">
        <v>0</v>
      </c>
      <c r="AB21" s="14">
        <v>0</v>
      </c>
      <c r="AC21" s="9" t="s">
        <v>47</v>
      </c>
      <c r="AD21" s="16"/>
      <c r="AE21" s="10">
        <v>30</v>
      </c>
      <c r="AF21" s="10">
        <v>38</v>
      </c>
      <c r="AG21" s="10">
        <v>41</v>
      </c>
      <c r="AH21" s="11">
        <v>25</v>
      </c>
      <c r="AI21" s="12"/>
      <c r="AJ21" s="17"/>
      <c r="AK21" s="13"/>
      <c r="AL21" s="13"/>
      <c r="AM21" s="13"/>
      <c r="AN21" s="14"/>
      <c r="AO21" s="9"/>
      <c r="AP21" s="16"/>
      <c r="AQ21" s="10"/>
      <c r="AR21" s="10"/>
      <c r="AS21" s="10"/>
      <c r="AT21" s="11"/>
      <c r="AU21" s="12"/>
      <c r="AV21" s="17"/>
      <c r="AW21" s="13"/>
      <c r="AX21" s="13"/>
      <c r="AY21" s="13"/>
      <c r="AZ21" s="14"/>
      <c r="BA21" s="9"/>
      <c r="BB21" s="16"/>
      <c r="BC21" s="10"/>
      <c r="BD21" s="10"/>
      <c r="BE21" s="10"/>
      <c r="BF21" s="11"/>
      <c r="BG21" s="12"/>
      <c r="BH21" s="17"/>
      <c r="BI21" s="13"/>
      <c r="BJ21" s="13"/>
      <c r="BK21" s="13"/>
      <c r="BL21" s="14"/>
      <c r="BM21" s="8">
        <f t="shared" si="0"/>
        <v>131</v>
      </c>
      <c r="BN21" s="8">
        <f t="shared" si="1"/>
        <v>137</v>
      </c>
      <c r="BO21" s="8">
        <f t="shared" si="2"/>
        <v>139</v>
      </c>
      <c r="BP21" s="8">
        <f t="shared" si="3"/>
        <v>42</v>
      </c>
      <c r="BQ21" s="8">
        <f t="shared" si="4"/>
        <v>139</v>
      </c>
      <c r="BR21" s="8">
        <f t="shared" si="5"/>
        <v>131</v>
      </c>
      <c r="BS21" s="15">
        <f t="shared" si="6"/>
        <v>31.947814609957746</v>
      </c>
      <c r="BT21" s="15" t="str">
        <f t="shared" si="7"/>
        <v>OK - No Upgrade</v>
      </c>
      <c r="BU21" s="15" t="str">
        <f t="shared" si="8"/>
        <v>OK - Balanced</v>
      </c>
    </row>
    <row r="22" spans="1:73" ht="15.75" customHeight="1" x14ac:dyDescent="0.25">
      <c r="A22" s="8" t="s">
        <v>904</v>
      </c>
      <c r="B22" s="8" t="s">
        <v>3930</v>
      </c>
      <c r="C22" s="8" t="s">
        <v>938</v>
      </c>
      <c r="D22" s="8" t="s">
        <v>3973</v>
      </c>
      <c r="E22" s="8" t="s">
        <v>3974</v>
      </c>
      <c r="F22" s="8" t="s">
        <v>43</v>
      </c>
      <c r="G22" s="8"/>
      <c r="H22" s="8">
        <v>315</v>
      </c>
      <c r="I22" s="8" t="s">
        <v>2358</v>
      </c>
      <c r="J22" s="8">
        <v>1</v>
      </c>
      <c r="K22" s="8">
        <v>240</v>
      </c>
      <c r="L22" s="8">
        <v>242</v>
      </c>
      <c r="M22" s="8">
        <v>241</v>
      </c>
      <c r="N22" s="8">
        <v>411</v>
      </c>
      <c r="O22" s="8">
        <v>420</v>
      </c>
      <c r="P22" s="8">
        <v>418</v>
      </c>
      <c r="Q22" s="9" t="s">
        <v>47</v>
      </c>
      <c r="R22" s="16"/>
      <c r="S22" s="10">
        <v>65</v>
      </c>
      <c r="T22" s="10">
        <v>38</v>
      </c>
      <c r="U22" s="10">
        <v>44</v>
      </c>
      <c r="V22" s="11">
        <v>20</v>
      </c>
      <c r="W22" s="12" t="s">
        <v>47</v>
      </c>
      <c r="X22" s="17"/>
      <c r="Y22" s="13">
        <v>35</v>
      </c>
      <c r="Z22" s="13">
        <v>75</v>
      </c>
      <c r="AA22" s="13">
        <v>41</v>
      </c>
      <c r="AB22" s="14">
        <v>22</v>
      </c>
      <c r="AC22" s="9"/>
      <c r="AD22" s="16"/>
      <c r="AE22" s="10"/>
      <c r="AF22" s="10"/>
      <c r="AG22" s="10"/>
      <c r="AH22" s="11"/>
      <c r="AI22" s="12"/>
      <c r="AJ22" s="17"/>
      <c r="AK22" s="13"/>
      <c r="AL22" s="13"/>
      <c r="AM22" s="13"/>
      <c r="AN22" s="14"/>
      <c r="AO22" s="9"/>
      <c r="AP22" s="16"/>
      <c r="AQ22" s="10"/>
      <c r="AR22" s="10"/>
      <c r="AS22" s="10"/>
      <c r="AT22" s="11"/>
      <c r="AU22" s="12"/>
      <c r="AV22" s="17"/>
      <c r="AW22" s="13"/>
      <c r="AX22" s="13"/>
      <c r="AY22" s="13"/>
      <c r="AZ22" s="14"/>
      <c r="BA22" s="9"/>
      <c r="BB22" s="16"/>
      <c r="BC22" s="10"/>
      <c r="BD22" s="10"/>
      <c r="BE22" s="10"/>
      <c r="BF22" s="11"/>
      <c r="BG22" s="12"/>
      <c r="BH22" s="17"/>
      <c r="BI22" s="13"/>
      <c r="BJ22" s="13"/>
      <c r="BK22" s="13"/>
      <c r="BL22" s="14"/>
      <c r="BM22" s="8">
        <f t="shared" si="0"/>
        <v>100</v>
      </c>
      <c r="BN22" s="8">
        <f t="shared" si="1"/>
        <v>113</v>
      </c>
      <c r="BO22" s="8">
        <f t="shared" si="2"/>
        <v>85</v>
      </c>
      <c r="BP22" s="8">
        <f t="shared" si="3"/>
        <v>42</v>
      </c>
      <c r="BQ22" s="8">
        <f t="shared" si="4"/>
        <v>113</v>
      </c>
      <c r="BR22" s="8">
        <f t="shared" si="5"/>
        <v>85</v>
      </c>
      <c r="BS22" s="15">
        <f t="shared" si="6"/>
        <v>25.537027192355989</v>
      </c>
      <c r="BT22" s="15" t="str">
        <f t="shared" si="7"/>
        <v>OK - No Upgrade</v>
      </c>
      <c r="BU22" s="15" t="str">
        <f t="shared" si="8"/>
        <v>Need to Balance</v>
      </c>
    </row>
    <row r="23" spans="1:73" ht="15.75" customHeight="1" x14ac:dyDescent="0.25">
      <c r="A23" s="8" t="s">
        <v>904</v>
      </c>
      <c r="B23" s="8" t="s">
        <v>3930</v>
      </c>
      <c r="C23" s="8" t="s">
        <v>938</v>
      </c>
      <c r="D23" s="8" t="s">
        <v>3975</v>
      </c>
      <c r="E23" s="8" t="s">
        <v>3976</v>
      </c>
      <c r="F23" s="8" t="s">
        <v>56</v>
      </c>
      <c r="G23" s="8"/>
      <c r="H23" s="8">
        <v>1000</v>
      </c>
      <c r="I23" s="8" t="s">
        <v>2364</v>
      </c>
      <c r="J23" s="8">
        <v>1</v>
      </c>
      <c r="K23" s="8">
        <v>243</v>
      </c>
      <c r="L23" s="8">
        <v>240</v>
      </c>
      <c r="M23" s="8">
        <v>243</v>
      </c>
      <c r="N23" s="8">
        <v>418</v>
      </c>
      <c r="O23" s="8">
        <v>422</v>
      </c>
      <c r="P23" s="8">
        <v>418</v>
      </c>
      <c r="Q23" s="9" t="s">
        <v>46</v>
      </c>
      <c r="R23" s="16"/>
      <c r="S23" s="10">
        <v>60</v>
      </c>
      <c r="T23" s="10">
        <v>65</v>
      </c>
      <c r="U23" s="10">
        <v>40</v>
      </c>
      <c r="V23" s="11">
        <v>30</v>
      </c>
      <c r="W23" s="12"/>
      <c r="X23" s="17"/>
      <c r="Y23" s="13"/>
      <c r="Z23" s="13"/>
      <c r="AA23" s="13"/>
      <c r="AB23" s="14"/>
      <c r="AC23" s="9" t="s">
        <v>47</v>
      </c>
      <c r="AD23" s="16"/>
      <c r="AE23" s="10">
        <v>80</v>
      </c>
      <c r="AF23" s="10">
        <v>85</v>
      </c>
      <c r="AG23" s="10">
        <v>70</v>
      </c>
      <c r="AH23" s="11">
        <v>40</v>
      </c>
      <c r="AI23" s="12" t="s">
        <v>46</v>
      </c>
      <c r="AJ23" s="17"/>
      <c r="AK23" s="13">
        <v>30</v>
      </c>
      <c r="AL23" s="13">
        <v>95</v>
      </c>
      <c r="AM23" s="13">
        <v>130</v>
      </c>
      <c r="AN23" s="14">
        <v>60</v>
      </c>
      <c r="AO23" s="9"/>
      <c r="AP23" s="16"/>
      <c r="AQ23" s="10"/>
      <c r="AR23" s="10"/>
      <c r="AS23" s="10"/>
      <c r="AT23" s="11"/>
      <c r="AU23" s="12" t="s">
        <v>47</v>
      </c>
      <c r="AV23" s="17"/>
      <c r="AW23" s="13">
        <v>175</v>
      </c>
      <c r="AX23" s="13">
        <v>180</v>
      </c>
      <c r="AY23" s="13">
        <v>160</v>
      </c>
      <c r="AZ23" s="14">
        <v>51</v>
      </c>
      <c r="BA23" s="9" t="s">
        <v>47</v>
      </c>
      <c r="BB23" s="16"/>
      <c r="BC23" s="10">
        <v>30</v>
      </c>
      <c r="BD23" s="10">
        <v>45</v>
      </c>
      <c r="BE23" s="10">
        <v>60</v>
      </c>
      <c r="BF23" s="11">
        <v>20</v>
      </c>
      <c r="BG23" s="12" t="s">
        <v>47</v>
      </c>
      <c r="BH23" s="17"/>
      <c r="BI23" s="13">
        <v>120</v>
      </c>
      <c r="BJ23" s="13">
        <v>110</v>
      </c>
      <c r="BK23" s="13">
        <v>85</v>
      </c>
      <c r="BL23" s="14">
        <v>38</v>
      </c>
      <c r="BM23" s="8">
        <f t="shared" si="0"/>
        <v>495</v>
      </c>
      <c r="BN23" s="8">
        <f t="shared" si="1"/>
        <v>580</v>
      </c>
      <c r="BO23" s="8">
        <f t="shared" si="2"/>
        <v>545</v>
      </c>
      <c r="BP23" s="8">
        <f t="shared" si="3"/>
        <v>239</v>
      </c>
      <c r="BQ23" s="8">
        <f t="shared" si="4"/>
        <v>580</v>
      </c>
      <c r="BR23" s="8">
        <f t="shared" si="5"/>
        <v>495</v>
      </c>
      <c r="BS23" s="15">
        <f t="shared" si="6"/>
        <v>41.991839778699855</v>
      </c>
      <c r="BT23" s="15" t="str">
        <f t="shared" si="7"/>
        <v>OK - No Upgrade</v>
      </c>
      <c r="BU23" s="15" t="str">
        <f t="shared" si="8"/>
        <v>OK - Balanced</v>
      </c>
    </row>
    <row r="24" spans="1:73" ht="15.75" customHeight="1" x14ac:dyDescent="0.25">
      <c r="A24" s="8" t="s">
        <v>904</v>
      </c>
      <c r="B24" s="8" t="s">
        <v>3930</v>
      </c>
      <c r="C24" s="8" t="s">
        <v>938</v>
      </c>
      <c r="D24" s="8" t="s">
        <v>3977</v>
      </c>
      <c r="E24" s="8" t="s">
        <v>3978</v>
      </c>
      <c r="F24" s="8" t="s">
        <v>43</v>
      </c>
      <c r="G24" s="8"/>
      <c r="H24" s="8">
        <v>315</v>
      </c>
      <c r="I24" s="8" t="s">
        <v>3979</v>
      </c>
      <c r="J24" s="8">
        <v>1</v>
      </c>
      <c r="K24" s="8">
        <v>247</v>
      </c>
      <c r="L24" s="8">
        <v>247</v>
      </c>
      <c r="M24" s="8">
        <v>249</v>
      </c>
      <c r="N24" s="8">
        <v>426</v>
      </c>
      <c r="O24" s="8">
        <v>423</v>
      </c>
      <c r="P24" s="8">
        <v>430</v>
      </c>
      <c r="Q24" s="9" t="s">
        <v>46</v>
      </c>
      <c r="R24" s="16"/>
      <c r="S24" s="10">
        <v>70</v>
      </c>
      <c r="T24" s="10">
        <v>75</v>
      </c>
      <c r="U24" s="10">
        <v>126</v>
      </c>
      <c r="V24" s="11">
        <v>48</v>
      </c>
      <c r="W24" s="12" t="s">
        <v>46</v>
      </c>
      <c r="X24" s="17"/>
      <c r="Y24" s="13">
        <v>96</v>
      </c>
      <c r="Z24" s="13">
        <v>72</v>
      </c>
      <c r="AA24" s="13">
        <v>40</v>
      </c>
      <c r="AB24" s="14">
        <v>54</v>
      </c>
      <c r="AC24" s="9"/>
      <c r="AD24" s="16"/>
      <c r="AE24" s="10"/>
      <c r="AF24" s="10"/>
      <c r="AG24" s="10"/>
      <c r="AH24" s="11"/>
      <c r="AI24" s="12"/>
      <c r="AJ24" s="17"/>
      <c r="AK24" s="13"/>
      <c r="AL24" s="13"/>
      <c r="AM24" s="13"/>
      <c r="AN24" s="14"/>
      <c r="AO24" s="9"/>
      <c r="AP24" s="16"/>
      <c r="AQ24" s="10"/>
      <c r="AR24" s="10"/>
      <c r="AS24" s="10"/>
      <c r="AT24" s="11"/>
      <c r="AU24" s="12"/>
      <c r="AV24" s="17"/>
      <c r="AW24" s="13"/>
      <c r="AX24" s="13"/>
      <c r="AY24" s="13"/>
      <c r="AZ24" s="14"/>
      <c r="BA24" s="9"/>
      <c r="BB24" s="16"/>
      <c r="BC24" s="10"/>
      <c r="BD24" s="10"/>
      <c r="BE24" s="10"/>
      <c r="BF24" s="11"/>
      <c r="BG24" s="12"/>
      <c r="BH24" s="17"/>
      <c r="BI24" s="13"/>
      <c r="BJ24" s="13"/>
      <c r="BK24" s="13"/>
      <c r="BL24" s="14"/>
      <c r="BM24" s="8">
        <f t="shared" si="0"/>
        <v>166</v>
      </c>
      <c r="BN24" s="8">
        <f t="shared" si="1"/>
        <v>147</v>
      </c>
      <c r="BO24" s="8">
        <f t="shared" si="2"/>
        <v>166</v>
      </c>
      <c r="BP24" s="8">
        <f t="shared" si="3"/>
        <v>102</v>
      </c>
      <c r="BQ24" s="8">
        <f t="shared" si="4"/>
        <v>166</v>
      </c>
      <c r="BR24" s="8">
        <f t="shared" si="5"/>
        <v>147</v>
      </c>
      <c r="BS24" s="15">
        <f t="shared" si="6"/>
        <v>38.883715843822451</v>
      </c>
      <c r="BT24" s="15" t="str">
        <f t="shared" si="7"/>
        <v>OK - No Upgrade</v>
      </c>
      <c r="BU24" s="15" t="str">
        <f t="shared" si="8"/>
        <v>OK - Balanced</v>
      </c>
    </row>
    <row r="25" spans="1:73" ht="15.75" customHeight="1" x14ac:dyDescent="0.25">
      <c r="A25" s="8" t="s">
        <v>904</v>
      </c>
      <c r="B25" s="8" t="s">
        <v>3930</v>
      </c>
      <c r="C25" s="8" t="s">
        <v>938</v>
      </c>
      <c r="D25" s="8" t="s">
        <v>3977</v>
      </c>
      <c r="E25" s="8" t="s">
        <v>3978</v>
      </c>
      <c r="F25" s="8" t="s">
        <v>43</v>
      </c>
      <c r="G25" s="8" t="s">
        <v>44</v>
      </c>
      <c r="H25" s="8">
        <v>315</v>
      </c>
      <c r="I25" s="8" t="s">
        <v>3980</v>
      </c>
      <c r="J25" s="8">
        <v>2</v>
      </c>
      <c r="K25" s="8">
        <v>246</v>
      </c>
      <c r="L25" s="8">
        <v>245</v>
      </c>
      <c r="M25" s="8">
        <v>248</v>
      </c>
      <c r="N25" s="8">
        <v>424</v>
      </c>
      <c r="O25" s="8">
        <v>429</v>
      </c>
      <c r="P25" s="8">
        <v>428</v>
      </c>
      <c r="Q25" s="9" t="s">
        <v>46</v>
      </c>
      <c r="R25" s="16"/>
      <c r="S25" s="10">
        <v>125</v>
      </c>
      <c r="T25" s="10">
        <v>87</v>
      </c>
      <c r="U25" s="10">
        <v>116</v>
      </c>
      <c r="V25" s="11">
        <v>49</v>
      </c>
      <c r="W25" s="12" t="s">
        <v>46</v>
      </c>
      <c r="X25" s="17"/>
      <c r="Y25" s="13">
        <v>181</v>
      </c>
      <c r="Z25" s="13">
        <v>120</v>
      </c>
      <c r="AA25" s="13">
        <v>76</v>
      </c>
      <c r="AB25" s="14">
        <v>68</v>
      </c>
      <c r="AC25" s="9"/>
      <c r="AD25" s="16"/>
      <c r="AE25" s="10"/>
      <c r="AF25" s="10"/>
      <c r="AG25" s="10"/>
      <c r="AH25" s="11"/>
      <c r="AI25" s="12"/>
      <c r="AJ25" s="17"/>
      <c r="AK25" s="13"/>
      <c r="AL25" s="13"/>
      <c r="AM25" s="13"/>
      <c r="AN25" s="14"/>
      <c r="AO25" s="9"/>
      <c r="AP25" s="16"/>
      <c r="AQ25" s="10"/>
      <c r="AR25" s="10"/>
      <c r="AS25" s="10"/>
      <c r="AT25" s="11"/>
      <c r="AU25" s="12"/>
      <c r="AV25" s="17"/>
      <c r="AW25" s="13"/>
      <c r="AX25" s="13"/>
      <c r="AY25" s="13"/>
      <c r="AZ25" s="14"/>
      <c r="BA25" s="9"/>
      <c r="BB25" s="16"/>
      <c r="BC25" s="10"/>
      <c r="BD25" s="10"/>
      <c r="BE25" s="10"/>
      <c r="BF25" s="11"/>
      <c r="BG25" s="12"/>
      <c r="BH25" s="17"/>
      <c r="BI25" s="13"/>
      <c r="BJ25" s="13"/>
      <c r="BK25" s="13"/>
      <c r="BL25" s="14"/>
      <c r="BM25" s="8">
        <f t="shared" si="0"/>
        <v>306</v>
      </c>
      <c r="BN25" s="8">
        <f t="shared" si="1"/>
        <v>207</v>
      </c>
      <c r="BO25" s="8">
        <f t="shared" si="2"/>
        <v>192</v>
      </c>
      <c r="BP25" s="8">
        <f t="shared" si="3"/>
        <v>117</v>
      </c>
      <c r="BQ25" s="8">
        <f t="shared" si="4"/>
        <v>306</v>
      </c>
      <c r="BR25" s="8">
        <f t="shared" si="5"/>
        <v>192</v>
      </c>
      <c r="BS25" s="15">
        <f t="shared" si="6"/>
        <v>71.340698405465531</v>
      </c>
      <c r="BT25" s="15" t="str">
        <f t="shared" si="7"/>
        <v>Upgrade</v>
      </c>
      <c r="BU25" s="15" t="str">
        <f t="shared" si="8"/>
        <v>Need to Balance</v>
      </c>
    </row>
    <row r="26" spans="1:73" ht="15.75" customHeight="1" x14ac:dyDescent="0.25">
      <c r="A26" s="8" t="s">
        <v>904</v>
      </c>
      <c r="B26" s="8" t="s">
        <v>3930</v>
      </c>
      <c r="C26" s="8" t="s">
        <v>2296</v>
      </c>
      <c r="D26" s="8"/>
      <c r="E26" s="8" t="s">
        <v>3981</v>
      </c>
      <c r="F26" s="8" t="s">
        <v>56</v>
      </c>
      <c r="G26" s="8"/>
      <c r="H26" s="8">
        <v>1000</v>
      </c>
      <c r="I26" s="8" t="s">
        <v>3982</v>
      </c>
      <c r="J26" s="8">
        <v>1</v>
      </c>
      <c r="K26" s="8">
        <v>249</v>
      </c>
      <c r="L26" s="8">
        <v>247</v>
      </c>
      <c r="M26" s="8">
        <v>250</v>
      </c>
      <c r="N26" s="8">
        <v>430</v>
      </c>
      <c r="O26" s="8">
        <v>434</v>
      </c>
      <c r="P26" s="8">
        <v>431</v>
      </c>
      <c r="Q26" s="9" t="s">
        <v>47</v>
      </c>
      <c r="R26" s="16"/>
      <c r="S26" s="10">
        <v>60</v>
      </c>
      <c r="T26" s="10">
        <v>128</v>
      </c>
      <c r="U26" s="10">
        <v>83</v>
      </c>
      <c r="V26" s="11">
        <v>129</v>
      </c>
      <c r="W26" s="12" t="s">
        <v>47</v>
      </c>
      <c r="X26" s="17"/>
      <c r="Y26" s="13">
        <v>112</v>
      </c>
      <c r="Z26" s="13">
        <v>168</v>
      </c>
      <c r="AA26" s="13">
        <v>50</v>
      </c>
      <c r="AB26" s="14">
        <v>71</v>
      </c>
      <c r="AC26" s="9"/>
      <c r="AD26" s="16"/>
      <c r="AE26" s="10">
        <v>106</v>
      </c>
      <c r="AF26" s="10">
        <v>104</v>
      </c>
      <c r="AG26" s="10">
        <v>35</v>
      </c>
      <c r="AH26" s="11">
        <v>50</v>
      </c>
      <c r="AI26" s="12"/>
      <c r="AJ26" s="17"/>
      <c r="AK26" s="13"/>
      <c r="AL26" s="13"/>
      <c r="AM26" s="13"/>
      <c r="AN26" s="14"/>
      <c r="AO26" s="9"/>
      <c r="AP26" s="16"/>
      <c r="AQ26" s="10"/>
      <c r="AR26" s="10"/>
      <c r="AS26" s="10"/>
      <c r="AT26" s="11"/>
      <c r="AU26" s="12"/>
      <c r="AV26" s="17"/>
      <c r="AW26" s="13"/>
      <c r="AX26" s="13"/>
      <c r="AY26" s="13"/>
      <c r="AZ26" s="14"/>
      <c r="BA26" s="9"/>
      <c r="BB26" s="16"/>
      <c r="BC26" s="10"/>
      <c r="BD26" s="10"/>
      <c r="BE26" s="10"/>
      <c r="BF26" s="11"/>
      <c r="BG26" s="12"/>
      <c r="BH26" s="17"/>
      <c r="BI26" s="13"/>
      <c r="BJ26" s="13"/>
      <c r="BK26" s="13"/>
      <c r="BL26" s="14"/>
      <c r="BM26" s="8">
        <f t="shared" si="0"/>
        <v>278</v>
      </c>
      <c r="BN26" s="8">
        <f t="shared" si="1"/>
        <v>400</v>
      </c>
      <c r="BO26" s="8">
        <f t="shared" si="2"/>
        <v>168</v>
      </c>
      <c r="BP26" s="8">
        <f t="shared" si="3"/>
        <v>250</v>
      </c>
      <c r="BQ26" s="8">
        <f t="shared" si="4"/>
        <v>400</v>
      </c>
      <c r="BR26" s="8">
        <f t="shared" si="5"/>
        <v>168</v>
      </c>
      <c r="BS26" s="15">
        <f t="shared" si="6"/>
        <v>29.791273890184687</v>
      </c>
      <c r="BT26" s="15" t="str">
        <f t="shared" si="7"/>
        <v>OK - No Upgrade</v>
      </c>
      <c r="BU26" s="15" t="str">
        <f t="shared" si="8"/>
        <v>Need to Balance</v>
      </c>
    </row>
    <row r="27" spans="1:73" ht="15.75" customHeight="1" x14ac:dyDescent="0.25">
      <c r="A27" s="8" t="s">
        <v>904</v>
      </c>
      <c r="B27" s="8" t="s">
        <v>3930</v>
      </c>
      <c r="C27" s="8" t="s">
        <v>2296</v>
      </c>
      <c r="D27" s="8"/>
      <c r="E27" s="8" t="s">
        <v>3983</v>
      </c>
      <c r="F27" s="8" t="s">
        <v>56</v>
      </c>
      <c r="G27" s="8"/>
      <c r="H27" s="8">
        <v>500</v>
      </c>
      <c r="I27" s="8" t="s">
        <v>3984</v>
      </c>
      <c r="J27" s="8">
        <v>1</v>
      </c>
      <c r="K27" s="8">
        <v>249</v>
      </c>
      <c r="L27" s="8">
        <v>247</v>
      </c>
      <c r="M27" s="8">
        <v>250</v>
      </c>
      <c r="N27" s="8">
        <v>430</v>
      </c>
      <c r="O27" s="8">
        <v>433</v>
      </c>
      <c r="P27" s="8">
        <v>432</v>
      </c>
      <c r="Q27" s="9" t="s">
        <v>47</v>
      </c>
      <c r="R27" s="16"/>
      <c r="S27" s="10">
        <v>118</v>
      </c>
      <c r="T27" s="10">
        <v>98</v>
      </c>
      <c r="U27" s="10">
        <v>126</v>
      </c>
      <c r="V27" s="11">
        <v>50</v>
      </c>
      <c r="W27" s="12" t="s">
        <v>47</v>
      </c>
      <c r="X27" s="17"/>
      <c r="Y27" s="13">
        <v>94</v>
      </c>
      <c r="Z27" s="13">
        <v>81</v>
      </c>
      <c r="AA27" s="13">
        <v>100</v>
      </c>
      <c r="AB27" s="14">
        <v>25</v>
      </c>
      <c r="AC27" s="9"/>
      <c r="AD27" s="16"/>
      <c r="AE27" s="10"/>
      <c r="AF27" s="10"/>
      <c r="AG27" s="10"/>
      <c r="AH27" s="11"/>
      <c r="AI27" s="12"/>
      <c r="AJ27" s="17"/>
      <c r="AK27" s="13"/>
      <c r="AL27" s="13"/>
      <c r="AM27" s="13"/>
      <c r="AN27" s="14"/>
      <c r="AO27" s="9"/>
      <c r="AP27" s="16"/>
      <c r="AQ27" s="10"/>
      <c r="AR27" s="10"/>
      <c r="AS27" s="10"/>
      <c r="AT27" s="11"/>
      <c r="AU27" s="12"/>
      <c r="AV27" s="17"/>
      <c r="AW27" s="13"/>
      <c r="AX27" s="13"/>
      <c r="AY27" s="13"/>
      <c r="AZ27" s="14"/>
      <c r="BA27" s="9"/>
      <c r="BB27" s="16"/>
      <c r="BC27" s="10"/>
      <c r="BD27" s="10"/>
      <c r="BE27" s="10"/>
      <c r="BF27" s="11"/>
      <c r="BG27" s="12"/>
      <c r="BH27" s="17"/>
      <c r="BI27" s="13"/>
      <c r="BJ27" s="13"/>
      <c r="BK27" s="13"/>
      <c r="BL27" s="14"/>
      <c r="BM27" s="8">
        <f t="shared" si="0"/>
        <v>212</v>
      </c>
      <c r="BN27" s="8">
        <f t="shared" si="1"/>
        <v>179</v>
      </c>
      <c r="BO27" s="8">
        <f t="shared" si="2"/>
        <v>226</v>
      </c>
      <c r="BP27" s="8">
        <f t="shared" si="3"/>
        <v>75</v>
      </c>
      <c r="BQ27" s="8">
        <f t="shared" si="4"/>
        <v>226</v>
      </c>
      <c r="BR27" s="8">
        <f t="shared" si="5"/>
        <v>179</v>
      </c>
      <c r="BS27" s="15">
        <f t="shared" si="6"/>
        <v>33.664139495908699</v>
      </c>
      <c r="BT27" s="15" t="str">
        <f t="shared" si="7"/>
        <v>OK - No Upgrade</v>
      </c>
      <c r="BU27" s="15" t="str">
        <f t="shared" si="8"/>
        <v>OK - Balanced</v>
      </c>
    </row>
    <row r="28" spans="1:73" ht="15.75" customHeight="1" x14ac:dyDescent="0.25">
      <c r="A28" s="8" t="s">
        <v>904</v>
      </c>
      <c r="B28" s="8" t="s">
        <v>3930</v>
      </c>
      <c r="C28" s="8" t="s">
        <v>2296</v>
      </c>
      <c r="D28" s="8"/>
      <c r="E28" s="8" t="s">
        <v>3985</v>
      </c>
      <c r="F28" s="8" t="s">
        <v>56</v>
      </c>
      <c r="G28" s="8"/>
      <c r="H28" s="8">
        <v>500</v>
      </c>
      <c r="I28" s="8" t="s">
        <v>3986</v>
      </c>
      <c r="J28" s="8">
        <v>1</v>
      </c>
      <c r="K28" s="8">
        <v>235</v>
      </c>
      <c r="L28" s="8">
        <v>234</v>
      </c>
      <c r="M28" s="8">
        <v>232</v>
      </c>
      <c r="N28" s="8">
        <v>411</v>
      </c>
      <c r="O28" s="8">
        <v>405</v>
      </c>
      <c r="P28" s="8">
        <v>409</v>
      </c>
      <c r="Q28" s="9" t="s">
        <v>47</v>
      </c>
      <c r="R28" s="16"/>
      <c r="S28" s="10">
        <v>194</v>
      </c>
      <c r="T28" s="10">
        <v>167</v>
      </c>
      <c r="U28" s="10">
        <v>131</v>
      </c>
      <c r="V28" s="11">
        <v>155</v>
      </c>
      <c r="W28" s="12" t="s">
        <v>47</v>
      </c>
      <c r="X28" s="17"/>
      <c r="Y28" s="13">
        <v>155</v>
      </c>
      <c r="Z28" s="13">
        <v>189</v>
      </c>
      <c r="AA28" s="13">
        <v>121</v>
      </c>
      <c r="AB28" s="14">
        <v>68</v>
      </c>
      <c r="AC28" s="9"/>
      <c r="AD28" s="16"/>
      <c r="AE28" s="10"/>
      <c r="AF28" s="10"/>
      <c r="AG28" s="10"/>
      <c r="AH28" s="11"/>
      <c r="AI28" s="12"/>
      <c r="AJ28" s="17"/>
      <c r="AK28" s="13"/>
      <c r="AL28" s="13"/>
      <c r="AM28" s="13"/>
      <c r="AN28" s="14"/>
      <c r="AO28" s="9"/>
      <c r="AP28" s="16"/>
      <c r="AQ28" s="10"/>
      <c r="AR28" s="10"/>
      <c r="AS28" s="10"/>
      <c r="AT28" s="11"/>
      <c r="AU28" s="12"/>
      <c r="AV28" s="17"/>
      <c r="AW28" s="13"/>
      <c r="AX28" s="13"/>
      <c r="AY28" s="13"/>
      <c r="AZ28" s="14"/>
      <c r="BA28" s="9"/>
      <c r="BB28" s="16"/>
      <c r="BC28" s="10"/>
      <c r="BD28" s="10"/>
      <c r="BE28" s="10"/>
      <c r="BF28" s="11"/>
      <c r="BG28" s="12"/>
      <c r="BH28" s="17"/>
      <c r="BI28" s="13"/>
      <c r="BJ28" s="13"/>
      <c r="BK28" s="13"/>
      <c r="BL28" s="14"/>
      <c r="BM28" s="8">
        <f t="shared" si="0"/>
        <v>349</v>
      </c>
      <c r="BN28" s="8">
        <f t="shared" si="1"/>
        <v>356</v>
      </c>
      <c r="BO28" s="8">
        <f t="shared" si="2"/>
        <v>252</v>
      </c>
      <c r="BP28" s="8">
        <f t="shared" si="3"/>
        <v>223</v>
      </c>
      <c r="BQ28" s="8">
        <f t="shared" si="4"/>
        <v>356</v>
      </c>
      <c r="BR28" s="8">
        <f t="shared" si="5"/>
        <v>252</v>
      </c>
      <c r="BS28" s="15">
        <f t="shared" si="6"/>
        <v>50.685349192049564</v>
      </c>
      <c r="BT28" s="15" t="str">
        <f t="shared" si="7"/>
        <v>OK - No Upgrade</v>
      </c>
      <c r="BU28" s="15" t="str">
        <f t="shared" si="8"/>
        <v>Need to Balance</v>
      </c>
    </row>
    <row r="29" spans="1:73" ht="15.75" customHeight="1" x14ac:dyDescent="0.25">
      <c r="A29" s="8" t="s">
        <v>904</v>
      </c>
      <c r="B29" s="8" t="s">
        <v>3930</v>
      </c>
      <c r="C29" s="8" t="s">
        <v>3233</v>
      </c>
      <c r="D29" s="8"/>
      <c r="E29" s="8" t="s">
        <v>3987</v>
      </c>
      <c r="F29" s="8" t="s">
        <v>56</v>
      </c>
      <c r="G29" s="8"/>
      <c r="H29" s="8">
        <v>1000</v>
      </c>
      <c r="I29" s="8" t="s">
        <v>3988</v>
      </c>
      <c r="J29" s="8">
        <v>1</v>
      </c>
      <c r="K29" s="8">
        <v>248</v>
      </c>
      <c r="L29" s="8">
        <v>248</v>
      </c>
      <c r="M29" s="8">
        <v>251</v>
      </c>
      <c r="N29" s="8">
        <v>431</v>
      </c>
      <c r="O29" s="8">
        <v>436</v>
      </c>
      <c r="P29" s="8">
        <v>434</v>
      </c>
      <c r="Q29" s="9" t="s">
        <v>47</v>
      </c>
      <c r="R29" s="16"/>
      <c r="S29" s="10">
        <v>137</v>
      </c>
      <c r="T29" s="10">
        <v>101</v>
      </c>
      <c r="U29" s="10">
        <v>128</v>
      </c>
      <c r="V29" s="11">
        <v>140</v>
      </c>
      <c r="W29" s="12" t="s">
        <v>47</v>
      </c>
      <c r="X29" s="17"/>
      <c r="Y29" s="13">
        <v>97</v>
      </c>
      <c r="Z29" s="13">
        <v>93</v>
      </c>
      <c r="AA29" s="13">
        <v>17</v>
      </c>
      <c r="AB29" s="14">
        <v>97</v>
      </c>
      <c r="AC29" s="9"/>
      <c r="AD29" s="16"/>
      <c r="AE29" s="10">
        <v>57</v>
      </c>
      <c r="AF29" s="10">
        <v>48</v>
      </c>
      <c r="AG29" s="10">
        <v>51</v>
      </c>
      <c r="AH29" s="11">
        <v>62</v>
      </c>
      <c r="AI29" s="12"/>
      <c r="AJ29" s="17"/>
      <c r="AK29" s="13">
        <v>83</v>
      </c>
      <c r="AL29" s="13">
        <v>90</v>
      </c>
      <c r="AM29" s="13">
        <v>80</v>
      </c>
      <c r="AN29" s="14">
        <v>103</v>
      </c>
      <c r="AO29" s="9"/>
      <c r="AP29" s="16"/>
      <c r="AQ29" s="10"/>
      <c r="AR29" s="10"/>
      <c r="AS29" s="10"/>
      <c r="AT29" s="11"/>
      <c r="AU29" s="12"/>
      <c r="AV29" s="17"/>
      <c r="AW29" s="13"/>
      <c r="AX29" s="13"/>
      <c r="AY29" s="13"/>
      <c r="AZ29" s="14"/>
      <c r="BA29" s="9"/>
      <c r="BB29" s="16"/>
      <c r="BC29" s="10"/>
      <c r="BD29" s="10"/>
      <c r="BE29" s="10"/>
      <c r="BF29" s="11"/>
      <c r="BG29" s="12"/>
      <c r="BH29" s="17"/>
      <c r="BI29" s="13"/>
      <c r="BJ29" s="13"/>
      <c r="BK29" s="13"/>
      <c r="BL29" s="14"/>
      <c r="BM29" s="8">
        <f t="shared" si="0"/>
        <v>374</v>
      </c>
      <c r="BN29" s="8">
        <f t="shared" si="1"/>
        <v>332</v>
      </c>
      <c r="BO29" s="8">
        <f t="shared" si="2"/>
        <v>276</v>
      </c>
      <c r="BP29" s="8">
        <f t="shared" si="3"/>
        <v>402</v>
      </c>
      <c r="BQ29" s="8">
        <f t="shared" si="4"/>
        <v>374</v>
      </c>
      <c r="BR29" s="8">
        <f t="shared" si="5"/>
        <v>276</v>
      </c>
      <c r="BS29" s="15">
        <f t="shared" si="6"/>
        <v>27.919619787525757</v>
      </c>
      <c r="BT29" s="15" t="str">
        <f t="shared" si="7"/>
        <v>OK - No Upgrade</v>
      </c>
      <c r="BU29" s="15" t="str">
        <f t="shared" si="8"/>
        <v>Need to Balance</v>
      </c>
    </row>
    <row r="30" spans="1:73" ht="15.75" customHeight="1" x14ac:dyDescent="0.25">
      <c r="A30" s="8" t="s">
        <v>904</v>
      </c>
      <c r="B30" s="8" t="s">
        <v>3930</v>
      </c>
      <c r="C30" s="8" t="s">
        <v>938</v>
      </c>
      <c r="D30" s="8" t="s">
        <v>3989</v>
      </c>
      <c r="E30" s="8" t="s">
        <v>3990</v>
      </c>
      <c r="F30" s="8" t="s">
        <v>43</v>
      </c>
      <c r="G30" s="8"/>
      <c r="H30" s="8">
        <v>315</v>
      </c>
      <c r="I30" s="8" t="s">
        <v>3991</v>
      </c>
      <c r="J30" s="8">
        <v>1</v>
      </c>
      <c r="K30" s="8">
        <v>243</v>
      </c>
      <c r="L30" s="8">
        <v>241</v>
      </c>
      <c r="M30" s="8">
        <v>243</v>
      </c>
      <c r="N30" s="8">
        <v>420</v>
      </c>
      <c r="O30" s="8">
        <v>415</v>
      </c>
      <c r="P30" s="8">
        <v>423</v>
      </c>
      <c r="Q30" s="9" t="s">
        <v>70</v>
      </c>
      <c r="R30" s="16"/>
      <c r="S30" s="10">
        <v>108</v>
      </c>
      <c r="T30" s="10">
        <v>68</v>
      </c>
      <c r="U30" s="10">
        <v>39</v>
      </c>
      <c r="V30" s="11">
        <v>33</v>
      </c>
      <c r="W30" s="12" t="s">
        <v>70</v>
      </c>
      <c r="X30" s="17"/>
      <c r="Y30" s="13">
        <v>29</v>
      </c>
      <c r="Z30" s="13">
        <v>72</v>
      </c>
      <c r="AA30" s="13">
        <v>91</v>
      </c>
      <c r="AB30" s="14">
        <v>33</v>
      </c>
      <c r="AC30" s="9"/>
      <c r="AD30" s="16"/>
      <c r="AE30" s="10"/>
      <c r="AF30" s="10"/>
      <c r="AG30" s="10"/>
      <c r="AH30" s="11"/>
      <c r="AI30" s="12"/>
      <c r="AJ30" s="17"/>
      <c r="AK30" s="13"/>
      <c r="AL30" s="13"/>
      <c r="AM30" s="13"/>
      <c r="AN30" s="14"/>
      <c r="AO30" s="9"/>
      <c r="AP30" s="16"/>
      <c r="AQ30" s="10"/>
      <c r="AR30" s="10"/>
      <c r="AS30" s="10"/>
      <c r="AT30" s="11"/>
      <c r="AU30" s="12"/>
      <c r="AV30" s="17"/>
      <c r="AW30" s="13"/>
      <c r="AX30" s="13"/>
      <c r="AY30" s="13"/>
      <c r="AZ30" s="14"/>
      <c r="BA30" s="9"/>
      <c r="BB30" s="16"/>
      <c r="BC30" s="10"/>
      <c r="BD30" s="10"/>
      <c r="BE30" s="10"/>
      <c r="BF30" s="11"/>
      <c r="BG30" s="12"/>
      <c r="BH30" s="17"/>
      <c r="BI30" s="13"/>
      <c r="BJ30" s="13"/>
      <c r="BK30" s="13"/>
      <c r="BL30" s="14"/>
      <c r="BM30" s="8">
        <f t="shared" si="0"/>
        <v>137</v>
      </c>
      <c r="BN30" s="8">
        <f t="shared" si="1"/>
        <v>140</v>
      </c>
      <c r="BO30" s="8">
        <f t="shared" si="2"/>
        <v>130</v>
      </c>
      <c r="BP30" s="8">
        <f t="shared" si="3"/>
        <v>66</v>
      </c>
      <c r="BQ30" s="8">
        <f t="shared" si="4"/>
        <v>140</v>
      </c>
      <c r="BR30" s="8">
        <f t="shared" si="5"/>
        <v>130</v>
      </c>
      <c r="BS30" s="15">
        <f t="shared" si="6"/>
        <v>32.331615074619044</v>
      </c>
      <c r="BT30" s="15" t="str">
        <f t="shared" si="7"/>
        <v>OK - No Upgrade</v>
      </c>
      <c r="BU30" s="15" t="str">
        <f t="shared" si="8"/>
        <v>OK - Balanced</v>
      </c>
    </row>
    <row r="31" spans="1:73" ht="15.75" customHeight="1" x14ac:dyDescent="0.25">
      <c r="A31" s="8" t="s">
        <v>904</v>
      </c>
      <c r="B31" s="8" t="s">
        <v>3930</v>
      </c>
      <c r="C31" s="8" t="s">
        <v>938</v>
      </c>
      <c r="D31" s="8" t="s">
        <v>3992</v>
      </c>
      <c r="E31" s="8" t="s">
        <v>3993</v>
      </c>
      <c r="F31" s="8" t="s">
        <v>56</v>
      </c>
      <c r="G31" s="8"/>
      <c r="H31" s="8">
        <v>1000</v>
      </c>
      <c r="I31" s="8" t="s">
        <v>3994</v>
      </c>
      <c r="J31" s="8">
        <v>1</v>
      </c>
      <c r="K31" s="8">
        <v>243</v>
      </c>
      <c r="L31" s="8">
        <v>240</v>
      </c>
      <c r="M31" s="8">
        <v>243</v>
      </c>
      <c r="N31" s="8">
        <v>419</v>
      </c>
      <c r="O31" s="8">
        <v>418</v>
      </c>
      <c r="P31" s="8">
        <v>422</v>
      </c>
      <c r="Q31" s="9" t="s">
        <v>46</v>
      </c>
      <c r="R31" s="16"/>
      <c r="S31" s="10">
        <v>73</v>
      </c>
      <c r="T31" s="10">
        <v>84</v>
      </c>
      <c r="U31" s="10">
        <v>74</v>
      </c>
      <c r="V31" s="11">
        <v>12</v>
      </c>
      <c r="W31" s="12" t="s">
        <v>46</v>
      </c>
      <c r="X31" s="17"/>
      <c r="Y31" s="13">
        <v>130</v>
      </c>
      <c r="Z31" s="13">
        <v>74</v>
      </c>
      <c r="AA31" s="13">
        <v>123</v>
      </c>
      <c r="AB31" s="14">
        <v>50</v>
      </c>
      <c r="AC31" s="9" t="s">
        <v>46</v>
      </c>
      <c r="AD31" s="16"/>
      <c r="AE31" s="10">
        <v>80</v>
      </c>
      <c r="AF31" s="10">
        <v>105</v>
      </c>
      <c r="AG31" s="10">
        <v>6</v>
      </c>
      <c r="AH31" s="11">
        <v>103</v>
      </c>
      <c r="AI31" s="12" t="s">
        <v>47</v>
      </c>
      <c r="AJ31" s="17"/>
      <c r="AK31" s="13">
        <v>172</v>
      </c>
      <c r="AL31" s="13">
        <v>152</v>
      </c>
      <c r="AM31" s="13">
        <v>216</v>
      </c>
      <c r="AN31" s="14">
        <v>32</v>
      </c>
      <c r="AO31" s="9"/>
      <c r="AP31" s="16"/>
      <c r="AQ31" s="10"/>
      <c r="AR31" s="10"/>
      <c r="AS31" s="10"/>
      <c r="AT31" s="11"/>
      <c r="AU31" s="12"/>
      <c r="AV31" s="17"/>
      <c r="AW31" s="13"/>
      <c r="AX31" s="13"/>
      <c r="AY31" s="13"/>
      <c r="AZ31" s="14"/>
      <c r="BA31" s="9"/>
      <c r="BB31" s="16"/>
      <c r="BC31" s="10"/>
      <c r="BD31" s="10"/>
      <c r="BE31" s="10"/>
      <c r="BF31" s="11"/>
      <c r="BG31" s="12"/>
      <c r="BH31" s="17"/>
      <c r="BI31" s="13"/>
      <c r="BJ31" s="13"/>
      <c r="BK31" s="13"/>
      <c r="BL31" s="14"/>
      <c r="BM31" s="8">
        <f t="shared" si="0"/>
        <v>455</v>
      </c>
      <c r="BN31" s="8">
        <f t="shared" si="1"/>
        <v>415</v>
      </c>
      <c r="BO31" s="8">
        <f t="shared" si="2"/>
        <v>419</v>
      </c>
      <c r="BP31" s="8">
        <f t="shared" si="3"/>
        <v>197</v>
      </c>
      <c r="BQ31" s="8">
        <f t="shared" si="4"/>
        <v>455</v>
      </c>
      <c r="BR31" s="8">
        <f t="shared" si="5"/>
        <v>415</v>
      </c>
      <c r="BS31" s="15">
        <f t="shared" si="6"/>
        <v>33.020682620896856</v>
      </c>
      <c r="BT31" s="15" t="str">
        <f t="shared" si="7"/>
        <v>OK - No Upgrade</v>
      </c>
      <c r="BU31" s="15" t="str">
        <f t="shared" si="8"/>
        <v>OK - Balanced</v>
      </c>
    </row>
    <row r="32" spans="1:73" ht="15.75" customHeight="1" x14ac:dyDescent="0.25">
      <c r="A32" s="8" t="s">
        <v>904</v>
      </c>
      <c r="B32" s="8" t="s">
        <v>3930</v>
      </c>
      <c r="C32" s="8" t="s">
        <v>938</v>
      </c>
      <c r="D32" s="8" t="s">
        <v>3995</v>
      </c>
      <c r="E32" s="8" t="s">
        <v>3996</v>
      </c>
      <c r="F32" s="8" t="s">
        <v>56</v>
      </c>
      <c r="G32" s="8"/>
      <c r="H32" s="8">
        <v>1000</v>
      </c>
      <c r="I32" s="8" t="s">
        <v>3997</v>
      </c>
      <c r="J32" s="8">
        <v>1</v>
      </c>
      <c r="K32" s="8">
        <v>236</v>
      </c>
      <c r="L32" s="8">
        <v>235</v>
      </c>
      <c r="M32" s="8">
        <v>237</v>
      </c>
      <c r="N32" s="8">
        <v>408</v>
      </c>
      <c r="O32" s="8">
        <v>409</v>
      </c>
      <c r="P32" s="8">
        <v>412</v>
      </c>
      <c r="Q32" s="9"/>
      <c r="R32" s="16"/>
      <c r="S32" s="10"/>
      <c r="T32" s="10"/>
      <c r="U32" s="10"/>
      <c r="V32" s="11"/>
      <c r="W32" s="12" t="s">
        <v>47</v>
      </c>
      <c r="X32" s="17"/>
      <c r="Y32" s="13">
        <v>50</v>
      </c>
      <c r="Z32" s="13">
        <v>24</v>
      </c>
      <c r="AA32" s="13">
        <v>72</v>
      </c>
      <c r="AB32" s="14">
        <v>35</v>
      </c>
      <c r="AC32" s="9" t="s">
        <v>47</v>
      </c>
      <c r="AD32" s="16"/>
      <c r="AE32" s="10">
        <v>129</v>
      </c>
      <c r="AF32" s="10">
        <v>154</v>
      </c>
      <c r="AG32" s="10">
        <v>129</v>
      </c>
      <c r="AH32" s="11">
        <v>35</v>
      </c>
      <c r="AI32" s="12" t="s">
        <v>46</v>
      </c>
      <c r="AJ32" s="17"/>
      <c r="AK32" s="13">
        <v>56</v>
      </c>
      <c r="AL32" s="13">
        <v>13</v>
      </c>
      <c r="AM32" s="13">
        <v>124</v>
      </c>
      <c r="AN32" s="14">
        <v>60</v>
      </c>
      <c r="AO32" s="9" t="s">
        <v>46</v>
      </c>
      <c r="AP32" s="16"/>
      <c r="AQ32" s="10">
        <v>143</v>
      </c>
      <c r="AR32" s="10">
        <v>84</v>
      </c>
      <c r="AS32" s="10">
        <v>86</v>
      </c>
      <c r="AT32" s="11">
        <v>62</v>
      </c>
      <c r="AU32" s="12" t="s">
        <v>46</v>
      </c>
      <c r="AV32" s="17"/>
      <c r="AW32" s="13">
        <v>74</v>
      </c>
      <c r="AX32" s="13">
        <v>40</v>
      </c>
      <c r="AY32" s="13">
        <v>46</v>
      </c>
      <c r="AZ32" s="14">
        <v>35</v>
      </c>
      <c r="BA32" s="9" t="s">
        <v>46</v>
      </c>
      <c r="BB32" s="16"/>
      <c r="BC32" s="10">
        <v>91</v>
      </c>
      <c r="BD32" s="10">
        <v>119</v>
      </c>
      <c r="BE32" s="10">
        <v>102</v>
      </c>
      <c r="BF32" s="11">
        <v>27</v>
      </c>
      <c r="BG32" s="12" t="s">
        <v>46</v>
      </c>
      <c r="BH32" s="17"/>
      <c r="BI32" s="13">
        <v>43</v>
      </c>
      <c r="BJ32" s="13">
        <v>76</v>
      </c>
      <c r="BK32" s="13">
        <v>1</v>
      </c>
      <c r="BL32" s="14">
        <v>70</v>
      </c>
      <c r="BM32" s="8">
        <f t="shared" si="0"/>
        <v>586</v>
      </c>
      <c r="BN32" s="8">
        <f t="shared" si="1"/>
        <v>510</v>
      </c>
      <c r="BO32" s="8">
        <f t="shared" si="2"/>
        <v>560</v>
      </c>
      <c r="BP32" s="8">
        <f t="shared" si="3"/>
        <v>324</v>
      </c>
      <c r="BQ32" s="8">
        <f t="shared" si="4"/>
        <v>586</v>
      </c>
      <c r="BR32" s="8">
        <f t="shared" si="5"/>
        <v>510</v>
      </c>
      <c r="BS32" s="15">
        <f t="shared" si="6"/>
        <v>41.411256348002773</v>
      </c>
      <c r="BT32" s="15" t="str">
        <f t="shared" si="7"/>
        <v>OK - No Upgrade</v>
      </c>
      <c r="BU32" s="15" t="str">
        <f t="shared" si="8"/>
        <v>OK - Balanced</v>
      </c>
    </row>
    <row r="33" spans="1:73" ht="15.75" customHeight="1" x14ac:dyDescent="0.25">
      <c r="A33" s="8" t="s">
        <v>904</v>
      </c>
      <c r="B33" s="8" t="s">
        <v>3930</v>
      </c>
      <c r="C33" s="8" t="s">
        <v>938</v>
      </c>
      <c r="D33" s="8" t="s">
        <v>3998</v>
      </c>
      <c r="E33" s="8" t="s">
        <v>3999</v>
      </c>
      <c r="F33" s="8" t="s">
        <v>56</v>
      </c>
      <c r="G33" s="8"/>
      <c r="H33" s="8">
        <v>1000</v>
      </c>
      <c r="I33" s="8" t="s">
        <v>4000</v>
      </c>
      <c r="J33" s="8">
        <v>1</v>
      </c>
      <c r="K33" s="8">
        <v>245</v>
      </c>
      <c r="L33" s="8">
        <v>242</v>
      </c>
      <c r="M33" s="8">
        <v>244</v>
      </c>
      <c r="N33" s="8">
        <v>422</v>
      </c>
      <c r="O33" s="8">
        <v>423</v>
      </c>
      <c r="P33" s="8">
        <v>425</v>
      </c>
      <c r="Q33" s="9"/>
      <c r="R33" s="16"/>
      <c r="S33" s="10"/>
      <c r="T33" s="10"/>
      <c r="U33" s="10"/>
      <c r="V33" s="11"/>
      <c r="W33" s="12"/>
      <c r="X33" s="17"/>
      <c r="Y33" s="13"/>
      <c r="Z33" s="13"/>
      <c r="AA33" s="13"/>
      <c r="AB33" s="14"/>
      <c r="AC33" s="9" t="s">
        <v>47</v>
      </c>
      <c r="AD33" s="16"/>
      <c r="AE33" s="10">
        <v>40</v>
      </c>
      <c r="AF33" s="10">
        <v>84</v>
      </c>
      <c r="AG33" s="10">
        <v>61</v>
      </c>
      <c r="AH33" s="11">
        <v>27</v>
      </c>
      <c r="AI33" s="12" t="s">
        <v>47</v>
      </c>
      <c r="AJ33" s="17"/>
      <c r="AK33" s="13">
        <v>25</v>
      </c>
      <c r="AL33" s="13">
        <v>39</v>
      </c>
      <c r="AM33" s="13">
        <v>32</v>
      </c>
      <c r="AN33" s="14">
        <v>16</v>
      </c>
      <c r="AO33" s="9" t="s">
        <v>47</v>
      </c>
      <c r="AP33" s="16"/>
      <c r="AQ33" s="10">
        <v>19</v>
      </c>
      <c r="AR33" s="10">
        <v>15</v>
      </c>
      <c r="AS33" s="10">
        <v>23</v>
      </c>
      <c r="AT33" s="11">
        <v>13</v>
      </c>
      <c r="AU33" s="12" t="s">
        <v>47</v>
      </c>
      <c r="AV33" s="17"/>
      <c r="AW33" s="13">
        <v>69</v>
      </c>
      <c r="AX33" s="13">
        <v>73</v>
      </c>
      <c r="AY33" s="13">
        <v>165</v>
      </c>
      <c r="AZ33" s="14">
        <v>89</v>
      </c>
      <c r="BA33" s="9" t="s">
        <v>47</v>
      </c>
      <c r="BB33" s="16"/>
      <c r="BC33" s="10">
        <v>68</v>
      </c>
      <c r="BD33" s="10">
        <v>24</v>
      </c>
      <c r="BE33" s="10">
        <v>106</v>
      </c>
      <c r="BF33" s="11">
        <v>62</v>
      </c>
      <c r="BG33" s="12"/>
      <c r="BH33" s="17"/>
      <c r="BI33" s="13"/>
      <c r="BJ33" s="13"/>
      <c r="BK33" s="13"/>
      <c r="BL33" s="14"/>
      <c r="BM33" s="8">
        <f t="shared" si="0"/>
        <v>221</v>
      </c>
      <c r="BN33" s="8">
        <f t="shared" si="1"/>
        <v>235</v>
      </c>
      <c r="BO33" s="8">
        <f t="shared" si="2"/>
        <v>387</v>
      </c>
      <c r="BP33" s="8">
        <f t="shared" si="3"/>
        <v>207</v>
      </c>
      <c r="BQ33" s="8">
        <f t="shared" si="4"/>
        <v>387</v>
      </c>
      <c r="BR33" s="8">
        <f t="shared" si="5"/>
        <v>221</v>
      </c>
      <c r="BS33" s="15">
        <f t="shared" si="6"/>
        <v>28.286814558730356</v>
      </c>
      <c r="BT33" s="15" t="str">
        <f t="shared" si="7"/>
        <v>OK - No Upgrade</v>
      </c>
      <c r="BU33" s="15" t="str">
        <f t="shared" si="8"/>
        <v>Need to Balance</v>
      </c>
    </row>
    <row r="34" spans="1:73" ht="15.75" customHeight="1" x14ac:dyDescent="0.25">
      <c r="A34" s="8" t="s">
        <v>904</v>
      </c>
      <c r="B34" s="8" t="s">
        <v>3930</v>
      </c>
      <c r="C34" s="8" t="s">
        <v>938</v>
      </c>
      <c r="D34" s="8"/>
      <c r="E34" s="8" t="s">
        <v>4001</v>
      </c>
      <c r="F34" s="8" t="s">
        <v>56</v>
      </c>
      <c r="G34" s="8"/>
      <c r="H34" s="8">
        <v>500</v>
      </c>
      <c r="I34" s="8" t="s">
        <v>770</v>
      </c>
      <c r="J34" s="8">
        <v>1</v>
      </c>
      <c r="K34" s="8">
        <v>246</v>
      </c>
      <c r="L34" s="8">
        <v>245</v>
      </c>
      <c r="M34" s="8">
        <v>247</v>
      </c>
      <c r="N34" s="8">
        <v>424</v>
      </c>
      <c r="O34" s="8">
        <v>425</v>
      </c>
      <c r="P34" s="8">
        <v>430</v>
      </c>
      <c r="Q34" s="9" t="s">
        <v>47</v>
      </c>
      <c r="R34" s="16"/>
      <c r="S34" s="10"/>
      <c r="T34" s="10"/>
      <c r="U34" s="10"/>
      <c r="V34" s="11"/>
      <c r="W34" s="12"/>
      <c r="X34" s="17"/>
      <c r="Y34" s="13">
        <v>2</v>
      </c>
      <c r="Z34" s="13">
        <v>0</v>
      </c>
      <c r="AA34" s="13">
        <v>0</v>
      </c>
      <c r="AB34" s="14">
        <v>2</v>
      </c>
      <c r="AC34" s="9"/>
      <c r="AD34" s="16"/>
      <c r="AE34" s="10"/>
      <c r="AF34" s="10"/>
      <c r="AG34" s="10"/>
      <c r="AH34" s="11"/>
      <c r="AI34" s="12"/>
      <c r="AJ34" s="17"/>
      <c r="AK34" s="13"/>
      <c r="AL34" s="13"/>
      <c r="AM34" s="13"/>
      <c r="AN34" s="14"/>
      <c r="AO34" s="9"/>
      <c r="AP34" s="16"/>
      <c r="AQ34" s="10"/>
      <c r="AR34" s="10"/>
      <c r="AS34" s="10"/>
      <c r="AT34" s="11"/>
      <c r="AU34" s="12"/>
      <c r="AV34" s="17"/>
      <c r="AW34" s="13"/>
      <c r="AX34" s="13"/>
      <c r="AY34" s="13"/>
      <c r="AZ34" s="14"/>
      <c r="BA34" s="9"/>
      <c r="BB34" s="16"/>
      <c r="BC34" s="10"/>
      <c r="BD34" s="10"/>
      <c r="BE34" s="10"/>
      <c r="BF34" s="11"/>
      <c r="BG34" s="12"/>
      <c r="BH34" s="17"/>
      <c r="BI34" s="13"/>
      <c r="BJ34" s="13"/>
      <c r="BK34" s="13"/>
      <c r="BL34" s="14"/>
      <c r="BM34" s="8">
        <f t="shared" si="0"/>
        <v>2</v>
      </c>
      <c r="BN34" s="8">
        <f t="shared" si="1"/>
        <v>0</v>
      </c>
      <c r="BO34" s="8">
        <f t="shared" si="2"/>
        <v>0</v>
      </c>
      <c r="BP34" s="8">
        <f t="shared" si="3"/>
        <v>2</v>
      </c>
      <c r="BQ34" s="8">
        <f t="shared" si="4"/>
        <v>2</v>
      </c>
      <c r="BR34" s="8">
        <f t="shared" si="5"/>
        <v>0</v>
      </c>
      <c r="BS34" s="15">
        <f t="shared" si="6"/>
        <v>0.29375581696368158</v>
      </c>
      <c r="BT34" s="15" t="str">
        <f t="shared" si="7"/>
        <v>OK - No Upgrade</v>
      </c>
      <c r="BU34" s="15" t="str">
        <f t="shared" si="8"/>
        <v>Need to Balance</v>
      </c>
    </row>
    <row r="35" spans="1:73" ht="15.75" customHeight="1" x14ac:dyDescent="0.25">
      <c r="A35" s="8" t="s">
        <v>904</v>
      </c>
      <c r="B35" s="8" t="s">
        <v>3930</v>
      </c>
      <c r="C35" s="8" t="s">
        <v>2296</v>
      </c>
      <c r="D35" s="8"/>
      <c r="E35" s="8" t="s">
        <v>4002</v>
      </c>
      <c r="F35" s="8" t="s">
        <v>43</v>
      </c>
      <c r="G35" s="8"/>
      <c r="H35" s="8">
        <v>100</v>
      </c>
      <c r="I35" s="8"/>
      <c r="J35" s="8">
        <v>1</v>
      </c>
      <c r="K35" s="8"/>
      <c r="L35" s="8"/>
      <c r="M35" s="8"/>
      <c r="N35" s="8"/>
      <c r="O35" s="8"/>
      <c r="P35" s="8"/>
      <c r="Q35" s="9"/>
      <c r="R35" s="16"/>
      <c r="S35" s="10"/>
      <c r="T35" s="10"/>
      <c r="U35" s="10"/>
      <c r="V35" s="11"/>
      <c r="W35" s="12"/>
      <c r="X35" s="17"/>
      <c r="Y35" s="13"/>
      <c r="Z35" s="13"/>
      <c r="AA35" s="13"/>
      <c r="AB35" s="14"/>
      <c r="AC35" s="9"/>
      <c r="AD35" s="16"/>
      <c r="AE35" s="10"/>
      <c r="AF35" s="10"/>
      <c r="AG35" s="10"/>
      <c r="AH35" s="11"/>
      <c r="AI35" s="12"/>
      <c r="AJ35" s="17"/>
      <c r="AK35" s="13"/>
      <c r="AL35" s="13"/>
      <c r="AM35" s="13"/>
      <c r="AN35" s="14"/>
      <c r="AO35" s="9"/>
      <c r="AP35" s="16"/>
      <c r="AQ35" s="10"/>
      <c r="AR35" s="10"/>
      <c r="AS35" s="10"/>
      <c r="AT35" s="11"/>
      <c r="AU35" s="12"/>
      <c r="AV35" s="17"/>
      <c r="AW35" s="13"/>
      <c r="AX35" s="13"/>
      <c r="AY35" s="13"/>
      <c r="AZ35" s="14"/>
      <c r="BA35" s="9"/>
      <c r="BB35" s="16"/>
      <c r="BC35" s="10"/>
      <c r="BD35" s="10"/>
      <c r="BE35" s="10"/>
      <c r="BF35" s="11"/>
      <c r="BG35" s="12"/>
      <c r="BH35" s="17"/>
      <c r="BI35" s="13"/>
      <c r="BJ35" s="13"/>
      <c r="BK35" s="13"/>
      <c r="BL35" s="14"/>
      <c r="BM35" s="8">
        <f t="shared" si="0"/>
        <v>0</v>
      </c>
      <c r="BN35" s="8">
        <f t="shared" si="1"/>
        <v>0</v>
      </c>
      <c r="BO35" s="8">
        <f t="shared" si="2"/>
        <v>0</v>
      </c>
      <c r="BP35" s="8">
        <f t="shared" si="3"/>
        <v>0</v>
      </c>
      <c r="BQ35" s="8">
        <f t="shared" si="4"/>
        <v>0</v>
      </c>
      <c r="BR35" s="8">
        <f t="shared" si="5"/>
        <v>0</v>
      </c>
      <c r="BS35" s="15">
        <f t="shared" si="6"/>
        <v>0</v>
      </c>
      <c r="BT35" s="15" t="str">
        <f t="shared" si="7"/>
        <v>OK - No Upgrade</v>
      </c>
      <c r="BU35" s="15" t="str">
        <f t="shared" si="8"/>
        <v>OK - Balanced</v>
      </c>
    </row>
    <row r="36" spans="1:73" ht="15.75" customHeight="1" x14ac:dyDescent="0.25">
      <c r="A36" s="8" t="s">
        <v>904</v>
      </c>
      <c r="B36" s="8" t="s">
        <v>3930</v>
      </c>
      <c r="C36" s="8" t="s">
        <v>3233</v>
      </c>
      <c r="D36" s="8" t="s">
        <v>4003</v>
      </c>
      <c r="E36" s="8" t="s">
        <v>4004</v>
      </c>
      <c r="F36" s="8" t="s">
        <v>56</v>
      </c>
      <c r="G36" s="8"/>
      <c r="H36" s="8">
        <v>1000</v>
      </c>
      <c r="I36" s="8" t="s">
        <v>4005</v>
      </c>
      <c r="J36" s="8">
        <v>1</v>
      </c>
      <c r="K36" s="8">
        <v>245</v>
      </c>
      <c r="L36" s="8">
        <v>243</v>
      </c>
      <c r="M36" s="8">
        <v>247</v>
      </c>
      <c r="N36" s="8">
        <v>423</v>
      </c>
      <c r="O36" s="8">
        <v>430</v>
      </c>
      <c r="P36" s="8">
        <v>436</v>
      </c>
      <c r="Q36" s="9"/>
      <c r="R36" s="16"/>
      <c r="S36" s="10"/>
      <c r="T36" s="10"/>
      <c r="U36" s="10"/>
      <c r="V36" s="11"/>
      <c r="W36" s="12"/>
      <c r="X36" s="17"/>
      <c r="Y36" s="13"/>
      <c r="Z36" s="13"/>
      <c r="AA36" s="13"/>
      <c r="AB36" s="14"/>
      <c r="AC36" s="9"/>
      <c r="AD36" s="16"/>
      <c r="AE36" s="10"/>
      <c r="AF36" s="10"/>
      <c r="AG36" s="10"/>
      <c r="AH36" s="11"/>
      <c r="AI36" s="12" t="s">
        <v>47</v>
      </c>
      <c r="AJ36" s="17"/>
      <c r="AK36" s="13">
        <v>100</v>
      </c>
      <c r="AL36" s="13">
        <v>72</v>
      </c>
      <c r="AM36" s="13">
        <v>60</v>
      </c>
      <c r="AN36" s="14">
        <v>30</v>
      </c>
      <c r="AO36" s="9" t="s">
        <v>70</v>
      </c>
      <c r="AP36" s="16"/>
      <c r="AQ36" s="10">
        <v>41</v>
      </c>
      <c r="AR36" s="10">
        <v>30</v>
      </c>
      <c r="AS36" s="10">
        <v>22</v>
      </c>
      <c r="AT36" s="11">
        <v>15</v>
      </c>
      <c r="AU36" s="12" t="s">
        <v>70</v>
      </c>
      <c r="AV36" s="17"/>
      <c r="AW36" s="13">
        <v>40</v>
      </c>
      <c r="AX36" s="13">
        <v>45</v>
      </c>
      <c r="AY36" s="13">
        <v>54</v>
      </c>
      <c r="AZ36" s="14">
        <v>20</v>
      </c>
      <c r="BA36" s="9" t="s">
        <v>70</v>
      </c>
      <c r="BB36" s="16"/>
      <c r="BC36" s="10">
        <v>130</v>
      </c>
      <c r="BD36" s="10">
        <v>105</v>
      </c>
      <c r="BE36" s="10">
        <v>60</v>
      </c>
      <c r="BF36" s="11">
        <v>67</v>
      </c>
      <c r="BG36" s="12" t="s">
        <v>70</v>
      </c>
      <c r="BH36" s="17"/>
      <c r="BI36" s="13">
        <v>40</v>
      </c>
      <c r="BJ36" s="13">
        <v>30</v>
      </c>
      <c r="BK36" s="13">
        <v>40</v>
      </c>
      <c r="BL36" s="14">
        <v>20</v>
      </c>
      <c r="BM36" s="8">
        <f t="shared" si="0"/>
        <v>351</v>
      </c>
      <c r="BN36" s="8">
        <f t="shared" si="1"/>
        <v>282</v>
      </c>
      <c r="BO36" s="8">
        <f t="shared" si="2"/>
        <v>236</v>
      </c>
      <c r="BP36" s="8">
        <f t="shared" si="3"/>
        <v>152</v>
      </c>
      <c r="BQ36" s="8">
        <f t="shared" si="4"/>
        <v>351</v>
      </c>
      <c r="BR36" s="8">
        <f t="shared" si="5"/>
        <v>236</v>
      </c>
      <c r="BS36" s="15">
        <f t="shared" si="6"/>
        <v>25.716277955217393</v>
      </c>
      <c r="BT36" s="15" t="str">
        <f t="shared" si="7"/>
        <v>OK - No Upgrade</v>
      </c>
      <c r="BU36" s="15" t="str">
        <f t="shared" si="8"/>
        <v>Need to Balance</v>
      </c>
    </row>
    <row r="37" spans="1:73" ht="15.75" customHeight="1" x14ac:dyDescent="0.25">
      <c r="A37" s="8" t="s">
        <v>904</v>
      </c>
      <c r="B37" s="8" t="s">
        <v>3930</v>
      </c>
      <c r="C37" s="8" t="s">
        <v>3233</v>
      </c>
      <c r="D37" s="8" t="s">
        <v>4006</v>
      </c>
      <c r="E37" s="8" t="s">
        <v>4007</v>
      </c>
      <c r="F37" s="8" t="s">
        <v>56</v>
      </c>
      <c r="G37" s="8"/>
      <c r="H37" s="8">
        <v>1000</v>
      </c>
      <c r="I37" s="8" t="s">
        <v>4008</v>
      </c>
      <c r="J37" s="8">
        <v>1</v>
      </c>
      <c r="K37" s="8">
        <v>239</v>
      </c>
      <c r="L37" s="8">
        <v>239</v>
      </c>
      <c r="M37" s="8">
        <v>240</v>
      </c>
      <c r="N37" s="8">
        <v>415</v>
      </c>
      <c r="O37" s="8">
        <v>417</v>
      </c>
      <c r="P37" s="8">
        <v>419</v>
      </c>
      <c r="Q37" s="9" t="s">
        <v>70</v>
      </c>
      <c r="R37" s="16"/>
      <c r="S37" s="10">
        <v>120</v>
      </c>
      <c r="T37" s="10">
        <v>90</v>
      </c>
      <c r="U37" s="10">
        <v>88</v>
      </c>
      <c r="V37" s="11">
        <v>35</v>
      </c>
      <c r="W37" s="12" t="s">
        <v>70</v>
      </c>
      <c r="X37" s="17"/>
      <c r="Y37" s="13">
        <v>0</v>
      </c>
      <c r="Z37" s="13">
        <v>0</v>
      </c>
      <c r="AA37" s="13">
        <v>0</v>
      </c>
      <c r="AB37" s="14">
        <v>0</v>
      </c>
      <c r="AC37" s="9" t="s">
        <v>70</v>
      </c>
      <c r="AD37" s="16"/>
      <c r="AE37" s="10">
        <v>40</v>
      </c>
      <c r="AF37" s="10">
        <v>76</v>
      </c>
      <c r="AG37" s="10">
        <v>70</v>
      </c>
      <c r="AH37" s="11">
        <v>10</v>
      </c>
      <c r="AI37" s="12" t="s">
        <v>70</v>
      </c>
      <c r="AJ37" s="17"/>
      <c r="AK37" s="13">
        <v>20</v>
      </c>
      <c r="AL37" s="13">
        <v>40</v>
      </c>
      <c r="AM37" s="13">
        <v>58</v>
      </c>
      <c r="AN37" s="14">
        <v>26</v>
      </c>
      <c r="AO37" s="9" t="s">
        <v>47</v>
      </c>
      <c r="AP37" s="16"/>
      <c r="AQ37" s="10">
        <v>102</v>
      </c>
      <c r="AR37" s="10">
        <v>65</v>
      </c>
      <c r="AS37" s="10">
        <v>90</v>
      </c>
      <c r="AT37" s="11">
        <v>29</v>
      </c>
      <c r="AU37" s="12"/>
      <c r="AV37" s="17"/>
      <c r="AW37" s="13"/>
      <c r="AX37" s="13"/>
      <c r="AY37" s="13"/>
      <c r="AZ37" s="14"/>
      <c r="BA37" s="9"/>
      <c r="BB37" s="16"/>
      <c r="BC37" s="10"/>
      <c r="BD37" s="10"/>
      <c r="BE37" s="10"/>
      <c r="BF37" s="11"/>
      <c r="BG37" s="12"/>
      <c r="BH37" s="17"/>
      <c r="BI37" s="13"/>
      <c r="BJ37" s="13"/>
      <c r="BK37" s="13"/>
      <c r="BL37" s="14"/>
      <c r="BM37" s="8">
        <f t="shared" si="0"/>
        <v>282</v>
      </c>
      <c r="BN37" s="8">
        <f t="shared" si="1"/>
        <v>271</v>
      </c>
      <c r="BO37" s="8">
        <f t="shared" si="2"/>
        <v>306</v>
      </c>
      <c r="BP37" s="8">
        <f t="shared" si="3"/>
        <v>100</v>
      </c>
      <c r="BQ37" s="8">
        <f t="shared" si="4"/>
        <v>306</v>
      </c>
      <c r="BR37" s="8">
        <f t="shared" si="5"/>
        <v>271</v>
      </c>
      <c r="BS37" s="15">
        <f t="shared" si="6"/>
        <v>21.995313205317171</v>
      </c>
      <c r="BT37" s="15" t="str">
        <f t="shared" si="7"/>
        <v>OK - No Upgrade</v>
      </c>
      <c r="BU37" s="15" t="str">
        <f t="shared" si="8"/>
        <v>OK - Balanced</v>
      </c>
    </row>
    <row r="38" spans="1:73" ht="15.75" customHeight="1" x14ac:dyDescent="0.25">
      <c r="A38" s="8" t="s">
        <v>904</v>
      </c>
      <c r="B38" s="8" t="s">
        <v>3930</v>
      </c>
      <c r="C38" s="8" t="s">
        <v>3233</v>
      </c>
      <c r="D38" s="8" t="s">
        <v>4009</v>
      </c>
      <c r="E38" s="8" t="s">
        <v>4010</v>
      </c>
      <c r="F38" s="8" t="s">
        <v>56</v>
      </c>
      <c r="G38" s="8"/>
      <c r="H38" s="8">
        <v>1000</v>
      </c>
      <c r="I38" s="8" t="s">
        <v>4011</v>
      </c>
      <c r="J38" s="8">
        <v>1</v>
      </c>
      <c r="K38" s="8">
        <v>245</v>
      </c>
      <c r="L38" s="8">
        <v>244</v>
      </c>
      <c r="M38" s="8">
        <v>247</v>
      </c>
      <c r="N38" s="8">
        <v>424</v>
      </c>
      <c r="O38" s="8">
        <v>429</v>
      </c>
      <c r="P38" s="8">
        <v>425</v>
      </c>
      <c r="Q38" s="9"/>
      <c r="R38" s="16"/>
      <c r="S38" s="10"/>
      <c r="T38" s="10"/>
      <c r="U38" s="10"/>
      <c r="V38" s="11"/>
      <c r="W38" s="12" t="s">
        <v>47</v>
      </c>
      <c r="X38" s="17"/>
      <c r="Y38" s="13">
        <v>105</v>
      </c>
      <c r="Z38" s="13">
        <v>103</v>
      </c>
      <c r="AA38" s="13">
        <v>143</v>
      </c>
      <c r="AB38" s="14">
        <v>35</v>
      </c>
      <c r="AC38" s="9" t="s">
        <v>47</v>
      </c>
      <c r="AD38" s="16"/>
      <c r="AE38" s="10">
        <v>126</v>
      </c>
      <c r="AF38" s="10">
        <v>85</v>
      </c>
      <c r="AG38" s="10">
        <v>75</v>
      </c>
      <c r="AH38" s="11">
        <v>45</v>
      </c>
      <c r="AI38" s="12" t="s">
        <v>47</v>
      </c>
      <c r="AJ38" s="17"/>
      <c r="AK38" s="13">
        <v>60</v>
      </c>
      <c r="AL38" s="13">
        <v>160</v>
      </c>
      <c r="AM38" s="13">
        <v>145</v>
      </c>
      <c r="AN38" s="14">
        <v>50</v>
      </c>
      <c r="AO38" s="9" t="s">
        <v>47</v>
      </c>
      <c r="AP38" s="16"/>
      <c r="AQ38" s="10">
        <v>43</v>
      </c>
      <c r="AR38" s="10">
        <v>15</v>
      </c>
      <c r="AS38" s="10">
        <v>17</v>
      </c>
      <c r="AT38" s="11">
        <v>28</v>
      </c>
      <c r="AU38" s="12" t="s">
        <v>47</v>
      </c>
      <c r="AV38" s="17"/>
      <c r="AW38" s="13">
        <v>96</v>
      </c>
      <c r="AX38" s="13">
        <v>13</v>
      </c>
      <c r="AY38" s="13">
        <v>8</v>
      </c>
      <c r="AZ38" s="14">
        <v>64</v>
      </c>
      <c r="BA38" s="9"/>
      <c r="BB38" s="16"/>
      <c r="BC38" s="10"/>
      <c r="BD38" s="10"/>
      <c r="BE38" s="10"/>
      <c r="BF38" s="11"/>
      <c r="BG38" s="12"/>
      <c r="BH38" s="17"/>
      <c r="BI38" s="13"/>
      <c r="BJ38" s="13"/>
      <c r="BK38" s="13"/>
      <c r="BL38" s="14"/>
      <c r="BM38" s="8">
        <f t="shared" si="0"/>
        <v>430</v>
      </c>
      <c r="BN38" s="8">
        <f t="shared" si="1"/>
        <v>376</v>
      </c>
      <c r="BO38" s="8">
        <f t="shared" si="2"/>
        <v>388</v>
      </c>
      <c r="BP38" s="8">
        <f t="shared" si="3"/>
        <v>222</v>
      </c>
      <c r="BQ38" s="8">
        <f t="shared" si="4"/>
        <v>430</v>
      </c>
      <c r="BR38" s="8">
        <f t="shared" si="5"/>
        <v>376</v>
      </c>
      <c r="BS38" s="15">
        <f t="shared" si="6"/>
        <v>31.578750323595774</v>
      </c>
      <c r="BT38" s="15" t="str">
        <f t="shared" si="7"/>
        <v>OK - No Upgrade</v>
      </c>
      <c r="BU38" s="15" t="str">
        <f t="shared" si="8"/>
        <v>OK - Balanced</v>
      </c>
    </row>
    <row r="39" spans="1:73" ht="15.75" customHeight="1" x14ac:dyDescent="0.25">
      <c r="A39" s="8" t="s">
        <v>904</v>
      </c>
      <c r="B39" s="8" t="s">
        <v>3930</v>
      </c>
      <c r="C39" s="8" t="s">
        <v>3233</v>
      </c>
      <c r="D39" s="8" t="s">
        <v>4012</v>
      </c>
      <c r="E39" s="8" t="s">
        <v>4013</v>
      </c>
      <c r="F39" s="8" t="s">
        <v>43</v>
      </c>
      <c r="G39" s="8"/>
      <c r="H39" s="8">
        <v>315</v>
      </c>
      <c r="I39" s="8" t="s">
        <v>567</v>
      </c>
      <c r="J39" s="8">
        <v>1</v>
      </c>
      <c r="K39" s="8">
        <v>244</v>
      </c>
      <c r="L39" s="8">
        <v>244</v>
      </c>
      <c r="M39" s="8">
        <v>244</v>
      </c>
      <c r="N39" s="8">
        <v>422</v>
      </c>
      <c r="O39" s="8">
        <v>429</v>
      </c>
      <c r="P39" s="8">
        <v>426</v>
      </c>
      <c r="Q39" s="9" t="s">
        <v>47</v>
      </c>
      <c r="R39" s="16"/>
      <c r="S39" s="10">
        <v>50</v>
      </c>
      <c r="T39" s="10">
        <v>57</v>
      </c>
      <c r="U39" s="10">
        <v>40</v>
      </c>
      <c r="V39" s="11">
        <v>29</v>
      </c>
      <c r="W39" s="12" t="s">
        <v>47</v>
      </c>
      <c r="X39" s="17"/>
      <c r="Y39" s="13">
        <v>180</v>
      </c>
      <c r="Z39" s="13">
        <v>100</v>
      </c>
      <c r="AA39" s="13">
        <v>110</v>
      </c>
      <c r="AB39" s="14">
        <v>70</v>
      </c>
      <c r="AC39" s="9"/>
      <c r="AD39" s="16"/>
      <c r="AE39" s="10"/>
      <c r="AF39" s="10"/>
      <c r="AG39" s="10"/>
      <c r="AH39" s="11"/>
      <c r="AI39" s="12"/>
      <c r="AJ39" s="17"/>
      <c r="AK39" s="13"/>
      <c r="AL39" s="13"/>
      <c r="AM39" s="13"/>
      <c r="AN39" s="14"/>
      <c r="AO39" s="9"/>
      <c r="AP39" s="16"/>
      <c r="AQ39" s="10"/>
      <c r="AR39" s="10"/>
      <c r="AS39" s="10"/>
      <c r="AT39" s="11"/>
      <c r="AU39" s="12"/>
      <c r="AV39" s="17"/>
      <c r="AW39" s="13"/>
      <c r="AX39" s="13"/>
      <c r="AY39" s="13"/>
      <c r="AZ39" s="14"/>
      <c r="BA39" s="9"/>
      <c r="BB39" s="16"/>
      <c r="BC39" s="10"/>
      <c r="BD39" s="10"/>
      <c r="BE39" s="10"/>
      <c r="BF39" s="11"/>
      <c r="BG39" s="12"/>
      <c r="BH39" s="17"/>
      <c r="BI39" s="13"/>
      <c r="BJ39" s="13"/>
      <c r="BK39" s="13"/>
      <c r="BL39" s="14"/>
      <c r="BM39" s="8">
        <f t="shared" si="0"/>
        <v>230</v>
      </c>
      <c r="BN39" s="8">
        <f t="shared" si="1"/>
        <v>157</v>
      </c>
      <c r="BO39" s="8">
        <f t="shared" si="2"/>
        <v>150</v>
      </c>
      <c r="BP39" s="8">
        <f t="shared" si="3"/>
        <v>99</v>
      </c>
      <c r="BQ39" s="8">
        <f t="shared" si="4"/>
        <v>230</v>
      </c>
      <c r="BR39" s="8">
        <f t="shared" si="5"/>
        <v>150</v>
      </c>
      <c r="BS39" s="15">
        <f t="shared" si="6"/>
        <v>53.369159169090544</v>
      </c>
      <c r="BT39" s="15" t="str">
        <f t="shared" si="7"/>
        <v>OK - No Upgrade</v>
      </c>
      <c r="BU39" s="15" t="str">
        <f t="shared" si="8"/>
        <v>Need to Balance</v>
      </c>
    </row>
    <row r="40" spans="1:73" ht="15.75" customHeight="1" x14ac:dyDescent="0.25">
      <c r="A40" s="8" t="s">
        <v>904</v>
      </c>
      <c r="B40" s="8" t="s">
        <v>3930</v>
      </c>
      <c r="C40" s="8" t="s">
        <v>3233</v>
      </c>
      <c r="D40" s="8"/>
      <c r="E40" s="8" t="s">
        <v>4014</v>
      </c>
      <c r="F40" s="8" t="s">
        <v>56</v>
      </c>
      <c r="G40" s="8"/>
      <c r="H40" s="8">
        <v>1000</v>
      </c>
      <c r="I40" s="8" t="s">
        <v>4015</v>
      </c>
      <c r="J40" s="8">
        <v>1</v>
      </c>
      <c r="K40" s="8">
        <v>247</v>
      </c>
      <c r="L40" s="8">
        <v>246</v>
      </c>
      <c r="M40" s="8">
        <v>250</v>
      </c>
      <c r="N40" s="8">
        <v>428</v>
      </c>
      <c r="O40" s="8">
        <v>434</v>
      </c>
      <c r="P40" s="8">
        <v>431</v>
      </c>
      <c r="Q40" s="9"/>
      <c r="R40" s="16"/>
      <c r="S40" s="10"/>
      <c r="T40" s="10"/>
      <c r="U40" s="10"/>
      <c r="V40" s="11"/>
      <c r="W40" s="12"/>
      <c r="X40" s="17"/>
      <c r="Y40" s="13"/>
      <c r="Z40" s="13"/>
      <c r="AA40" s="13"/>
      <c r="AB40" s="14"/>
      <c r="AC40" s="9" t="s">
        <v>46</v>
      </c>
      <c r="AD40" s="16"/>
      <c r="AE40" s="10">
        <v>70</v>
      </c>
      <c r="AF40" s="10">
        <v>60</v>
      </c>
      <c r="AG40" s="10">
        <v>33</v>
      </c>
      <c r="AH40" s="11">
        <v>60</v>
      </c>
      <c r="AI40" s="12" t="s">
        <v>47</v>
      </c>
      <c r="AJ40" s="17"/>
      <c r="AK40" s="13">
        <v>9</v>
      </c>
      <c r="AL40" s="13">
        <v>31</v>
      </c>
      <c r="AM40" s="13">
        <v>36</v>
      </c>
      <c r="AN40" s="14">
        <v>22</v>
      </c>
      <c r="AO40" s="9" t="s">
        <v>47</v>
      </c>
      <c r="AP40" s="16"/>
      <c r="AQ40" s="10">
        <v>7</v>
      </c>
      <c r="AR40" s="10">
        <v>15</v>
      </c>
      <c r="AS40" s="10">
        <v>90</v>
      </c>
      <c r="AT40" s="11">
        <v>78</v>
      </c>
      <c r="AU40" s="12" t="s">
        <v>47</v>
      </c>
      <c r="AV40" s="17"/>
      <c r="AW40" s="13">
        <v>27</v>
      </c>
      <c r="AX40" s="13">
        <v>25</v>
      </c>
      <c r="AY40" s="13">
        <v>2</v>
      </c>
      <c r="AZ40" s="14">
        <v>36</v>
      </c>
      <c r="BA40" s="9" t="s">
        <v>47</v>
      </c>
      <c r="BB40" s="16"/>
      <c r="BC40" s="10">
        <v>51</v>
      </c>
      <c r="BD40" s="10">
        <v>14</v>
      </c>
      <c r="BE40" s="10">
        <v>27</v>
      </c>
      <c r="BF40" s="11">
        <v>35</v>
      </c>
      <c r="BG40" s="12"/>
      <c r="BH40" s="17"/>
      <c r="BI40" s="13"/>
      <c r="BJ40" s="13"/>
      <c r="BK40" s="13"/>
      <c r="BL40" s="14"/>
      <c r="BM40" s="8">
        <f t="shared" si="0"/>
        <v>164</v>
      </c>
      <c r="BN40" s="8">
        <f t="shared" si="1"/>
        <v>145</v>
      </c>
      <c r="BO40" s="8">
        <f t="shared" si="2"/>
        <v>188</v>
      </c>
      <c r="BP40" s="8">
        <f t="shared" si="3"/>
        <v>231</v>
      </c>
      <c r="BQ40" s="8">
        <f t="shared" si="4"/>
        <v>188</v>
      </c>
      <c r="BR40" s="8">
        <f t="shared" si="5"/>
        <v>145</v>
      </c>
      <c r="BS40" s="15">
        <f t="shared" si="6"/>
        <v>13.936773618022213</v>
      </c>
      <c r="BT40" s="15" t="str">
        <f t="shared" si="7"/>
        <v>OK - No Upgrade</v>
      </c>
      <c r="BU40" s="15" t="str">
        <f t="shared" si="8"/>
        <v>Need to Balance</v>
      </c>
    </row>
    <row r="41" spans="1:73" ht="15.75" customHeight="1" x14ac:dyDescent="0.25">
      <c r="A41" s="8" t="s">
        <v>904</v>
      </c>
      <c r="B41" s="8" t="s">
        <v>3930</v>
      </c>
      <c r="C41" s="8" t="s">
        <v>3233</v>
      </c>
      <c r="D41" s="8" t="s">
        <v>4016</v>
      </c>
      <c r="E41" s="8" t="s">
        <v>4017</v>
      </c>
      <c r="F41" s="8" t="s">
        <v>56</v>
      </c>
      <c r="G41" s="8"/>
      <c r="H41" s="8">
        <v>1000</v>
      </c>
      <c r="I41" s="8" t="s">
        <v>4018</v>
      </c>
      <c r="J41" s="8">
        <v>1</v>
      </c>
      <c r="K41" s="8">
        <v>249</v>
      </c>
      <c r="L41" s="8">
        <v>247</v>
      </c>
      <c r="M41" s="8">
        <v>250</v>
      </c>
      <c r="N41" s="8">
        <v>430</v>
      </c>
      <c r="O41" s="8">
        <v>435</v>
      </c>
      <c r="P41" s="8">
        <v>432</v>
      </c>
      <c r="Q41" s="9" t="s">
        <v>47</v>
      </c>
      <c r="R41" s="16"/>
      <c r="S41" s="10">
        <v>40</v>
      </c>
      <c r="T41" s="10">
        <v>50</v>
      </c>
      <c r="U41" s="10">
        <v>60</v>
      </c>
      <c r="V41" s="11">
        <v>10</v>
      </c>
      <c r="W41" s="12" t="s">
        <v>47</v>
      </c>
      <c r="X41" s="17"/>
      <c r="Y41" s="13">
        <v>110</v>
      </c>
      <c r="Z41" s="13">
        <v>40</v>
      </c>
      <c r="AA41" s="13">
        <v>52</v>
      </c>
      <c r="AB41" s="14">
        <v>48</v>
      </c>
      <c r="AC41" s="9" t="s">
        <v>47</v>
      </c>
      <c r="AD41" s="16"/>
      <c r="AE41" s="10">
        <v>25</v>
      </c>
      <c r="AF41" s="10">
        <v>40</v>
      </c>
      <c r="AG41" s="10">
        <v>82</v>
      </c>
      <c r="AH41" s="11">
        <v>56</v>
      </c>
      <c r="AI41" s="12" t="s">
        <v>47</v>
      </c>
      <c r="AJ41" s="17"/>
      <c r="AK41" s="13">
        <v>100</v>
      </c>
      <c r="AL41" s="13">
        <v>60</v>
      </c>
      <c r="AM41" s="13">
        <v>90</v>
      </c>
      <c r="AN41" s="14">
        <v>35</v>
      </c>
      <c r="AO41" s="9" t="s">
        <v>47</v>
      </c>
      <c r="AP41" s="16"/>
      <c r="AQ41" s="10">
        <v>10</v>
      </c>
      <c r="AR41" s="10">
        <v>60</v>
      </c>
      <c r="AS41" s="10">
        <v>92</v>
      </c>
      <c r="AT41" s="11">
        <v>25</v>
      </c>
      <c r="AU41" s="12"/>
      <c r="AV41" s="17"/>
      <c r="AW41" s="13"/>
      <c r="AX41" s="13"/>
      <c r="AY41" s="13"/>
      <c r="AZ41" s="14"/>
      <c r="BA41" s="9"/>
      <c r="BB41" s="16"/>
      <c r="BC41" s="10"/>
      <c r="BD41" s="10"/>
      <c r="BE41" s="10"/>
      <c r="BF41" s="11"/>
      <c r="BG41" s="12"/>
      <c r="BH41" s="17"/>
      <c r="BI41" s="13"/>
      <c r="BJ41" s="13"/>
      <c r="BK41" s="13"/>
      <c r="BL41" s="14"/>
      <c r="BM41" s="8">
        <f t="shared" si="0"/>
        <v>285</v>
      </c>
      <c r="BN41" s="8">
        <f t="shared" si="1"/>
        <v>250</v>
      </c>
      <c r="BO41" s="8">
        <f t="shared" si="2"/>
        <v>376</v>
      </c>
      <c r="BP41" s="8">
        <f t="shared" si="3"/>
        <v>174</v>
      </c>
      <c r="BQ41" s="8">
        <f t="shared" si="4"/>
        <v>376</v>
      </c>
      <c r="BR41" s="8">
        <f t="shared" si="5"/>
        <v>250</v>
      </c>
      <c r="BS41" s="15">
        <f t="shared" si="6"/>
        <v>28.003797456773611</v>
      </c>
      <c r="BT41" s="15" t="str">
        <f t="shared" si="7"/>
        <v>OK - No Upgrade</v>
      </c>
      <c r="BU41" s="15" t="str">
        <f t="shared" si="8"/>
        <v>Need to Balance</v>
      </c>
    </row>
    <row r="42" spans="1:73" ht="15.75" customHeight="1" x14ac:dyDescent="0.25">
      <c r="A42" s="8" t="s">
        <v>904</v>
      </c>
      <c r="B42" s="8" t="s">
        <v>3930</v>
      </c>
      <c r="C42" s="8" t="s">
        <v>3233</v>
      </c>
      <c r="D42" s="8" t="s">
        <v>4019</v>
      </c>
      <c r="E42" s="8" t="s">
        <v>4020</v>
      </c>
      <c r="F42" s="8" t="s">
        <v>56</v>
      </c>
      <c r="G42" s="8"/>
      <c r="H42" s="8">
        <v>1000</v>
      </c>
      <c r="I42" s="8" t="s">
        <v>4021</v>
      </c>
      <c r="J42" s="8">
        <v>1</v>
      </c>
      <c r="K42" s="8">
        <v>254</v>
      </c>
      <c r="L42" s="8">
        <v>255</v>
      </c>
      <c r="M42" s="8">
        <v>257</v>
      </c>
      <c r="N42" s="8">
        <v>441</v>
      </c>
      <c r="O42" s="8">
        <v>447</v>
      </c>
      <c r="P42" s="8">
        <v>443</v>
      </c>
      <c r="Q42" s="9"/>
      <c r="R42" s="16"/>
      <c r="S42" s="10"/>
      <c r="T42" s="10"/>
      <c r="U42" s="10"/>
      <c r="V42" s="11"/>
      <c r="W42" s="12"/>
      <c r="X42" s="17"/>
      <c r="Y42" s="13"/>
      <c r="Z42" s="13"/>
      <c r="AA42" s="13"/>
      <c r="AB42" s="14"/>
      <c r="AC42" s="9" t="s">
        <v>47</v>
      </c>
      <c r="AD42" s="16"/>
      <c r="AE42" s="10">
        <v>75</v>
      </c>
      <c r="AF42" s="10">
        <v>54</v>
      </c>
      <c r="AG42" s="10">
        <v>28</v>
      </c>
      <c r="AH42" s="11">
        <v>36</v>
      </c>
      <c r="AI42" s="12" t="s">
        <v>47</v>
      </c>
      <c r="AJ42" s="17"/>
      <c r="AK42" s="13">
        <v>191</v>
      </c>
      <c r="AL42" s="13">
        <v>123</v>
      </c>
      <c r="AM42" s="13">
        <v>152</v>
      </c>
      <c r="AN42" s="14">
        <v>51</v>
      </c>
      <c r="AO42" s="9" t="s">
        <v>47</v>
      </c>
      <c r="AP42" s="16"/>
      <c r="AQ42" s="10">
        <v>175</v>
      </c>
      <c r="AR42" s="10">
        <v>84</v>
      </c>
      <c r="AS42" s="10">
        <v>169</v>
      </c>
      <c r="AT42" s="11">
        <v>93</v>
      </c>
      <c r="AU42" s="12"/>
      <c r="AV42" s="17"/>
      <c r="AW42" s="13"/>
      <c r="AX42" s="13"/>
      <c r="AY42" s="13"/>
      <c r="AZ42" s="14"/>
      <c r="BA42" s="9" t="s">
        <v>47</v>
      </c>
      <c r="BB42" s="16"/>
      <c r="BC42" s="10">
        <v>70</v>
      </c>
      <c r="BD42" s="10">
        <v>120</v>
      </c>
      <c r="BE42" s="10">
        <v>42</v>
      </c>
      <c r="BF42" s="11">
        <v>79</v>
      </c>
      <c r="BG42" s="12"/>
      <c r="BH42" s="17"/>
      <c r="BI42" s="13"/>
      <c r="BJ42" s="13"/>
      <c r="BK42" s="13"/>
      <c r="BL42" s="14"/>
      <c r="BM42" s="8">
        <f t="shared" si="0"/>
        <v>511</v>
      </c>
      <c r="BN42" s="8">
        <f t="shared" si="1"/>
        <v>381</v>
      </c>
      <c r="BO42" s="8">
        <f t="shared" si="2"/>
        <v>391</v>
      </c>
      <c r="BP42" s="8">
        <f t="shared" si="3"/>
        <v>259</v>
      </c>
      <c r="BQ42" s="8">
        <f t="shared" si="4"/>
        <v>511</v>
      </c>
      <c r="BR42" s="8">
        <f t="shared" si="5"/>
        <v>381</v>
      </c>
      <c r="BS42" s="15">
        <f t="shared" si="6"/>
        <v>39.031938153645406</v>
      </c>
      <c r="BT42" s="15" t="str">
        <f t="shared" si="7"/>
        <v>OK - No Upgrade</v>
      </c>
      <c r="BU42" s="15" t="str">
        <f t="shared" si="8"/>
        <v>Need to Balance</v>
      </c>
    </row>
    <row r="43" spans="1:73" ht="15.75" customHeight="1" x14ac:dyDescent="0.25">
      <c r="A43" s="8" t="s">
        <v>904</v>
      </c>
      <c r="B43" s="8" t="s">
        <v>3930</v>
      </c>
      <c r="C43" s="8" t="s">
        <v>3233</v>
      </c>
      <c r="D43" s="8" t="s">
        <v>4019</v>
      </c>
      <c r="E43" s="8" t="s">
        <v>4020</v>
      </c>
      <c r="F43" s="8" t="s">
        <v>56</v>
      </c>
      <c r="G43" s="8"/>
      <c r="H43" s="8">
        <v>1000</v>
      </c>
      <c r="I43" s="8" t="s">
        <v>4022</v>
      </c>
      <c r="J43" s="8">
        <v>2</v>
      </c>
      <c r="K43" s="8">
        <v>251</v>
      </c>
      <c r="L43" s="8">
        <v>250</v>
      </c>
      <c r="M43" s="8">
        <v>254</v>
      </c>
      <c r="N43" s="8">
        <v>433</v>
      </c>
      <c r="O43" s="8">
        <v>441</v>
      </c>
      <c r="P43" s="8">
        <v>438</v>
      </c>
      <c r="Q43" s="9"/>
      <c r="R43" s="16"/>
      <c r="S43" s="10"/>
      <c r="T43" s="10"/>
      <c r="U43" s="10"/>
      <c r="V43" s="11"/>
      <c r="W43" s="12"/>
      <c r="X43" s="17"/>
      <c r="Y43" s="13"/>
      <c r="Z43" s="13"/>
      <c r="AA43" s="13"/>
      <c r="AB43" s="14"/>
      <c r="AC43" s="9" t="s">
        <v>47</v>
      </c>
      <c r="AD43" s="16"/>
      <c r="AE43" s="10">
        <v>98</v>
      </c>
      <c r="AF43" s="10">
        <v>85</v>
      </c>
      <c r="AG43" s="10">
        <v>57</v>
      </c>
      <c r="AH43" s="11">
        <v>41</v>
      </c>
      <c r="AI43" s="12" t="s">
        <v>47</v>
      </c>
      <c r="AJ43" s="17"/>
      <c r="AK43" s="13">
        <v>230</v>
      </c>
      <c r="AL43" s="13">
        <v>211</v>
      </c>
      <c r="AM43" s="13">
        <v>200</v>
      </c>
      <c r="AN43" s="14">
        <v>81</v>
      </c>
      <c r="AO43" s="9" t="s">
        <v>47</v>
      </c>
      <c r="AP43" s="16"/>
      <c r="AQ43" s="10">
        <v>162</v>
      </c>
      <c r="AR43" s="10">
        <v>184</v>
      </c>
      <c r="AS43" s="10">
        <v>153</v>
      </c>
      <c r="AT43" s="11">
        <v>36</v>
      </c>
      <c r="AU43" s="12"/>
      <c r="AV43" s="17"/>
      <c r="AW43" s="13"/>
      <c r="AX43" s="13"/>
      <c r="AY43" s="13"/>
      <c r="AZ43" s="14"/>
      <c r="BA43" s="9" t="s">
        <v>47</v>
      </c>
      <c r="BB43" s="16"/>
      <c r="BC43" s="10">
        <v>89</v>
      </c>
      <c r="BD43" s="10">
        <v>90</v>
      </c>
      <c r="BE43" s="10">
        <v>22</v>
      </c>
      <c r="BF43" s="11">
        <v>77</v>
      </c>
      <c r="BG43" s="12"/>
      <c r="BH43" s="17"/>
      <c r="BI43" s="13"/>
      <c r="BJ43" s="13"/>
      <c r="BK43" s="13"/>
      <c r="BL43" s="14"/>
      <c r="BM43" s="8">
        <f t="shared" si="0"/>
        <v>579</v>
      </c>
      <c r="BN43" s="8">
        <f t="shared" si="1"/>
        <v>570</v>
      </c>
      <c r="BO43" s="8">
        <f t="shared" si="2"/>
        <v>432</v>
      </c>
      <c r="BP43" s="8">
        <f t="shared" si="3"/>
        <v>235</v>
      </c>
      <c r="BQ43" s="8">
        <f t="shared" si="4"/>
        <v>579</v>
      </c>
      <c r="BR43" s="8">
        <f t="shared" si="5"/>
        <v>432</v>
      </c>
      <c r="BS43" s="15">
        <f t="shared" si="6"/>
        <v>43.423726181317051</v>
      </c>
      <c r="BT43" s="15" t="str">
        <f t="shared" si="7"/>
        <v>OK - No Upgrade</v>
      </c>
      <c r="BU43" s="15" t="str">
        <f t="shared" si="8"/>
        <v>OK - Balanced</v>
      </c>
    </row>
    <row r="44" spans="1:73" ht="15.75" customHeight="1" x14ac:dyDescent="0.25">
      <c r="A44" s="8" t="s">
        <v>904</v>
      </c>
      <c r="B44" s="8" t="s">
        <v>3930</v>
      </c>
      <c r="C44" s="8" t="s">
        <v>3233</v>
      </c>
      <c r="D44" s="8" t="s">
        <v>4023</v>
      </c>
      <c r="E44" s="8" t="s">
        <v>4024</v>
      </c>
      <c r="F44" s="8" t="s">
        <v>56</v>
      </c>
      <c r="G44" s="8"/>
      <c r="H44" s="8">
        <v>1000</v>
      </c>
      <c r="I44" s="8" t="s">
        <v>4025</v>
      </c>
      <c r="J44" s="8">
        <v>1</v>
      </c>
      <c r="K44" s="8">
        <v>248</v>
      </c>
      <c r="L44" s="8">
        <v>246</v>
      </c>
      <c r="M44" s="8">
        <v>250</v>
      </c>
      <c r="N44" s="8">
        <v>428</v>
      </c>
      <c r="O44" s="8">
        <v>434</v>
      </c>
      <c r="P44" s="8">
        <v>430</v>
      </c>
      <c r="Q44" s="9"/>
      <c r="R44" s="16"/>
      <c r="S44" s="10"/>
      <c r="T44" s="10"/>
      <c r="U44" s="10"/>
      <c r="V44" s="11"/>
      <c r="W44" s="12"/>
      <c r="X44" s="17"/>
      <c r="Y44" s="13"/>
      <c r="Z44" s="13"/>
      <c r="AA44" s="13"/>
      <c r="AB44" s="14"/>
      <c r="AC44" s="9" t="s">
        <v>47</v>
      </c>
      <c r="AD44" s="16"/>
      <c r="AE44" s="10">
        <v>105</v>
      </c>
      <c r="AF44" s="10">
        <v>155</v>
      </c>
      <c r="AG44" s="10">
        <v>80</v>
      </c>
      <c r="AH44" s="11">
        <v>69</v>
      </c>
      <c r="AI44" s="12" t="s">
        <v>47</v>
      </c>
      <c r="AJ44" s="17"/>
      <c r="AK44" s="13">
        <v>91</v>
      </c>
      <c r="AL44" s="13">
        <v>113</v>
      </c>
      <c r="AM44" s="13">
        <v>90</v>
      </c>
      <c r="AN44" s="14">
        <v>50</v>
      </c>
      <c r="AO44" s="9" t="s">
        <v>47</v>
      </c>
      <c r="AP44" s="16"/>
      <c r="AQ44" s="10">
        <v>258</v>
      </c>
      <c r="AR44" s="10">
        <v>155</v>
      </c>
      <c r="AS44" s="10">
        <v>110</v>
      </c>
      <c r="AT44" s="11">
        <v>120</v>
      </c>
      <c r="AU44" s="12" t="s">
        <v>47</v>
      </c>
      <c r="AV44" s="17"/>
      <c r="AW44" s="13">
        <v>70</v>
      </c>
      <c r="AX44" s="13">
        <v>90</v>
      </c>
      <c r="AY44" s="13">
        <v>110</v>
      </c>
      <c r="AZ44" s="14">
        <v>45</v>
      </c>
      <c r="BA44" s="9" t="s">
        <v>47</v>
      </c>
      <c r="BB44" s="16"/>
      <c r="BC44" s="10">
        <v>50</v>
      </c>
      <c r="BD44" s="10">
        <v>40</v>
      </c>
      <c r="BE44" s="10">
        <v>105</v>
      </c>
      <c r="BF44" s="11">
        <v>66</v>
      </c>
      <c r="BG44" s="12"/>
      <c r="BH44" s="17"/>
      <c r="BI44" s="13"/>
      <c r="BJ44" s="13"/>
      <c r="BK44" s="13"/>
      <c r="BL44" s="14"/>
      <c r="BM44" s="8">
        <f t="shared" si="0"/>
        <v>574</v>
      </c>
      <c r="BN44" s="8">
        <f t="shared" si="1"/>
        <v>553</v>
      </c>
      <c r="BO44" s="8">
        <f t="shared" si="2"/>
        <v>495</v>
      </c>
      <c r="BP44" s="8">
        <f t="shared" si="3"/>
        <v>350</v>
      </c>
      <c r="BQ44" s="8">
        <f t="shared" si="4"/>
        <v>574</v>
      </c>
      <c r="BR44" s="8">
        <f t="shared" si="5"/>
        <v>495</v>
      </c>
      <c r="BS44" s="15">
        <f t="shared" si="6"/>
        <v>42.551638599706124</v>
      </c>
      <c r="BT44" s="15" t="str">
        <f t="shared" si="7"/>
        <v>OK - No Upgrade</v>
      </c>
      <c r="BU44" s="15" t="str">
        <f t="shared" si="8"/>
        <v>OK - Balanced</v>
      </c>
    </row>
    <row r="45" spans="1:73" ht="15.75" customHeight="1" x14ac:dyDescent="0.25">
      <c r="A45" s="8" t="s">
        <v>904</v>
      </c>
      <c r="B45" s="8" t="s">
        <v>3930</v>
      </c>
      <c r="C45" s="8" t="s">
        <v>3233</v>
      </c>
      <c r="D45" s="8" t="s">
        <v>4023</v>
      </c>
      <c r="E45" s="8" t="s">
        <v>4024</v>
      </c>
      <c r="F45" s="8" t="s">
        <v>56</v>
      </c>
      <c r="G45" s="8"/>
      <c r="H45" s="8">
        <v>1000</v>
      </c>
      <c r="I45" s="8" t="s">
        <v>4026</v>
      </c>
      <c r="J45" s="8">
        <v>2</v>
      </c>
      <c r="K45" s="8">
        <v>245</v>
      </c>
      <c r="L45" s="8">
        <v>244</v>
      </c>
      <c r="M45" s="8">
        <v>248</v>
      </c>
      <c r="N45" s="8">
        <v>421</v>
      </c>
      <c r="O45" s="8">
        <v>432</v>
      </c>
      <c r="P45" s="8">
        <v>428</v>
      </c>
      <c r="Q45" s="9" t="s">
        <v>47</v>
      </c>
      <c r="R45" s="16"/>
      <c r="S45" s="10"/>
      <c r="T45" s="10"/>
      <c r="U45" s="10"/>
      <c r="V45" s="11"/>
      <c r="W45" s="12"/>
      <c r="X45" s="17"/>
      <c r="Y45" s="13"/>
      <c r="Z45" s="13"/>
      <c r="AA45" s="13"/>
      <c r="AB45" s="14"/>
      <c r="AC45" s="9" t="s">
        <v>47</v>
      </c>
      <c r="AD45" s="16"/>
      <c r="AE45" s="10">
        <v>93</v>
      </c>
      <c r="AF45" s="10">
        <v>110</v>
      </c>
      <c r="AG45" s="10">
        <v>69</v>
      </c>
      <c r="AH45" s="11">
        <v>41</v>
      </c>
      <c r="AI45" s="12" t="s">
        <v>46</v>
      </c>
      <c r="AJ45" s="17"/>
      <c r="AK45" s="13">
        <v>53</v>
      </c>
      <c r="AL45" s="13">
        <v>101</v>
      </c>
      <c r="AM45" s="13">
        <v>93</v>
      </c>
      <c r="AN45" s="14">
        <v>38</v>
      </c>
      <c r="AO45" s="9" t="s">
        <v>47</v>
      </c>
      <c r="AP45" s="16"/>
      <c r="AQ45" s="10">
        <v>212</v>
      </c>
      <c r="AR45" s="10">
        <v>154</v>
      </c>
      <c r="AS45" s="10">
        <v>241</v>
      </c>
      <c r="AT45" s="11">
        <v>89</v>
      </c>
      <c r="AU45" s="12" t="s">
        <v>47</v>
      </c>
      <c r="AV45" s="17"/>
      <c r="AW45" s="13">
        <v>113</v>
      </c>
      <c r="AX45" s="13">
        <v>95</v>
      </c>
      <c r="AY45" s="13">
        <v>109</v>
      </c>
      <c r="AZ45" s="14">
        <v>25</v>
      </c>
      <c r="BA45" s="9" t="s">
        <v>47</v>
      </c>
      <c r="BB45" s="16"/>
      <c r="BC45" s="10">
        <v>53</v>
      </c>
      <c r="BD45" s="10">
        <v>59</v>
      </c>
      <c r="BE45" s="10">
        <v>107</v>
      </c>
      <c r="BF45" s="11">
        <v>51</v>
      </c>
      <c r="BG45" s="12"/>
      <c r="BH45" s="17"/>
      <c r="BI45" s="13"/>
      <c r="BJ45" s="13"/>
      <c r="BK45" s="13"/>
      <c r="BL45" s="14"/>
      <c r="BM45" s="8">
        <f t="shared" si="0"/>
        <v>524</v>
      </c>
      <c r="BN45" s="8">
        <f t="shared" si="1"/>
        <v>519</v>
      </c>
      <c r="BO45" s="8">
        <f t="shared" si="2"/>
        <v>619</v>
      </c>
      <c r="BP45" s="8">
        <f t="shared" si="3"/>
        <v>244</v>
      </c>
      <c r="BQ45" s="8">
        <f t="shared" si="4"/>
        <v>619</v>
      </c>
      <c r="BR45" s="8">
        <f t="shared" si="5"/>
        <v>519</v>
      </c>
      <c r="BS45" s="15">
        <f t="shared" si="6"/>
        <v>45.137070840164185</v>
      </c>
      <c r="BT45" s="15" t="str">
        <f t="shared" si="7"/>
        <v>OK - No Upgrade</v>
      </c>
      <c r="BU45" s="15" t="str">
        <f t="shared" si="8"/>
        <v>Need to Balance</v>
      </c>
    </row>
    <row r="46" spans="1:73" ht="15.75" customHeight="1" x14ac:dyDescent="0.25">
      <c r="A46" s="8" t="s">
        <v>904</v>
      </c>
      <c r="B46" s="8" t="s">
        <v>3930</v>
      </c>
      <c r="C46" s="8" t="s">
        <v>3233</v>
      </c>
      <c r="D46" s="8"/>
      <c r="E46" s="8" t="s">
        <v>4027</v>
      </c>
      <c r="F46" s="8" t="s">
        <v>43</v>
      </c>
      <c r="G46" s="8"/>
      <c r="H46" s="8">
        <v>315</v>
      </c>
      <c r="I46" s="8" t="s">
        <v>4028</v>
      </c>
      <c r="J46" s="8">
        <v>1</v>
      </c>
      <c r="K46" s="8">
        <v>250</v>
      </c>
      <c r="L46" s="8">
        <v>22</v>
      </c>
      <c r="M46" s="8">
        <v>252</v>
      </c>
      <c r="N46" s="8">
        <v>433</v>
      </c>
      <c r="O46" s="8">
        <v>438</v>
      </c>
      <c r="P46" s="8">
        <v>436</v>
      </c>
      <c r="Q46" s="9" t="s">
        <v>47</v>
      </c>
      <c r="R46" s="16"/>
      <c r="S46" s="10">
        <v>34</v>
      </c>
      <c r="T46" s="10">
        <v>38</v>
      </c>
      <c r="U46" s="10">
        <v>25</v>
      </c>
      <c r="V46" s="11">
        <v>10</v>
      </c>
      <c r="W46" s="12" t="s">
        <v>47</v>
      </c>
      <c r="X46" s="17"/>
      <c r="Y46" s="13">
        <v>10</v>
      </c>
      <c r="Z46" s="13">
        <v>15</v>
      </c>
      <c r="AA46" s="13">
        <v>0</v>
      </c>
      <c r="AB46" s="14">
        <v>8</v>
      </c>
      <c r="AC46" s="9" t="s">
        <v>47</v>
      </c>
      <c r="AD46" s="16"/>
      <c r="AE46" s="10">
        <v>6</v>
      </c>
      <c r="AF46" s="10">
        <v>8</v>
      </c>
      <c r="AG46" s="10">
        <v>39</v>
      </c>
      <c r="AH46" s="11">
        <v>15</v>
      </c>
      <c r="AI46" s="12"/>
      <c r="AJ46" s="17"/>
      <c r="AK46" s="13"/>
      <c r="AL46" s="13"/>
      <c r="AM46" s="13"/>
      <c r="AN46" s="14"/>
      <c r="AO46" s="9"/>
      <c r="AP46" s="16"/>
      <c r="AQ46" s="10"/>
      <c r="AR46" s="10"/>
      <c r="AS46" s="10"/>
      <c r="AT46" s="11"/>
      <c r="AU46" s="12"/>
      <c r="AV46" s="17"/>
      <c r="AW46" s="13"/>
      <c r="AX46" s="13"/>
      <c r="AY46" s="13"/>
      <c r="AZ46" s="14"/>
      <c r="BA46" s="9"/>
      <c r="BB46" s="16"/>
      <c r="BC46" s="10"/>
      <c r="BD46" s="10"/>
      <c r="BE46" s="10"/>
      <c r="BF46" s="11"/>
      <c r="BG46" s="12"/>
      <c r="BH46" s="17"/>
      <c r="BI46" s="13"/>
      <c r="BJ46" s="13"/>
      <c r="BK46" s="13"/>
      <c r="BL46" s="14"/>
      <c r="BM46" s="8">
        <f t="shared" si="0"/>
        <v>50</v>
      </c>
      <c r="BN46" s="8">
        <f t="shared" si="1"/>
        <v>61</v>
      </c>
      <c r="BO46" s="8">
        <f t="shared" si="2"/>
        <v>64</v>
      </c>
      <c r="BP46" s="8">
        <f t="shared" si="3"/>
        <v>33</v>
      </c>
      <c r="BQ46" s="8">
        <f t="shared" si="4"/>
        <v>64</v>
      </c>
      <c r="BR46" s="8">
        <f t="shared" si="5"/>
        <v>50</v>
      </c>
      <c r="BS46" s="15">
        <f t="shared" si="6"/>
        <v>15.237648247412295</v>
      </c>
      <c r="BT46" s="15" t="str">
        <f t="shared" si="7"/>
        <v>OK - No Upgrade</v>
      </c>
      <c r="BU46" s="15" t="str">
        <f t="shared" si="8"/>
        <v>OK - Balanced</v>
      </c>
    </row>
    <row r="47" spans="1:73" ht="15.75" customHeight="1" x14ac:dyDescent="0.25">
      <c r="A47" s="8" t="s">
        <v>904</v>
      </c>
      <c r="B47" s="8" t="s">
        <v>3930</v>
      </c>
      <c r="C47" s="8" t="s">
        <v>3233</v>
      </c>
      <c r="D47" s="8" t="s">
        <v>4029</v>
      </c>
      <c r="E47" s="8" t="s">
        <v>4030</v>
      </c>
      <c r="F47" s="8" t="s">
        <v>56</v>
      </c>
      <c r="G47" s="8"/>
      <c r="H47" s="8">
        <v>1000</v>
      </c>
      <c r="I47" s="8" t="s">
        <v>4031</v>
      </c>
      <c r="J47" s="8">
        <v>1</v>
      </c>
      <c r="K47" s="8">
        <v>249</v>
      </c>
      <c r="L47" s="8">
        <v>248</v>
      </c>
      <c r="M47" s="8">
        <v>246</v>
      </c>
      <c r="N47" s="8">
        <v>432</v>
      </c>
      <c r="O47" s="8">
        <v>434</v>
      </c>
      <c r="P47" s="8">
        <v>437</v>
      </c>
      <c r="Q47" s="9" t="s">
        <v>47</v>
      </c>
      <c r="R47" s="16"/>
      <c r="S47" s="10">
        <v>63</v>
      </c>
      <c r="T47" s="10">
        <v>58</v>
      </c>
      <c r="U47" s="10">
        <v>25</v>
      </c>
      <c r="V47" s="11">
        <v>36</v>
      </c>
      <c r="W47" s="12" t="s">
        <v>47</v>
      </c>
      <c r="X47" s="17"/>
      <c r="Y47" s="13">
        <v>40</v>
      </c>
      <c r="Z47" s="13">
        <v>15</v>
      </c>
      <c r="AA47" s="13">
        <v>1</v>
      </c>
      <c r="AB47" s="14">
        <v>27</v>
      </c>
      <c r="AC47" s="9" t="s">
        <v>47</v>
      </c>
      <c r="AD47" s="16"/>
      <c r="AE47" s="10">
        <v>50</v>
      </c>
      <c r="AF47" s="10">
        <v>10</v>
      </c>
      <c r="AG47" s="10">
        <v>36</v>
      </c>
      <c r="AH47" s="11">
        <v>20</v>
      </c>
      <c r="AI47" s="12" t="s">
        <v>47</v>
      </c>
      <c r="AJ47" s="17"/>
      <c r="AK47" s="13">
        <v>120</v>
      </c>
      <c r="AL47" s="13">
        <v>60</v>
      </c>
      <c r="AM47" s="13">
        <v>90</v>
      </c>
      <c r="AN47" s="14">
        <v>50</v>
      </c>
      <c r="AO47" s="9" t="s">
        <v>47</v>
      </c>
      <c r="AP47" s="16"/>
      <c r="AQ47" s="10">
        <v>70</v>
      </c>
      <c r="AR47" s="10">
        <v>170</v>
      </c>
      <c r="AS47" s="10">
        <v>160</v>
      </c>
      <c r="AT47" s="11">
        <v>85</v>
      </c>
      <c r="AU47" s="12" t="s">
        <v>47</v>
      </c>
      <c r="AV47" s="17"/>
      <c r="AW47" s="13">
        <v>63</v>
      </c>
      <c r="AX47" s="13">
        <v>90</v>
      </c>
      <c r="AY47" s="13">
        <v>90</v>
      </c>
      <c r="AZ47" s="14">
        <v>30</v>
      </c>
      <c r="BA47" s="9" t="s">
        <v>47</v>
      </c>
      <c r="BB47" s="16"/>
      <c r="BC47" s="10">
        <v>120</v>
      </c>
      <c r="BD47" s="10">
        <v>80</v>
      </c>
      <c r="BE47" s="10">
        <v>90</v>
      </c>
      <c r="BF47" s="11">
        <v>50</v>
      </c>
      <c r="BG47" s="12" t="s">
        <v>47</v>
      </c>
      <c r="BH47" s="17"/>
      <c r="BI47" s="13">
        <v>21</v>
      </c>
      <c r="BJ47" s="13">
        <v>28</v>
      </c>
      <c r="BK47" s="13">
        <v>20</v>
      </c>
      <c r="BL47" s="14">
        <v>10</v>
      </c>
      <c r="BM47" s="8">
        <f t="shared" si="0"/>
        <v>547</v>
      </c>
      <c r="BN47" s="8">
        <f t="shared" si="1"/>
        <v>511</v>
      </c>
      <c r="BO47" s="8">
        <f t="shared" si="2"/>
        <v>512</v>
      </c>
      <c r="BP47" s="8">
        <f t="shared" si="3"/>
        <v>308</v>
      </c>
      <c r="BQ47" s="8">
        <f t="shared" si="4"/>
        <v>547</v>
      </c>
      <c r="BR47" s="8">
        <f t="shared" si="5"/>
        <v>511</v>
      </c>
      <c r="BS47" s="15">
        <f t="shared" si="6"/>
        <v>40.929053403175594</v>
      </c>
      <c r="BT47" s="15" t="str">
        <f t="shared" si="7"/>
        <v>OK - No Upgrade</v>
      </c>
      <c r="BU47" s="15" t="str">
        <f t="shared" si="8"/>
        <v>OK - Balanced</v>
      </c>
    </row>
  </sheetData>
  <mergeCells count="79">
    <mergeCell ref="BU1:BU3"/>
    <mergeCell ref="BI2:BI3"/>
    <mergeCell ref="AE2:AE3"/>
    <mergeCell ref="AG2:AG3"/>
    <mergeCell ref="Y2:Y3"/>
    <mergeCell ref="AQ2:AQ3"/>
    <mergeCell ref="AS2:AS3"/>
    <mergeCell ref="AY2:AY3"/>
    <mergeCell ref="BK2:BK3"/>
    <mergeCell ref="AZ2:AZ3"/>
    <mergeCell ref="BB2:BB3"/>
    <mergeCell ref="BL2:BL3"/>
    <mergeCell ref="BN2:BN3"/>
    <mergeCell ref="AU1:AZ1"/>
    <mergeCell ref="AJ2:AJ3"/>
    <mergeCell ref="AL2:AL3"/>
    <mergeCell ref="BR1:BR3"/>
    <mergeCell ref="H1:H3"/>
    <mergeCell ref="AR2:AR3"/>
    <mergeCell ref="AT2:AT3"/>
    <mergeCell ref="E1:E3"/>
    <mergeCell ref="BF2:BF3"/>
    <mergeCell ref="K2:M2"/>
    <mergeCell ref="F1:F3"/>
    <mergeCell ref="J1:J3"/>
    <mergeCell ref="R2:R3"/>
    <mergeCell ref="AD2:AD3"/>
    <mergeCell ref="AN2:AN3"/>
    <mergeCell ref="AP2:AP3"/>
    <mergeCell ref="A1:A3"/>
    <mergeCell ref="BA1:BF1"/>
    <mergeCell ref="C1:C3"/>
    <mergeCell ref="D1:D2"/>
    <mergeCell ref="BQ1:BQ3"/>
    <mergeCell ref="BS1:BS3"/>
    <mergeCell ref="BA2:BA3"/>
    <mergeCell ref="S2:S3"/>
    <mergeCell ref="BC2:BC3"/>
    <mergeCell ref="K1:P1"/>
    <mergeCell ref="BM2:BM3"/>
    <mergeCell ref="BO2:BO3"/>
    <mergeCell ref="W1:AB1"/>
    <mergeCell ref="Q1:V1"/>
    <mergeCell ref="BP2:BP3"/>
    <mergeCell ref="AC1:AH1"/>
    <mergeCell ref="AO1:AT1"/>
    <mergeCell ref="Z2:Z3"/>
    <mergeCell ref="B1:B3"/>
    <mergeCell ref="AI1:AN1"/>
    <mergeCell ref="V2:V3"/>
    <mergeCell ref="X2:X3"/>
    <mergeCell ref="BG1:BL1"/>
    <mergeCell ref="BD2:BD3"/>
    <mergeCell ref="AV2:AV3"/>
    <mergeCell ref="AX2:AX3"/>
    <mergeCell ref="I1:I3"/>
    <mergeCell ref="BH2:BH3"/>
    <mergeCell ref="BJ2:BJ3"/>
    <mergeCell ref="AF2:AF3"/>
    <mergeCell ref="AH2:AH3"/>
    <mergeCell ref="Q2:Q3"/>
    <mergeCell ref="AI2:AI3"/>
    <mergeCell ref="AK2:AK3"/>
    <mergeCell ref="N2:P2"/>
    <mergeCell ref="G1:G3"/>
    <mergeCell ref="U2:U3"/>
    <mergeCell ref="BT1:BT3"/>
    <mergeCell ref="BE2:BE3"/>
    <mergeCell ref="W2:W3"/>
    <mergeCell ref="BG2:BG3"/>
    <mergeCell ref="AA2:AA3"/>
    <mergeCell ref="AC2:AC3"/>
    <mergeCell ref="AM2:AM3"/>
    <mergeCell ref="AO2:AO3"/>
    <mergeCell ref="BM1:BP1"/>
    <mergeCell ref="AU2:AU3"/>
    <mergeCell ref="AW2:AW3"/>
    <mergeCell ref="AB2:AB3"/>
    <mergeCell ref="T2:T3"/>
  </mergeCells>
  <dataValidations count="1">
    <dataValidation type="list" allowBlank="1" errorTitle="Invalid value" error="Please choose Cu or Al" promptTitle="Cable Type" prompt="Choose cable material" sqref="R4:R47 BH4:BH47 BB4:BB47 AV4:AV47 AP4:AP47 AJ4:AJ47 AD4:AD47 X4:X47" xr:uid="{00000000-0002-0000-1400-000000000000}">
      <formula1>"Cu,Al"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U20"/>
  <sheetViews>
    <sheetView workbookViewId="0"/>
  </sheetViews>
  <sheetFormatPr defaultRowHeight="15" x14ac:dyDescent="0.25"/>
  <cols>
    <col min="1" max="1" width="12.85546875" customWidth="1"/>
    <col min="2" max="2" width="14.85546875" customWidth="1"/>
    <col min="3" max="3" width="9.85546875" customWidth="1"/>
    <col min="4" max="4" width="20.85546875" customWidth="1"/>
    <col min="5" max="5" width="8.85546875" customWidth="1"/>
    <col min="6" max="6" width="10.85546875" customWidth="1"/>
    <col min="7" max="7" width="5.85546875" customWidth="1"/>
    <col min="8" max="8" width="9.85546875" customWidth="1"/>
    <col min="9" max="9" width="10.85546875" customWidth="1"/>
    <col min="10" max="10" width="5.85546875" customWidth="1"/>
    <col min="11" max="11" width="7.85546875" customWidth="1"/>
    <col min="12" max="16" width="6.85546875" customWidth="1"/>
    <col min="17" max="17" width="8.85546875" customWidth="1"/>
    <col min="18" max="21" width="6.85546875" customWidth="1"/>
    <col min="22" max="22" width="8.85546875" customWidth="1"/>
    <col min="23" max="26" width="6.85546875" customWidth="1"/>
    <col min="27" max="27" width="8.85546875" customWidth="1"/>
    <col min="28" max="31" width="6.85546875" customWidth="1"/>
    <col min="32" max="32" width="8.85546875" customWidth="1"/>
    <col min="33" max="36" width="6.85546875" customWidth="1"/>
    <col min="37" max="37" width="8.85546875" customWidth="1"/>
    <col min="38" max="41" width="6.85546875" customWidth="1"/>
    <col min="42" max="42" width="8.85546875" customWidth="1"/>
    <col min="43" max="46" width="6.85546875" customWidth="1"/>
    <col min="47" max="47" width="8.85546875" customWidth="1"/>
    <col min="48" max="51" width="6.85546875" customWidth="1"/>
    <col min="52" max="52" width="8.85546875" customWidth="1"/>
    <col min="53" max="60" width="6.85546875" customWidth="1"/>
    <col min="61" max="62" width="7.85546875" customWidth="1"/>
    <col min="63" max="63" width="9.85546875" customWidth="1"/>
    <col min="64" max="65" width="24.85546875" customWidth="1"/>
  </cols>
  <sheetData>
    <row r="1" spans="1:73" ht="19.5" customHeight="1" x14ac:dyDescent="0.25">
      <c r="A1" s="21" t="s">
        <v>0</v>
      </c>
      <c r="B1" s="21" t="s">
        <v>1</v>
      </c>
      <c r="C1" s="21" t="s">
        <v>2</v>
      </c>
      <c r="D1" s="38" t="s">
        <v>3</v>
      </c>
      <c r="E1" s="21" t="s">
        <v>4</v>
      </c>
      <c r="F1" s="40" t="s">
        <v>5</v>
      </c>
      <c r="G1" s="21" t="s">
        <v>6</v>
      </c>
      <c r="H1" s="21" t="s">
        <v>7</v>
      </c>
      <c r="I1" s="21" t="s">
        <v>8</v>
      </c>
      <c r="J1" s="41" t="s">
        <v>9</v>
      </c>
      <c r="K1" s="18" t="s">
        <v>10</v>
      </c>
      <c r="L1" s="19"/>
      <c r="M1" s="19"/>
      <c r="N1" s="19"/>
      <c r="O1" s="19"/>
      <c r="P1" s="20"/>
      <c r="Q1" s="29" t="s">
        <v>11</v>
      </c>
      <c r="R1" s="30"/>
      <c r="S1" s="30"/>
      <c r="T1" s="30"/>
      <c r="U1" s="30"/>
      <c r="V1" s="31"/>
      <c r="W1" s="29" t="s">
        <v>12</v>
      </c>
      <c r="X1" s="30"/>
      <c r="Y1" s="30"/>
      <c r="Z1" s="30"/>
      <c r="AA1" s="30"/>
      <c r="AB1" s="31"/>
      <c r="AC1" s="29" t="s">
        <v>13</v>
      </c>
      <c r="AD1" s="30"/>
      <c r="AE1" s="30"/>
      <c r="AF1" s="30"/>
      <c r="AG1" s="30"/>
      <c r="AH1" s="31"/>
      <c r="AI1" s="29" t="s">
        <v>14</v>
      </c>
      <c r="AJ1" s="30"/>
      <c r="AK1" s="30"/>
      <c r="AL1" s="30"/>
      <c r="AM1" s="30"/>
      <c r="AN1" s="31"/>
      <c r="AO1" s="29" t="s">
        <v>15</v>
      </c>
      <c r="AP1" s="30"/>
      <c r="AQ1" s="30"/>
      <c r="AR1" s="30"/>
      <c r="AS1" s="30"/>
      <c r="AT1" s="31"/>
      <c r="AU1" s="29" t="s">
        <v>16</v>
      </c>
      <c r="AV1" s="30"/>
      <c r="AW1" s="30"/>
      <c r="AX1" s="30"/>
      <c r="AY1" s="30"/>
      <c r="AZ1" s="31"/>
      <c r="BA1" s="29" t="s">
        <v>17</v>
      </c>
      <c r="BB1" s="30"/>
      <c r="BC1" s="30"/>
      <c r="BD1" s="30"/>
      <c r="BE1" s="30"/>
      <c r="BF1" s="31"/>
      <c r="BG1" s="29" t="s">
        <v>18</v>
      </c>
      <c r="BH1" s="30"/>
      <c r="BI1" s="30"/>
      <c r="BJ1" s="30"/>
      <c r="BK1" s="30"/>
      <c r="BL1" s="31"/>
      <c r="BM1" s="37" t="s">
        <v>19</v>
      </c>
      <c r="BN1" s="19"/>
      <c r="BO1" s="19"/>
      <c r="BP1" s="20"/>
      <c r="BQ1" s="18" t="s">
        <v>20</v>
      </c>
      <c r="BR1" s="18" t="s">
        <v>21</v>
      </c>
      <c r="BS1" s="39" t="s">
        <v>22</v>
      </c>
      <c r="BT1" s="26" t="s">
        <v>23</v>
      </c>
      <c r="BU1" s="26" t="s">
        <v>24</v>
      </c>
    </row>
    <row r="2" spans="1:73" ht="19.5" customHeight="1" x14ac:dyDescent="0.25">
      <c r="A2" s="22"/>
      <c r="B2" s="22"/>
      <c r="C2" s="22"/>
      <c r="D2" s="23"/>
      <c r="E2" s="22"/>
      <c r="F2" s="22"/>
      <c r="G2" s="22"/>
      <c r="H2" s="22"/>
      <c r="I2" s="22"/>
      <c r="J2" s="22"/>
      <c r="K2" s="18" t="s">
        <v>25</v>
      </c>
      <c r="L2" s="19"/>
      <c r="M2" s="20"/>
      <c r="N2" s="18" t="s">
        <v>26</v>
      </c>
      <c r="O2" s="19"/>
      <c r="P2" s="20"/>
      <c r="Q2" s="27" t="s">
        <v>27</v>
      </c>
      <c r="R2" s="34" t="s">
        <v>5</v>
      </c>
      <c r="S2" s="36" t="s">
        <v>28</v>
      </c>
      <c r="T2" s="35" t="s">
        <v>29</v>
      </c>
      <c r="U2" s="24" t="s">
        <v>30</v>
      </c>
      <c r="V2" s="32" t="s">
        <v>31</v>
      </c>
      <c r="W2" s="27" t="s">
        <v>27</v>
      </c>
      <c r="X2" s="34" t="s">
        <v>5</v>
      </c>
      <c r="Y2" s="36" t="s">
        <v>28</v>
      </c>
      <c r="Z2" s="35" t="s">
        <v>29</v>
      </c>
      <c r="AA2" s="24" t="s">
        <v>30</v>
      </c>
      <c r="AB2" s="32" t="s">
        <v>31</v>
      </c>
      <c r="AC2" s="27" t="s">
        <v>27</v>
      </c>
      <c r="AD2" s="34" t="s">
        <v>5</v>
      </c>
      <c r="AE2" s="36" t="s">
        <v>28</v>
      </c>
      <c r="AF2" s="35" t="s">
        <v>29</v>
      </c>
      <c r="AG2" s="24" t="s">
        <v>30</v>
      </c>
      <c r="AH2" s="32" t="s">
        <v>31</v>
      </c>
      <c r="AI2" s="27" t="s">
        <v>27</v>
      </c>
      <c r="AJ2" s="34" t="s">
        <v>5</v>
      </c>
      <c r="AK2" s="36" t="s">
        <v>28</v>
      </c>
      <c r="AL2" s="35" t="s">
        <v>29</v>
      </c>
      <c r="AM2" s="24" t="s">
        <v>30</v>
      </c>
      <c r="AN2" s="32" t="s">
        <v>31</v>
      </c>
      <c r="AO2" s="27" t="s">
        <v>27</v>
      </c>
      <c r="AP2" s="34" t="s">
        <v>5</v>
      </c>
      <c r="AQ2" s="36" t="s">
        <v>28</v>
      </c>
      <c r="AR2" s="35" t="s">
        <v>29</v>
      </c>
      <c r="AS2" s="24" t="s">
        <v>30</v>
      </c>
      <c r="AT2" s="32" t="s">
        <v>31</v>
      </c>
      <c r="AU2" s="27" t="s">
        <v>27</v>
      </c>
      <c r="AV2" s="34" t="s">
        <v>5</v>
      </c>
      <c r="AW2" s="36" t="s">
        <v>28</v>
      </c>
      <c r="AX2" s="35" t="s">
        <v>29</v>
      </c>
      <c r="AY2" s="24" t="s">
        <v>30</v>
      </c>
      <c r="AZ2" s="32" t="s">
        <v>31</v>
      </c>
      <c r="BA2" s="27" t="s">
        <v>27</v>
      </c>
      <c r="BB2" s="34" t="s">
        <v>5</v>
      </c>
      <c r="BC2" s="36" t="s">
        <v>28</v>
      </c>
      <c r="BD2" s="35" t="s">
        <v>29</v>
      </c>
      <c r="BE2" s="24" t="s">
        <v>30</v>
      </c>
      <c r="BF2" s="32" t="s">
        <v>31</v>
      </c>
      <c r="BG2" s="27" t="s">
        <v>27</v>
      </c>
      <c r="BH2" s="34" t="s">
        <v>5</v>
      </c>
      <c r="BI2" s="36" t="s">
        <v>28</v>
      </c>
      <c r="BJ2" s="35" t="s">
        <v>29</v>
      </c>
      <c r="BK2" s="24" t="s">
        <v>30</v>
      </c>
      <c r="BL2" s="32" t="s">
        <v>31</v>
      </c>
      <c r="BM2" s="37" t="s">
        <v>28</v>
      </c>
      <c r="BN2" s="37" t="s">
        <v>29</v>
      </c>
      <c r="BO2" s="37" t="s">
        <v>30</v>
      </c>
      <c r="BP2" s="37" t="s">
        <v>31</v>
      </c>
      <c r="BQ2" s="22"/>
      <c r="BR2" s="22"/>
      <c r="BS2" s="22"/>
      <c r="BT2" s="22"/>
      <c r="BU2" s="22"/>
    </row>
    <row r="3" spans="1:73" ht="19.5" customHeight="1" x14ac:dyDescent="0.25">
      <c r="A3" s="23"/>
      <c r="B3" s="23"/>
      <c r="C3" s="23"/>
      <c r="D3" s="1"/>
      <c r="E3" s="23"/>
      <c r="F3" s="23"/>
      <c r="G3" s="23"/>
      <c r="H3" s="23"/>
      <c r="I3" s="23"/>
      <c r="J3" s="23"/>
      <c r="K3" s="2" t="s">
        <v>32</v>
      </c>
      <c r="L3" s="3" t="s">
        <v>33</v>
      </c>
      <c r="M3" s="4" t="s">
        <v>34</v>
      </c>
      <c r="N3" s="5" t="s">
        <v>35</v>
      </c>
      <c r="O3" s="6" t="s">
        <v>36</v>
      </c>
      <c r="P3" s="7" t="s">
        <v>37</v>
      </c>
      <c r="Q3" s="28"/>
      <c r="R3" s="25"/>
      <c r="S3" s="25"/>
      <c r="T3" s="25"/>
      <c r="U3" s="25"/>
      <c r="V3" s="33"/>
      <c r="W3" s="28"/>
      <c r="X3" s="25"/>
      <c r="Y3" s="25"/>
      <c r="Z3" s="25"/>
      <c r="AA3" s="25"/>
      <c r="AB3" s="33"/>
      <c r="AC3" s="28"/>
      <c r="AD3" s="25"/>
      <c r="AE3" s="25"/>
      <c r="AF3" s="25"/>
      <c r="AG3" s="25"/>
      <c r="AH3" s="33"/>
      <c r="AI3" s="28"/>
      <c r="AJ3" s="25"/>
      <c r="AK3" s="25"/>
      <c r="AL3" s="25"/>
      <c r="AM3" s="25"/>
      <c r="AN3" s="33"/>
      <c r="AO3" s="28"/>
      <c r="AP3" s="25"/>
      <c r="AQ3" s="25"/>
      <c r="AR3" s="25"/>
      <c r="AS3" s="25"/>
      <c r="AT3" s="33"/>
      <c r="AU3" s="28"/>
      <c r="AV3" s="25"/>
      <c r="AW3" s="25"/>
      <c r="AX3" s="25"/>
      <c r="AY3" s="25"/>
      <c r="AZ3" s="33"/>
      <c r="BA3" s="28"/>
      <c r="BB3" s="25"/>
      <c r="BC3" s="25"/>
      <c r="BD3" s="25"/>
      <c r="BE3" s="25"/>
      <c r="BF3" s="33"/>
      <c r="BG3" s="28"/>
      <c r="BH3" s="25"/>
      <c r="BI3" s="25"/>
      <c r="BJ3" s="25"/>
      <c r="BK3" s="25"/>
      <c r="BL3" s="33"/>
      <c r="BM3" s="23"/>
      <c r="BN3" s="23"/>
      <c r="BO3" s="23"/>
      <c r="BP3" s="23"/>
      <c r="BQ3" s="23"/>
      <c r="BR3" s="23"/>
      <c r="BS3" s="23"/>
      <c r="BT3" s="23"/>
      <c r="BU3" s="23"/>
    </row>
    <row r="4" spans="1:73" ht="15.75" customHeight="1" x14ac:dyDescent="0.25">
      <c r="A4" s="8" t="s">
        <v>904</v>
      </c>
      <c r="B4" s="8" t="s">
        <v>4032</v>
      </c>
      <c r="C4" s="8" t="s">
        <v>905</v>
      </c>
      <c r="D4" s="8"/>
      <c r="E4" s="8" t="s">
        <v>4033</v>
      </c>
      <c r="F4" s="8" t="s">
        <v>56</v>
      </c>
      <c r="G4" s="8"/>
      <c r="H4" s="8">
        <v>500</v>
      </c>
      <c r="I4" s="8" t="s">
        <v>4034</v>
      </c>
      <c r="J4" s="8">
        <v>1</v>
      </c>
      <c r="K4" s="8">
        <v>239</v>
      </c>
      <c r="L4" s="8">
        <v>239</v>
      </c>
      <c r="M4" s="8">
        <v>241</v>
      </c>
      <c r="N4" s="8">
        <v>413</v>
      </c>
      <c r="O4" s="8">
        <v>417</v>
      </c>
      <c r="P4" s="8">
        <v>418</v>
      </c>
      <c r="Q4" s="9" t="s">
        <v>47</v>
      </c>
      <c r="R4" s="16"/>
      <c r="S4" s="10">
        <v>154</v>
      </c>
      <c r="T4" s="10">
        <v>135</v>
      </c>
      <c r="U4" s="10">
        <v>145</v>
      </c>
      <c r="V4" s="11">
        <v>44</v>
      </c>
      <c r="W4" s="12" t="s">
        <v>47</v>
      </c>
      <c r="X4" s="17"/>
      <c r="Y4" s="13">
        <v>162</v>
      </c>
      <c r="Z4" s="13">
        <v>132</v>
      </c>
      <c r="AA4" s="13">
        <v>155</v>
      </c>
      <c r="AB4" s="14">
        <v>125</v>
      </c>
      <c r="AC4" s="9"/>
      <c r="AD4" s="16"/>
      <c r="AE4" s="10"/>
      <c r="AF4" s="10"/>
      <c r="AG4" s="10"/>
      <c r="AH4" s="11"/>
      <c r="AI4" s="12"/>
      <c r="AJ4" s="17"/>
      <c r="AK4" s="13"/>
      <c r="AL4" s="13"/>
      <c r="AM4" s="13"/>
      <c r="AN4" s="14"/>
      <c r="AO4" s="9"/>
      <c r="AP4" s="16"/>
      <c r="AQ4" s="10"/>
      <c r="AR4" s="10"/>
      <c r="AS4" s="10"/>
      <c r="AT4" s="11"/>
      <c r="AU4" s="12"/>
      <c r="AV4" s="17"/>
      <c r="AW4" s="13"/>
      <c r="AX4" s="13"/>
      <c r="AY4" s="13"/>
      <c r="AZ4" s="14"/>
      <c r="BA4" s="9"/>
      <c r="BB4" s="16"/>
      <c r="BC4" s="10"/>
      <c r="BD4" s="10"/>
      <c r="BE4" s="10"/>
      <c r="BF4" s="11"/>
      <c r="BG4" s="12"/>
      <c r="BH4" s="17"/>
      <c r="BI4" s="13"/>
      <c r="BJ4" s="13"/>
      <c r="BK4" s="13"/>
      <c r="BL4" s="14"/>
      <c r="BM4" s="8">
        <f t="shared" ref="BM4:BM20" si="0">SUM(S4,Y4,AE4,AK4,AQ4,AW4,BC4,BI4)</f>
        <v>316</v>
      </c>
      <c r="BN4" s="8">
        <f t="shared" ref="BN4:BN20" si="1">SUM(T4,Z4,AF4,AL4,AR4,AX4,BD4,BJ4)</f>
        <v>267</v>
      </c>
      <c r="BO4" s="8">
        <f t="shared" ref="BO4:BO20" si="2">SUM(U4,AA4,AG4,AM4,AS4,AY4,BE4,BK4)</f>
        <v>300</v>
      </c>
      <c r="BP4" s="8">
        <f t="shared" ref="BP4:BP20" si="3">SUM(V4,AB4,AH4,AN4,AT4,AZ4,BF4,BL4)</f>
        <v>169</v>
      </c>
      <c r="BQ4" s="8">
        <f t="shared" ref="BQ4:BQ20" si="4">MAX(BM4:BO4)</f>
        <v>316</v>
      </c>
      <c r="BR4" s="8">
        <f t="shared" ref="BR4:BR20" si="5">MIN(BM4:BO4)</f>
        <v>267</v>
      </c>
      <c r="BS4" s="15">
        <f t="shared" ref="BS4:BS20" si="6">IF(H4&gt;0,(BQ4*SQRT(3)*IF(N4&gt;0,N4,IF(O4&gt;0,O4,IF(P4&gt;0,P4,415)))/(H4*1000))*100,0)</f>
        <v>45.209297358839805</v>
      </c>
      <c r="BT4" s="15" t="str">
        <f t="shared" ref="BT4:BT20" si="7">IF(BS4&gt;70,"Upgrade","OK - No Upgrade")</f>
        <v>OK - No Upgrade</v>
      </c>
      <c r="BU4" s="15" t="str">
        <f t="shared" ref="BU4:BU20" si="8">IF(IF(AVERAGE(BM4:BO4)&gt;0,((BQ4-AVERAGE(BM4:BO4))/AVERAGE(BM4:BO4))*100,0)&gt;10,"Need to Balance","OK - Balanced")</f>
        <v>OK - Balanced</v>
      </c>
    </row>
    <row r="5" spans="1:73" ht="15.75" customHeight="1" x14ac:dyDescent="0.25">
      <c r="A5" s="8" t="s">
        <v>904</v>
      </c>
      <c r="B5" s="8" t="s">
        <v>4032</v>
      </c>
      <c r="C5" s="8" t="s">
        <v>2948</v>
      </c>
      <c r="D5" s="8" t="s">
        <v>3285</v>
      </c>
      <c r="E5" s="8" t="s">
        <v>4035</v>
      </c>
      <c r="F5" s="8" t="s">
        <v>56</v>
      </c>
      <c r="G5" s="8"/>
      <c r="H5" s="8">
        <v>500</v>
      </c>
      <c r="I5" s="8" t="s">
        <v>4036</v>
      </c>
      <c r="J5" s="8">
        <v>1</v>
      </c>
      <c r="K5" s="8">
        <v>232</v>
      </c>
      <c r="L5" s="8">
        <v>230</v>
      </c>
      <c r="M5" s="8">
        <v>230</v>
      </c>
      <c r="N5" s="8">
        <v>401</v>
      </c>
      <c r="O5" s="8">
        <v>399</v>
      </c>
      <c r="P5" s="8">
        <v>402</v>
      </c>
      <c r="Q5" s="9" t="s">
        <v>47</v>
      </c>
      <c r="R5" s="16"/>
      <c r="S5" s="10">
        <v>90</v>
      </c>
      <c r="T5" s="10">
        <v>79</v>
      </c>
      <c r="U5" s="10">
        <v>97</v>
      </c>
      <c r="V5" s="11">
        <v>82</v>
      </c>
      <c r="W5" s="12" t="s">
        <v>47</v>
      </c>
      <c r="X5" s="17"/>
      <c r="Y5" s="13">
        <v>117</v>
      </c>
      <c r="Z5" s="13">
        <v>160</v>
      </c>
      <c r="AA5" s="13">
        <v>130</v>
      </c>
      <c r="AB5" s="14">
        <v>122</v>
      </c>
      <c r="AC5" s="9"/>
      <c r="AD5" s="16"/>
      <c r="AE5" s="10"/>
      <c r="AF5" s="10"/>
      <c r="AG5" s="10"/>
      <c r="AH5" s="11"/>
      <c r="AI5" s="12"/>
      <c r="AJ5" s="17"/>
      <c r="AK5" s="13"/>
      <c r="AL5" s="13"/>
      <c r="AM5" s="13"/>
      <c r="AN5" s="14"/>
      <c r="AO5" s="9"/>
      <c r="AP5" s="16"/>
      <c r="AQ5" s="10"/>
      <c r="AR5" s="10"/>
      <c r="AS5" s="10"/>
      <c r="AT5" s="11"/>
      <c r="AU5" s="12"/>
      <c r="AV5" s="17"/>
      <c r="AW5" s="13"/>
      <c r="AX5" s="13"/>
      <c r="AY5" s="13"/>
      <c r="AZ5" s="14"/>
      <c r="BA5" s="9"/>
      <c r="BB5" s="16"/>
      <c r="BC5" s="10"/>
      <c r="BD5" s="10"/>
      <c r="BE5" s="10"/>
      <c r="BF5" s="11"/>
      <c r="BG5" s="12"/>
      <c r="BH5" s="17"/>
      <c r="BI5" s="13"/>
      <c r="BJ5" s="13"/>
      <c r="BK5" s="13"/>
      <c r="BL5" s="14"/>
      <c r="BM5" s="8">
        <f t="shared" si="0"/>
        <v>207</v>
      </c>
      <c r="BN5" s="8">
        <f t="shared" si="1"/>
        <v>239</v>
      </c>
      <c r="BO5" s="8">
        <f t="shared" si="2"/>
        <v>227</v>
      </c>
      <c r="BP5" s="8">
        <f t="shared" si="3"/>
        <v>204</v>
      </c>
      <c r="BQ5" s="8">
        <f t="shared" si="4"/>
        <v>239</v>
      </c>
      <c r="BR5" s="8">
        <f t="shared" si="5"/>
        <v>207</v>
      </c>
      <c r="BS5" s="15">
        <f t="shared" si="6"/>
        <v>33.199603469318731</v>
      </c>
      <c r="BT5" s="15" t="str">
        <f t="shared" si="7"/>
        <v>OK - No Upgrade</v>
      </c>
      <c r="BU5" s="15" t="str">
        <f t="shared" si="8"/>
        <v>OK - Balanced</v>
      </c>
    </row>
    <row r="6" spans="1:73" ht="15.75" customHeight="1" x14ac:dyDescent="0.25">
      <c r="A6" s="8" t="s">
        <v>904</v>
      </c>
      <c r="B6" s="8" t="s">
        <v>4032</v>
      </c>
      <c r="C6" s="8" t="s">
        <v>2296</v>
      </c>
      <c r="D6" s="8" t="s">
        <v>4037</v>
      </c>
      <c r="E6" s="8" t="s">
        <v>4038</v>
      </c>
      <c r="F6" s="8" t="s">
        <v>43</v>
      </c>
      <c r="G6" s="8"/>
      <c r="H6" s="8">
        <v>100</v>
      </c>
      <c r="I6" s="8" t="s">
        <v>1893</v>
      </c>
      <c r="J6" s="8">
        <v>1</v>
      </c>
      <c r="K6" s="8">
        <v>246</v>
      </c>
      <c r="L6" s="8">
        <v>248</v>
      </c>
      <c r="M6" s="8">
        <v>251</v>
      </c>
      <c r="N6" s="8">
        <v>428</v>
      </c>
      <c r="O6" s="8">
        <v>435</v>
      </c>
      <c r="P6" s="8">
        <v>433</v>
      </c>
      <c r="Q6" s="9" t="s">
        <v>46</v>
      </c>
      <c r="R6" s="16"/>
      <c r="S6" s="10">
        <v>77</v>
      </c>
      <c r="T6" s="10">
        <v>34</v>
      </c>
      <c r="U6" s="10">
        <v>23</v>
      </c>
      <c r="V6" s="11">
        <v>46</v>
      </c>
      <c r="W6" s="12"/>
      <c r="X6" s="17"/>
      <c r="Y6" s="13"/>
      <c r="Z6" s="13"/>
      <c r="AA6" s="13"/>
      <c r="AB6" s="14"/>
      <c r="AC6" s="9"/>
      <c r="AD6" s="16"/>
      <c r="AE6" s="10"/>
      <c r="AF6" s="10"/>
      <c r="AG6" s="10"/>
      <c r="AH6" s="11"/>
      <c r="AI6" s="12"/>
      <c r="AJ6" s="17"/>
      <c r="AK6" s="13"/>
      <c r="AL6" s="13"/>
      <c r="AM6" s="13"/>
      <c r="AN6" s="14"/>
      <c r="AO6" s="9"/>
      <c r="AP6" s="16"/>
      <c r="AQ6" s="10"/>
      <c r="AR6" s="10"/>
      <c r="AS6" s="10"/>
      <c r="AT6" s="11"/>
      <c r="AU6" s="12"/>
      <c r="AV6" s="17"/>
      <c r="AW6" s="13"/>
      <c r="AX6" s="13"/>
      <c r="AY6" s="13"/>
      <c r="AZ6" s="14"/>
      <c r="BA6" s="9"/>
      <c r="BB6" s="16"/>
      <c r="BC6" s="10"/>
      <c r="BD6" s="10"/>
      <c r="BE6" s="10"/>
      <c r="BF6" s="11"/>
      <c r="BG6" s="12"/>
      <c r="BH6" s="17"/>
      <c r="BI6" s="13"/>
      <c r="BJ6" s="13"/>
      <c r="BK6" s="13"/>
      <c r="BL6" s="14"/>
      <c r="BM6" s="8">
        <f t="shared" si="0"/>
        <v>77</v>
      </c>
      <c r="BN6" s="8">
        <f t="shared" si="1"/>
        <v>34</v>
      </c>
      <c r="BO6" s="8">
        <f t="shared" si="2"/>
        <v>23</v>
      </c>
      <c r="BP6" s="8">
        <f t="shared" si="3"/>
        <v>46</v>
      </c>
      <c r="BQ6" s="8">
        <f t="shared" si="4"/>
        <v>77</v>
      </c>
      <c r="BR6" s="8">
        <f t="shared" si="5"/>
        <v>23</v>
      </c>
      <c r="BS6" s="15">
        <f t="shared" si="6"/>
        <v>57.081466414239912</v>
      </c>
      <c r="BT6" s="15" t="str">
        <f t="shared" si="7"/>
        <v>OK - No Upgrade</v>
      </c>
      <c r="BU6" s="15" t="str">
        <f t="shared" si="8"/>
        <v>Need to Balance</v>
      </c>
    </row>
    <row r="7" spans="1:73" ht="15.75" customHeight="1" x14ac:dyDescent="0.25">
      <c r="A7" s="8" t="s">
        <v>904</v>
      </c>
      <c r="B7" s="8" t="s">
        <v>4032</v>
      </c>
      <c r="C7" s="8" t="s">
        <v>2296</v>
      </c>
      <c r="D7" s="8" t="s">
        <v>4039</v>
      </c>
      <c r="E7" s="8" t="s">
        <v>179</v>
      </c>
      <c r="F7" s="8" t="s">
        <v>43</v>
      </c>
      <c r="G7" s="8"/>
      <c r="H7" s="8">
        <v>50</v>
      </c>
      <c r="I7" s="8" t="s">
        <v>4040</v>
      </c>
      <c r="J7" s="8">
        <v>1</v>
      </c>
      <c r="K7" s="8">
        <v>252</v>
      </c>
      <c r="L7" s="8">
        <v>242</v>
      </c>
      <c r="M7" s="8">
        <v>254</v>
      </c>
      <c r="N7" s="8">
        <v>442</v>
      </c>
      <c r="O7" s="8">
        <v>439</v>
      </c>
      <c r="P7" s="8">
        <v>437</v>
      </c>
      <c r="Q7" s="9" t="s">
        <v>46</v>
      </c>
      <c r="R7" s="16"/>
      <c r="S7" s="10">
        <v>3</v>
      </c>
      <c r="T7" s="10">
        <v>1</v>
      </c>
      <c r="U7" s="10">
        <v>0</v>
      </c>
      <c r="V7" s="11">
        <v>2</v>
      </c>
      <c r="W7" s="12"/>
      <c r="X7" s="17"/>
      <c r="Y7" s="13"/>
      <c r="Z7" s="13"/>
      <c r="AA7" s="13"/>
      <c r="AB7" s="14"/>
      <c r="AC7" s="9"/>
      <c r="AD7" s="16"/>
      <c r="AE7" s="10"/>
      <c r="AF7" s="10"/>
      <c r="AG7" s="10"/>
      <c r="AH7" s="11"/>
      <c r="AI7" s="12"/>
      <c r="AJ7" s="17"/>
      <c r="AK7" s="13"/>
      <c r="AL7" s="13"/>
      <c r="AM7" s="13"/>
      <c r="AN7" s="14"/>
      <c r="AO7" s="9"/>
      <c r="AP7" s="16"/>
      <c r="AQ7" s="10"/>
      <c r="AR7" s="10"/>
      <c r="AS7" s="10"/>
      <c r="AT7" s="11"/>
      <c r="AU7" s="12"/>
      <c r="AV7" s="17"/>
      <c r="AW7" s="13"/>
      <c r="AX7" s="13"/>
      <c r="AY7" s="13"/>
      <c r="AZ7" s="14"/>
      <c r="BA7" s="9"/>
      <c r="BB7" s="16"/>
      <c r="BC7" s="10"/>
      <c r="BD7" s="10"/>
      <c r="BE7" s="10"/>
      <c r="BF7" s="11"/>
      <c r="BG7" s="12"/>
      <c r="BH7" s="17"/>
      <c r="BI7" s="13"/>
      <c r="BJ7" s="13"/>
      <c r="BK7" s="13"/>
      <c r="BL7" s="14"/>
      <c r="BM7" s="8">
        <f t="shared" si="0"/>
        <v>3</v>
      </c>
      <c r="BN7" s="8">
        <f t="shared" si="1"/>
        <v>1</v>
      </c>
      <c r="BO7" s="8">
        <f t="shared" si="2"/>
        <v>0</v>
      </c>
      <c r="BP7" s="8">
        <f t="shared" si="3"/>
        <v>2</v>
      </c>
      <c r="BQ7" s="8">
        <f t="shared" si="4"/>
        <v>3</v>
      </c>
      <c r="BR7" s="8">
        <f t="shared" si="5"/>
        <v>0</v>
      </c>
      <c r="BS7" s="15">
        <f t="shared" si="6"/>
        <v>4.5933987416726634</v>
      </c>
      <c r="BT7" s="15" t="str">
        <f t="shared" si="7"/>
        <v>OK - No Upgrade</v>
      </c>
      <c r="BU7" s="15" t="str">
        <f t="shared" si="8"/>
        <v>Need to Balance</v>
      </c>
    </row>
    <row r="8" spans="1:73" ht="15.75" customHeight="1" x14ac:dyDescent="0.25">
      <c r="A8" s="8" t="s">
        <v>904</v>
      </c>
      <c r="B8" s="8" t="s">
        <v>4032</v>
      </c>
      <c r="C8" s="8" t="s">
        <v>2296</v>
      </c>
      <c r="D8" s="8" t="s">
        <v>4041</v>
      </c>
      <c r="E8" s="8" t="s">
        <v>4042</v>
      </c>
      <c r="F8" s="8" t="s">
        <v>43</v>
      </c>
      <c r="G8" s="8"/>
      <c r="H8" s="8">
        <v>200</v>
      </c>
      <c r="I8" s="8" t="s">
        <v>4043</v>
      </c>
      <c r="J8" s="8">
        <v>1</v>
      </c>
      <c r="K8" s="8">
        <v>251</v>
      </c>
      <c r="L8" s="8">
        <v>250</v>
      </c>
      <c r="M8" s="8">
        <v>254</v>
      </c>
      <c r="N8" s="8">
        <v>436</v>
      </c>
      <c r="O8" s="8">
        <v>442</v>
      </c>
      <c r="P8" s="8">
        <v>438</v>
      </c>
      <c r="Q8" s="9" t="s">
        <v>47</v>
      </c>
      <c r="R8" s="16"/>
      <c r="S8" s="10">
        <v>45</v>
      </c>
      <c r="T8" s="10">
        <v>42</v>
      </c>
      <c r="U8" s="10">
        <v>11</v>
      </c>
      <c r="V8" s="11">
        <v>40</v>
      </c>
      <c r="W8" s="12" t="s">
        <v>46</v>
      </c>
      <c r="X8" s="17"/>
      <c r="Y8" s="13">
        <v>75</v>
      </c>
      <c r="Z8" s="13">
        <v>94</v>
      </c>
      <c r="AA8" s="13">
        <v>73</v>
      </c>
      <c r="AB8" s="14">
        <v>45</v>
      </c>
      <c r="AC8" s="9"/>
      <c r="AD8" s="16"/>
      <c r="AE8" s="10"/>
      <c r="AF8" s="10"/>
      <c r="AG8" s="10"/>
      <c r="AH8" s="11"/>
      <c r="AI8" s="12"/>
      <c r="AJ8" s="17"/>
      <c r="AK8" s="13"/>
      <c r="AL8" s="13"/>
      <c r="AM8" s="13"/>
      <c r="AN8" s="14"/>
      <c r="AO8" s="9"/>
      <c r="AP8" s="16"/>
      <c r="AQ8" s="10"/>
      <c r="AR8" s="10"/>
      <c r="AS8" s="10"/>
      <c r="AT8" s="11"/>
      <c r="AU8" s="12"/>
      <c r="AV8" s="17"/>
      <c r="AW8" s="13"/>
      <c r="AX8" s="13"/>
      <c r="AY8" s="13"/>
      <c r="AZ8" s="14"/>
      <c r="BA8" s="9"/>
      <c r="BB8" s="16"/>
      <c r="BC8" s="10"/>
      <c r="BD8" s="10"/>
      <c r="BE8" s="10"/>
      <c r="BF8" s="11"/>
      <c r="BG8" s="12"/>
      <c r="BH8" s="17"/>
      <c r="BI8" s="13"/>
      <c r="BJ8" s="13"/>
      <c r="BK8" s="13"/>
      <c r="BL8" s="14"/>
      <c r="BM8" s="8">
        <f t="shared" si="0"/>
        <v>120</v>
      </c>
      <c r="BN8" s="8">
        <f t="shared" si="1"/>
        <v>136</v>
      </c>
      <c r="BO8" s="8">
        <f t="shared" si="2"/>
        <v>84</v>
      </c>
      <c r="BP8" s="8">
        <f t="shared" si="3"/>
        <v>85</v>
      </c>
      <c r="BQ8" s="8">
        <f t="shared" si="4"/>
        <v>136</v>
      </c>
      <c r="BR8" s="8">
        <f t="shared" si="5"/>
        <v>84</v>
      </c>
      <c r="BS8" s="15">
        <f t="shared" si="6"/>
        <v>51.35184234280208</v>
      </c>
      <c r="BT8" s="15" t="str">
        <f t="shared" si="7"/>
        <v>OK - No Upgrade</v>
      </c>
      <c r="BU8" s="15" t="str">
        <f t="shared" si="8"/>
        <v>Need to Balance</v>
      </c>
    </row>
    <row r="9" spans="1:73" ht="15.75" customHeight="1" x14ac:dyDescent="0.25">
      <c r="A9" s="8" t="s">
        <v>904</v>
      </c>
      <c r="B9" s="8" t="s">
        <v>4032</v>
      </c>
      <c r="C9" s="8" t="s">
        <v>2296</v>
      </c>
      <c r="D9" s="8" t="s">
        <v>4044</v>
      </c>
      <c r="E9" s="8" t="s">
        <v>4045</v>
      </c>
      <c r="F9" s="8" t="s">
        <v>43</v>
      </c>
      <c r="G9" s="8"/>
      <c r="H9" s="8">
        <v>315</v>
      </c>
      <c r="I9" s="8" t="s">
        <v>4046</v>
      </c>
      <c r="J9" s="8">
        <v>1</v>
      </c>
      <c r="K9" s="8">
        <v>254</v>
      </c>
      <c r="L9" s="8">
        <v>252</v>
      </c>
      <c r="M9" s="8">
        <v>254</v>
      </c>
      <c r="N9" s="8">
        <v>438</v>
      </c>
      <c r="O9" s="8">
        <v>442</v>
      </c>
      <c r="P9" s="8">
        <v>440</v>
      </c>
      <c r="Q9" s="9" t="s">
        <v>47</v>
      </c>
      <c r="R9" s="16"/>
      <c r="S9" s="10">
        <v>0</v>
      </c>
      <c r="T9" s="10">
        <v>0</v>
      </c>
      <c r="U9" s="10">
        <v>33</v>
      </c>
      <c r="V9" s="11">
        <v>29</v>
      </c>
      <c r="W9" s="12" t="s">
        <v>47</v>
      </c>
      <c r="X9" s="17"/>
      <c r="Y9" s="13">
        <v>1</v>
      </c>
      <c r="Z9" s="13">
        <v>10</v>
      </c>
      <c r="AA9" s="13">
        <v>20</v>
      </c>
      <c r="AB9" s="14">
        <v>31</v>
      </c>
      <c r="AC9" s="9"/>
      <c r="AD9" s="16"/>
      <c r="AE9" s="10"/>
      <c r="AF9" s="10"/>
      <c r="AG9" s="10"/>
      <c r="AH9" s="11"/>
      <c r="AI9" s="12"/>
      <c r="AJ9" s="17"/>
      <c r="AK9" s="13"/>
      <c r="AL9" s="13"/>
      <c r="AM9" s="13"/>
      <c r="AN9" s="14"/>
      <c r="AO9" s="9"/>
      <c r="AP9" s="16"/>
      <c r="AQ9" s="10"/>
      <c r="AR9" s="10"/>
      <c r="AS9" s="10"/>
      <c r="AT9" s="11"/>
      <c r="AU9" s="12"/>
      <c r="AV9" s="17"/>
      <c r="AW9" s="13"/>
      <c r="AX9" s="13"/>
      <c r="AY9" s="13"/>
      <c r="AZ9" s="14"/>
      <c r="BA9" s="9"/>
      <c r="BB9" s="16"/>
      <c r="BC9" s="10"/>
      <c r="BD9" s="10"/>
      <c r="BE9" s="10"/>
      <c r="BF9" s="11"/>
      <c r="BG9" s="12"/>
      <c r="BH9" s="17"/>
      <c r="BI9" s="13"/>
      <c r="BJ9" s="13"/>
      <c r="BK9" s="13"/>
      <c r="BL9" s="14"/>
      <c r="BM9" s="8">
        <f t="shared" si="0"/>
        <v>1</v>
      </c>
      <c r="BN9" s="8">
        <f t="shared" si="1"/>
        <v>10</v>
      </c>
      <c r="BO9" s="8">
        <f t="shared" si="2"/>
        <v>53</v>
      </c>
      <c r="BP9" s="8">
        <f t="shared" si="3"/>
        <v>60</v>
      </c>
      <c r="BQ9" s="8">
        <f t="shared" si="4"/>
        <v>53</v>
      </c>
      <c r="BR9" s="8">
        <f t="shared" si="5"/>
        <v>1</v>
      </c>
      <c r="BS9" s="15">
        <f t="shared" si="6"/>
        <v>12.764389665683783</v>
      </c>
      <c r="BT9" s="15" t="str">
        <f t="shared" si="7"/>
        <v>OK - No Upgrade</v>
      </c>
      <c r="BU9" s="15" t="str">
        <f t="shared" si="8"/>
        <v>Need to Balance</v>
      </c>
    </row>
    <row r="10" spans="1:73" ht="15.75" customHeight="1" x14ac:dyDescent="0.25">
      <c r="A10" s="8" t="s">
        <v>904</v>
      </c>
      <c r="B10" s="8" t="s">
        <v>4032</v>
      </c>
      <c r="C10" s="8" t="s">
        <v>4047</v>
      </c>
      <c r="D10" s="8" t="s">
        <v>4048</v>
      </c>
      <c r="E10" s="8" t="s">
        <v>4049</v>
      </c>
      <c r="F10" s="8" t="s">
        <v>43</v>
      </c>
      <c r="G10" s="8"/>
      <c r="H10" s="8">
        <v>315</v>
      </c>
      <c r="I10" s="8" t="s">
        <v>4050</v>
      </c>
      <c r="J10" s="8">
        <v>1</v>
      </c>
      <c r="K10" s="8">
        <v>252</v>
      </c>
      <c r="L10" s="8">
        <v>252</v>
      </c>
      <c r="M10" s="8">
        <v>254</v>
      </c>
      <c r="N10" s="8">
        <v>442</v>
      </c>
      <c r="O10" s="8">
        <v>429</v>
      </c>
      <c r="P10" s="8">
        <v>417</v>
      </c>
      <c r="Q10" s="9" t="s">
        <v>46</v>
      </c>
      <c r="R10" s="16"/>
      <c r="S10" s="10">
        <v>142</v>
      </c>
      <c r="T10" s="10">
        <v>104</v>
      </c>
      <c r="U10" s="10">
        <v>105</v>
      </c>
      <c r="V10" s="11">
        <v>45</v>
      </c>
      <c r="W10" s="12"/>
      <c r="X10" s="17"/>
      <c r="Y10" s="13"/>
      <c r="Z10" s="13"/>
      <c r="AA10" s="13"/>
      <c r="AB10" s="14"/>
      <c r="AC10" s="9"/>
      <c r="AD10" s="16"/>
      <c r="AE10" s="10"/>
      <c r="AF10" s="10"/>
      <c r="AG10" s="10"/>
      <c r="AH10" s="11"/>
      <c r="AI10" s="12"/>
      <c r="AJ10" s="17"/>
      <c r="AK10" s="13"/>
      <c r="AL10" s="13"/>
      <c r="AM10" s="13"/>
      <c r="AN10" s="14"/>
      <c r="AO10" s="9"/>
      <c r="AP10" s="16"/>
      <c r="AQ10" s="10"/>
      <c r="AR10" s="10"/>
      <c r="AS10" s="10"/>
      <c r="AT10" s="11"/>
      <c r="AU10" s="12"/>
      <c r="AV10" s="17"/>
      <c r="AW10" s="13"/>
      <c r="AX10" s="13"/>
      <c r="AY10" s="13"/>
      <c r="AZ10" s="14"/>
      <c r="BA10" s="9"/>
      <c r="BB10" s="16"/>
      <c r="BC10" s="10"/>
      <c r="BD10" s="10"/>
      <c r="BE10" s="10"/>
      <c r="BF10" s="11"/>
      <c r="BG10" s="12"/>
      <c r="BH10" s="17"/>
      <c r="BI10" s="13"/>
      <c r="BJ10" s="13"/>
      <c r="BK10" s="13"/>
      <c r="BL10" s="14"/>
      <c r="BM10" s="8">
        <f t="shared" si="0"/>
        <v>142</v>
      </c>
      <c r="BN10" s="8">
        <f t="shared" si="1"/>
        <v>104</v>
      </c>
      <c r="BO10" s="8">
        <f t="shared" si="2"/>
        <v>105</v>
      </c>
      <c r="BP10" s="8">
        <f t="shared" si="3"/>
        <v>45</v>
      </c>
      <c r="BQ10" s="8">
        <f t="shared" si="4"/>
        <v>142</v>
      </c>
      <c r="BR10" s="8">
        <f t="shared" si="5"/>
        <v>104</v>
      </c>
      <c r="BS10" s="15">
        <f t="shared" si="6"/>
        <v>34.511249805159686</v>
      </c>
      <c r="BT10" s="15" t="str">
        <f t="shared" si="7"/>
        <v>OK - No Upgrade</v>
      </c>
      <c r="BU10" s="15" t="str">
        <f t="shared" si="8"/>
        <v>Need to Balance</v>
      </c>
    </row>
    <row r="11" spans="1:73" ht="15.75" customHeight="1" x14ac:dyDescent="0.25">
      <c r="A11" s="8" t="s">
        <v>904</v>
      </c>
      <c r="B11" s="8" t="s">
        <v>4032</v>
      </c>
      <c r="C11" s="8" t="s">
        <v>2296</v>
      </c>
      <c r="D11" s="8" t="s">
        <v>4051</v>
      </c>
      <c r="E11" s="8" t="s">
        <v>4052</v>
      </c>
      <c r="F11" s="8" t="s">
        <v>43</v>
      </c>
      <c r="G11" s="8"/>
      <c r="H11" s="8">
        <v>315</v>
      </c>
      <c r="I11" s="8" t="s">
        <v>4053</v>
      </c>
      <c r="J11" s="8">
        <v>1</v>
      </c>
      <c r="K11" s="8">
        <v>251</v>
      </c>
      <c r="L11" s="8">
        <v>252</v>
      </c>
      <c r="M11" s="8">
        <v>252</v>
      </c>
      <c r="N11" s="8">
        <v>437</v>
      </c>
      <c r="O11" s="8">
        <v>435</v>
      </c>
      <c r="P11" s="8">
        <v>438</v>
      </c>
      <c r="Q11" s="9" t="s">
        <v>47</v>
      </c>
      <c r="R11" s="16"/>
      <c r="S11" s="10">
        <v>88</v>
      </c>
      <c r="T11" s="10">
        <v>99</v>
      </c>
      <c r="U11" s="10">
        <v>100</v>
      </c>
      <c r="V11" s="11">
        <v>19</v>
      </c>
      <c r="W11" s="12" t="s">
        <v>47</v>
      </c>
      <c r="X11" s="17"/>
      <c r="Y11" s="13">
        <v>46</v>
      </c>
      <c r="Z11" s="13">
        <v>87</v>
      </c>
      <c r="AA11" s="13">
        <v>58</v>
      </c>
      <c r="AB11" s="14">
        <v>20</v>
      </c>
      <c r="AC11" s="9"/>
      <c r="AD11" s="16"/>
      <c r="AE11" s="10"/>
      <c r="AF11" s="10"/>
      <c r="AG11" s="10"/>
      <c r="AH11" s="11"/>
      <c r="AI11" s="12"/>
      <c r="AJ11" s="17"/>
      <c r="AK11" s="13"/>
      <c r="AL11" s="13"/>
      <c r="AM11" s="13"/>
      <c r="AN11" s="14"/>
      <c r="AO11" s="9"/>
      <c r="AP11" s="16"/>
      <c r="AQ11" s="10"/>
      <c r="AR11" s="10"/>
      <c r="AS11" s="10"/>
      <c r="AT11" s="11"/>
      <c r="AU11" s="12"/>
      <c r="AV11" s="17"/>
      <c r="AW11" s="13"/>
      <c r="AX11" s="13"/>
      <c r="AY11" s="13"/>
      <c r="AZ11" s="14"/>
      <c r="BA11" s="9"/>
      <c r="BB11" s="16"/>
      <c r="BC11" s="10"/>
      <c r="BD11" s="10"/>
      <c r="BE11" s="10"/>
      <c r="BF11" s="11"/>
      <c r="BG11" s="12"/>
      <c r="BH11" s="17"/>
      <c r="BI11" s="13"/>
      <c r="BJ11" s="13"/>
      <c r="BK11" s="13"/>
      <c r="BL11" s="14"/>
      <c r="BM11" s="8">
        <f t="shared" si="0"/>
        <v>134</v>
      </c>
      <c r="BN11" s="8">
        <f t="shared" si="1"/>
        <v>186</v>
      </c>
      <c r="BO11" s="8">
        <f t="shared" si="2"/>
        <v>158</v>
      </c>
      <c r="BP11" s="8">
        <f t="shared" si="3"/>
        <v>39</v>
      </c>
      <c r="BQ11" s="8">
        <f t="shared" si="4"/>
        <v>186</v>
      </c>
      <c r="BR11" s="8">
        <f t="shared" si="5"/>
        <v>134</v>
      </c>
      <c r="BS11" s="15">
        <f t="shared" si="6"/>
        <v>44.693509124067774</v>
      </c>
      <c r="BT11" s="15" t="str">
        <f t="shared" si="7"/>
        <v>OK - No Upgrade</v>
      </c>
      <c r="BU11" s="15" t="str">
        <f t="shared" si="8"/>
        <v>Need to Balance</v>
      </c>
    </row>
    <row r="12" spans="1:73" ht="15.75" customHeight="1" x14ac:dyDescent="0.25">
      <c r="A12" s="8" t="s">
        <v>904</v>
      </c>
      <c r="B12" s="8" t="s">
        <v>4032</v>
      </c>
      <c r="C12" s="8" t="s">
        <v>2296</v>
      </c>
      <c r="D12" s="8" t="s">
        <v>4054</v>
      </c>
      <c r="E12" s="8" t="s">
        <v>4055</v>
      </c>
      <c r="F12" s="8" t="s">
        <v>56</v>
      </c>
      <c r="G12" s="8"/>
      <c r="H12" s="8">
        <v>500</v>
      </c>
      <c r="I12" s="8" t="s">
        <v>4056</v>
      </c>
      <c r="J12" s="8">
        <v>1</v>
      </c>
      <c r="K12" s="8">
        <v>247</v>
      </c>
      <c r="L12" s="8">
        <v>250</v>
      </c>
      <c r="M12" s="8">
        <v>249</v>
      </c>
      <c r="N12" s="8">
        <v>439</v>
      </c>
      <c r="O12" s="8">
        <v>429</v>
      </c>
      <c r="P12" s="8">
        <v>436</v>
      </c>
      <c r="Q12" s="9" t="s">
        <v>47</v>
      </c>
      <c r="R12" s="16"/>
      <c r="S12" s="10">
        <v>80</v>
      </c>
      <c r="T12" s="10">
        <v>122</v>
      </c>
      <c r="U12" s="10">
        <v>81</v>
      </c>
      <c r="V12" s="11">
        <v>85</v>
      </c>
      <c r="W12" s="12" t="s">
        <v>47</v>
      </c>
      <c r="X12" s="17"/>
      <c r="Y12" s="13">
        <v>68</v>
      </c>
      <c r="Z12" s="13">
        <v>66</v>
      </c>
      <c r="AA12" s="13">
        <v>85</v>
      </c>
      <c r="AB12" s="14">
        <v>19</v>
      </c>
      <c r="AC12" s="9"/>
      <c r="AD12" s="16"/>
      <c r="AE12" s="10"/>
      <c r="AF12" s="10"/>
      <c r="AG12" s="10"/>
      <c r="AH12" s="11"/>
      <c r="AI12" s="12"/>
      <c r="AJ12" s="17"/>
      <c r="AK12" s="13"/>
      <c r="AL12" s="13"/>
      <c r="AM12" s="13"/>
      <c r="AN12" s="14"/>
      <c r="AO12" s="9"/>
      <c r="AP12" s="16"/>
      <c r="AQ12" s="10"/>
      <c r="AR12" s="10"/>
      <c r="AS12" s="10"/>
      <c r="AT12" s="11"/>
      <c r="AU12" s="12"/>
      <c r="AV12" s="17"/>
      <c r="AW12" s="13"/>
      <c r="AX12" s="13"/>
      <c r="AY12" s="13"/>
      <c r="AZ12" s="14"/>
      <c r="BA12" s="9"/>
      <c r="BB12" s="16"/>
      <c r="BC12" s="10"/>
      <c r="BD12" s="10"/>
      <c r="BE12" s="10"/>
      <c r="BF12" s="11"/>
      <c r="BG12" s="12"/>
      <c r="BH12" s="17"/>
      <c r="BI12" s="13"/>
      <c r="BJ12" s="13"/>
      <c r="BK12" s="13"/>
      <c r="BL12" s="14"/>
      <c r="BM12" s="8">
        <f t="shared" si="0"/>
        <v>148</v>
      </c>
      <c r="BN12" s="8">
        <f t="shared" si="1"/>
        <v>188</v>
      </c>
      <c r="BO12" s="8">
        <f t="shared" si="2"/>
        <v>166</v>
      </c>
      <c r="BP12" s="8">
        <f t="shared" si="3"/>
        <v>104</v>
      </c>
      <c r="BQ12" s="8">
        <f t="shared" si="4"/>
        <v>188</v>
      </c>
      <c r="BR12" s="8">
        <f t="shared" si="5"/>
        <v>148</v>
      </c>
      <c r="BS12" s="15">
        <f t="shared" si="6"/>
        <v>28.589923450054915</v>
      </c>
      <c r="BT12" s="15" t="str">
        <f t="shared" si="7"/>
        <v>OK - No Upgrade</v>
      </c>
      <c r="BU12" s="15" t="str">
        <f t="shared" si="8"/>
        <v>Need to Balance</v>
      </c>
    </row>
    <row r="13" spans="1:73" ht="15.75" customHeight="1" x14ac:dyDescent="0.25">
      <c r="A13" s="8" t="s">
        <v>904</v>
      </c>
      <c r="B13" s="8" t="s">
        <v>4032</v>
      </c>
      <c r="C13" s="8" t="s">
        <v>2296</v>
      </c>
      <c r="D13" s="8" t="s">
        <v>4057</v>
      </c>
      <c r="E13" s="8" t="s">
        <v>4058</v>
      </c>
      <c r="F13" s="8" t="s">
        <v>43</v>
      </c>
      <c r="G13" s="8"/>
      <c r="H13" s="8">
        <v>100</v>
      </c>
      <c r="I13" s="8" t="s">
        <v>4059</v>
      </c>
      <c r="J13" s="8">
        <v>1</v>
      </c>
      <c r="K13" s="8">
        <v>253</v>
      </c>
      <c r="L13" s="8">
        <v>253</v>
      </c>
      <c r="M13" s="8">
        <v>255</v>
      </c>
      <c r="N13" s="8">
        <v>440</v>
      </c>
      <c r="O13" s="8">
        <v>443</v>
      </c>
      <c r="P13" s="8">
        <v>443</v>
      </c>
      <c r="Q13" s="9" t="s">
        <v>47</v>
      </c>
      <c r="R13" s="16"/>
      <c r="S13" s="10">
        <v>21</v>
      </c>
      <c r="T13" s="10">
        <v>0</v>
      </c>
      <c r="U13" s="10">
        <v>13</v>
      </c>
      <c r="V13" s="11">
        <v>11</v>
      </c>
      <c r="W13" s="12" t="s">
        <v>47</v>
      </c>
      <c r="X13" s="17"/>
      <c r="Y13" s="13">
        <v>0</v>
      </c>
      <c r="Z13" s="13">
        <v>0</v>
      </c>
      <c r="AA13" s="13">
        <v>0</v>
      </c>
      <c r="AB13" s="14">
        <v>0</v>
      </c>
      <c r="AC13" s="9"/>
      <c r="AD13" s="16"/>
      <c r="AE13" s="10"/>
      <c r="AF13" s="10"/>
      <c r="AG13" s="10"/>
      <c r="AH13" s="11"/>
      <c r="AI13" s="12"/>
      <c r="AJ13" s="17"/>
      <c r="AK13" s="13"/>
      <c r="AL13" s="13"/>
      <c r="AM13" s="13"/>
      <c r="AN13" s="14"/>
      <c r="AO13" s="9"/>
      <c r="AP13" s="16"/>
      <c r="AQ13" s="10"/>
      <c r="AR13" s="10"/>
      <c r="AS13" s="10"/>
      <c r="AT13" s="11"/>
      <c r="AU13" s="12"/>
      <c r="AV13" s="17"/>
      <c r="AW13" s="13"/>
      <c r="AX13" s="13"/>
      <c r="AY13" s="13"/>
      <c r="AZ13" s="14"/>
      <c r="BA13" s="9"/>
      <c r="BB13" s="16"/>
      <c r="BC13" s="10"/>
      <c r="BD13" s="10"/>
      <c r="BE13" s="10"/>
      <c r="BF13" s="11"/>
      <c r="BG13" s="12"/>
      <c r="BH13" s="17"/>
      <c r="BI13" s="13"/>
      <c r="BJ13" s="13"/>
      <c r="BK13" s="13"/>
      <c r="BL13" s="14"/>
      <c r="BM13" s="8">
        <f t="shared" si="0"/>
        <v>21</v>
      </c>
      <c r="BN13" s="8">
        <f t="shared" si="1"/>
        <v>0</v>
      </c>
      <c r="BO13" s="8">
        <f t="shared" si="2"/>
        <v>13</v>
      </c>
      <c r="BP13" s="8">
        <f t="shared" si="3"/>
        <v>11</v>
      </c>
      <c r="BQ13" s="8">
        <f t="shared" si="4"/>
        <v>21</v>
      </c>
      <c r="BR13" s="8">
        <f t="shared" si="5"/>
        <v>0</v>
      </c>
      <c r="BS13" s="15">
        <f t="shared" si="6"/>
        <v>16.004149461936429</v>
      </c>
      <c r="BT13" s="15" t="str">
        <f t="shared" si="7"/>
        <v>OK - No Upgrade</v>
      </c>
      <c r="BU13" s="15" t="str">
        <f t="shared" si="8"/>
        <v>Need to Balance</v>
      </c>
    </row>
    <row r="14" spans="1:73" ht="15.75" customHeight="1" x14ac:dyDescent="0.25">
      <c r="A14" s="8" t="s">
        <v>904</v>
      </c>
      <c r="B14" s="8" t="s">
        <v>4032</v>
      </c>
      <c r="C14" s="8" t="s">
        <v>2296</v>
      </c>
      <c r="D14" s="8" t="s">
        <v>4060</v>
      </c>
      <c r="E14" s="8" t="s">
        <v>4061</v>
      </c>
      <c r="F14" s="8" t="s">
        <v>56</v>
      </c>
      <c r="G14" s="8"/>
      <c r="H14" s="8">
        <v>1000</v>
      </c>
      <c r="I14" s="8" t="s">
        <v>4062</v>
      </c>
      <c r="J14" s="8">
        <v>1</v>
      </c>
      <c r="K14" s="8">
        <v>255</v>
      </c>
      <c r="L14" s="8">
        <v>253</v>
      </c>
      <c r="M14" s="8">
        <v>256</v>
      </c>
      <c r="N14" s="8">
        <v>440</v>
      </c>
      <c r="O14" s="8">
        <v>443</v>
      </c>
      <c r="P14" s="8">
        <v>445</v>
      </c>
      <c r="Q14" s="9"/>
      <c r="R14" s="16"/>
      <c r="S14" s="10"/>
      <c r="T14" s="10"/>
      <c r="U14" s="10"/>
      <c r="V14" s="11"/>
      <c r="W14" s="12"/>
      <c r="X14" s="17"/>
      <c r="Y14" s="13"/>
      <c r="Z14" s="13"/>
      <c r="AA14" s="13"/>
      <c r="AB14" s="14"/>
      <c r="AC14" s="9"/>
      <c r="AD14" s="16"/>
      <c r="AE14" s="10"/>
      <c r="AF14" s="10"/>
      <c r="AG14" s="10"/>
      <c r="AH14" s="11"/>
      <c r="AI14" s="12"/>
      <c r="AJ14" s="17"/>
      <c r="AK14" s="13"/>
      <c r="AL14" s="13"/>
      <c r="AM14" s="13"/>
      <c r="AN14" s="14"/>
      <c r="AO14" s="9"/>
      <c r="AP14" s="16"/>
      <c r="AQ14" s="10"/>
      <c r="AR14" s="10"/>
      <c r="AS14" s="10"/>
      <c r="AT14" s="11"/>
      <c r="AU14" s="12" t="s">
        <v>47</v>
      </c>
      <c r="AV14" s="17"/>
      <c r="AW14" s="13">
        <v>22</v>
      </c>
      <c r="AX14" s="13">
        <v>18</v>
      </c>
      <c r="AY14" s="13">
        <v>10</v>
      </c>
      <c r="AZ14" s="14">
        <v>16</v>
      </c>
      <c r="BA14" s="9" t="s">
        <v>47</v>
      </c>
      <c r="BB14" s="16"/>
      <c r="BC14" s="10">
        <v>15</v>
      </c>
      <c r="BD14" s="10">
        <v>33</v>
      </c>
      <c r="BE14" s="10">
        <v>21</v>
      </c>
      <c r="BF14" s="11">
        <v>6</v>
      </c>
      <c r="BG14" s="12" t="s">
        <v>47</v>
      </c>
      <c r="BH14" s="17"/>
      <c r="BI14" s="13">
        <v>0</v>
      </c>
      <c r="BJ14" s="13">
        <v>6</v>
      </c>
      <c r="BK14" s="13">
        <v>12</v>
      </c>
      <c r="BL14" s="14">
        <v>11</v>
      </c>
      <c r="BM14" s="8">
        <f t="shared" si="0"/>
        <v>37</v>
      </c>
      <c r="BN14" s="8">
        <f t="shared" si="1"/>
        <v>57</v>
      </c>
      <c r="BO14" s="8">
        <f t="shared" si="2"/>
        <v>43</v>
      </c>
      <c r="BP14" s="8">
        <f t="shared" si="3"/>
        <v>33</v>
      </c>
      <c r="BQ14" s="8">
        <f t="shared" si="4"/>
        <v>57</v>
      </c>
      <c r="BR14" s="8">
        <f t="shared" si="5"/>
        <v>37</v>
      </c>
      <c r="BS14" s="15">
        <f t="shared" si="6"/>
        <v>4.3439834253827438</v>
      </c>
      <c r="BT14" s="15" t="str">
        <f t="shared" si="7"/>
        <v>OK - No Upgrade</v>
      </c>
      <c r="BU14" s="15" t="str">
        <f t="shared" si="8"/>
        <v>Need to Balance</v>
      </c>
    </row>
    <row r="15" spans="1:73" ht="15.75" customHeight="1" x14ac:dyDescent="0.25">
      <c r="A15" s="8" t="s">
        <v>904</v>
      </c>
      <c r="B15" s="8" t="s">
        <v>4032</v>
      </c>
      <c r="C15" s="8" t="s">
        <v>2296</v>
      </c>
      <c r="D15" s="8" t="s">
        <v>4063</v>
      </c>
      <c r="E15" s="8" t="s">
        <v>4064</v>
      </c>
      <c r="F15" s="8" t="s">
        <v>43</v>
      </c>
      <c r="G15" s="8"/>
      <c r="H15" s="8">
        <v>315</v>
      </c>
      <c r="I15" s="8" t="s">
        <v>4065</v>
      </c>
      <c r="J15" s="8">
        <v>1</v>
      </c>
      <c r="K15" s="8">
        <v>254</v>
      </c>
      <c r="L15" s="8">
        <v>252</v>
      </c>
      <c r="M15" s="8">
        <v>255</v>
      </c>
      <c r="N15" s="8">
        <v>438</v>
      </c>
      <c r="O15" s="8">
        <v>439</v>
      </c>
      <c r="P15" s="8">
        <v>443</v>
      </c>
      <c r="Q15" s="9" t="s">
        <v>47</v>
      </c>
      <c r="R15" s="16"/>
      <c r="S15" s="10">
        <v>10</v>
      </c>
      <c r="T15" s="10">
        <v>17</v>
      </c>
      <c r="U15" s="10">
        <v>17</v>
      </c>
      <c r="V15" s="11">
        <v>10</v>
      </c>
      <c r="W15" s="12" t="s">
        <v>47</v>
      </c>
      <c r="X15" s="17"/>
      <c r="Y15" s="13">
        <v>0</v>
      </c>
      <c r="Z15" s="13">
        <v>3</v>
      </c>
      <c r="AA15" s="13">
        <v>0</v>
      </c>
      <c r="AB15" s="14">
        <v>3</v>
      </c>
      <c r="AC15" s="9" t="s">
        <v>47</v>
      </c>
      <c r="AD15" s="16"/>
      <c r="AE15" s="10">
        <v>0</v>
      </c>
      <c r="AF15" s="10">
        <v>0</v>
      </c>
      <c r="AG15" s="10">
        <v>0</v>
      </c>
      <c r="AH15" s="11">
        <v>0</v>
      </c>
      <c r="AI15" s="12"/>
      <c r="AJ15" s="17"/>
      <c r="AK15" s="13"/>
      <c r="AL15" s="13"/>
      <c r="AM15" s="13"/>
      <c r="AN15" s="14"/>
      <c r="AO15" s="9"/>
      <c r="AP15" s="16"/>
      <c r="AQ15" s="10"/>
      <c r="AR15" s="10"/>
      <c r="AS15" s="10"/>
      <c r="AT15" s="11"/>
      <c r="AU15" s="12"/>
      <c r="AV15" s="17"/>
      <c r="AW15" s="13"/>
      <c r="AX15" s="13"/>
      <c r="AY15" s="13"/>
      <c r="AZ15" s="14"/>
      <c r="BA15" s="9"/>
      <c r="BB15" s="16"/>
      <c r="BC15" s="10"/>
      <c r="BD15" s="10"/>
      <c r="BE15" s="10"/>
      <c r="BF15" s="11"/>
      <c r="BG15" s="12"/>
      <c r="BH15" s="17"/>
      <c r="BI15" s="13"/>
      <c r="BJ15" s="13"/>
      <c r="BK15" s="13"/>
      <c r="BL15" s="14"/>
      <c r="BM15" s="8">
        <f t="shared" si="0"/>
        <v>10</v>
      </c>
      <c r="BN15" s="8">
        <f t="shared" si="1"/>
        <v>20</v>
      </c>
      <c r="BO15" s="8">
        <f t="shared" si="2"/>
        <v>17</v>
      </c>
      <c r="BP15" s="8">
        <f t="shared" si="3"/>
        <v>13</v>
      </c>
      <c r="BQ15" s="8">
        <f t="shared" si="4"/>
        <v>20</v>
      </c>
      <c r="BR15" s="8">
        <f t="shared" si="5"/>
        <v>10</v>
      </c>
      <c r="BS15" s="15">
        <f t="shared" si="6"/>
        <v>4.8167508172391624</v>
      </c>
      <c r="BT15" s="15" t="str">
        <f t="shared" si="7"/>
        <v>OK - No Upgrade</v>
      </c>
      <c r="BU15" s="15" t="str">
        <f t="shared" si="8"/>
        <v>Need to Balance</v>
      </c>
    </row>
    <row r="16" spans="1:73" ht="15.75" customHeight="1" x14ac:dyDescent="0.25">
      <c r="A16" s="8" t="s">
        <v>904</v>
      </c>
      <c r="B16" s="8" t="s">
        <v>4032</v>
      </c>
      <c r="C16" s="8" t="s">
        <v>2296</v>
      </c>
      <c r="D16" s="8" t="s">
        <v>4066</v>
      </c>
      <c r="E16" s="8" t="s">
        <v>4067</v>
      </c>
      <c r="F16" s="8" t="s">
        <v>43</v>
      </c>
      <c r="G16" s="8"/>
      <c r="H16" s="8">
        <v>315</v>
      </c>
      <c r="I16" s="8" t="s">
        <v>4068</v>
      </c>
      <c r="J16" s="8">
        <v>1</v>
      </c>
      <c r="K16" s="8">
        <v>255</v>
      </c>
      <c r="L16" s="8">
        <v>254</v>
      </c>
      <c r="M16" s="8">
        <v>256</v>
      </c>
      <c r="N16" s="8">
        <v>441</v>
      </c>
      <c r="O16" s="8">
        <v>444</v>
      </c>
      <c r="P16" s="8">
        <v>445</v>
      </c>
      <c r="Q16" s="9" t="s">
        <v>47</v>
      </c>
      <c r="R16" s="16"/>
      <c r="S16" s="10">
        <v>2</v>
      </c>
      <c r="T16" s="10">
        <v>0</v>
      </c>
      <c r="U16" s="10">
        <v>0</v>
      </c>
      <c r="V16" s="11">
        <v>0</v>
      </c>
      <c r="W16" s="12" t="s">
        <v>47</v>
      </c>
      <c r="X16" s="17"/>
      <c r="Y16" s="13">
        <v>2</v>
      </c>
      <c r="Z16" s="13">
        <v>6</v>
      </c>
      <c r="AA16" s="13">
        <v>10</v>
      </c>
      <c r="AB16" s="14">
        <v>7</v>
      </c>
      <c r="AC16" s="9" t="s">
        <v>47</v>
      </c>
      <c r="AD16" s="16"/>
      <c r="AE16" s="10">
        <v>9</v>
      </c>
      <c r="AF16" s="10">
        <v>1</v>
      </c>
      <c r="AG16" s="10">
        <v>4</v>
      </c>
      <c r="AH16" s="11">
        <v>8</v>
      </c>
      <c r="AI16" s="12"/>
      <c r="AJ16" s="17"/>
      <c r="AK16" s="13"/>
      <c r="AL16" s="13"/>
      <c r="AM16" s="13"/>
      <c r="AN16" s="14"/>
      <c r="AO16" s="9"/>
      <c r="AP16" s="16"/>
      <c r="AQ16" s="10"/>
      <c r="AR16" s="10"/>
      <c r="AS16" s="10"/>
      <c r="AT16" s="11"/>
      <c r="AU16" s="12"/>
      <c r="AV16" s="17"/>
      <c r="AW16" s="13"/>
      <c r="AX16" s="13"/>
      <c r="AY16" s="13"/>
      <c r="AZ16" s="14"/>
      <c r="BA16" s="9"/>
      <c r="BB16" s="16"/>
      <c r="BC16" s="10"/>
      <c r="BD16" s="10"/>
      <c r="BE16" s="10"/>
      <c r="BF16" s="11"/>
      <c r="BG16" s="12"/>
      <c r="BH16" s="17"/>
      <c r="BI16" s="13"/>
      <c r="BJ16" s="13"/>
      <c r="BK16" s="13"/>
      <c r="BL16" s="14"/>
      <c r="BM16" s="8">
        <f t="shared" si="0"/>
        <v>13</v>
      </c>
      <c r="BN16" s="8">
        <f t="shared" si="1"/>
        <v>7</v>
      </c>
      <c r="BO16" s="8">
        <f t="shared" si="2"/>
        <v>14</v>
      </c>
      <c r="BP16" s="8">
        <f t="shared" si="3"/>
        <v>15</v>
      </c>
      <c r="BQ16" s="8">
        <f t="shared" si="4"/>
        <v>14</v>
      </c>
      <c r="BR16" s="8">
        <f t="shared" si="5"/>
        <v>7</v>
      </c>
      <c r="BS16" s="15">
        <f t="shared" si="6"/>
        <v>3.3948195828349994</v>
      </c>
      <c r="BT16" s="15" t="str">
        <f t="shared" si="7"/>
        <v>OK - No Upgrade</v>
      </c>
      <c r="BU16" s="15" t="str">
        <f t="shared" si="8"/>
        <v>Need to Balance</v>
      </c>
    </row>
    <row r="17" spans="1:73" ht="15.75" customHeight="1" x14ac:dyDescent="0.25">
      <c r="A17" s="8" t="s">
        <v>904</v>
      </c>
      <c r="B17" s="8" t="s">
        <v>4032</v>
      </c>
      <c r="C17" s="8" t="s">
        <v>2296</v>
      </c>
      <c r="D17" s="8" t="s">
        <v>4069</v>
      </c>
      <c r="E17" s="8" t="s">
        <v>4070</v>
      </c>
      <c r="F17" s="8" t="s">
        <v>43</v>
      </c>
      <c r="G17" s="8"/>
      <c r="H17" s="8">
        <v>315</v>
      </c>
      <c r="I17" s="8" t="s">
        <v>4071</v>
      </c>
      <c r="J17" s="8">
        <v>1</v>
      </c>
      <c r="K17" s="8">
        <v>249</v>
      </c>
      <c r="L17" s="8">
        <v>248</v>
      </c>
      <c r="M17" s="8">
        <v>251</v>
      </c>
      <c r="N17" s="8">
        <v>430</v>
      </c>
      <c r="O17" s="8">
        <v>435</v>
      </c>
      <c r="P17" s="8">
        <v>433</v>
      </c>
      <c r="Q17" s="9" t="s">
        <v>46</v>
      </c>
      <c r="R17" s="16"/>
      <c r="S17" s="10">
        <v>37</v>
      </c>
      <c r="T17" s="10">
        <v>32</v>
      </c>
      <c r="U17" s="10">
        <v>0</v>
      </c>
      <c r="V17" s="11">
        <v>37</v>
      </c>
      <c r="W17" s="12" t="s">
        <v>47</v>
      </c>
      <c r="X17" s="17"/>
      <c r="Y17" s="13">
        <v>11</v>
      </c>
      <c r="Z17" s="13">
        <v>0</v>
      </c>
      <c r="AA17" s="13">
        <v>0</v>
      </c>
      <c r="AB17" s="14">
        <v>13</v>
      </c>
      <c r="AC17" s="9"/>
      <c r="AD17" s="16"/>
      <c r="AE17" s="10"/>
      <c r="AF17" s="10"/>
      <c r="AG17" s="10"/>
      <c r="AH17" s="11"/>
      <c r="AI17" s="12"/>
      <c r="AJ17" s="17"/>
      <c r="AK17" s="13"/>
      <c r="AL17" s="13"/>
      <c r="AM17" s="13"/>
      <c r="AN17" s="14"/>
      <c r="AO17" s="9"/>
      <c r="AP17" s="16"/>
      <c r="AQ17" s="10"/>
      <c r="AR17" s="10"/>
      <c r="AS17" s="10"/>
      <c r="AT17" s="11"/>
      <c r="AU17" s="12"/>
      <c r="AV17" s="17"/>
      <c r="AW17" s="13"/>
      <c r="AX17" s="13"/>
      <c r="AY17" s="13"/>
      <c r="AZ17" s="14"/>
      <c r="BA17" s="9"/>
      <c r="BB17" s="16"/>
      <c r="BC17" s="10"/>
      <c r="BD17" s="10"/>
      <c r="BE17" s="10"/>
      <c r="BF17" s="11"/>
      <c r="BG17" s="12"/>
      <c r="BH17" s="17"/>
      <c r="BI17" s="13"/>
      <c r="BJ17" s="13"/>
      <c r="BK17" s="13"/>
      <c r="BL17" s="14"/>
      <c r="BM17" s="8">
        <f t="shared" si="0"/>
        <v>48</v>
      </c>
      <c r="BN17" s="8">
        <f t="shared" si="1"/>
        <v>32</v>
      </c>
      <c r="BO17" s="8">
        <f t="shared" si="2"/>
        <v>0</v>
      </c>
      <c r="BP17" s="8">
        <f t="shared" si="3"/>
        <v>50</v>
      </c>
      <c r="BQ17" s="8">
        <f t="shared" si="4"/>
        <v>48</v>
      </c>
      <c r="BR17" s="8">
        <f t="shared" si="5"/>
        <v>0</v>
      </c>
      <c r="BS17" s="15">
        <f t="shared" si="6"/>
        <v>11.349056720070356</v>
      </c>
      <c r="BT17" s="15" t="str">
        <f t="shared" si="7"/>
        <v>OK - No Upgrade</v>
      </c>
      <c r="BU17" s="15" t="str">
        <f t="shared" si="8"/>
        <v>Need to Balance</v>
      </c>
    </row>
    <row r="18" spans="1:73" ht="15.75" customHeight="1" x14ac:dyDescent="0.25">
      <c r="A18" s="8" t="s">
        <v>904</v>
      </c>
      <c r="B18" s="8" t="s">
        <v>4032</v>
      </c>
      <c r="C18" s="8" t="s">
        <v>2296</v>
      </c>
      <c r="D18" s="8" t="s">
        <v>4072</v>
      </c>
      <c r="E18" s="8" t="s">
        <v>4073</v>
      </c>
      <c r="F18" s="8" t="s">
        <v>43</v>
      </c>
      <c r="G18" s="8"/>
      <c r="H18" s="8">
        <v>100</v>
      </c>
      <c r="I18" s="8" t="s">
        <v>4074</v>
      </c>
      <c r="J18" s="8">
        <v>1</v>
      </c>
      <c r="K18" s="8">
        <v>255</v>
      </c>
      <c r="L18" s="8">
        <v>251</v>
      </c>
      <c r="M18" s="8">
        <v>253</v>
      </c>
      <c r="N18" s="8">
        <v>441</v>
      </c>
      <c r="O18" s="8">
        <v>441</v>
      </c>
      <c r="P18" s="8">
        <v>438</v>
      </c>
      <c r="Q18" s="9" t="s">
        <v>47</v>
      </c>
      <c r="R18" s="16"/>
      <c r="S18" s="10">
        <v>1</v>
      </c>
      <c r="T18" s="10">
        <v>11</v>
      </c>
      <c r="U18" s="10">
        <v>0</v>
      </c>
      <c r="V18" s="11">
        <v>8</v>
      </c>
      <c r="W18" s="12" t="s">
        <v>46</v>
      </c>
      <c r="X18" s="17"/>
      <c r="Y18" s="13">
        <v>4</v>
      </c>
      <c r="Z18" s="13">
        <v>45</v>
      </c>
      <c r="AA18" s="13">
        <v>61</v>
      </c>
      <c r="AB18" s="14">
        <v>52</v>
      </c>
      <c r="AC18" s="9"/>
      <c r="AD18" s="16"/>
      <c r="AE18" s="10"/>
      <c r="AF18" s="10"/>
      <c r="AG18" s="10"/>
      <c r="AH18" s="11"/>
      <c r="AI18" s="12"/>
      <c r="AJ18" s="17"/>
      <c r="AK18" s="13"/>
      <c r="AL18" s="13"/>
      <c r="AM18" s="13"/>
      <c r="AN18" s="14"/>
      <c r="AO18" s="9"/>
      <c r="AP18" s="16"/>
      <c r="AQ18" s="10"/>
      <c r="AR18" s="10"/>
      <c r="AS18" s="10"/>
      <c r="AT18" s="11"/>
      <c r="AU18" s="12"/>
      <c r="AV18" s="17"/>
      <c r="AW18" s="13"/>
      <c r="AX18" s="13"/>
      <c r="AY18" s="13"/>
      <c r="AZ18" s="14"/>
      <c r="BA18" s="9"/>
      <c r="BB18" s="16"/>
      <c r="BC18" s="10"/>
      <c r="BD18" s="10"/>
      <c r="BE18" s="10"/>
      <c r="BF18" s="11"/>
      <c r="BG18" s="12"/>
      <c r="BH18" s="17"/>
      <c r="BI18" s="13"/>
      <c r="BJ18" s="13"/>
      <c r="BK18" s="13"/>
      <c r="BL18" s="14"/>
      <c r="BM18" s="8">
        <f t="shared" si="0"/>
        <v>5</v>
      </c>
      <c r="BN18" s="8">
        <f t="shared" si="1"/>
        <v>56</v>
      </c>
      <c r="BO18" s="8">
        <f t="shared" si="2"/>
        <v>61</v>
      </c>
      <c r="BP18" s="8">
        <f t="shared" si="3"/>
        <v>60</v>
      </c>
      <c r="BQ18" s="8">
        <f t="shared" si="4"/>
        <v>61</v>
      </c>
      <c r="BR18" s="8">
        <f t="shared" si="5"/>
        <v>5</v>
      </c>
      <c r="BS18" s="15">
        <f t="shared" si="6"/>
        <v>46.593898774410363</v>
      </c>
      <c r="BT18" s="15" t="str">
        <f t="shared" si="7"/>
        <v>OK - No Upgrade</v>
      </c>
      <c r="BU18" s="15" t="str">
        <f t="shared" si="8"/>
        <v>Need to Balance</v>
      </c>
    </row>
    <row r="19" spans="1:73" ht="15.75" customHeight="1" x14ac:dyDescent="0.25">
      <c r="A19" s="8" t="s">
        <v>904</v>
      </c>
      <c r="B19" s="8" t="s">
        <v>4032</v>
      </c>
      <c r="C19" s="8" t="s">
        <v>2296</v>
      </c>
      <c r="D19" s="8" t="s">
        <v>4075</v>
      </c>
      <c r="E19" s="8" t="s">
        <v>4076</v>
      </c>
      <c r="F19" s="8" t="s">
        <v>43</v>
      </c>
      <c r="G19" s="8"/>
      <c r="H19" s="8">
        <v>100</v>
      </c>
      <c r="I19" s="8" t="s">
        <v>4077</v>
      </c>
      <c r="J19" s="8">
        <v>1</v>
      </c>
      <c r="K19" s="8">
        <v>254</v>
      </c>
      <c r="L19" s="8">
        <v>255</v>
      </c>
      <c r="M19" s="8">
        <v>257</v>
      </c>
      <c r="N19" s="8">
        <v>441</v>
      </c>
      <c r="O19" s="8">
        <v>446</v>
      </c>
      <c r="P19" s="8">
        <v>444</v>
      </c>
      <c r="Q19" s="9" t="s">
        <v>47</v>
      </c>
      <c r="R19" s="16"/>
      <c r="S19" s="10">
        <v>3</v>
      </c>
      <c r="T19" s="10">
        <v>1</v>
      </c>
      <c r="U19" s="10">
        <v>0</v>
      </c>
      <c r="V19" s="11">
        <v>3</v>
      </c>
      <c r="W19" s="12"/>
      <c r="X19" s="17"/>
      <c r="Y19" s="13"/>
      <c r="Z19" s="13"/>
      <c r="AA19" s="13"/>
      <c r="AB19" s="14"/>
      <c r="AC19" s="9"/>
      <c r="AD19" s="16"/>
      <c r="AE19" s="10"/>
      <c r="AF19" s="10"/>
      <c r="AG19" s="10"/>
      <c r="AH19" s="11"/>
      <c r="AI19" s="12"/>
      <c r="AJ19" s="17"/>
      <c r="AK19" s="13"/>
      <c r="AL19" s="13"/>
      <c r="AM19" s="13"/>
      <c r="AN19" s="14"/>
      <c r="AO19" s="9"/>
      <c r="AP19" s="16"/>
      <c r="AQ19" s="10"/>
      <c r="AR19" s="10"/>
      <c r="AS19" s="10"/>
      <c r="AT19" s="11"/>
      <c r="AU19" s="12"/>
      <c r="AV19" s="17"/>
      <c r="AW19" s="13"/>
      <c r="AX19" s="13"/>
      <c r="AY19" s="13"/>
      <c r="AZ19" s="14"/>
      <c r="BA19" s="9"/>
      <c r="BB19" s="16"/>
      <c r="BC19" s="10"/>
      <c r="BD19" s="10"/>
      <c r="BE19" s="10"/>
      <c r="BF19" s="11"/>
      <c r="BG19" s="12"/>
      <c r="BH19" s="17"/>
      <c r="BI19" s="13"/>
      <c r="BJ19" s="13"/>
      <c r="BK19" s="13"/>
      <c r="BL19" s="14"/>
      <c r="BM19" s="8">
        <f t="shared" si="0"/>
        <v>3</v>
      </c>
      <c r="BN19" s="8">
        <f t="shared" si="1"/>
        <v>1</v>
      </c>
      <c r="BO19" s="8">
        <f t="shared" si="2"/>
        <v>0</v>
      </c>
      <c r="BP19" s="8">
        <f t="shared" si="3"/>
        <v>3</v>
      </c>
      <c r="BQ19" s="8">
        <f t="shared" si="4"/>
        <v>3</v>
      </c>
      <c r="BR19" s="8">
        <f t="shared" si="5"/>
        <v>0</v>
      </c>
      <c r="BS19" s="15">
        <f t="shared" si="6"/>
        <v>2.291503218413625</v>
      </c>
      <c r="BT19" s="15" t="str">
        <f t="shared" si="7"/>
        <v>OK - No Upgrade</v>
      </c>
      <c r="BU19" s="15" t="str">
        <f t="shared" si="8"/>
        <v>Need to Balance</v>
      </c>
    </row>
    <row r="20" spans="1:73" ht="15.75" customHeight="1" x14ac:dyDescent="0.25">
      <c r="A20" s="8" t="s">
        <v>904</v>
      </c>
      <c r="B20" s="8" t="s">
        <v>4032</v>
      </c>
      <c r="C20" s="8" t="s">
        <v>2296</v>
      </c>
      <c r="D20" s="8" t="s">
        <v>4078</v>
      </c>
      <c r="E20" s="8" t="s">
        <v>4079</v>
      </c>
      <c r="F20" s="8" t="s">
        <v>43</v>
      </c>
      <c r="G20" s="8"/>
      <c r="H20" s="8">
        <v>315</v>
      </c>
      <c r="I20" s="8" t="s">
        <v>4080</v>
      </c>
      <c r="J20" s="8">
        <v>1</v>
      </c>
      <c r="K20" s="8">
        <v>255</v>
      </c>
      <c r="L20" s="8">
        <v>256</v>
      </c>
      <c r="M20" s="8">
        <v>257</v>
      </c>
      <c r="N20" s="8">
        <v>444</v>
      </c>
      <c r="O20" s="8">
        <v>447</v>
      </c>
      <c r="P20" s="8">
        <v>444</v>
      </c>
      <c r="Q20" s="9" t="s">
        <v>47</v>
      </c>
      <c r="R20" s="16"/>
      <c r="S20" s="10">
        <v>0</v>
      </c>
      <c r="T20" s="10">
        <v>0</v>
      </c>
      <c r="U20" s="10">
        <v>0</v>
      </c>
      <c r="V20" s="11">
        <v>0</v>
      </c>
      <c r="W20" s="12" t="s">
        <v>47</v>
      </c>
      <c r="X20" s="17"/>
      <c r="Y20" s="13">
        <v>15</v>
      </c>
      <c r="Z20" s="13">
        <v>0</v>
      </c>
      <c r="AA20" s="13">
        <v>1</v>
      </c>
      <c r="AB20" s="14">
        <v>12</v>
      </c>
      <c r="AC20" s="9"/>
      <c r="AD20" s="16"/>
      <c r="AE20" s="10"/>
      <c r="AF20" s="10"/>
      <c r="AG20" s="10"/>
      <c r="AH20" s="11"/>
      <c r="AI20" s="12"/>
      <c r="AJ20" s="17"/>
      <c r="AK20" s="13"/>
      <c r="AL20" s="13"/>
      <c r="AM20" s="13"/>
      <c r="AN20" s="14"/>
      <c r="AO20" s="9"/>
      <c r="AP20" s="16"/>
      <c r="AQ20" s="10"/>
      <c r="AR20" s="10"/>
      <c r="AS20" s="10"/>
      <c r="AT20" s="11"/>
      <c r="AU20" s="12"/>
      <c r="AV20" s="17"/>
      <c r="AW20" s="13"/>
      <c r="AX20" s="13"/>
      <c r="AY20" s="13"/>
      <c r="AZ20" s="14"/>
      <c r="BA20" s="9"/>
      <c r="BB20" s="16"/>
      <c r="BC20" s="10"/>
      <c r="BD20" s="10"/>
      <c r="BE20" s="10"/>
      <c r="BF20" s="11"/>
      <c r="BG20" s="12"/>
      <c r="BH20" s="17"/>
      <c r="BI20" s="13"/>
      <c r="BJ20" s="13"/>
      <c r="BK20" s="13"/>
      <c r="BL20" s="14"/>
      <c r="BM20" s="8">
        <f t="shared" si="0"/>
        <v>15</v>
      </c>
      <c r="BN20" s="8">
        <f t="shared" si="1"/>
        <v>0</v>
      </c>
      <c r="BO20" s="8">
        <f t="shared" si="2"/>
        <v>1</v>
      </c>
      <c r="BP20" s="8">
        <f t="shared" si="3"/>
        <v>12</v>
      </c>
      <c r="BQ20" s="8">
        <f t="shared" si="4"/>
        <v>15</v>
      </c>
      <c r="BR20" s="8">
        <f t="shared" si="5"/>
        <v>0</v>
      </c>
      <c r="BS20" s="15">
        <f t="shared" si="6"/>
        <v>3.6620502788599114</v>
      </c>
      <c r="BT20" s="15" t="str">
        <f t="shared" si="7"/>
        <v>OK - No Upgrade</v>
      </c>
      <c r="BU20" s="15" t="str">
        <f t="shared" si="8"/>
        <v>Need to Balance</v>
      </c>
    </row>
  </sheetData>
  <mergeCells count="79">
    <mergeCell ref="BU1:BU3"/>
    <mergeCell ref="BI2:BI3"/>
    <mergeCell ref="AE2:AE3"/>
    <mergeCell ref="AG2:AG3"/>
    <mergeCell ref="Y2:Y3"/>
    <mergeCell ref="AQ2:AQ3"/>
    <mergeCell ref="AS2:AS3"/>
    <mergeCell ref="AY2:AY3"/>
    <mergeCell ref="BK2:BK3"/>
    <mergeCell ref="AZ2:AZ3"/>
    <mergeCell ref="BB2:BB3"/>
    <mergeCell ref="BL2:BL3"/>
    <mergeCell ref="BN2:BN3"/>
    <mergeCell ref="AU1:AZ1"/>
    <mergeCell ref="AJ2:AJ3"/>
    <mergeCell ref="AL2:AL3"/>
    <mergeCell ref="BR1:BR3"/>
    <mergeCell ref="H1:H3"/>
    <mergeCell ref="AR2:AR3"/>
    <mergeCell ref="AT2:AT3"/>
    <mergeCell ref="E1:E3"/>
    <mergeCell ref="BF2:BF3"/>
    <mergeCell ref="K2:M2"/>
    <mergeCell ref="F1:F3"/>
    <mergeCell ref="J1:J3"/>
    <mergeCell ref="R2:R3"/>
    <mergeCell ref="AD2:AD3"/>
    <mergeCell ref="AN2:AN3"/>
    <mergeCell ref="AP2:AP3"/>
    <mergeCell ref="A1:A3"/>
    <mergeCell ref="BA1:BF1"/>
    <mergeCell ref="C1:C3"/>
    <mergeCell ref="D1:D2"/>
    <mergeCell ref="BQ1:BQ3"/>
    <mergeCell ref="BS1:BS3"/>
    <mergeCell ref="BA2:BA3"/>
    <mergeCell ref="S2:S3"/>
    <mergeCell ref="BC2:BC3"/>
    <mergeCell ref="K1:P1"/>
    <mergeCell ref="BM2:BM3"/>
    <mergeCell ref="BO2:BO3"/>
    <mergeCell ref="W1:AB1"/>
    <mergeCell ref="Q1:V1"/>
    <mergeCell ref="BP2:BP3"/>
    <mergeCell ref="AC1:AH1"/>
    <mergeCell ref="AO1:AT1"/>
    <mergeCell ref="Z2:Z3"/>
    <mergeCell ref="B1:B3"/>
    <mergeCell ref="AI1:AN1"/>
    <mergeCell ref="V2:V3"/>
    <mergeCell ref="X2:X3"/>
    <mergeCell ref="BG1:BL1"/>
    <mergeCell ref="BD2:BD3"/>
    <mergeCell ref="AV2:AV3"/>
    <mergeCell ref="AX2:AX3"/>
    <mergeCell ref="I1:I3"/>
    <mergeCell ref="BH2:BH3"/>
    <mergeCell ref="BJ2:BJ3"/>
    <mergeCell ref="AF2:AF3"/>
    <mergeCell ref="AH2:AH3"/>
    <mergeCell ref="Q2:Q3"/>
    <mergeCell ref="AI2:AI3"/>
    <mergeCell ref="AK2:AK3"/>
    <mergeCell ref="N2:P2"/>
    <mergeCell ref="G1:G3"/>
    <mergeCell ref="U2:U3"/>
    <mergeCell ref="BT1:BT3"/>
    <mergeCell ref="BE2:BE3"/>
    <mergeCell ref="W2:W3"/>
    <mergeCell ref="BG2:BG3"/>
    <mergeCell ref="AA2:AA3"/>
    <mergeCell ref="AC2:AC3"/>
    <mergeCell ref="AM2:AM3"/>
    <mergeCell ref="AO2:AO3"/>
    <mergeCell ref="BM1:BP1"/>
    <mergeCell ref="AU2:AU3"/>
    <mergeCell ref="AW2:AW3"/>
    <mergeCell ref="AB2:AB3"/>
    <mergeCell ref="T2:T3"/>
  </mergeCells>
  <dataValidations count="1">
    <dataValidation type="list" allowBlank="1" errorTitle="Invalid value" error="Please choose Cu or Al" promptTitle="Cable Type" prompt="Choose cable material" sqref="R4:R20 BH4:BH20 BB4:BB20 AV4:AV20 AP4:AP20 AJ4:AJ20 AD4:AD20 X4:X20" xr:uid="{00000000-0002-0000-1500-000000000000}">
      <formula1>"Cu,Al"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A104"/>
  <sheetViews>
    <sheetView workbookViewId="0"/>
  </sheetViews>
  <sheetFormatPr defaultRowHeight="15" x14ac:dyDescent="0.25"/>
  <cols>
    <col min="1" max="1" width="12.85546875" customWidth="1"/>
    <col min="2" max="2" width="14.85546875" customWidth="1"/>
    <col min="3" max="3" width="9.85546875" customWidth="1"/>
    <col min="4" max="4" width="20.85546875" customWidth="1"/>
    <col min="5" max="5" width="8.85546875" customWidth="1"/>
    <col min="6" max="6" width="10.85546875" customWidth="1"/>
    <col min="7" max="7" width="5.85546875" customWidth="1"/>
    <col min="8" max="8" width="9.85546875" customWidth="1"/>
    <col min="9" max="9" width="10.85546875" customWidth="1"/>
    <col min="10" max="10" width="5.85546875" customWidth="1"/>
    <col min="11" max="11" width="7.85546875" customWidth="1"/>
    <col min="12" max="16" width="6.85546875" customWidth="1"/>
    <col min="17" max="17" width="8.85546875" customWidth="1"/>
    <col min="18" max="21" width="6.85546875" customWidth="1"/>
    <col min="22" max="22" width="8.85546875" customWidth="1"/>
    <col min="23" max="26" width="6.85546875" customWidth="1"/>
    <col min="27" max="27" width="8.85546875" customWidth="1"/>
    <col min="28" max="31" width="6.85546875" customWidth="1"/>
    <col min="32" max="32" width="8.85546875" customWidth="1"/>
    <col min="33" max="36" width="6.85546875" customWidth="1"/>
    <col min="37" max="37" width="8.85546875" customWidth="1"/>
    <col min="38" max="41" width="6.85546875" customWidth="1"/>
    <col min="42" max="42" width="8.85546875" customWidth="1"/>
    <col min="43" max="46" width="6.85546875" customWidth="1"/>
    <col min="47" max="47" width="8.85546875" customWidth="1"/>
    <col min="48" max="51" width="6.85546875" customWidth="1"/>
    <col min="52" max="52" width="8.85546875" customWidth="1"/>
    <col min="53" max="56" width="6.85546875" customWidth="1"/>
    <col min="57" max="57" width="8.85546875" customWidth="1"/>
    <col min="58" max="65" width="6.85546875" customWidth="1"/>
    <col min="66" max="67" width="7.85546875" customWidth="1"/>
    <col min="68" max="68" width="9.85546875" customWidth="1"/>
    <col min="69" max="70" width="24.85546875" customWidth="1"/>
  </cols>
  <sheetData>
    <row r="1" spans="1:79" ht="19.5" customHeight="1" x14ac:dyDescent="0.25">
      <c r="A1" s="21" t="s">
        <v>0</v>
      </c>
      <c r="B1" s="21" t="s">
        <v>1</v>
      </c>
      <c r="C1" s="21" t="s">
        <v>2</v>
      </c>
      <c r="D1" s="38" t="s">
        <v>3</v>
      </c>
      <c r="E1" s="21" t="s">
        <v>4</v>
      </c>
      <c r="F1" s="40" t="s">
        <v>5</v>
      </c>
      <c r="G1" s="21" t="s">
        <v>6</v>
      </c>
      <c r="H1" s="21" t="s">
        <v>7</v>
      </c>
      <c r="I1" s="21" t="s">
        <v>8</v>
      </c>
      <c r="J1" s="41" t="s">
        <v>9</v>
      </c>
      <c r="K1" s="18" t="s">
        <v>10</v>
      </c>
      <c r="L1" s="19"/>
      <c r="M1" s="19"/>
      <c r="N1" s="19"/>
      <c r="O1" s="19"/>
      <c r="P1" s="20"/>
      <c r="Q1" s="29" t="s">
        <v>11</v>
      </c>
      <c r="R1" s="30"/>
      <c r="S1" s="30"/>
      <c r="T1" s="30"/>
      <c r="U1" s="30"/>
      <c r="V1" s="31"/>
      <c r="W1" s="29" t="s">
        <v>12</v>
      </c>
      <c r="X1" s="30"/>
      <c r="Y1" s="30"/>
      <c r="Z1" s="30"/>
      <c r="AA1" s="30"/>
      <c r="AB1" s="31"/>
      <c r="AC1" s="29" t="s">
        <v>13</v>
      </c>
      <c r="AD1" s="30"/>
      <c r="AE1" s="30"/>
      <c r="AF1" s="30"/>
      <c r="AG1" s="30"/>
      <c r="AH1" s="31"/>
      <c r="AI1" s="29" t="s">
        <v>14</v>
      </c>
      <c r="AJ1" s="30"/>
      <c r="AK1" s="30"/>
      <c r="AL1" s="30"/>
      <c r="AM1" s="30"/>
      <c r="AN1" s="31"/>
      <c r="AO1" s="29" t="s">
        <v>15</v>
      </c>
      <c r="AP1" s="30"/>
      <c r="AQ1" s="30"/>
      <c r="AR1" s="30"/>
      <c r="AS1" s="30"/>
      <c r="AT1" s="31"/>
      <c r="AU1" s="29" t="s">
        <v>16</v>
      </c>
      <c r="AV1" s="30"/>
      <c r="AW1" s="30"/>
      <c r="AX1" s="30"/>
      <c r="AY1" s="30"/>
      <c r="AZ1" s="31"/>
      <c r="BA1" s="29" t="s">
        <v>17</v>
      </c>
      <c r="BB1" s="30"/>
      <c r="BC1" s="30"/>
      <c r="BD1" s="30"/>
      <c r="BE1" s="30"/>
      <c r="BF1" s="31"/>
      <c r="BG1" s="29" t="s">
        <v>18</v>
      </c>
      <c r="BH1" s="30"/>
      <c r="BI1" s="30"/>
      <c r="BJ1" s="30"/>
      <c r="BK1" s="30"/>
      <c r="BL1" s="31"/>
      <c r="BM1" s="29" t="s">
        <v>377</v>
      </c>
      <c r="BN1" s="30"/>
      <c r="BO1" s="30"/>
      <c r="BP1" s="30"/>
      <c r="BQ1" s="30"/>
      <c r="BR1" s="31"/>
      <c r="BS1" s="37" t="s">
        <v>19</v>
      </c>
      <c r="BT1" s="19"/>
      <c r="BU1" s="19"/>
      <c r="BV1" s="20"/>
      <c r="BW1" s="18" t="s">
        <v>20</v>
      </c>
      <c r="BX1" s="18" t="s">
        <v>21</v>
      </c>
      <c r="BY1" s="39" t="s">
        <v>22</v>
      </c>
      <c r="BZ1" s="26" t="s">
        <v>23</v>
      </c>
      <c r="CA1" s="26" t="s">
        <v>24</v>
      </c>
    </row>
    <row r="2" spans="1:79" ht="19.5" customHeight="1" x14ac:dyDescent="0.25">
      <c r="A2" s="22"/>
      <c r="B2" s="22"/>
      <c r="C2" s="22"/>
      <c r="D2" s="23"/>
      <c r="E2" s="22"/>
      <c r="F2" s="22"/>
      <c r="G2" s="22"/>
      <c r="H2" s="22"/>
      <c r="I2" s="22"/>
      <c r="J2" s="22"/>
      <c r="K2" s="18" t="s">
        <v>25</v>
      </c>
      <c r="L2" s="19"/>
      <c r="M2" s="20"/>
      <c r="N2" s="18" t="s">
        <v>26</v>
      </c>
      <c r="O2" s="19"/>
      <c r="P2" s="20"/>
      <c r="Q2" s="27" t="s">
        <v>27</v>
      </c>
      <c r="R2" s="34" t="s">
        <v>5</v>
      </c>
      <c r="S2" s="36" t="s">
        <v>28</v>
      </c>
      <c r="T2" s="35" t="s">
        <v>29</v>
      </c>
      <c r="U2" s="24" t="s">
        <v>30</v>
      </c>
      <c r="V2" s="32" t="s">
        <v>31</v>
      </c>
      <c r="W2" s="27" t="s">
        <v>27</v>
      </c>
      <c r="X2" s="34" t="s">
        <v>5</v>
      </c>
      <c r="Y2" s="36" t="s">
        <v>28</v>
      </c>
      <c r="Z2" s="35" t="s">
        <v>29</v>
      </c>
      <c r="AA2" s="24" t="s">
        <v>30</v>
      </c>
      <c r="AB2" s="32" t="s">
        <v>31</v>
      </c>
      <c r="AC2" s="27" t="s">
        <v>27</v>
      </c>
      <c r="AD2" s="34" t="s">
        <v>5</v>
      </c>
      <c r="AE2" s="36" t="s">
        <v>28</v>
      </c>
      <c r="AF2" s="35" t="s">
        <v>29</v>
      </c>
      <c r="AG2" s="24" t="s">
        <v>30</v>
      </c>
      <c r="AH2" s="32" t="s">
        <v>31</v>
      </c>
      <c r="AI2" s="27" t="s">
        <v>27</v>
      </c>
      <c r="AJ2" s="34" t="s">
        <v>5</v>
      </c>
      <c r="AK2" s="36" t="s">
        <v>28</v>
      </c>
      <c r="AL2" s="35" t="s">
        <v>29</v>
      </c>
      <c r="AM2" s="24" t="s">
        <v>30</v>
      </c>
      <c r="AN2" s="32" t="s">
        <v>31</v>
      </c>
      <c r="AO2" s="27" t="s">
        <v>27</v>
      </c>
      <c r="AP2" s="34" t="s">
        <v>5</v>
      </c>
      <c r="AQ2" s="36" t="s">
        <v>28</v>
      </c>
      <c r="AR2" s="35" t="s">
        <v>29</v>
      </c>
      <c r="AS2" s="24" t="s">
        <v>30</v>
      </c>
      <c r="AT2" s="32" t="s">
        <v>31</v>
      </c>
      <c r="AU2" s="27" t="s">
        <v>27</v>
      </c>
      <c r="AV2" s="34" t="s">
        <v>5</v>
      </c>
      <c r="AW2" s="36" t="s">
        <v>28</v>
      </c>
      <c r="AX2" s="35" t="s">
        <v>29</v>
      </c>
      <c r="AY2" s="24" t="s">
        <v>30</v>
      </c>
      <c r="AZ2" s="32" t="s">
        <v>31</v>
      </c>
      <c r="BA2" s="27" t="s">
        <v>27</v>
      </c>
      <c r="BB2" s="34" t="s">
        <v>5</v>
      </c>
      <c r="BC2" s="36" t="s">
        <v>28</v>
      </c>
      <c r="BD2" s="35" t="s">
        <v>29</v>
      </c>
      <c r="BE2" s="24" t="s">
        <v>30</v>
      </c>
      <c r="BF2" s="32" t="s">
        <v>31</v>
      </c>
      <c r="BG2" s="27" t="s">
        <v>27</v>
      </c>
      <c r="BH2" s="34" t="s">
        <v>5</v>
      </c>
      <c r="BI2" s="36" t="s">
        <v>28</v>
      </c>
      <c r="BJ2" s="35" t="s">
        <v>29</v>
      </c>
      <c r="BK2" s="24" t="s">
        <v>30</v>
      </c>
      <c r="BL2" s="32" t="s">
        <v>31</v>
      </c>
      <c r="BM2" s="27" t="s">
        <v>27</v>
      </c>
      <c r="BN2" s="34" t="s">
        <v>5</v>
      </c>
      <c r="BO2" s="36" t="s">
        <v>28</v>
      </c>
      <c r="BP2" s="35" t="s">
        <v>29</v>
      </c>
      <c r="BQ2" s="24" t="s">
        <v>30</v>
      </c>
      <c r="BR2" s="32" t="s">
        <v>31</v>
      </c>
      <c r="BS2" s="37" t="s">
        <v>28</v>
      </c>
      <c r="BT2" s="37" t="s">
        <v>29</v>
      </c>
      <c r="BU2" s="37" t="s">
        <v>30</v>
      </c>
      <c r="BV2" s="37" t="s">
        <v>31</v>
      </c>
      <c r="BW2" s="22"/>
      <c r="BX2" s="22"/>
      <c r="BY2" s="22"/>
      <c r="BZ2" s="22"/>
      <c r="CA2" s="22"/>
    </row>
    <row r="3" spans="1:79" ht="19.5" customHeight="1" x14ac:dyDescent="0.25">
      <c r="A3" s="23"/>
      <c r="B3" s="23"/>
      <c r="C3" s="23"/>
      <c r="D3" s="1"/>
      <c r="E3" s="23"/>
      <c r="F3" s="23"/>
      <c r="G3" s="23"/>
      <c r="H3" s="23"/>
      <c r="I3" s="23"/>
      <c r="J3" s="23"/>
      <c r="K3" s="2" t="s">
        <v>32</v>
      </c>
      <c r="L3" s="3" t="s">
        <v>33</v>
      </c>
      <c r="M3" s="4" t="s">
        <v>34</v>
      </c>
      <c r="N3" s="5" t="s">
        <v>35</v>
      </c>
      <c r="O3" s="6" t="s">
        <v>36</v>
      </c>
      <c r="P3" s="7" t="s">
        <v>37</v>
      </c>
      <c r="Q3" s="28"/>
      <c r="R3" s="25"/>
      <c r="S3" s="25"/>
      <c r="T3" s="25"/>
      <c r="U3" s="25"/>
      <c r="V3" s="33"/>
      <c r="W3" s="28"/>
      <c r="X3" s="25"/>
      <c r="Y3" s="25"/>
      <c r="Z3" s="25"/>
      <c r="AA3" s="25"/>
      <c r="AB3" s="33"/>
      <c r="AC3" s="28"/>
      <c r="AD3" s="25"/>
      <c r="AE3" s="25"/>
      <c r="AF3" s="25"/>
      <c r="AG3" s="25"/>
      <c r="AH3" s="33"/>
      <c r="AI3" s="28"/>
      <c r="AJ3" s="25"/>
      <c r="AK3" s="25"/>
      <c r="AL3" s="25"/>
      <c r="AM3" s="25"/>
      <c r="AN3" s="33"/>
      <c r="AO3" s="28"/>
      <c r="AP3" s="25"/>
      <c r="AQ3" s="25"/>
      <c r="AR3" s="25"/>
      <c r="AS3" s="25"/>
      <c r="AT3" s="33"/>
      <c r="AU3" s="28"/>
      <c r="AV3" s="25"/>
      <c r="AW3" s="25"/>
      <c r="AX3" s="25"/>
      <c r="AY3" s="25"/>
      <c r="AZ3" s="33"/>
      <c r="BA3" s="28"/>
      <c r="BB3" s="25"/>
      <c r="BC3" s="25"/>
      <c r="BD3" s="25"/>
      <c r="BE3" s="25"/>
      <c r="BF3" s="33"/>
      <c r="BG3" s="28"/>
      <c r="BH3" s="25"/>
      <c r="BI3" s="25"/>
      <c r="BJ3" s="25"/>
      <c r="BK3" s="25"/>
      <c r="BL3" s="33"/>
      <c r="BM3" s="28"/>
      <c r="BN3" s="25"/>
      <c r="BO3" s="25"/>
      <c r="BP3" s="25"/>
      <c r="BQ3" s="25"/>
      <c r="BR3" s="33"/>
      <c r="BS3" s="23"/>
      <c r="BT3" s="23"/>
      <c r="BU3" s="23"/>
      <c r="BV3" s="23"/>
      <c r="BW3" s="23"/>
      <c r="BX3" s="23"/>
      <c r="BY3" s="23"/>
      <c r="BZ3" s="23"/>
      <c r="CA3" s="23"/>
    </row>
    <row r="4" spans="1:79" ht="15.75" customHeight="1" x14ac:dyDescent="0.25">
      <c r="A4" s="8" t="s">
        <v>904</v>
      </c>
      <c r="B4" s="8" t="s">
        <v>4081</v>
      </c>
      <c r="C4" s="8" t="s">
        <v>2296</v>
      </c>
      <c r="D4" s="8" t="s">
        <v>4082</v>
      </c>
      <c r="E4" s="8" t="s">
        <v>4083</v>
      </c>
      <c r="F4" s="8" t="s">
        <v>56</v>
      </c>
      <c r="G4" s="8"/>
      <c r="H4" s="8">
        <v>1000</v>
      </c>
      <c r="I4" s="8" t="s">
        <v>4084</v>
      </c>
      <c r="J4" s="8">
        <v>1</v>
      </c>
      <c r="K4" s="8">
        <v>250</v>
      </c>
      <c r="L4" s="8">
        <v>248</v>
      </c>
      <c r="M4" s="8">
        <v>249</v>
      </c>
      <c r="N4" s="8">
        <v>433</v>
      </c>
      <c r="O4" s="8">
        <v>439</v>
      </c>
      <c r="P4" s="8">
        <v>431</v>
      </c>
      <c r="Q4" s="9" t="s">
        <v>47</v>
      </c>
      <c r="R4" s="16"/>
      <c r="S4" s="10">
        <v>42</v>
      </c>
      <c r="T4" s="10">
        <v>64</v>
      </c>
      <c r="U4" s="10">
        <v>69</v>
      </c>
      <c r="V4" s="11">
        <v>32</v>
      </c>
      <c r="W4" s="12" t="s">
        <v>47</v>
      </c>
      <c r="X4" s="17"/>
      <c r="Y4" s="13">
        <v>47</v>
      </c>
      <c r="Z4" s="13">
        <v>31</v>
      </c>
      <c r="AA4" s="13">
        <v>14</v>
      </c>
      <c r="AB4" s="14">
        <v>24</v>
      </c>
      <c r="AC4" s="9" t="s">
        <v>47</v>
      </c>
      <c r="AD4" s="16"/>
      <c r="AE4" s="10">
        <v>18</v>
      </c>
      <c r="AF4" s="10">
        <v>5</v>
      </c>
      <c r="AG4" s="10">
        <v>3</v>
      </c>
      <c r="AH4" s="11">
        <v>11</v>
      </c>
      <c r="AI4" s="12" t="s">
        <v>47</v>
      </c>
      <c r="AJ4" s="17"/>
      <c r="AK4" s="13">
        <v>42</v>
      </c>
      <c r="AL4" s="13">
        <v>28</v>
      </c>
      <c r="AM4" s="13">
        <v>69</v>
      </c>
      <c r="AN4" s="14">
        <v>35</v>
      </c>
      <c r="AO4" s="9"/>
      <c r="AP4" s="16"/>
      <c r="AQ4" s="10"/>
      <c r="AR4" s="10"/>
      <c r="AS4" s="10"/>
      <c r="AT4" s="11"/>
      <c r="AU4" s="12"/>
      <c r="AV4" s="17"/>
      <c r="AW4" s="13"/>
      <c r="AX4" s="13"/>
      <c r="AY4" s="13"/>
      <c r="AZ4" s="14"/>
      <c r="BA4" s="9"/>
      <c r="BB4" s="16"/>
      <c r="BC4" s="10"/>
      <c r="BD4" s="10"/>
      <c r="BE4" s="10"/>
      <c r="BF4" s="11"/>
      <c r="BG4" s="12"/>
      <c r="BH4" s="17"/>
      <c r="BI4" s="13"/>
      <c r="BJ4" s="13"/>
      <c r="BK4" s="13"/>
      <c r="BL4" s="14"/>
      <c r="BM4" s="9"/>
      <c r="BN4" s="16"/>
      <c r="BO4" s="10"/>
      <c r="BP4" s="10"/>
      <c r="BQ4" s="10"/>
      <c r="BR4" s="11"/>
      <c r="BS4" s="8">
        <f t="shared" ref="BS4:BS35" si="0">SUM(S4,Y4,AE4,AK4,AQ4,AW4,BC4,BI4,BO4)</f>
        <v>149</v>
      </c>
      <c r="BT4" s="8">
        <f t="shared" ref="BT4:BT35" si="1">SUM(T4,Z4,AF4,AL4,AR4,AX4,BD4,BJ4,BP4)</f>
        <v>128</v>
      </c>
      <c r="BU4" s="8">
        <f t="shared" ref="BU4:BU35" si="2">SUM(U4,AA4,AG4,AM4,AS4,AY4,BE4,BK4,BQ4)</f>
        <v>155</v>
      </c>
      <c r="BV4" s="8">
        <f t="shared" ref="BV4:BV35" si="3">SUM(V4,AB4,AH4,AN4,AT4,AZ4,BF4,BL4,BR4)</f>
        <v>102</v>
      </c>
      <c r="BW4" s="8">
        <f t="shared" ref="BW4:BW35" si="4">MAX(BS4:BU4)</f>
        <v>155</v>
      </c>
      <c r="BX4" s="8">
        <f t="shared" ref="BX4:BX35" si="5">MIN(BS4:BU4)</f>
        <v>128</v>
      </c>
      <c r="BY4" s="15">
        <f t="shared" ref="BY4:BY35" si="6">IF(H4&gt;0,(BW4*SQRT(3)*IF(N4&gt;0,N4,IF(O4&gt;0,O4,IF(P4&gt;0,P4,415)))/(H4*1000))*100,0)</f>
        <v>11.624658994998519</v>
      </c>
      <c r="BZ4" s="15" t="str">
        <f t="shared" ref="BZ4:BZ35" si="7">IF(BY4&gt;70,"Upgrade","OK - No Upgrade")</f>
        <v>OK - No Upgrade</v>
      </c>
      <c r="CA4" s="15" t="str">
        <f t="shared" ref="CA4:CA35" si="8">IF(IF(AVERAGE(BS4:BU4)&gt;0,((BW4-AVERAGE(BS4:BU4))/AVERAGE(BS4:BU4))*100,0)&gt;10,"Need to Balance","OK - Balanced")</f>
        <v>OK - Balanced</v>
      </c>
    </row>
    <row r="5" spans="1:79" ht="15.75" customHeight="1" x14ac:dyDescent="0.25">
      <c r="A5" s="8" t="s">
        <v>904</v>
      </c>
      <c r="B5" s="8" t="s">
        <v>4081</v>
      </c>
      <c r="C5" s="8" t="s">
        <v>2296</v>
      </c>
      <c r="D5" s="8" t="s">
        <v>4085</v>
      </c>
      <c r="E5" s="8" t="s">
        <v>4086</v>
      </c>
      <c r="F5" s="8" t="s">
        <v>56</v>
      </c>
      <c r="G5" s="8"/>
      <c r="H5" s="8">
        <v>500</v>
      </c>
      <c r="I5" s="8" t="s">
        <v>4087</v>
      </c>
      <c r="J5" s="8">
        <v>1</v>
      </c>
      <c r="K5" s="8">
        <v>252</v>
      </c>
      <c r="L5" s="8">
        <v>249</v>
      </c>
      <c r="M5" s="8">
        <v>251</v>
      </c>
      <c r="N5" s="8">
        <v>447</v>
      </c>
      <c r="O5" s="8">
        <v>438</v>
      </c>
      <c r="P5" s="8">
        <v>436</v>
      </c>
      <c r="Q5" s="9"/>
      <c r="R5" s="16"/>
      <c r="S5" s="10"/>
      <c r="T5" s="10"/>
      <c r="U5" s="10"/>
      <c r="V5" s="11"/>
      <c r="W5" s="12"/>
      <c r="X5" s="17"/>
      <c r="Y5" s="13"/>
      <c r="Z5" s="13"/>
      <c r="AA5" s="13"/>
      <c r="AB5" s="14"/>
      <c r="AC5" s="9" t="s">
        <v>47</v>
      </c>
      <c r="AD5" s="16"/>
      <c r="AE5" s="10">
        <v>4</v>
      </c>
      <c r="AF5" s="10">
        <v>2</v>
      </c>
      <c r="AG5" s="10">
        <v>0</v>
      </c>
      <c r="AH5" s="11">
        <v>3</v>
      </c>
      <c r="AI5" s="12" t="s">
        <v>47</v>
      </c>
      <c r="AJ5" s="17"/>
      <c r="AK5" s="13">
        <v>26</v>
      </c>
      <c r="AL5" s="13">
        <v>20</v>
      </c>
      <c r="AM5" s="13">
        <v>17</v>
      </c>
      <c r="AN5" s="14">
        <v>11</v>
      </c>
      <c r="AO5" s="9" t="s">
        <v>47</v>
      </c>
      <c r="AP5" s="16"/>
      <c r="AQ5" s="10">
        <v>17</v>
      </c>
      <c r="AR5" s="10">
        <v>15</v>
      </c>
      <c r="AS5" s="10">
        <v>19</v>
      </c>
      <c r="AT5" s="11">
        <v>8</v>
      </c>
      <c r="AU5" s="12" t="s">
        <v>47</v>
      </c>
      <c r="AV5" s="17"/>
      <c r="AW5" s="13">
        <v>23</v>
      </c>
      <c r="AX5" s="13">
        <v>19</v>
      </c>
      <c r="AY5" s="13">
        <v>40</v>
      </c>
      <c r="AZ5" s="14">
        <v>31</v>
      </c>
      <c r="BA5" s="9"/>
      <c r="BB5" s="16"/>
      <c r="BC5" s="10"/>
      <c r="BD5" s="10"/>
      <c r="BE5" s="10"/>
      <c r="BF5" s="11"/>
      <c r="BG5" s="12"/>
      <c r="BH5" s="17"/>
      <c r="BI5" s="13"/>
      <c r="BJ5" s="13"/>
      <c r="BK5" s="13"/>
      <c r="BL5" s="14"/>
      <c r="BM5" s="9"/>
      <c r="BN5" s="16"/>
      <c r="BO5" s="10"/>
      <c r="BP5" s="10"/>
      <c r="BQ5" s="10"/>
      <c r="BR5" s="11"/>
      <c r="BS5" s="8">
        <f t="shared" si="0"/>
        <v>70</v>
      </c>
      <c r="BT5" s="8">
        <f t="shared" si="1"/>
        <v>56</v>
      </c>
      <c r="BU5" s="8">
        <f t="shared" si="2"/>
        <v>76</v>
      </c>
      <c r="BV5" s="8">
        <f t="shared" si="3"/>
        <v>53</v>
      </c>
      <c r="BW5" s="8">
        <f t="shared" si="4"/>
        <v>76</v>
      </c>
      <c r="BX5" s="8">
        <f t="shared" si="5"/>
        <v>56</v>
      </c>
      <c r="BY5" s="15">
        <f t="shared" si="6"/>
        <v>11.768246006945979</v>
      </c>
      <c r="BZ5" s="15" t="str">
        <f t="shared" si="7"/>
        <v>OK - No Upgrade</v>
      </c>
      <c r="CA5" s="15" t="str">
        <f t="shared" si="8"/>
        <v>Need to Balance</v>
      </c>
    </row>
    <row r="6" spans="1:79" ht="15.75" customHeight="1" x14ac:dyDescent="0.25">
      <c r="A6" s="8" t="s">
        <v>904</v>
      </c>
      <c r="B6" s="8" t="s">
        <v>4081</v>
      </c>
      <c r="C6" s="8" t="s">
        <v>2296</v>
      </c>
      <c r="D6" s="8" t="s">
        <v>4088</v>
      </c>
      <c r="E6" s="8" t="s">
        <v>4089</v>
      </c>
      <c r="F6" s="8" t="s">
        <v>56</v>
      </c>
      <c r="G6" s="8" t="s">
        <v>44</v>
      </c>
      <c r="H6" s="8">
        <v>1000</v>
      </c>
      <c r="I6" s="8" t="s">
        <v>4090</v>
      </c>
      <c r="J6" s="8">
        <v>1</v>
      </c>
      <c r="K6" s="8">
        <v>253</v>
      </c>
      <c r="L6" s="8">
        <v>253</v>
      </c>
      <c r="M6" s="8">
        <v>251</v>
      </c>
      <c r="N6" s="8">
        <v>442</v>
      </c>
      <c r="O6" s="8">
        <v>438</v>
      </c>
      <c r="P6" s="8">
        <v>436</v>
      </c>
      <c r="Q6" s="9" t="s">
        <v>47</v>
      </c>
      <c r="R6" s="16"/>
      <c r="S6" s="10"/>
      <c r="T6" s="10"/>
      <c r="U6" s="10"/>
      <c r="V6" s="11"/>
      <c r="W6" s="12"/>
      <c r="X6" s="17"/>
      <c r="Y6" s="13"/>
      <c r="Z6" s="13"/>
      <c r="AA6" s="13"/>
      <c r="AB6" s="14"/>
      <c r="AC6" s="9"/>
      <c r="AD6" s="16"/>
      <c r="AE6" s="10"/>
      <c r="AF6" s="10"/>
      <c r="AG6" s="10"/>
      <c r="AH6" s="11"/>
      <c r="AI6" s="12"/>
      <c r="AJ6" s="17"/>
      <c r="AK6" s="13"/>
      <c r="AL6" s="13"/>
      <c r="AM6" s="13"/>
      <c r="AN6" s="14"/>
      <c r="AO6" s="9" t="s">
        <v>47</v>
      </c>
      <c r="AP6" s="16"/>
      <c r="AQ6" s="10">
        <v>23</v>
      </c>
      <c r="AR6" s="10">
        <v>45</v>
      </c>
      <c r="AS6" s="10">
        <v>32</v>
      </c>
      <c r="AT6" s="11">
        <v>15</v>
      </c>
      <c r="AU6" s="12" t="s">
        <v>47</v>
      </c>
      <c r="AV6" s="17"/>
      <c r="AW6" s="13">
        <v>50</v>
      </c>
      <c r="AX6" s="13">
        <v>19</v>
      </c>
      <c r="AY6" s="13">
        <v>3</v>
      </c>
      <c r="AZ6" s="14">
        <v>42</v>
      </c>
      <c r="BA6" s="9" t="s">
        <v>47</v>
      </c>
      <c r="BB6" s="16"/>
      <c r="BC6" s="10">
        <v>1</v>
      </c>
      <c r="BD6" s="10">
        <v>22</v>
      </c>
      <c r="BE6" s="10">
        <v>4</v>
      </c>
      <c r="BF6" s="11">
        <v>15</v>
      </c>
      <c r="BG6" s="12" t="s">
        <v>47</v>
      </c>
      <c r="BH6" s="17"/>
      <c r="BI6" s="13">
        <v>44</v>
      </c>
      <c r="BJ6" s="13">
        <v>14</v>
      </c>
      <c r="BK6" s="13">
        <v>20</v>
      </c>
      <c r="BL6" s="14">
        <v>16</v>
      </c>
      <c r="BM6" s="9"/>
      <c r="BN6" s="16"/>
      <c r="BO6" s="10"/>
      <c r="BP6" s="10"/>
      <c r="BQ6" s="10"/>
      <c r="BR6" s="11"/>
      <c r="BS6" s="8">
        <f t="shared" si="0"/>
        <v>118</v>
      </c>
      <c r="BT6" s="8">
        <f t="shared" si="1"/>
        <v>100</v>
      </c>
      <c r="BU6" s="8">
        <f t="shared" si="2"/>
        <v>59</v>
      </c>
      <c r="BV6" s="8">
        <f t="shared" si="3"/>
        <v>88</v>
      </c>
      <c r="BW6" s="8">
        <f t="shared" si="4"/>
        <v>118</v>
      </c>
      <c r="BX6" s="8">
        <f t="shared" si="5"/>
        <v>59</v>
      </c>
      <c r="BY6" s="15">
        <f t="shared" si="6"/>
        <v>9.033684191956235</v>
      </c>
      <c r="BZ6" s="15" t="str">
        <f t="shared" si="7"/>
        <v>OK - No Upgrade</v>
      </c>
      <c r="CA6" s="15" t="str">
        <f t="shared" si="8"/>
        <v>Need to Balance</v>
      </c>
    </row>
    <row r="7" spans="1:79" ht="15.75" customHeight="1" x14ac:dyDescent="0.25">
      <c r="A7" s="8" t="s">
        <v>904</v>
      </c>
      <c r="B7" s="8" t="s">
        <v>4081</v>
      </c>
      <c r="C7" s="8" t="s">
        <v>905</v>
      </c>
      <c r="D7" s="8" t="s">
        <v>4091</v>
      </c>
      <c r="E7" s="8" t="s">
        <v>4092</v>
      </c>
      <c r="F7" s="8" t="s">
        <v>56</v>
      </c>
      <c r="G7" s="8" t="s">
        <v>44</v>
      </c>
      <c r="H7" s="8">
        <v>1000</v>
      </c>
      <c r="I7" s="8" t="s">
        <v>4093</v>
      </c>
      <c r="J7" s="8">
        <v>1</v>
      </c>
      <c r="K7" s="8">
        <v>241</v>
      </c>
      <c r="L7" s="8">
        <v>246</v>
      </c>
      <c r="M7" s="8">
        <v>245</v>
      </c>
      <c r="N7" s="8">
        <v>421</v>
      </c>
      <c r="O7" s="8">
        <v>424</v>
      </c>
      <c r="P7" s="8">
        <v>429</v>
      </c>
      <c r="Q7" s="9" t="s">
        <v>47</v>
      </c>
      <c r="R7" s="16"/>
      <c r="S7" s="10">
        <v>106</v>
      </c>
      <c r="T7" s="10">
        <v>11</v>
      </c>
      <c r="U7" s="10">
        <v>46</v>
      </c>
      <c r="V7" s="11">
        <v>79</v>
      </c>
      <c r="W7" s="12" t="s">
        <v>47</v>
      </c>
      <c r="X7" s="17"/>
      <c r="Y7" s="13">
        <v>132</v>
      </c>
      <c r="Z7" s="13">
        <v>100</v>
      </c>
      <c r="AA7" s="13">
        <v>98</v>
      </c>
      <c r="AB7" s="14">
        <v>97</v>
      </c>
      <c r="AC7" s="9" t="s">
        <v>47</v>
      </c>
      <c r="AD7" s="16"/>
      <c r="AE7" s="10">
        <v>12</v>
      </c>
      <c r="AF7" s="10">
        <v>9</v>
      </c>
      <c r="AG7" s="10">
        <v>1</v>
      </c>
      <c r="AH7" s="11">
        <v>2</v>
      </c>
      <c r="AI7" s="12" t="s">
        <v>47</v>
      </c>
      <c r="AJ7" s="17"/>
      <c r="AK7" s="13">
        <v>183</v>
      </c>
      <c r="AL7" s="13">
        <v>127</v>
      </c>
      <c r="AM7" s="13">
        <v>119</v>
      </c>
      <c r="AN7" s="14">
        <v>42</v>
      </c>
      <c r="AO7" s="9"/>
      <c r="AP7" s="16"/>
      <c r="AQ7" s="10"/>
      <c r="AR7" s="10"/>
      <c r="AS7" s="10"/>
      <c r="AT7" s="11"/>
      <c r="AU7" s="12"/>
      <c r="AV7" s="17"/>
      <c r="AW7" s="13"/>
      <c r="AX7" s="13"/>
      <c r="AY7" s="13"/>
      <c r="AZ7" s="14"/>
      <c r="BA7" s="9"/>
      <c r="BB7" s="16"/>
      <c r="BC7" s="10"/>
      <c r="BD7" s="10"/>
      <c r="BE7" s="10"/>
      <c r="BF7" s="11"/>
      <c r="BG7" s="12"/>
      <c r="BH7" s="17"/>
      <c r="BI7" s="13"/>
      <c r="BJ7" s="13"/>
      <c r="BK7" s="13"/>
      <c r="BL7" s="14"/>
      <c r="BM7" s="9"/>
      <c r="BN7" s="16"/>
      <c r="BO7" s="10"/>
      <c r="BP7" s="10"/>
      <c r="BQ7" s="10"/>
      <c r="BR7" s="11"/>
      <c r="BS7" s="8">
        <f t="shared" si="0"/>
        <v>433</v>
      </c>
      <c r="BT7" s="8">
        <f t="shared" si="1"/>
        <v>247</v>
      </c>
      <c r="BU7" s="8">
        <f t="shared" si="2"/>
        <v>264</v>
      </c>
      <c r="BV7" s="8">
        <f t="shared" si="3"/>
        <v>220</v>
      </c>
      <c r="BW7" s="8">
        <f t="shared" si="4"/>
        <v>433</v>
      </c>
      <c r="BX7" s="8">
        <f t="shared" si="5"/>
        <v>247</v>
      </c>
      <c r="BY7" s="15">
        <f t="shared" si="6"/>
        <v>31.574073786415337</v>
      </c>
      <c r="BZ7" s="15" t="str">
        <f t="shared" si="7"/>
        <v>OK - No Upgrade</v>
      </c>
      <c r="CA7" s="15" t="str">
        <f t="shared" si="8"/>
        <v>Need to Balance</v>
      </c>
    </row>
    <row r="8" spans="1:79" ht="15.75" customHeight="1" x14ac:dyDescent="0.25">
      <c r="A8" s="8" t="s">
        <v>904</v>
      </c>
      <c r="B8" s="8" t="s">
        <v>4081</v>
      </c>
      <c r="C8" s="8" t="s">
        <v>905</v>
      </c>
      <c r="D8" s="8" t="s">
        <v>4094</v>
      </c>
      <c r="E8" s="8" t="s">
        <v>4095</v>
      </c>
      <c r="F8" s="8" t="s">
        <v>56</v>
      </c>
      <c r="G8" s="8" t="s">
        <v>44</v>
      </c>
      <c r="H8" s="8">
        <v>1000</v>
      </c>
      <c r="I8" s="8" t="s">
        <v>4096</v>
      </c>
      <c r="J8" s="8">
        <v>1</v>
      </c>
      <c r="K8" s="8">
        <v>242</v>
      </c>
      <c r="L8" s="8">
        <v>246</v>
      </c>
      <c r="M8" s="8">
        <v>245</v>
      </c>
      <c r="N8" s="8">
        <v>423</v>
      </c>
      <c r="O8" s="8">
        <v>421</v>
      </c>
      <c r="P8" s="8">
        <v>427</v>
      </c>
      <c r="Q8" s="9"/>
      <c r="R8" s="16"/>
      <c r="S8" s="10"/>
      <c r="T8" s="10"/>
      <c r="U8" s="10"/>
      <c r="V8" s="11"/>
      <c r="W8" s="12"/>
      <c r="X8" s="17"/>
      <c r="Y8" s="13"/>
      <c r="Z8" s="13"/>
      <c r="AA8" s="13"/>
      <c r="AB8" s="14"/>
      <c r="AC8" s="9" t="s">
        <v>47</v>
      </c>
      <c r="AD8" s="16"/>
      <c r="AE8" s="10">
        <v>62</v>
      </c>
      <c r="AF8" s="10">
        <v>77</v>
      </c>
      <c r="AG8" s="10">
        <v>21</v>
      </c>
      <c r="AH8" s="11">
        <v>28</v>
      </c>
      <c r="AI8" s="12" t="s">
        <v>47</v>
      </c>
      <c r="AJ8" s="17"/>
      <c r="AK8" s="13">
        <v>203</v>
      </c>
      <c r="AL8" s="13">
        <v>321</v>
      </c>
      <c r="AM8" s="13">
        <v>144</v>
      </c>
      <c r="AN8" s="14">
        <v>55</v>
      </c>
      <c r="AO8" s="9" t="s">
        <v>47</v>
      </c>
      <c r="AP8" s="16"/>
      <c r="AQ8" s="10">
        <v>37</v>
      </c>
      <c r="AR8" s="10">
        <v>13</v>
      </c>
      <c r="AS8" s="10">
        <v>81</v>
      </c>
      <c r="AT8" s="11">
        <v>46</v>
      </c>
      <c r="AU8" s="12"/>
      <c r="AV8" s="17"/>
      <c r="AW8" s="13">
        <v>160</v>
      </c>
      <c r="AX8" s="13">
        <v>120</v>
      </c>
      <c r="AY8" s="13">
        <v>136</v>
      </c>
      <c r="AZ8" s="14">
        <v>2</v>
      </c>
      <c r="BA8" s="9" t="s">
        <v>47</v>
      </c>
      <c r="BB8" s="16"/>
      <c r="BC8" s="10">
        <v>108</v>
      </c>
      <c r="BD8" s="10">
        <v>90</v>
      </c>
      <c r="BE8" s="10">
        <v>105</v>
      </c>
      <c r="BF8" s="11">
        <v>31</v>
      </c>
      <c r="BG8" s="12"/>
      <c r="BH8" s="17"/>
      <c r="BI8" s="13"/>
      <c r="BJ8" s="13"/>
      <c r="BK8" s="13"/>
      <c r="BL8" s="14"/>
      <c r="BM8" s="9"/>
      <c r="BN8" s="16"/>
      <c r="BO8" s="10"/>
      <c r="BP8" s="10"/>
      <c r="BQ8" s="10"/>
      <c r="BR8" s="11"/>
      <c r="BS8" s="8">
        <f t="shared" si="0"/>
        <v>570</v>
      </c>
      <c r="BT8" s="8">
        <f t="shared" si="1"/>
        <v>621</v>
      </c>
      <c r="BU8" s="8">
        <f t="shared" si="2"/>
        <v>487</v>
      </c>
      <c r="BV8" s="8">
        <f t="shared" si="3"/>
        <v>162</v>
      </c>
      <c r="BW8" s="8">
        <f t="shared" si="4"/>
        <v>621</v>
      </c>
      <c r="BX8" s="8">
        <f t="shared" si="5"/>
        <v>487</v>
      </c>
      <c r="BY8" s="15">
        <f t="shared" si="6"/>
        <v>45.498030228461531</v>
      </c>
      <c r="BZ8" s="15" t="str">
        <f t="shared" si="7"/>
        <v>OK - No Upgrade</v>
      </c>
      <c r="CA8" s="15" t="str">
        <f t="shared" si="8"/>
        <v>Need to Balance</v>
      </c>
    </row>
    <row r="9" spans="1:79" ht="15.75" customHeight="1" x14ac:dyDescent="0.25">
      <c r="A9" s="8" t="s">
        <v>904</v>
      </c>
      <c r="B9" s="8" t="s">
        <v>4081</v>
      </c>
      <c r="C9" s="8" t="s">
        <v>905</v>
      </c>
      <c r="D9" s="8" t="s">
        <v>4097</v>
      </c>
      <c r="E9" s="8" t="s">
        <v>4098</v>
      </c>
      <c r="F9" s="8" t="s">
        <v>56</v>
      </c>
      <c r="G9" s="8" t="s">
        <v>44</v>
      </c>
      <c r="H9" s="8">
        <v>1000</v>
      </c>
      <c r="I9" s="8" t="s">
        <v>4099</v>
      </c>
      <c r="J9" s="8">
        <v>1</v>
      </c>
      <c r="K9" s="8">
        <v>245</v>
      </c>
      <c r="L9" s="8">
        <v>248</v>
      </c>
      <c r="M9" s="8">
        <v>248</v>
      </c>
      <c r="N9" s="8">
        <v>429</v>
      </c>
      <c r="O9" s="8">
        <v>427</v>
      </c>
      <c r="P9" s="8">
        <v>434</v>
      </c>
      <c r="Q9" s="9"/>
      <c r="R9" s="16"/>
      <c r="S9" s="10"/>
      <c r="T9" s="10"/>
      <c r="U9" s="10"/>
      <c r="V9" s="11"/>
      <c r="W9" s="12"/>
      <c r="X9" s="17"/>
      <c r="Y9" s="13"/>
      <c r="Z9" s="13"/>
      <c r="AA9" s="13"/>
      <c r="AB9" s="14"/>
      <c r="AC9" s="9"/>
      <c r="AD9" s="16"/>
      <c r="AE9" s="10"/>
      <c r="AF9" s="10"/>
      <c r="AG9" s="10"/>
      <c r="AH9" s="11"/>
      <c r="AI9" s="12"/>
      <c r="AJ9" s="17"/>
      <c r="AK9" s="13"/>
      <c r="AL9" s="13"/>
      <c r="AM9" s="13"/>
      <c r="AN9" s="14"/>
      <c r="AO9" s="9" t="s">
        <v>47</v>
      </c>
      <c r="AP9" s="16"/>
      <c r="AQ9" s="10">
        <v>29</v>
      </c>
      <c r="AR9" s="10">
        <v>2</v>
      </c>
      <c r="AS9" s="10">
        <v>30</v>
      </c>
      <c r="AT9" s="11">
        <v>23</v>
      </c>
      <c r="AU9" s="12" t="s">
        <v>47</v>
      </c>
      <c r="AV9" s="17"/>
      <c r="AW9" s="13">
        <v>47</v>
      </c>
      <c r="AX9" s="13">
        <v>28</v>
      </c>
      <c r="AY9" s="13">
        <v>26</v>
      </c>
      <c r="AZ9" s="14">
        <v>17</v>
      </c>
      <c r="BA9" s="9" t="s">
        <v>47</v>
      </c>
      <c r="BB9" s="16"/>
      <c r="BC9" s="10">
        <v>67</v>
      </c>
      <c r="BD9" s="10">
        <v>35</v>
      </c>
      <c r="BE9" s="10">
        <v>63</v>
      </c>
      <c r="BF9" s="11">
        <v>21</v>
      </c>
      <c r="BG9" s="12" t="s">
        <v>47</v>
      </c>
      <c r="BH9" s="17"/>
      <c r="BI9" s="13">
        <v>28</v>
      </c>
      <c r="BJ9" s="13">
        <v>31</v>
      </c>
      <c r="BK9" s="13">
        <v>13</v>
      </c>
      <c r="BL9" s="14">
        <v>17</v>
      </c>
      <c r="BM9" s="9"/>
      <c r="BN9" s="16"/>
      <c r="BO9" s="10"/>
      <c r="BP9" s="10"/>
      <c r="BQ9" s="10"/>
      <c r="BR9" s="11"/>
      <c r="BS9" s="8">
        <f t="shared" si="0"/>
        <v>171</v>
      </c>
      <c r="BT9" s="8">
        <f t="shared" si="1"/>
        <v>96</v>
      </c>
      <c r="BU9" s="8">
        <f t="shared" si="2"/>
        <v>132</v>
      </c>
      <c r="BV9" s="8">
        <f t="shared" si="3"/>
        <v>78</v>
      </c>
      <c r="BW9" s="8">
        <f t="shared" si="4"/>
        <v>171</v>
      </c>
      <c r="BX9" s="8">
        <f t="shared" si="5"/>
        <v>96</v>
      </c>
      <c r="BY9" s="15">
        <f t="shared" si="6"/>
        <v>12.706151519244527</v>
      </c>
      <c r="BZ9" s="15" t="str">
        <f t="shared" si="7"/>
        <v>OK - No Upgrade</v>
      </c>
      <c r="CA9" s="15" t="str">
        <f t="shared" si="8"/>
        <v>Need to Balance</v>
      </c>
    </row>
    <row r="10" spans="1:79" ht="15.75" customHeight="1" x14ac:dyDescent="0.25">
      <c r="A10" s="8" t="s">
        <v>904</v>
      </c>
      <c r="B10" s="8" t="s">
        <v>4081</v>
      </c>
      <c r="C10" s="8" t="s">
        <v>905</v>
      </c>
      <c r="D10" s="8" t="s">
        <v>4100</v>
      </c>
      <c r="E10" s="8" t="s">
        <v>4101</v>
      </c>
      <c r="F10" s="8" t="s">
        <v>43</v>
      </c>
      <c r="G10" s="8" t="s">
        <v>44</v>
      </c>
      <c r="H10" s="8">
        <v>315</v>
      </c>
      <c r="I10" s="8" t="s">
        <v>4102</v>
      </c>
      <c r="J10" s="8">
        <v>1</v>
      </c>
      <c r="K10" s="8">
        <v>244</v>
      </c>
      <c r="L10" s="8">
        <v>245</v>
      </c>
      <c r="M10" s="8">
        <v>246</v>
      </c>
      <c r="N10" s="8">
        <v>425</v>
      </c>
      <c r="O10" s="8">
        <v>424</v>
      </c>
      <c r="P10" s="8">
        <v>429</v>
      </c>
      <c r="Q10" s="9" t="s">
        <v>46</v>
      </c>
      <c r="R10" s="16"/>
      <c r="S10" s="10">
        <v>52</v>
      </c>
      <c r="T10" s="10">
        <v>95</v>
      </c>
      <c r="U10" s="10">
        <v>31</v>
      </c>
      <c r="V10" s="11">
        <v>61</v>
      </c>
      <c r="W10" s="12" t="s">
        <v>47</v>
      </c>
      <c r="X10" s="17"/>
      <c r="Y10" s="13">
        <v>129</v>
      </c>
      <c r="Z10" s="13">
        <v>129</v>
      </c>
      <c r="AA10" s="13">
        <v>136</v>
      </c>
      <c r="AB10" s="14">
        <v>218</v>
      </c>
      <c r="AC10" s="9"/>
      <c r="AD10" s="16"/>
      <c r="AE10" s="10"/>
      <c r="AF10" s="10"/>
      <c r="AG10" s="10"/>
      <c r="AH10" s="11"/>
      <c r="AI10" s="12"/>
      <c r="AJ10" s="17"/>
      <c r="AK10" s="13"/>
      <c r="AL10" s="13"/>
      <c r="AM10" s="13"/>
      <c r="AN10" s="14"/>
      <c r="AO10" s="9"/>
      <c r="AP10" s="16"/>
      <c r="AQ10" s="10"/>
      <c r="AR10" s="10"/>
      <c r="AS10" s="10"/>
      <c r="AT10" s="11"/>
      <c r="AU10" s="12"/>
      <c r="AV10" s="17"/>
      <c r="AW10" s="13"/>
      <c r="AX10" s="13"/>
      <c r="AY10" s="13"/>
      <c r="AZ10" s="14"/>
      <c r="BA10" s="9"/>
      <c r="BB10" s="16"/>
      <c r="BC10" s="10"/>
      <c r="BD10" s="10"/>
      <c r="BE10" s="10"/>
      <c r="BF10" s="11"/>
      <c r="BG10" s="12"/>
      <c r="BH10" s="17"/>
      <c r="BI10" s="13"/>
      <c r="BJ10" s="13"/>
      <c r="BK10" s="13"/>
      <c r="BL10" s="14"/>
      <c r="BM10" s="9"/>
      <c r="BN10" s="16"/>
      <c r="BO10" s="10"/>
      <c r="BP10" s="10"/>
      <c r="BQ10" s="10"/>
      <c r="BR10" s="11"/>
      <c r="BS10" s="8">
        <f t="shared" si="0"/>
        <v>181</v>
      </c>
      <c r="BT10" s="8">
        <f t="shared" si="1"/>
        <v>224</v>
      </c>
      <c r="BU10" s="8">
        <f t="shared" si="2"/>
        <v>167</v>
      </c>
      <c r="BV10" s="8">
        <f t="shared" si="3"/>
        <v>279</v>
      </c>
      <c r="BW10" s="8">
        <f t="shared" si="4"/>
        <v>224</v>
      </c>
      <c r="BX10" s="8">
        <f t="shared" si="5"/>
        <v>167</v>
      </c>
      <c r="BY10" s="15">
        <f t="shared" si="6"/>
        <v>52.346424406526069</v>
      </c>
      <c r="BZ10" s="15" t="str">
        <f t="shared" si="7"/>
        <v>OK - No Upgrade</v>
      </c>
      <c r="CA10" s="15" t="str">
        <f t="shared" si="8"/>
        <v>Need to Balance</v>
      </c>
    </row>
    <row r="11" spans="1:79" ht="15.75" customHeight="1" x14ac:dyDescent="0.25">
      <c r="A11" s="8" t="s">
        <v>904</v>
      </c>
      <c r="B11" s="8" t="s">
        <v>4081</v>
      </c>
      <c r="C11" s="8" t="s">
        <v>905</v>
      </c>
      <c r="D11" s="8" t="s">
        <v>4103</v>
      </c>
      <c r="E11" s="8" t="s">
        <v>4104</v>
      </c>
      <c r="F11" s="8" t="s">
        <v>56</v>
      </c>
      <c r="G11" s="8" t="s">
        <v>44</v>
      </c>
      <c r="H11" s="8">
        <v>1000</v>
      </c>
      <c r="I11" s="8" t="s">
        <v>4105</v>
      </c>
      <c r="J11" s="8">
        <v>1</v>
      </c>
      <c r="K11" s="8">
        <v>245</v>
      </c>
      <c r="L11" s="8">
        <v>247</v>
      </c>
      <c r="M11" s="8">
        <v>247</v>
      </c>
      <c r="N11" s="8">
        <v>427</v>
      </c>
      <c r="O11" s="8">
        <v>428</v>
      </c>
      <c r="P11" s="8">
        <v>429</v>
      </c>
      <c r="Q11" s="9"/>
      <c r="R11" s="16"/>
      <c r="S11" s="10"/>
      <c r="T11" s="10"/>
      <c r="U11" s="10"/>
      <c r="V11" s="11"/>
      <c r="W11" s="12"/>
      <c r="X11" s="17"/>
      <c r="Y11" s="13"/>
      <c r="Z11" s="13"/>
      <c r="AA11" s="13"/>
      <c r="AB11" s="14"/>
      <c r="AC11" s="9"/>
      <c r="AD11" s="16"/>
      <c r="AE11" s="10"/>
      <c r="AF11" s="10"/>
      <c r="AG11" s="10"/>
      <c r="AH11" s="11"/>
      <c r="AI11" s="12"/>
      <c r="AJ11" s="17"/>
      <c r="AK11" s="13"/>
      <c r="AL11" s="13"/>
      <c r="AM11" s="13"/>
      <c r="AN11" s="14"/>
      <c r="AO11" s="9"/>
      <c r="AP11" s="16"/>
      <c r="AQ11" s="10"/>
      <c r="AR11" s="10"/>
      <c r="AS11" s="10"/>
      <c r="AT11" s="11"/>
      <c r="AU11" s="12" t="s">
        <v>47</v>
      </c>
      <c r="AV11" s="17"/>
      <c r="AW11" s="13">
        <v>254</v>
      </c>
      <c r="AX11" s="13">
        <v>134</v>
      </c>
      <c r="AY11" s="13">
        <v>101</v>
      </c>
      <c r="AZ11" s="14">
        <v>90</v>
      </c>
      <c r="BA11" s="9" t="s">
        <v>47</v>
      </c>
      <c r="BB11" s="16"/>
      <c r="BC11" s="10">
        <v>36</v>
      </c>
      <c r="BD11" s="10">
        <v>75</v>
      </c>
      <c r="BE11" s="10">
        <v>60</v>
      </c>
      <c r="BF11" s="11">
        <v>14</v>
      </c>
      <c r="BG11" s="12" t="s">
        <v>47</v>
      </c>
      <c r="BH11" s="17"/>
      <c r="BI11" s="13">
        <v>20</v>
      </c>
      <c r="BJ11" s="13">
        <v>62</v>
      </c>
      <c r="BK11" s="13">
        <v>52</v>
      </c>
      <c r="BL11" s="14">
        <v>22</v>
      </c>
      <c r="BM11" s="9"/>
      <c r="BN11" s="16"/>
      <c r="BO11" s="10"/>
      <c r="BP11" s="10"/>
      <c r="BQ11" s="10"/>
      <c r="BR11" s="11"/>
      <c r="BS11" s="8">
        <f t="shared" si="0"/>
        <v>310</v>
      </c>
      <c r="BT11" s="8">
        <f t="shared" si="1"/>
        <v>271</v>
      </c>
      <c r="BU11" s="8">
        <f t="shared" si="2"/>
        <v>213</v>
      </c>
      <c r="BV11" s="8">
        <f t="shared" si="3"/>
        <v>126</v>
      </c>
      <c r="BW11" s="8">
        <f t="shared" si="4"/>
        <v>310</v>
      </c>
      <c r="BX11" s="8">
        <f t="shared" si="5"/>
        <v>213</v>
      </c>
      <c r="BY11" s="15">
        <f t="shared" si="6"/>
        <v>22.927156539789227</v>
      </c>
      <c r="BZ11" s="15" t="str">
        <f t="shared" si="7"/>
        <v>OK - No Upgrade</v>
      </c>
      <c r="CA11" s="15" t="str">
        <f t="shared" si="8"/>
        <v>Need to Balance</v>
      </c>
    </row>
    <row r="12" spans="1:79" ht="15.75" customHeight="1" x14ac:dyDescent="0.25">
      <c r="A12" s="8" t="s">
        <v>904</v>
      </c>
      <c r="B12" s="8" t="s">
        <v>4081</v>
      </c>
      <c r="C12" s="8" t="s">
        <v>2206</v>
      </c>
      <c r="D12" s="8" t="s">
        <v>4106</v>
      </c>
      <c r="E12" s="8" t="s">
        <v>4107</v>
      </c>
      <c r="F12" s="8" t="s">
        <v>56</v>
      </c>
      <c r="G12" s="8"/>
      <c r="H12" s="8">
        <v>1000</v>
      </c>
      <c r="I12" s="8" t="s">
        <v>4108</v>
      </c>
      <c r="J12" s="8">
        <v>1</v>
      </c>
      <c r="K12" s="8">
        <v>243</v>
      </c>
      <c r="L12" s="8">
        <v>244</v>
      </c>
      <c r="M12" s="8">
        <v>242</v>
      </c>
      <c r="N12" s="8">
        <v>422</v>
      </c>
      <c r="O12" s="8">
        <v>419</v>
      </c>
      <c r="P12" s="8">
        <v>422</v>
      </c>
      <c r="Q12" s="9"/>
      <c r="R12" s="16"/>
      <c r="S12" s="10"/>
      <c r="T12" s="10"/>
      <c r="U12" s="10"/>
      <c r="V12" s="11"/>
      <c r="W12" s="12"/>
      <c r="X12" s="17"/>
      <c r="Y12" s="13"/>
      <c r="Z12" s="13"/>
      <c r="AA12" s="13"/>
      <c r="AB12" s="14"/>
      <c r="AC12" s="9" t="s">
        <v>47</v>
      </c>
      <c r="AD12" s="16"/>
      <c r="AE12" s="10">
        <v>154</v>
      </c>
      <c r="AF12" s="10">
        <v>83</v>
      </c>
      <c r="AG12" s="10">
        <v>42</v>
      </c>
      <c r="AH12" s="11">
        <v>68</v>
      </c>
      <c r="AI12" s="12" t="s">
        <v>47</v>
      </c>
      <c r="AJ12" s="17"/>
      <c r="AK12" s="13">
        <v>1</v>
      </c>
      <c r="AL12" s="13">
        <v>9</v>
      </c>
      <c r="AM12" s="13">
        <v>9</v>
      </c>
      <c r="AN12" s="14">
        <v>8</v>
      </c>
      <c r="AO12" s="9" t="s">
        <v>47</v>
      </c>
      <c r="AP12" s="16"/>
      <c r="AQ12" s="10">
        <v>74</v>
      </c>
      <c r="AR12" s="10">
        <v>63</v>
      </c>
      <c r="AS12" s="10">
        <v>64</v>
      </c>
      <c r="AT12" s="11">
        <v>29</v>
      </c>
      <c r="AU12" s="12"/>
      <c r="AV12" s="17"/>
      <c r="AW12" s="13"/>
      <c r="AX12" s="13"/>
      <c r="AY12" s="13"/>
      <c r="AZ12" s="14"/>
      <c r="BA12" s="9"/>
      <c r="BB12" s="16"/>
      <c r="BC12" s="10"/>
      <c r="BD12" s="10"/>
      <c r="BE12" s="10"/>
      <c r="BF12" s="11"/>
      <c r="BG12" s="12"/>
      <c r="BH12" s="17"/>
      <c r="BI12" s="13"/>
      <c r="BJ12" s="13"/>
      <c r="BK12" s="13"/>
      <c r="BL12" s="14"/>
      <c r="BM12" s="9"/>
      <c r="BN12" s="16"/>
      <c r="BO12" s="10"/>
      <c r="BP12" s="10"/>
      <c r="BQ12" s="10"/>
      <c r="BR12" s="11"/>
      <c r="BS12" s="8">
        <f t="shared" si="0"/>
        <v>229</v>
      </c>
      <c r="BT12" s="8">
        <f t="shared" si="1"/>
        <v>155</v>
      </c>
      <c r="BU12" s="8">
        <f t="shared" si="2"/>
        <v>115</v>
      </c>
      <c r="BV12" s="8">
        <f t="shared" si="3"/>
        <v>105</v>
      </c>
      <c r="BW12" s="8">
        <f t="shared" si="4"/>
        <v>229</v>
      </c>
      <c r="BX12" s="8">
        <f t="shared" si="5"/>
        <v>115</v>
      </c>
      <c r="BY12" s="15">
        <f t="shared" si="6"/>
        <v>16.738192594184113</v>
      </c>
      <c r="BZ12" s="15" t="str">
        <f t="shared" si="7"/>
        <v>OK - No Upgrade</v>
      </c>
      <c r="CA12" s="15" t="str">
        <f t="shared" si="8"/>
        <v>Need to Balance</v>
      </c>
    </row>
    <row r="13" spans="1:79" ht="15.75" customHeight="1" x14ac:dyDescent="0.25">
      <c r="A13" s="8" t="s">
        <v>904</v>
      </c>
      <c r="B13" s="8" t="s">
        <v>4081</v>
      </c>
      <c r="C13" s="8" t="s">
        <v>2206</v>
      </c>
      <c r="D13" s="8" t="s">
        <v>4109</v>
      </c>
      <c r="E13" s="8" t="s">
        <v>4110</v>
      </c>
      <c r="F13" s="8" t="s">
        <v>56</v>
      </c>
      <c r="G13" s="8"/>
      <c r="H13" s="8">
        <v>1000</v>
      </c>
      <c r="I13" s="8" t="s">
        <v>4111</v>
      </c>
      <c r="J13" s="8">
        <v>1</v>
      </c>
      <c r="K13" s="8">
        <v>243</v>
      </c>
      <c r="L13" s="8">
        <v>244</v>
      </c>
      <c r="M13" s="8">
        <v>242</v>
      </c>
      <c r="N13" s="8">
        <v>423</v>
      </c>
      <c r="O13" s="8">
        <v>420</v>
      </c>
      <c r="P13" s="8">
        <v>422</v>
      </c>
      <c r="Q13" s="9" t="s">
        <v>47</v>
      </c>
      <c r="R13" s="16"/>
      <c r="S13" s="10">
        <v>84</v>
      </c>
      <c r="T13" s="10">
        <v>74</v>
      </c>
      <c r="U13" s="10">
        <v>74</v>
      </c>
      <c r="V13" s="11">
        <v>45</v>
      </c>
      <c r="W13" s="12" t="s">
        <v>47</v>
      </c>
      <c r="X13" s="17"/>
      <c r="Y13" s="13">
        <v>163</v>
      </c>
      <c r="Z13" s="13">
        <v>107</v>
      </c>
      <c r="AA13" s="13">
        <v>48</v>
      </c>
      <c r="AB13" s="14">
        <v>63</v>
      </c>
      <c r="AC13" s="9"/>
      <c r="AD13" s="16"/>
      <c r="AE13" s="10"/>
      <c r="AF13" s="10"/>
      <c r="AG13" s="10"/>
      <c r="AH13" s="11"/>
      <c r="AI13" s="12"/>
      <c r="AJ13" s="17"/>
      <c r="AK13" s="13"/>
      <c r="AL13" s="13"/>
      <c r="AM13" s="13"/>
      <c r="AN13" s="14"/>
      <c r="AO13" s="9"/>
      <c r="AP13" s="16"/>
      <c r="AQ13" s="10">
        <v>70</v>
      </c>
      <c r="AR13" s="10">
        <v>23</v>
      </c>
      <c r="AS13" s="10">
        <v>114</v>
      </c>
      <c r="AT13" s="11">
        <v>75</v>
      </c>
      <c r="AU13" s="12" t="s">
        <v>47</v>
      </c>
      <c r="AV13" s="17"/>
      <c r="AW13" s="13">
        <v>66</v>
      </c>
      <c r="AX13" s="13">
        <v>91</v>
      </c>
      <c r="AY13" s="13">
        <v>76</v>
      </c>
      <c r="AZ13" s="14">
        <v>22</v>
      </c>
      <c r="BA13" s="9"/>
      <c r="BB13" s="16"/>
      <c r="BC13" s="10"/>
      <c r="BD13" s="10"/>
      <c r="BE13" s="10"/>
      <c r="BF13" s="11"/>
      <c r="BG13" s="12"/>
      <c r="BH13" s="17"/>
      <c r="BI13" s="13"/>
      <c r="BJ13" s="13"/>
      <c r="BK13" s="13"/>
      <c r="BL13" s="14"/>
      <c r="BM13" s="9"/>
      <c r="BN13" s="16"/>
      <c r="BO13" s="10"/>
      <c r="BP13" s="10"/>
      <c r="BQ13" s="10"/>
      <c r="BR13" s="11"/>
      <c r="BS13" s="8">
        <f t="shared" si="0"/>
        <v>383</v>
      </c>
      <c r="BT13" s="8">
        <f t="shared" si="1"/>
        <v>295</v>
      </c>
      <c r="BU13" s="8">
        <f t="shared" si="2"/>
        <v>312</v>
      </c>
      <c r="BV13" s="8">
        <f t="shared" si="3"/>
        <v>205</v>
      </c>
      <c r="BW13" s="8">
        <f t="shared" si="4"/>
        <v>383</v>
      </c>
      <c r="BX13" s="8">
        <f t="shared" si="5"/>
        <v>295</v>
      </c>
      <c r="BY13" s="15">
        <f t="shared" si="6"/>
        <v>28.060781928342621</v>
      </c>
      <c r="BZ13" s="15" t="str">
        <f t="shared" si="7"/>
        <v>OK - No Upgrade</v>
      </c>
      <c r="CA13" s="15" t="str">
        <f t="shared" si="8"/>
        <v>Need to Balance</v>
      </c>
    </row>
    <row r="14" spans="1:79" ht="15.75" customHeight="1" x14ac:dyDescent="0.25">
      <c r="A14" s="8" t="s">
        <v>904</v>
      </c>
      <c r="B14" s="8" t="s">
        <v>4081</v>
      </c>
      <c r="C14" s="8" t="s">
        <v>3233</v>
      </c>
      <c r="D14" s="8" t="s">
        <v>4112</v>
      </c>
      <c r="E14" s="8" t="s">
        <v>4113</v>
      </c>
      <c r="F14" s="8" t="s">
        <v>56</v>
      </c>
      <c r="G14" s="8" t="s">
        <v>44</v>
      </c>
      <c r="H14" s="8">
        <v>1000</v>
      </c>
      <c r="I14" s="8" t="s">
        <v>4114</v>
      </c>
      <c r="J14" s="8">
        <v>1</v>
      </c>
      <c r="K14" s="8">
        <v>245</v>
      </c>
      <c r="L14" s="8">
        <v>247</v>
      </c>
      <c r="M14" s="8">
        <v>243</v>
      </c>
      <c r="N14" s="8">
        <v>429</v>
      </c>
      <c r="O14" s="8">
        <v>422</v>
      </c>
      <c r="P14" s="8">
        <v>427</v>
      </c>
      <c r="Q14" s="9"/>
      <c r="R14" s="16"/>
      <c r="S14" s="10"/>
      <c r="T14" s="10"/>
      <c r="U14" s="10"/>
      <c r="V14" s="11"/>
      <c r="W14" s="12"/>
      <c r="X14" s="17"/>
      <c r="Y14" s="13"/>
      <c r="Z14" s="13"/>
      <c r="AA14" s="13"/>
      <c r="AB14" s="14"/>
      <c r="AC14" s="9" t="s">
        <v>47</v>
      </c>
      <c r="AD14" s="16"/>
      <c r="AE14" s="10">
        <v>0</v>
      </c>
      <c r="AF14" s="10">
        <v>0</v>
      </c>
      <c r="AG14" s="10">
        <v>0</v>
      </c>
      <c r="AH14" s="11">
        <v>0</v>
      </c>
      <c r="AI14" s="12" t="s">
        <v>47</v>
      </c>
      <c r="AJ14" s="17"/>
      <c r="AK14" s="13">
        <v>13</v>
      </c>
      <c r="AL14" s="13">
        <v>20</v>
      </c>
      <c r="AM14" s="13">
        <v>8</v>
      </c>
      <c r="AN14" s="14">
        <v>10</v>
      </c>
      <c r="AO14" s="9" t="s">
        <v>47</v>
      </c>
      <c r="AP14" s="16"/>
      <c r="AQ14" s="10">
        <v>26</v>
      </c>
      <c r="AR14" s="10">
        <v>42</v>
      </c>
      <c r="AS14" s="10">
        <v>44</v>
      </c>
      <c r="AT14" s="11">
        <v>29</v>
      </c>
      <c r="AU14" s="12" t="s">
        <v>70</v>
      </c>
      <c r="AV14" s="17"/>
      <c r="AW14" s="13">
        <v>17</v>
      </c>
      <c r="AX14" s="13">
        <v>28</v>
      </c>
      <c r="AY14" s="13">
        <v>26</v>
      </c>
      <c r="AZ14" s="14">
        <v>10</v>
      </c>
      <c r="BA14" s="9" t="s">
        <v>47</v>
      </c>
      <c r="BB14" s="16"/>
      <c r="BC14" s="10">
        <v>0</v>
      </c>
      <c r="BD14" s="10">
        <v>0</v>
      </c>
      <c r="BE14" s="10">
        <v>0</v>
      </c>
      <c r="BF14" s="11">
        <v>0</v>
      </c>
      <c r="BG14" s="12"/>
      <c r="BH14" s="17"/>
      <c r="BI14" s="13"/>
      <c r="BJ14" s="13"/>
      <c r="BK14" s="13"/>
      <c r="BL14" s="14"/>
      <c r="BM14" s="9"/>
      <c r="BN14" s="16"/>
      <c r="BO14" s="10"/>
      <c r="BP14" s="10"/>
      <c r="BQ14" s="10"/>
      <c r="BR14" s="11"/>
      <c r="BS14" s="8">
        <f t="shared" si="0"/>
        <v>56</v>
      </c>
      <c r="BT14" s="8">
        <f t="shared" si="1"/>
        <v>90</v>
      </c>
      <c r="BU14" s="8">
        <f t="shared" si="2"/>
        <v>78</v>
      </c>
      <c r="BV14" s="8">
        <f t="shared" si="3"/>
        <v>49</v>
      </c>
      <c r="BW14" s="8">
        <f t="shared" si="4"/>
        <v>90</v>
      </c>
      <c r="BX14" s="8">
        <f t="shared" si="5"/>
        <v>56</v>
      </c>
      <c r="BY14" s="15">
        <f t="shared" si="6"/>
        <v>6.687448168023435</v>
      </c>
      <c r="BZ14" s="15" t="str">
        <f t="shared" si="7"/>
        <v>OK - No Upgrade</v>
      </c>
      <c r="CA14" s="15" t="str">
        <f t="shared" si="8"/>
        <v>Need to Balance</v>
      </c>
    </row>
    <row r="15" spans="1:79" ht="15.75" customHeight="1" x14ac:dyDescent="0.25">
      <c r="A15" s="8" t="s">
        <v>904</v>
      </c>
      <c r="B15" s="8" t="s">
        <v>4081</v>
      </c>
      <c r="C15" s="8" t="s">
        <v>3233</v>
      </c>
      <c r="D15" s="8" t="s">
        <v>4115</v>
      </c>
      <c r="E15" s="8" t="s">
        <v>4116</v>
      </c>
      <c r="F15" s="8" t="s">
        <v>56</v>
      </c>
      <c r="G15" s="8" t="s">
        <v>44</v>
      </c>
      <c r="H15" s="8">
        <v>1000</v>
      </c>
      <c r="I15" s="8" t="s">
        <v>4117</v>
      </c>
      <c r="J15" s="8">
        <v>1</v>
      </c>
      <c r="K15" s="8">
        <v>245</v>
      </c>
      <c r="L15" s="8">
        <v>247</v>
      </c>
      <c r="M15" s="8">
        <v>243</v>
      </c>
      <c r="N15" s="8">
        <v>429</v>
      </c>
      <c r="O15" s="8">
        <v>423</v>
      </c>
      <c r="P15" s="8">
        <v>427</v>
      </c>
      <c r="Q15" s="9"/>
      <c r="R15" s="16"/>
      <c r="S15" s="10"/>
      <c r="T15" s="10"/>
      <c r="U15" s="10"/>
      <c r="V15" s="11"/>
      <c r="W15" s="12"/>
      <c r="X15" s="17"/>
      <c r="Y15" s="13"/>
      <c r="Z15" s="13"/>
      <c r="AA15" s="13"/>
      <c r="AB15" s="14"/>
      <c r="AC15" s="9"/>
      <c r="AD15" s="16"/>
      <c r="AE15" s="10"/>
      <c r="AF15" s="10"/>
      <c r="AG15" s="10"/>
      <c r="AH15" s="11"/>
      <c r="AI15" s="12" t="s">
        <v>70</v>
      </c>
      <c r="AJ15" s="17"/>
      <c r="AK15" s="13">
        <v>1</v>
      </c>
      <c r="AL15" s="13">
        <v>10</v>
      </c>
      <c r="AM15" s="13">
        <v>9</v>
      </c>
      <c r="AN15" s="14">
        <v>6</v>
      </c>
      <c r="AO15" s="9" t="s">
        <v>47</v>
      </c>
      <c r="AP15" s="16"/>
      <c r="AQ15" s="10">
        <v>12</v>
      </c>
      <c r="AR15" s="10">
        <v>1</v>
      </c>
      <c r="AS15" s="10">
        <v>1</v>
      </c>
      <c r="AT15" s="11">
        <v>10</v>
      </c>
      <c r="AU15" s="12" t="s">
        <v>47</v>
      </c>
      <c r="AV15" s="17"/>
      <c r="AW15" s="13">
        <v>14</v>
      </c>
      <c r="AX15" s="13">
        <v>14</v>
      </c>
      <c r="AY15" s="13">
        <v>13</v>
      </c>
      <c r="AZ15" s="14">
        <v>10</v>
      </c>
      <c r="BA15" s="9" t="s">
        <v>47</v>
      </c>
      <c r="BB15" s="16"/>
      <c r="BC15" s="10">
        <v>10</v>
      </c>
      <c r="BD15" s="10">
        <v>8</v>
      </c>
      <c r="BE15" s="10">
        <v>4</v>
      </c>
      <c r="BF15" s="11">
        <v>4</v>
      </c>
      <c r="BG15" s="12"/>
      <c r="BH15" s="17"/>
      <c r="BI15" s="13"/>
      <c r="BJ15" s="13"/>
      <c r="BK15" s="13"/>
      <c r="BL15" s="14"/>
      <c r="BM15" s="9"/>
      <c r="BN15" s="16"/>
      <c r="BO15" s="10"/>
      <c r="BP15" s="10"/>
      <c r="BQ15" s="10"/>
      <c r="BR15" s="11"/>
      <c r="BS15" s="8">
        <f t="shared" si="0"/>
        <v>37</v>
      </c>
      <c r="BT15" s="8">
        <f t="shared" si="1"/>
        <v>33</v>
      </c>
      <c r="BU15" s="8">
        <f t="shared" si="2"/>
        <v>27</v>
      </c>
      <c r="BV15" s="8">
        <f t="shared" si="3"/>
        <v>30</v>
      </c>
      <c r="BW15" s="8">
        <f t="shared" si="4"/>
        <v>37</v>
      </c>
      <c r="BX15" s="8">
        <f t="shared" si="5"/>
        <v>27</v>
      </c>
      <c r="BY15" s="15">
        <f t="shared" si="6"/>
        <v>2.7492842468540788</v>
      </c>
      <c r="BZ15" s="15" t="str">
        <f t="shared" si="7"/>
        <v>OK - No Upgrade</v>
      </c>
      <c r="CA15" s="15" t="str">
        <f t="shared" si="8"/>
        <v>Need to Balance</v>
      </c>
    </row>
    <row r="16" spans="1:79" ht="15.75" customHeight="1" x14ac:dyDescent="0.25">
      <c r="A16" s="8" t="s">
        <v>904</v>
      </c>
      <c r="B16" s="8" t="s">
        <v>4081</v>
      </c>
      <c r="C16" s="8" t="s">
        <v>3233</v>
      </c>
      <c r="D16" s="8" t="s">
        <v>4118</v>
      </c>
      <c r="E16" s="8" t="s">
        <v>4119</v>
      </c>
      <c r="F16" s="8" t="s">
        <v>56</v>
      </c>
      <c r="G16" s="8" t="s">
        <v>44</v>
      </c>
      <c r="H16" s="8">
        <v>1000</v>
      </c>
      <c r="I16" s="8" t="s">
        <v>4120</v>
      </c>
      <c r="J16" s="8">
        <v>1</v>
      </c>
      <c r="K16" s="8">
        <v>245</v>
      </c>
      <c r="L16" s="8">
        <v>247</v>
      </c>
      <c r="M16" s="8">
        <v>244</v>
      </c>
      <c r="N16" s="8">
        <v>429</v>
      </c>
      <c r="O16" s="8">
        <v>428</v>
      </c>
      <c r="P16" s="8">
        <v>425</v>
      </c>
      <c r="Q16" s="9" t="s">
        <v>47</v>
      </c>
      <c r="R16" s="16"/>
      <c r="S16" s="10">
        <v>15</v>
      </c>
      <c r="T16" s="10">
        <v>0</v>
      </c>
      <c r="U16" s="10">
        <v>1</v>
      </c>
      <c r="V16" s="11">
        <v>8</v>
      </c>
      <c r="W16" s="12" t="s">
        <v>47</v>
      </c>
      <c r="X16" s="17"/>
      <c r="Y16" s="13">
        <v>11</v>
      </c>
      <c r="Z16" s="13">
        <v>9</v>
      </c>
      <c r="AA16" s="13">
        <v>4</v>
      </c>
      <c r="AB16" s="14">
        <v>7</v>
      </c>
      <c r="AC16" s="9" t="s">
        <v>47</v>
      </c>
      <c r="AD16" s="16"/>
      <c r="AE16" s="10">
        <v>0</v>
      </c>
      <c r="AF16" s="10">
        <v>0</v>
      </c>
      <c r="AG16" s="10">
        <v>0</v>
      </c>
      <c r="AH16" s="11">
        <v>0</v>
      </c>
      <c r="AI16" s="12"/>
      <c r="AJ16" s="17"/>
      <c r="AK16" s="13"/>
      <c r="AL16" s="13"/>
      <c r="AM16" s="13"/>
      <c r="AN16" s="14"/>
      <c r="AO16" s="9"/>
      <c r="AP16" s="16"/>
      <c r="AQ16" s="10"/>
      <c r="AR16" s="10"/>
      <c r="AS16" s="10"/>
      <c r="AT16" s="11"/>
      <c r="AU16" s="12"/>
      <c r="AV16" s="17"/>
      <c r="AW16" s="13"/>
      <c r="AX16" s="13"/>
      <c r="AY16" s="13"/>
      <c r="AZ16" s="14"/>
      <c r="BA16" s="9"/>
      <c r="BB16" s="16"/>
      <c r="BC16" s="10"/>
      <c r="BD16" s="10"/>
      <c r="BE16" s="10"/>
      <c r="BF16" s="11"/>
      <c r="BG16" s="12"/>
      <c r="BH16" s="17"/>
      <c r="BI16" s="13"/>
      <c r="BJ16" s="13"/>
      <c r="BK16" s="13"/>
      <c r="BL16" s="14"/>
      <c r="BM16" s="9"/>
      <c r="BN16" s="16"/>
      <c r="BO16" s="10"/>
      <c r="BP16" s="10"/>
      <c r="BQ16" s="10"/>
      <c r="BR16" s="11"/>
      <c r="BS16" s="8">
        <f t="shared" si="0"/>
        <v>26</v>
      </c>
      <c r="BT16" s="8">
        <f t="shared" si="1"/>
        <v>9</v>
      </c>
      <c r="BU16" s="8">
        <f t="shared" si="2"/>
        <v>5</v>
      </c>
      <c r="BV16" s="8">
        <f t="shared" si="3"/>
        <v>15</v>
      </c>
      <c r="BW16" s="8">
        <f t="shared" si="4"/>
        <v>26</v>
      </c>
      <c r="BX16" s="8">
        <f t="shared" si="5"/>
        <v>5</v>
      </c>
      <c r="BY16" s="15">
        <f t="shared" si="6"/>
        <v>1.9319294707623256</v>
      </c>
      <c r="BZ16" s="15" t="str">
        <f t="shared" si="7"/>
        <v>OK - No Upgrade</v>
      </c>
      <c r="CA16" s="15" t="str">
        <f t="shared" si="8"/>
        <v>Need to Balance</v>
      </c>
    </row>
    <row r="17" spans="1:79" ht="15.75" customHeight="1" x14ac:dyDescent="0.25">
      <c r="A17" s="8" t="s">
        <v>904</v>
      </c>
      <c r="B17" s="8" t="s">
        <v>4081</v>
      </c>
      <c r="C17" s="8" t="s">
        <v>2206</v>
      </c>
      <c r="D17" s="8" t="s">
        <v>4121</v>
      </c>
      <c r="E17" s="8" t="s">
        <v>4122</v>
      </c>
      <c r="F17" s="8" t="s">
        <v>56</v>
      </c>
      <c r="G17" s="8"/>
      <c r="H17" s="8">
        <v>1000</v>
      </c>
      <c r="I17" s="8" t="s">
        <v>3077</v>
      </c>
      <c r="J17" s="8">
        <v>1</v>
      </c>
      <c r="K17" s="8">
        <v>244</v>
      </c>
      <c r="L17" s="8">
        <v>245</v>
      </c>
      <c r="M17" s="8">
        <v>242</v>
      </c>
      <c r="N17" s="8">
        <v>426</v>
      </c>
      <c r="O17" s="8">
        <v>419</v>
      </c>
      <c r="P17" s="8">
        <v>424</v>
      </c>
      <c r="Q17" s="9"/>
      <c r="R17" s="16"/>
      <c r="S17" s="10"/>
      <c r="T17" s="10"/>
      <c r="U17" s="10"/>
      <c r="V17" s="11"/>
      <c r="W17" s="12"/>
      <c r="X17" s="17"/>
      <c r="Y17" s="13"/>
      <c r="Z17" s="13"/>
      <c r="AA17" s="13"/>
      <c r="AB17" s="14"/>
      <c r="AC17" s="9"/>
      <c r="AD17" s="16"/>
      <c r="AE17" s="10"/>
      <c r="AF17" s="10"/>
      <c r="AG17" s="10"/>
      <c r="AH17" s="11"/>
      <c r="AI17" s="12"/>
      <c r="AJ17" s="17"/>
      <c r="AK17" s="13"/>
      <c r="AL17" s="13"/>
      <c r="AM17" s="13"/>
      <c r="AN17" s="14"/>
      <c r="AO17" s="9" t="s">
        <v>47</v>
      </c>
      <c r="AP17" s="16"/>
      <c r="AQ17" s="10">
        <v>88</v>
      </c>
      <c r="AR17" s="10">
        <v>102</v>
      </c>
      <c r="AS17" s="10">
        <v>69</v>
      </c>
      <c r="AT17" s="11">
        <v>32</v>
      </c>
      <c r="AU17" s="12" t="s">
        <v>47</v>
      </c>
      <c r="AV17" s="17"/>
      <c r="AW17" s="13">
        <v>13</v>
      </c>
      <c r="AX17" s="13">
        <v>23</v>
      </c>
      <c r="AY17" s="13">
        <v>50</v>
      </c>
      <c r="AZ17" s="14">
        <v>36</v>
      </c>
      <c r="BA17" s="9" t="s">
        <v>47</v>
      </c>
      <c r="BB17" s="16"/>
      <c r="BC17" s="10">
        <v>18</v>
      </c>
      <c r="BD17" s="10">
        <v>12</v>
      </c>
      <c r="BE17" s="10">
        <v>36</v>
      </c>
      <c r="BF17" s="11">
        <v>18</v>
      </c>
      <c r="BG17" s="12" t="s">
        <v>47</v>
      </c>
      <c r="BH17" s="17"/>
      <c r="BI17" s="13">
        <v>33</v>
      </c>
      <c r="BJ17" s="13">
        <v>22</v>
      </c>
      <c r="BK17" s="13">
        <v>75</v>
      </c>
      <c r="BL17" s="14">
        <v>38</v>
      </c>
      <c r="BM17" s="9"/>
      <c r="BN17" s="16"/>
      <c r="BO17" s="10"/>
      <c r="BP17" s="10"/>
      <c r="BQ17" s="10"/>
      <c r="BR17" s="11"/>
      <c r="BS17" s="8">
        <f t="shared" si="0"/>
        <v>152</v>
      </c>
      <c r="BT17" s="8">
        <f t="shared" si="1"/>
        <v>159</v>
      </c>
      <c r="BU17" s="8">
        <f t="shared" si="2"/>
        <v>230</v>
      </c>
      <c r="BV17" s="8">
        <f t="shared" si="3"/>
        <v>124</v>
      </c>
      <c r="BW17" s="8">
        <f t="shared" si="4"/>
        <v>230</v>
      </c>
      <c r="BX17" s="8">
        <f t="shared" si="5"/>
        <v>152</v>
      </c>
      <c r="BY17" s="15">
        <f t="shared" si="6"/>
        <v>16.970633812559861</v>
      </c>
      <c r="BZ17" s="15" t="str">
        <f t="shared" si="7"/>
        <v>OK - No Upgrade</v>
      </c>
      <c r="CA17" s="15" t="str">
        <f t="shared" si="8"/>
        <v>Need to Balance</v>
      </c>
    </row>
    <row r="18" spans="1:79" ht="15.75" customHeight="1" x14ac:dyDescent="0.25">
      <c r="A18" s="8" t="s">
        <v>904</v>
      </c>
      <c r="B18" s="8" t="s">
        <v>4081</v>
      </c>
      <c r="C18" s="8" t="s">
        <v>3233</v>
      </c>
      <c r="D18" s="8" t="s">
        <v>4123</v>
      </c>
      <c r="E18" s="8" t="s">
        <v>4124</v>
      </c>
      <c r="F18" s="8" t="s">
        <v>56</v>
      </c>
      <c r="G18" s="8" t="s">
        <v>44</v>
      </c>
      <c r="H18" s="8">
        <v>1000</v>
      </c>
      <c r="I18" s="8" t="s">
        <v>3082</v>
      </c>
      <c r="J18" s="8">
        <v>1</v>
      </c>
      <c r="K18" s="8">
        <v>243</v>
      </c>
      <c r="L18" s="8">
        <v>245</v>
      </c>
      <c r="M18" s="8">
        <v>241</v>
      </c>
      <c r="N18" s="8">
        <v>425</v>
      </c>
      <c r="O18" s="8">
        <v>424</v>
      </c>
      <c r="P18" s="8">
        <v>426</v>
      </c>
      <c r="Q18" s="9"/>
      <c r="R18" s="16"/>
      <c r="S18" s="10"/>
      <c r="T18" s="10"/>
      <c r="U18" s="10"/>
      <c r="V18" s="11"/>
      <c r="W18" s="12"/>
      <c r="X18" s="17"/>
      <c r="Y18" s="13"/>
      <c r="Z18" s="13"/>
      <c r="AA18" s="13"/>
      <c r="AB18" s="14"/>
      <c r="AC18" s="9"/>
      <c r="AD18" s="16"/>
      <c r="AE18" s="10"/>
      <c r="AF18" s="10"/>
      <c r="AG18" s="10"/>
      <c r="AH18" s="11"/>
      <c r="AI18" s="12" t="s">
        <v>47</v>
      </c>
      <c r="AJ18" s="17"/>
      <c r="AK18" s="13">
        <v>0</v>
      </c>
      <c r="AL18" s="13">
        <v>0</v>
      </c>
      <c r="AM18" s="13">
        <v>0</v>
      </c>
      <c r="AN18" s="14">
        <v>0</v>
      </c>
      <c r="AO18" s="9"/>
      <c r="AP18" s="16"/>
      <c r="AQ18" s="10"/>
      <c r="AR18" s="10"/>
      <c r="AS18" s="10"/>
      <c r="AT18" s="11"/>
      <c r="AU18" s="12"/>
      <c r="AV18" s="17"/>
      <c r="AW18" s="13"/>
      <c r="AX18" s="13"/>
      <c r="AY18" s="13"/>
      <c r="AZ18" s="14"/>
      <c r="BA18" s="9"/>
      <c r="BB18" s="16"/>
      <c r="BC18" s="10"/>
      <c r="BD18" s="10"/>
      <c r="BE18" s="10"/>
      <c r="BF18" s="11"/>
      <c r="BG18" s="12" t="s">
        <v>47</v>
      </c>
      <c r="BH18" s="17"/>
      <c r="BI18" s="13">
        <v>0</v>
      </c>
      <c r="BJ18" s="13">
        <v>0</v>
      </c>
      <c r="BK18" s="13">
        <v>0</v>
      </c>
      <c r="BL18" s="14">
        <v>0</v>
      </c>
      <c r="BM18" s="9"/>
      <c r="BN18" s="16"/>
      <c r="BO18" s="10"/>
      <c r="BP18" s="10"/>
      <c r="BQ18" s="10"/>
      <c r="BR18" s="11"/>
      <c r="BS18" s="8">
        <f t="shared" si="0"/>
        <v>0</v>
      </c>
      <c r="BT18" s="8">
        <f t="shared" si="1"/>
        <v>0</v>
      </c>
      <c r="BU18" s="8">
        <f t="shared" si="2"/>
        <v>0</v>
      </c>
      <c r="BV18" s="8">
        <f t="shared" si="3"/>
        <v>0</v>
      </c>
      <c r="BW18" s="8">
        <f t="shared" si="4"/>
        <v>0</v>
      </c>
      <c r="BX18" s="8">
        <f t="shared" si="5"/>
        <v>0</v>
      </c>
      <c r="BY18" s="15">
        <f t="shared" si="6"/>
        <v>0</v>
      </c>
      <c r="BZ18" s="15" t="str">
        <f t="shared" si="7"/>
        <v>OK - No Upgrade</v>
      </c>
      <c r="CA18" s="15" t="str">
        <f t="shared" si="8"/>
        <v>OK - Balanced</v>
      </c>
    </row>
    <row r="19" spans="1:79" ht="15.75" customHeight="1" x14ac:dyDescent="0.25">
      <c r="A19" s="8" t="s">
        <v>904</v>
      </c>
      <c r="B19" s="8" t="s">
        <v>4081</v>
      </c>
      <c r="C19" s="8" t="s">
        <v>2206</v>
      </c>
      <c r="D19" s="8" t="s">
        <v>4125</v>
      </c>
      <c r="E19" s="8" t="s">
        <v>4126</v>
      </c>
      <c r="F19" s="8" t="s">
        <v>43</v>
      </c>
      <c r="G19" s="8"/>
      <c r="H19" s="8">
        <v>315</v>
      </c>
      <c r="I19" s="8" t="s">
        <v>4127</v>
      </c>
      <c r="J19" s="8">
        <v>1</v>
      </c>
      <c r="K19" s="8">
        <v>244</v>
      </c>
      <c r="L19" s="8">
        <v>245</v>
      </c>
      <c r="M19" s="8">
        <v>244</v>
      </c>
      <c r="N19" s="8">
        <v>426</v>
      </c>
      <c r="O19" s="8">
        <v>42</v>
      </c>
      <c r="P19" s="8">
        <v>426</v>
      </c>
      <c r="Q19" s="9" t="s">
        <v>47</v>
      </c>
      <c r="R19" s="16"/>
      <c r="S19" s="10">
        <v>98</v>
      </c>
      <c r="T19" s="10">
        <v>8</v>
      </c>
      <c r="U19" s="10">
        <v>3</v>
      </c>
      <c r="V19" s="11">
        <v>40</v>
      </c>
      <c r="W19" s="12" t="s">
        <v>47</v>
      </c>
      <c r="X19" s="17"/>
      <c r="Y19" s="13">
        <v>10</v>
      </c>
      <c r="Z19" s="13">
        <v>11</v>
      </c>
      <c r="AA19" s="13">
        <v>8</v>
      </c>
      <c r="AB19" s="14">
        <v>9</v>
      </c>
      <c r="AC19" s="9"/>
      <c r="AD19" s="16"/>
      <c r="AE19" s="10"/>
      <c r="AF19" s="10"/>
      <c r="AG19" s="10"/>
      <c r="AH19" s="11"/>
      <c r="AI19" s="12"/>
      <c r="AJ19" s="17"/>
      <c r="AK19" s="13"/>
      <c r="AL19" s="13"/>
      <c r="AM19" s="13"/>
      <c r="AN19" s="14"/>
      <c r="AO19" s="9"/>
      <c r="AP19" s="16"/>
      <c r="AQ19" s="10"/>
      <c r="AR19" s="10"/>
      <c r="AS19" s="10"/>
      <c r="AT19" s="11"/>
      <c r="AU19" s="12"/>
      <c r="AV19" s="17"/>
      <c r="AW19" s="13"/>
      <c r="AX19" s="13"/>
      <c r="AY19" s="13"/>
      <c r="AZ19" s="14"/>
      <c r="BA19" s="9"/>
      <c r="BB19" s="16"/>
      <c r="BC19" s="10"/>
      <c r="BD19" s="10"/>
      <c r="BE19" s="10"/>
      <c r="BF19" s="11"/>
      <c r="BG19" s="12"/>
      <c r="BH19" s="17"/>
      <c r="BI19" s="13"/>
      <c r="BJ19" s="13"/>
      <c r="BK19" s="13"/>
      <c r="BL19" s="14"/>
      <c r="BM19" s="9"/>
      <c r="BN19" s="16"/>
      <c r="BO19" s="10"/>
      <c r="BP19" s="10"/>
      <c r="BQ19" s="10"/>
      <c r="BR19" s="11"/>
      <c r="BS19" s="8">
        <f t="shared" si="0"/>
        <v>108</v>
      </c>
      <c r="BT19" s="8">
        <f t="shared" si="1"/>
        <v>19</v>
      </c>
      <c r="BU19" s="8">
        <f t="shared" si="2"/>
        <v>11</v>
      </c>
      <c r="BV19" s="8">
        <f t="shared" si="3"/>
        <v>49</v>
      </c>
      <c r="BW19" s="8">
        <f t="shared" si="4"/>
        <v>108</v>
      </c>
      <c r="BX19" s="8">
        <f t="shared" si="5"/>
        <v>11</v>
      </c>
      <c r="BY19" s="15">
        <f t="shared" si="6"/>
        <v>25.297839223691714</v>
      </c>
      <c r="BZ19" s="15" t="str">
        <f t="shared" si="7"/>
        <v>OK - No Upgrade</v>
      </c>
      <c r="CA19" s="15" t="str">
        <f t="shared" si="8"/>
        <v>Need to Balance</v>
      </c>
    </row>
    <row r="20" spans="1:79" ht="15.75" customHeight="1" x14ac:dyDescent="0.25">
      <c r="A20" s="8" t="s">
        <v>904</v>
      </c>
      <c r="B20" s="8" t="s">
        <v>4081</v>
      </c>
      <c r="C20" s="8" t="s">
        <v>3233</v>
      </c>
      <c r="D20" s="8" t="s">
        <v>4128</v>
      </c>
      <c r="E20" s="8" t="s">
        <v>4129</v>
      </c>
      <c r="F20" s="8" t="s">
        <v>56</v>
      </c>
      <c r="G20" s="8" t="s">
        <v>44</v>
      </c>
      <c r="H20" s="8">
        <v>1000</v>
      </c>
      <c r="I20" s="8" t="s">
        <v>4130</v>
      </c>
      <c r="J20" s="8">
        <v>1</v>
      </c>
      <c r="K20" s="8">
        <v>248</v>
      </c>
      <c r="L20" s="8">
        <v>246</v>
      </c>
      <c r="M20" s="8">
        <v>244</v>
      </c>
      <c r="N20" s="8">
        <v>427</v>
      </c>
      <c r="O20" s="8">
        <v>429</v>
      </c>
      <c r="P20" s="8">
        <v>428</v>
      </c>
      <c r="Q20" s="9"/>
      <c r="R20" s="16"/>
      <c r="S20" s="10"/>
      <c r="T20" s="10"/>
      <c r="U20" s="10"/>
      <c r="V20" s="11"/>
      <c r="W20" s="12"/>
      <c r="X20" s="17"/>
      <c r="Y20" s="13"/>
      <c r="Z20" s="13"/>
      <c r="AA20" s="13"/>
      <c r="AB20" s="14"/>
      <c r="AC20" s="9"/>
      <c r="AD20" s="16"/>
      <c r="AE20" s="10"/>
      <c r="AF20" s="10"/>
      <c r="AG20" s="10"/>
      <c r="AH20" s="11"/>
      <c r="AI20" s="12"/>
      <c r="AJ20" s="17"/>
      <c r="AK20" s="13"/>
      <c r="AL20" s="13"/>
      <c r="AM20" s="13"/>
      <c r="AN20" s="14"/>
      <c r="AO20" s="9" t="s">
        <v>47</v>
      </c>
      <c r="AP20" s="16"/>
      <c r="AQ20" s="10">
        <v>0</v>
      </c>
      <c r="AR20" s="10">
        <v>0</v>
      </c>
      <c r="AS20" s="10">
        <v>0</v>
      </c>
      <c r="AT20" s="11">
        <v>0</v>
      </c>
      <c r="AU20" s="12"/>
      <c r="AV20" s="17"/>
      <c r="AW20" s="13"/>
      <c r="AX20" s="13"/>
      <c r="AY20" s="13"/>
      <c r="AZ20" s="14"/>
      <c r="BA20" s="9"/>
      <c r="BB20" s="16"/>
      <c r="BC20" s="10"/>
      <c r="BD20" s="10"/>
      <c r="BE20" s="10"/>
      <c r="BF20" s="11"/>
      <c r="BG20" s="12"/>
      <c r="BH20" s="17"/>
      <c r="BI20" s="13"/>
      <c r="BJ20" s="13"/>
      <c r="BK20" s="13"/>
      <c r="BL20" s="14"/>
      <c r="BM20" s="9"/>
      <c r="BN20" s="16"/>
      <c r="BO20" s="10"/>
      <c r="BP20" s="10"/>
      <c r="BQ20" s="10"/>
      <c r="BR20" s="11"/>
      <c r="BS20" s="8">
        <f t="shared" si="0"/>
        <v>0</v>
      </c>
      <c r="BT20" s="8">
        <f t="shared" si="1"/>
        <v>0</v>
      </c>
      <c r="BU20" s="8">
        <f t="shared" si="2"/>
        <v>0</v>
      </c>
      <c r="BV20" s="8">
        <f t="shared" si="3"/>
        <v>0</v>
      </c>
      <c r="BW20" s="8">
        <f t="shared" si="4"/>
        <v>0</v>
      </c>
      <c r="BX20" s="8">
        <f t="shared" si="5"/>
        <v>0</v>
      </c>
      <c r="BY20" s="15">
        <f t="shared" si="6"/>
        <v>0</v>
      </c>
      <c r="BZ20" s="15" t="str">
        <f t="shared" si="7"/>
        <v>OK - No Upgrade</v>
      </c>
      <c r="CA20" s="15" t="str">
        <f t="shared" si="8"/>
        <v>OK - Balanced</v>
      </c>
    </row>
    <row r="21" spans="1:79" ht="15.75" customHeight="1" x14ac:dyDescent="0.25">
      <c r="A21" s="8" t="s">
        <v>904</v>
      </c>
      <c r="B21" s="8" t="s">
        <v>4081</v>
      </c>
      <c r="C21" s="8" t="s">
        <v>2206</v>
      </c>
      <c r="D21" s="8" t="s">
        <v>4131</v>
      </c>
      <c r="E21" s="8" t="s">
        <v>4132</v>
      </c>
      <c r="F21" s="8" t="s">
        <v>43</v>
      </c>
      <c r="G21" s="8"/>
      <c r="H21" s="8">
        <v>315</v>
      </c>
      <c r="I21" s="8" t="s">
        <v>4133</v>
      </c>
      <c r="J21" s="8">
        <v>1</v>
      </c>
      <c r="K21" s="8">
        <v>243</v>
      </c>
      <c r="L21" s="8">
        <v>245</v>
      </c>
      <c r="M21" s="8">
        <v>243</v>
      </c>
      <c r="N21" s="8">
        <v>425</v>
      </c>
      <c r="O21" s="8">
        <v>421</v>
      </c>
      <c r="P21" s="8">
        <v>424</v>
      </c>
      <c r="Q21" s="9" t="s">
        <v>70</v>
      </c>
      <c r="R21" s="16"/>
      <c r="S21" s="10">
        <v>13</v>
      </c>
      <c r="T21" s="10">
        <v>0</v>
      </c>
      <c r="U21" s="10">
        <v>0</v>
      </c>
      <c r="V21" s="11">
        <v>12</v>
      </c>
      <c r="W21" s="12" t="s">
        <v>47</v>
      </c>
      <c r="X21" s="17"/>
      <c r="Y21" s="13">
        <v>102</v>
      </c>
      <c r="Z21" s="13">
        <v>85</v>
      </c>
      <c r="AA21" s="13">
        <v>67</v>
      </c>
      <c r="AB21" s="14">
        <v>26</v>
      </c>
      <c r="AC21" s="9"/>
      <c r="AD21" s="16"/>
      <c r="AE21" s="10"/>
      <c r="AF21" s="10"/>
      <c r="AG21" s="10"/>
      <c r="AH21" s="11"/>
      <c r="AI21" s="12"/>
      <c r="AJ21" s="17"/>
      <c r="AK21" s="13"/>
      <c r="AL21" s="13"/>
      <c r="AM21" s="13"/>
      <c r="AN21" s="14"/>
      <c r="AO21" s="9"/>
      <c r="AP21" s="16"/>
      <c r="AQ21" s="10"/>
      <c r="AR21" s="10"/>
      <c r="AS21" s="10"/>
      <c r="AT21" s="11"/>
      <c r="AU21" s="12"/>
      <c r="AV21" s="17"/>
      <c r="AW21" s="13"/>
      <c r="AX21" s="13"/>
      <c r="AY21" s="13"/>
      <c r="AZ21" s="14"/>
      <c r="BA21" s="9"/>
      <c r="BB21" s="16"/>
      <c r="BC21" s="10"/>
      <c r="BD21" s="10"/>
      <c r="BE21" s="10"/>
      <c r="BF21" s="11"/>
      <c r="BG21" s="12"/>
      <c r="BH21" s="17"/>
      <c r="BI21" s="13"/>
      <c r="BJ21" s="13"/>
      <c r="BK21" s="13"/>
      <c r="BL21" s="14"/>
      <c r="BM21" s="9"/>
      <c r="BN21" s="16"/>
      <c r="BO21" s="10"/>
      <c r="BP21" s="10"/>
      <c r="BQ21" s="10"/>
      <c r="BR21" s="11"/>
      <c r="BS21" s="8">
        <f t="shared" si="0"/>
        <v>115</v>
      </c>
      <c r="BT21" s="8">
        <f t="shared" si="1"/>
        <v>85</v>
      </c>
      <c r="BU21" s="8">
        <f t="shared" si="2"/>
        <v>67</v>
      </c>
      <c r="BV21" s="8">
        <f t="shared" si="3"/>
        <v>38</v>
      </c>
      <c r="BW21" s="8">
        <f t="shared" si="4"/>
        <v>115</v>
      </c>
      <c r="BX21" s="8">
        <f t="shared" si="5"/>
        <v>67</v>
      </c>
      <c r="BY21" s="15">
        <f t="shared" si="6"/>
        <v>26.874280387279008</v>
      </c>
      <c r="BZ21" s="15" t="str">
        <f t="shared" si="7"/>
        <v>OK - No Upgrade</v>
      </c>
      <c r="CA21" s="15" t="str">
        <f t="shared" si="8"/>
        <v>Need to Balance</v>
      </c>
    </row>
    <row r="22" spans="1:79" ht="15.75" customHeight="1" x14ac:dyDescent="0.25">
      <c r="A22" s="8" t="s">
        <v>904</v>
      </c>
      <c r="B22" s="8" t="s">
        <v>4081</v>
      </c>
      <c r="C22" s="8" t="s">
        <v>2206</v>
      </c>
      <c r="D22" s="8" t="s">
        <v>4134</v>
      </c>
      <c r="E22" s="8" t="s">
        <v>4135</v>
      </c>
      <c r="F22" s="8" t="s">
        <v>43</v>
      </c>
      <c r="G22" s="8"/>
      <c r="H22" s="8">
        <v>315</v>
      </c>
      <c r="I22" s="8" t="s">
        <v>4136</v>
      </c>
      <c r="J22" s="8">
        <v>1</v>
      </c>
      <c r="K22" s="8">
        <v>240</v>
      </c>
      <c r="L22" s="8">
        <v>240</v>
      </c>
      <c r="M22" s="8">
        <v>238</v>
      </c>
      <c r="N22" s="8">
        <v>419</v>
      </c>
      <c r="O22" s="8">
        <v>414</v>
      </c>
      <c r="P22" s="8">
        <v>41650</v>
      </c>
      <c r="Q22" s="9" t="s">
        <v>46</v>
      </c>
      <c r="R22" s="16"/>
      <c r="S22" s="10">
        <v>50</v>
      </c>
      <c r="T22" s="10">
        <v>77</v>
      </c>
      <c r="U22" s="10">
        <v>57</v>
      </c>
      <c r="V22" s="11">
        <v>22</v>
      </c>
      <c r="W22" s="12"/>
      <c r="X22" s="17"/>
      <c r="Y22" s="13"/>
      <c r="Z22" s="13"/>
      <c r="AA22" s="13"/>
      <c r="AB22" s="14"/>
      <c r="AC22" s="9"/>
      <c r="AD22" s="16"/>
      <c r="AE22" s="10"/>
      <c r="AF22" s="10"/>
      <c r="AG22" s="10"/>
      <c r="AH22" s="11"/>
      <c r="AI22" s="12"/>
      <c r="AJ22" s="17"/>
      <c r="AK22" s="13"/>
      <c r="AL22" s="13"/>
      <c r="AM22" s="13"/>
      <c r="AN22" s="14"/>
      <c r="AO22" s="9"/>
      <c r="AP22" s="16"/>
      <c r="AQ22" s="10"/>
      <c r="AR22" s="10"/>
      <c r="AS22" s="10"/>
      <c r="AT22" s="11"/>
      <c r="AU22" s="12"/>
      <c r="AV22" s="17"/>
      <c r="AW22" s="13"/>
      <c r="AX22" s="13"/>
      <c r="AY22" s="13"/>
      <c r="AZ22" s="14"/>
      <c r="BA22" s="9"/>
      <c r="BB22" s="16"/>
      <c r="BC22" s="10"/>
      <c r="BD22" s="10"/>
      <c r="BE22" s="10"/>
      <c r="BF22" s="11"/>
      <c r="BG22" s="12"/>
      <c r="BH22" s="17"/>
      <c r="BI22" s="13"/>
      <c r="BJ22" s="13"/>
      <c r="BK22" s="13"/>
      <c r="BL22" s="14"/>
      <c r="BM22" s="9"/>
      <c r="BN22" s="16"/>
      <c r="BO22" s="10"/>
      <c r="BP22" s="10"/>
      <c r="BQ22" s="10"/>
      <c r="BR22" s="11"/>
      <c r="BS22" s="8">
        <f t="shared" si="0"/>
        <v>50</v>
      </c>
      <c r="BT22" s="8">
        <f t="shared" si="1"/>
        <v>77</v>
      </c>
      <c r="BU22" s="8">
        <f t="shared" si="2"/>
        <v>57</v>
      </c>
      <c r="BV22" s="8">
        <f t="shared" si="3"/>
        <v>22</v>
      </c>
      <c r="BW22" s="8">
        <f t="shared" si="4"/>
        <v>77</v>
      </c>
      <c r="BX22" s="8">
        <f t="shared" si="5"/>
        <v>50</v>
      </c>
      <c r="BY22" s="15">
        <f t="shared" si="6"/>
        <v>17.740049271299899</v>
      </c>
      <c r="BZ22" s="15" t="str">
        <f t="shared" si="7"/>
        <v>OK - No Upgrade</v>
      </c>
      <c r="CA22" s="15" t="str">
        <f t="shared" si="8"/>
        <v>Need to Balance</v>
      </c>
    </row>
    <row r="23" spans="1:79" ht="15.75" customHeight="1" x14ac:dyDescent="0.25">
      <c r="A23" s="8" t="s">
        <v>904</v>
      </c>
      <c r="B23" s="8" t="s">
        <v>4081</v>
      </c>
      <c r="C23" s="8" t="s">
        <v>3233</v>
      </c>
      <c r="D23" s="8" t="s">
        <v>4137</v>
      </c>
      <c r="E23" s="8" t="s">
        <v>4138</v>
      </c>
      <c r="F23" s="8" t="s">
        <v>56</v>
      </c>
      <c r="G23" s="8" t="s">
        <v>44</v>
      </c>
      <c r="H23" s="8">
        <v>500</v>
      </c>
      <c r="I23" s="8" t="s">
        <v>4136</v>
      </c>
      <c r="J23" s="8">
        <v>1</v>
      </c>
      <c r="K23" s="8">
        <v>241</v>
      </c>
      <c r="L23" s="8">
        <v>243</v>
      </c>
      <c r="M23" s="8">
        <v>241</v>
      </c>
      <c r="N23" s="8">
        <v>420</v>
      </c>
      <c r="O23" s="8">
        <v>423</v>
      </c>
      <c r="P23" s="8">
        <v>422</v>
      </c>
      <c r="Q23" s="9"/>
      <c r="R23" s="16"/>
      <c r="S23" s="10"/>
      <c r="T23" s="10"/>
      <c r="U23" s="10"/>
      <c r="V23" s="11"/>
      <c r="W23" s="12"/>
      <c r="X23" s="17"/>
      <c r="Y23" s="13"/>
      <c r="Z23" s="13"/>
      <c r="AA23" s="13"/>
      <c r="AB23" s="14"/>
      <c r="AC23" s="9" t="s">
        <v>47</v>
      </c>
      <c r="AD23" s="16"/>
      <c r="AE23" s="10">
        <v>10</v>
      </c>
      <c r="AF23" s="10">
        <v>0</v>
      </c>
      <c r="AG23" s="10">
        <v>7</v>
      </c>
      <c r="AH23" s="11">
        <v>6</v>
      </c>
      <c r="AI23" s="12" t="s">
        <v>47</v>
      </c>
      <c r="AJ23" s="17"/>
      <c r="AK23" s="13">
        <v>0</v>
      </c>
      <c r="AL23" s="13">
        <v>0</v>
      </c>
      <c r="AM23" s="13">
        <v>0</v>
      </c>
      <c r="AN23" s="14">
        <v>0</v>
      </c>
      <c r="AO23" s="9" t="s">
        <v>70</v>
      </c>
      <c r="AP23" s="16"/>
      <c r="AQ23" s="10">
        <v>10</v>
      </c>
      <c r="AR23" s="10">
        <v>13</v>
      </c>
      <c r="AS23" s="10">
        <v>0</v>
      </c>
      <c r="AT23" s="11">
        <v>11</v>
      </c>
      <c r="AU23" s="12"/>
      <c r="AV23" s="17"/>
      <c r="AW23" s="13"/>
      <c r="AX23" s="13"/>
      <c r="AY23" s="13"/>
      <c r="AZ23" s="14"/>
      <c r="BA23" s="9"/>
      <c r="BB23" s="16"/>
      <c r="BC23" s="10"/>
      <c r="BD23" s="10"/>
      <c r="BE23" s="10"/>
      <c r="BF23" s="11"/>
      <c r="BG23" s="12" t="s">
        <v>47</v>
      </c>
      <c r="BH23" s="17"/>
      <c r="BI23" s="13">
        <v>12</v>
      </c>
      <c r="BJ23" s="13">
        <v>0</v>
      </c>
      <c r="BK23" s="13">
        <v>10</v>
      </c>
      <c r="BL23" s="14">
        <v>8</v>
      </c>
      <c r="BM23" s="9"/>
      <c r="BN23" s="16"/>
      <c r="BO23" s="10"/>
      <c r="BP23" s="10"/>
      <c r="BQ23" s="10"/>
      <c r="BR23" s="11"/>
      <c r="BS23" s="8">
        <f t="shared" si="0"/>
        <v>32</v>
      </c>
      <c r="BT23" s="8">
        <f t="shared" si="1"/>
        <v>13</v>
      </c>
      <c r="BU23" s="8">
        <f t="shared" si="2"/>
        <v>17</v>
      </c>
      <c r="BV23" s="8">
        <f t="shared" si="3"/>
        <v>25</v>
      </c>
      <c r="BW23" s="8">
        <f t="shared" si="4"/>
        <v>32</v>
      </c>
      <c r="BX23" s="8">
        <f t="shared" si="5"/>
        <v>13</v>
      </c>
      <c r="BY23" s="15">
        <f t="shared" si="6"/>
        <v>4.6557525707451415</v>
      </c>
      <c r="BZ23" s="15" t="str">
        <f t="shared" si="7"/>
        <v>OK - No Upgrade</v>
      </c>
      <c r="CA23" s="15" t="str">
        <f t="shared" si="8"/>
        <v>Need to Balance</v>
      </c>
    </row>
    <row r="24" spans="1:79" ht="15.75" customHeight="1" x14ac:dyDescent="0.25">
      <c r="A24" s="8" t="s">
        <v>904</v>
      </c>
      <c r="B24" s="8" t="s">
        <v>4081</v>
      </c>
      <c r="C24" s="8" t="s">
        <v>2206</v>
      </c>
      <c r="D24" s="8" t="s">
        <v>4139</v>
      </c>
      <c r="E24" s="8" t="s">
        <v>4140</v>
      </c>
      <c r="F24" s="8" t="s">
        <v>43</v>
      </c>
      <c r="G24" s="8"/>
      <c r="H24" s="8">
        <v>315</v>
      </c>
      <c r="I24" s="8" t="s">
        <v>3093</v>
      </c>
      <c r="J24" s="8">
        <v>1</v>
      </c>
      <c r="K24" s="8">
        <v>241</v>
      </c>
      <c r="L24" s="8">
        <v>240</v>
      </c>
      <c r="M24" s="8">
        <v>238</v>
      </c>
      <c r="N24" s="8">
        <v>418</v>
      </c>
      <c r="O24" s="8">
        <v>415</v>
      </c>
      <c r="P24" s="8">
        <v>414</v>
      </c>
      <c r="Q24" s="9" t="s">
        <v>47</v>
      </c>
      <c r="R24" s="16"/>
      <c r="S24" s="10">
        <v>130</v>
      </c>
      <c r="T24" s="10">
        <v>79</v>
      </c>
      <c r="U24" s="10">
        <v>70</v>
      </c>
      <c r="V24" s="11">
        <v>53</v>
      </c>
      <c r="W24" s="12" t="s">
        <v>47</v>
      </c>
      <c r="X24" s="17"/>
      <c r="Y24" s="13">
        <v>2</v>
      </c>
      <c r="Z24" s="13">
        <v>56</v>
      </c>
      <c r="AA24" s="13">
        <v>17</v>
      </c>
      <c r="AB24" s="14">
        <v>52</v>
      </c>
      <c r="AC24" s="9"/>
      <c r="AD24" s="16"/>
      <c r="AE24" s="10"/>
      <c r="AF24" s="10"/>
      <c r="AG24" s="10"/>
      <c r="AH24" s="11"/>
      <c r="AI24" s="12"/>
      <c r="AJ24" s="17"/>
      <c r="AK24" s="13"/>
      <c r="AL24" s="13"/>
      <c r="AM24" s="13"/>
      <c r="AN24" s="14"/>
      <c r="AO24" s="9"/>
      <c r="AP24" s="16"/>
      <c r="AQ24" s="10"/>
      <c r="AR24" s="10"/>
      <c r="AS24" s="10"/>
      <c r="AT24" s="11"/>
      <c r="AU24" s="12"/>
      <c r="AV24" s="17"/>
      <c r="AW24" s="13"/>
      <c r="AX24" s="13"/>
      <c r="AY24" s="13"/>
      <c r="AZ24" s="14"/>
      <c r="BA24" s="9"/>
      <c r="BB24" s="16"/>
      <c r="BC24" s="10"/>
      <c r="BD24" s="10"/>
      <c r="BE24" s="10"/>
      <c r="BF24" s="11"/>
      <c r="BG24" s="12"/>
      <c r="BH24" s="17"/>
      <c r="BI24" s="13"/>
      <c r="BJ24" s="13"/>
      <c r="BK24" s="13"/>
      <c r="BL24" s="14"/>
      <c r="BM24" s="9"/>
      <c r="BN24" s="16"/>
      <c r="BO24" s="10"/>
      <c r="BP24" s="10"/>
      <c r="BQ24" s="10"/>
      <c r="BR24" s="11"/>
      <c r="BS24" s="8">
        <f t="shared" si="0"/>
        <v>132</v>
      </c>
      <c r="BT24" s="8">
        <f t="shared" si="1"/>
        <v>135</v>
      </c>
      <c r="BU24" s="8">
        <f t="shared" si="2"/>
        <v>87</v>
      </c>
      <c r="BV24" s="8">
        <f t="shared" si="3"/>
        <v>105</v>
      </c>
      <c r="BW24" s="8">
        <f t="shared" si="4"/>
        <v>135</v>
      </c>
      <c r="BX24" s="8">
        <f t="shared" si="5"/>
        <v>87</v>
      </c>
      <c r="BY24" s="15">
        <f t="shared" si="6"/>
        <v>31.028453038448173</v>
      </c>
      <c r="BZ24" s="15" t="str">
        <f t="shared" si="7"/>
        <v>OK - No Upgrade</v>
      </c>
      <c r="CA24" s="15" t="str">
        <f t="shared" si="8"/>
        <v>Need to Balance</v>
      </c>
    </row>
    <row r="25" spans="1:79" ht="15.75" customHeight="1" x14ac:dyDescent="0.25">
      <c r="A25" s="8" t="s">
        <v>904</v>
      </c>
      <c r="B25" s="8" t="s">
        <v>4081</v>
      </c>
      <c r="C25" s="8" t="s">
        <v>3233</v>
      </c>
      <c r="D25" s="8" t="s">
        <v>4141</v>
      </c>
      <c r="E25" s="8" t="s">
        <v>4142</v>
      </c>
      <c r="F25" s="8" t="s">
        <v>56</v>
      </c>
      <c r="G25" s="8" t="s">
        <v>44</v>
      </c>
      <c r="H25" s="8">
        <v>1000</v>
      </c>
      <c r="I25" s="8" t="s">
        <v>3093</v>
      </c>
      <c r="J25" s="8">
        <v>1</v>
      </c>
      <c r="K25" s="8">
        <v>242</v>
      </c>
      <c r="L25" s="8">
        <v>241</v>
      </c>
      <c r="M25" s="8">
        <v>243</v>
      </c>
      <c r="N25" s="8">
        <v>420</v>
      </c>
      <c r="O25" s="8">
        <v>422</v>
      </c>
      <c r="P25" s="8">
        <v>419</v>
      </c>
      <c r="Q25" s="9"/>
      <c r="R25" s="16"/>
      <c r="S25" s="10"/>
      <c r="T25" s="10"/>
      <c r="U25" s="10"/>
      <c r="V25" s="11"/>
      <c r="W25" s="12"/>
      <c r="X25" s="17"/>
      <c r="Y25" s="13"/>
      <c r="Z25" s="13"/>
      <c r="AA25" s="13"/>
      <c r="AB25" s="14"/>
      <c r="AC25" s="9"/>
      <c r="AD25" s="16"/>
      <c r="AE25" s="10"/>
      <c r="AF25" s="10"/>
      <c r="AG25" s="10"/>
      <c r="AH25" s="11"/>
      <c r="AI25" s="12"/>
      <c r="AJ25" s="17"/>
      <c r="AK25" s="13"/>
      <c r="AL25" s="13"/>
      <c r="AM25" s="13"/>
      <c r="AN25" s="14"/>
      <c r="AO25" s="9"/>
      <c r="AP25" s="16"/>
      <c r="AQ25" s="10"/>
      <c r="AR25" s="10"/>
      <c r="AS25" s="10"/>
      <c r="AT25" s="11"/>
      <c r="AU25" s="12"/>
      <c r="AV25" s="17"/>
      <c r="AW25" s="13"/>
      <c r="AX25" s="13"/>
      <c r="AY25" s="13"/>
      <c r="AZ25" s="14"/>
      <c r="BA25" s="9"/>
      <c r="BB25" s="16"/>
      <c r="BC25" s="10"/>
      <c r="BD25" s="10"/>
      <c r="BE25" s="10"/>
      <c r="BF25" s="11"/>
      <c r="BG25" s="12" t="s">
        <v>47</v>
      </c>
      <c r="BH25" s="17"/>
      <c r="BI25" s="13">
        <v>0</v>
      </c>
      <c r="BJ25" s="13">
        <v>0</v>
      </c>
      <c r="BK25" s="13">
        <v>0</v>
      </c>
      <c r="BL25" s="14">
        <v>0</v>
      </c>
      <c r="BM25" s="9"/>
      <c r="BN25" s="16"/>
      <c r="BO25" s="10"/>
      <c r="BP25" s="10"/>
      <c r="BQ25" s="10"/>
      <c r="BR25" s="11"/>
      <c r="BS25" s="8">
        <f t="shared" si="0"/>
        <v>0</v>
      </c>
      <c r="BT25" s="8">
        <f t="shared" si="1"/>
        <v>0</v>
      </c>
      <c r="BU25" s="8">
        <f t="shared" si="2"/>
        <v>0</v>
      </c>
      <c r="BV25" s="8">
        <f t="shared" si="3"/>
        <v>0</v>
      </c>
      <c r="BW25" s="8">
        <f t="shared" si="4"/>
        <v>0</v>
      </c>
      <c r="BX25" s="8">
        <f t="shared" si="5"/>
        <v>0</v>
      </c>
      <c r="BY25" s="15">
        <f t="shared" si="6"/>
        <v>0</v>
      </c>
      <c r="BZ25" s="15" t="str">
        <f t="shared" si="7"/>
        <v>OK - No Upgrade</v>
      </c>
      <c r="CA25" s="15" t="str">
        <f t="shared" si="8"/>
        <v>OK - Balanced</v>
      </c>
    </row>
    <row r="26" spans="1:79" ht="15.75" customHeight="1" x14ac:dyDescent="0.25">
      <c r="A26" s="8" t="s">
        <v>904</v>
      </c>
      <c r="B26" s="8" t="s">
        <v>4081</v>
      </c>
      <c r="C26" s="8" t="s">
        <v>3233</v>
      </c>
      <c r="D26" s="8" t="s">
        <v>4143</v>
      </c>
      <c r="E26" s="8" t="s">
        <v>4144</v>
      </c>
      <c r="F26" s="8" t="s">
        <v>56</v>
      </c>
      <c r="G26" s="8" t="s">
        <v>44</v>
      </c>
      <c r="H26" s="8">
        <v>1000</v>
      </c>
      <c r="I26" s="8" t="s">
        <v>4145</v>
      </c>
      <c r="J26" s="8">
        <v>1</v>
      </c>
      <c r="K26" s="8">
        <v>241</v>
      </c>
      <c r="L26" s="8">
        <v>243</v>
      </c>
      <c r="M26" s="8">
        <v>240</v>
      </c>
      <c r="N26" s="8">
        <v>424</v>
      </c>
      <c r="O26" s="8">
        <v>425</v>
      </c>
      <c r="P26" s="8">
        <v>423</v>
      </c>
      <c r="Q26" s="9"/>
      <c r="R26" s="16"/>
      <c r="S26" s="10"/>
      <c r="T26" s="10"/>
      <c r="U26" s="10"/>
      <c r="V26" s="11"/>
      <c r="W26" s="12"/>
      <c r="X26" s="17"/>
      <c r="Y26" s="13"/>
      <c r="Z26" s="13"/>
      <c r="AA26" s="13"/>
      <c r="AB26" s="14"/>
      <c r="AC26" s="9"/>
      <c r="AD26" s="16"/>
      <c r="AE26" s="10"/>
      <c r="AF26" s="10"/>
      <c r="AG26" s="10"/>
      <c r="AH26" s="11"/>
      <c r="AI26" s="12"/>
      <c r="AJ26" s="17"/>
      <c r="AK26" s="13"/>
      <c r="AL26" s="13"/>
      <c r="AM26" s="13"/>
      <c r="AN26" s="14"/>
      <c r="AO26" s="9" t="s">
        <v>47</v>
      </c>
      <c r="AP26" s="16"/>
      <c r="AQ26" s="10">
        <v>10</v>
      </c>
      <c r="AR26" s="10">
        <v>0</v>
      </c>
      <c r="AS26" s="10">
        <v>0</v>
      </c>
      <c r="AT26" s="11">
        <v>5</v>
      </c>
      <c r="AU26" s="12" t="s">
        <v>47</v>
      </c>
      <c r="AV26" s="17"/>
      <c r="AW26" s="13">
        <v>11</v>
      </c>
      <c r="AX26" s="13">
        <v>10</v>
      </c>
      <c r="AY26" s="13">
        <v>10</v>
      </c>
      <c r="AZ26" s="14">
        <v>7</v>
      </c>
      <c r="BA26" s="9"/>
      <c r="BB26" s="16"/>
      <c r="BC26" s="10"/>
      <c r="BD26" s="10"/>
      <c r="BE26" s="10"/>
      <c r="BF26" s="11"/>
      <c r="BG26" s="12"/>
      <c r="BH26" s="17"/>
      <c r="BI26" s="13"/>
      <c r="BJ26" s="13"/>
      <c r="BK26" s="13"/>
      <c r="BL26" s="14"/>
      <c r="BM26" s="9"/>
      <c r="BN26" s="16"/>
      <c r="BO26" s="10"/>
      <c r="BP26" s="10"/>
      <c r="BQ26" s="10"/>
      <c r="BR26" s="11"/>
      <c r="BS26" s="8">
        <f t="shared" si="0"/>
        <v>21</v>
      </c>
      <c r="BT26" s="8">
        <f t="shared" si="1"/>
        <v>10</v>
      </c>
      <c r="BU26" s="8">
        <f t="shared" si="2"/>
        <v>10</v>
      </c>
      <c r="BV26" s="8">
        <f t="shared" si="3"/>
        <v>12</v>
      </c>
      <c r="BW26" s="8">
        <f t="shared" si="4"/>
        <v>21</v>
      </c>
      <c r="BX26" s="8">
        <f t="shared" si="5"/>
        <v>10</v>
      </c>
      <c r="BY26" s="15">
        <f t="shared" si="6"/>
        <v>1.5422180390593283</v>
      </c>
      <c r="BZ26" s="15" t="str">
        <f t="shared" si="7"/>
        <v>OK - No Upgrade</v>
      </c>
      <c r="CA26" s="15" t="str">
        <f t="shared" si="8"/>
        <v>Need to Balance</v>
      </c>
    </row>
    <row r="27" spans="1:79" ht="15.75" customHeight="1" x14ac:dyDescent="0.25">
      <c r="A27" s="8" t="s">
        <v>904</v>
      </c>
      <c r="B27" s="8" t="s">
        <v>4081</v>
      </c>
      <c r="C27" s="8" t="s">
        <v>2206</v>
      </c>
      <c r="D27" s="8" t="s">
        <v>4146</v>
      </c>
      <c r="E27" s="8" t="s">
        <v>4147</v>
      </c>
      <c r="F27" s="8" t="s">
        <v>43</v>
      </c>
      <c r="G27" s="8"/>
      <c r="H27" s="8">
        <v>315</v>
      </c>
      <c r="I27" s="8" t="s">
        <v>4148</v>
      </c>
      <c r="J27" s="8">
        <v>1</v>
      </c>
      <c r="K27" s="8">
        <v>241</v>
      </c>
      <c r="L27" s="8">
        <v>242</v>
      </c>
      <c r="M27" s="8">
        <v>239</v>
      </c>
      <c r="N27" s="8">
        <v>421</v>
      </c>
      <c r="O27" s="8">
        <v>414</v>
      </c>
      <c r="P27" s="8">
        <v>417</v>
      </c>
      <c r="Q27" s="9" t="s">
        <v>46</v>
      </c>
      <c r="R27" s="16"/>
      <c r="S27" s="10">
        <v>88</v>
      </c>
      <c r="T27" s="10">
        <v>86</v>
      </c>
      <c r="U27" s="10">
        <v>116</v>
      </c>
      <c r="V27" s="11">
        <v>30</v>
      </c>
      <c r="W27" s="12"/>
      <c r="X27" s="17"/>
      <c r="Y27" s="13"/>
      <c r="Z27" s="13"/>
      <c r="AA27" s="13"/>
      <c r="AB27" s="14"/>
      <c r="AC27" s="9"/>
      <c r="AD27" s="16"/>
      <c r="AE27" s="10"/>
      <c r="AF27" s="10"/>
      <c r="AG27" s="10"/>
      <c r="AH27" s="11"/>
      <c r="AI27" s="12"/>
      <c r="AJ27" s="17"/>
      <c r="AK27" s="13"/>
      <c r="AL27" s="13"/>
      <c r="AM27" s="13"/>
      <c r="AN27" s="14"/>
      <c r="AO27" s="9"/>
      <c r="AP27" s="16"/>
      <c r="AQ27" s="10"/>
      <c r="AR27" s="10"/>
      <c r="AS27" s="10"/>
      <c r="AT27" s="11"/>
      <c r="AU27" s="12"/>
      <c r="AV27" s="17"/>
      <c r="AW27" s="13"/>
      <c r="AX27" s="13"/>
      <c r="AY27" s="13"/>
      <c r="AZ27" s="14"/>
      <c r="BA27" s="9"/>
      <c r="BB27" s="16"/>
      <c r="BC27" s="10"/>
      <c r="BD27" s="10"/>
      <c r="BE27" s="10"/>
      <c r="BF27" s="11"/>
      <c r="BG27" s="12"/>
      <c r="BH27" s="17"/>
      <c r="BI27" s="13"/>
      <c r="BJ27" s="13"/>
      <c r="BK27" s="13"/>
      <c r="BL27" s="14"/>
      <c r="BM27" s="9"/>
      <c r="BN27" s="16"/>
      <c r="BO27" s="10"/>
      <c r="BP27" s="10"/>
      <c r="BQ27" s="10"/>
      <c r="BR27" s="11"/>
      <c r="BS27" s="8">
        <f t="shared" si="0"/>
        <v>88</v>
      </c>
      <c r="BT27" s="8">
        <f t="shared" si="1"/>
        <v>86</v>
      </c>
      <c r="BU27" s="8">
        <f t="shared" si="2"/>
        <v>116</v>
      </c>
      <c r="BV27" s="8">
        <f t="shared" si="3"/>
        <v>30</v>
      </c>
      <c r="BW27" s="8">
        <f t="shared" si="4"/>
        <v>116</v>
      </c>
      <c r="BX27" s="8">
        <f t="shared" si="5"/>
        <v>86</v>
      </c>
      <c r="BY27" s="15">
        <f t="shared" si="6"/>
        <v>26.852835948709107</v>
      </c>
      <c r="BZ27" s="15" t="str">
        <f t="shared" si="7"/>
        <v>OK - No Upgrade</v>
      </c>
      <c r="CA27" s="15" t="str">
        <f t="shared" si="8"/>
        <v>Need to Balance</v>
      </c>
    </row>
    <row r="28" spans="1:79" ht="15.75" customHeight="1" x14ac:dyDescent="0.25">
      <c r="A28" s="8" t="s">
        <v>904</v>
      </c>
      <c r="B28" s="8" t="s">
        <v>4081</v>
      </c>
      <c r="C28" s="8" t="s">
        <v>3233</v>
      </c>
      <c r="D28" s="8" t="s">
        <v>4149</v>
      </c>
      <c r="E28" s="8" t="s">
        <v>4150</v>
      </c>
      <c r="F28" s="8" t="s">
        <v>56</v>
      </c>
      <c r="G28" s="8" t="s">
        <v>44</v>
      </c>
      <c r="H28" s="8">
        <v>1000</v>
      </c>
      <c r="I28" s="8" t="s">
        <v>4151</v>
      </c>
      <c r="J28" s="8">
        <v>1</v>
      </c>
      <c r="K28" s="8">
        <v>242</v>
      </c>
      <c r="L28" s="8">
        <v>243</v>
      </c>
      <c r="M28" s="8">
        <v>241</v>
      </c>
      <c r="N28" s="8">
        <v>424</v>
      </c>
      <c r="O28" s="8">
        <v>419</v>
      </c>
      <c r="P28" s="8">
        <v>420</v>
      </c>
      <c r="Q28" s="9" t="s">
        <v>47</v>
      </c>
      <c r="R28" s="16"/>
      <c r="S28" s="10">
        <v>0</v>
      </c>
      <c r="T28" s="10">
        <v>0</v>
      </c>
      <c r="U28" s="10">
        <v>0</v>
      </c>
      <c r="V28" s="11">
        <v>0</v>
      </c>
      <c r="W28" s="12" t="s">
        <v>47</v>
      </c>
      <c r="X28" s="17"/>
      <c r="Y28" s="13">
        <v>32</v>
      </c>
      <c r="Z28" s="13">
        <v>8</v>
      </c>
      <c r="AA28" s="13">
        <v>17</v>
      </c>
      <c r="AB28" s="14">
        <v>20</v>
      </c>
      <c r="AC28" s="9"/>
      <c r="AD28" s="16"/>
      <c r="AE28" s="10"/>
      <c r="AF28" s="10"/>
      <c r="AG28" s="10"/>
      <c r="AH28" s="11"/>
      <c r="AI28" s="12"/>
      <c r="AJ28" s="17"/>
      <c r="AK28" s="13"/>
      <c r="AL28" s="13"/>
      <c r="AM28" s="13"/>
      <c r="AN28" s="14"/>
      <c r="AO28" s="9"/>
      <c r="AP28" s="16"/>
      <c r="AQ28" s="10"/>
      <c r="AR28" s="10"/>
      <c r="AS28" s="10"/>
      <c r="AT28" s="11"/>
      <c r="AU28" s="12"/>
      <c r="AV28" s="17"/>
      <c r="AW28" s="13"/>
      <c r="AX28" s="13"/>
      <c r="AY28" s="13"/>
      <c r="AZ28" s="14"/>
      <c r="BA28" s="9"/>
      <c r="BB28" s="16"/>
      <c r="BC28" s="10"/>
      <c r="BD28" s="10"/>
      <c r="BE28" s="10"/>
      <c r="BF28" s="11"/>
      <c r="BG28" s="12"/>
      <c r="BH28" s="17"/>
      <c r="BI28" s="13"/>
      <c r="BJ28" s="13"/>
      <c r="BK28" s="13"/>
      <c r="BL28" s="14"/>
      <c r="BM28" s="9"/>
      <c r="BN28" s="16"/>
      <c r="BO28" s="10"/>
      <c r="BP28" s="10"/>
      <c r="BQ28" s="10"/>
      <c r="BR28" s="11"/>
      <c r="BS28" s="8">
        <f t="shared" si="0"/>
        <v>32</v>
      </c>
      <c r="BT28" s="8">
        <f t="shared" si="1"/>
        <v>8</v>
      </c>
      <c r="BU28" s="8">
        <f t="shared" si="2"/>
        <v>17</v>
      </c>
      <c r="BV28" s="8">
        <f t="shared" si="3"/>
        <v>20</v>
      </c>
      <c r="BW28" s="8">
        <f t="shared" si="4"/>
        <v>32</v>
      </c>
      <c r="BX28" s="8">
        <f t="shared" si="5"/>
        <v>8</v>
      </c>
      <c r="BY28" s="15">
        <f t="shared" si="6"/>
        <v>2.3500465357094527</v>
      </c>
      <c r="BZ28" s="15" t="str">
        <f t="shared" si="7"/>
        <v>OK - No Upgrade</v>
      </c>
      <c r="CA28" s="15" t="str">
        <f t="shared" si="8"/>
        <v>Need to Balance</v>
      </c>
    </row>
    <row r="29" spans="1:79" ht="15.75" customHeight="1" x14ac:dyDescent="0.25">
      <c r="A29" s="8" t="s">
        <v>904</v>
      </c>
      <c r="B29" s="8" t="s">
        <v>4081</v>
      </c>
      <c r="C29" s="8" t="s">
        <v>3233</v>
      </c>
      <c r="D29" s="8" t="s">
        <v>4152</v>
      </c>
      <c r="E29" s="8" t="s">
        <v>4153</v>
      </c>
      <c r="F29" s="8" t="s">
        <v>56</v>
      </c>
      <c r="G29" s="8" t="s">
        <v>44</v>
      </c>
      <c r="H29" s="8">
        <v>500</v>
      </c>
      <c r="I29" s="8" t="s">
        <v>4154</v>
      </c>
      <c r="J29" s="8">
        <v>1</v>
      </c>
      <c r="K29" s="8">
        <v>243</v>
      </c>
      <c r="L29" s="8">
        <v>244</v>
      </c>
      <c r="M29" s="8">
        <v>241</v>
      </c>
      <c r="N29" s="8">
        <v>425</v>
      </c>
      <c r="O29" s="8">
        <v>419</v>
      </c>
      <c r="P29" s="8">
        <v>421</v>
      </c>
      <c r="Q29" s="9"/>
      <c r="R29" s="16"/>
      <c r="S29" s="10"/>
      <c r="T29" s="10"/>
      <c r="U29" s="10"/>
      <c r="V29" s="11"/>
      <c r="W29" s="12"/>
      <c r="X29" s="17"/>
      <c r="Y29" s="13"/>
      <c r="Z29" s="13"/>
      <c r="AA29" s="13"/>
      <c r="AB29" s="14"/>
      <c r="AC29" s="9" t="s">
        <v>47</v>
      </c>
      <c r="AD29" s="16"/>
      <c r="AE29" s="10">
        <v>1</v>
      </c>
      <c r="AF29" s="10">
        <v>26</v>
      </c>
      <c r="AG29" s="10">
        <v>16</v>
      </c>
      <c r="AH29" s="11">
        <v>18</v>
      </c>
      <c r="AI29" s="12" t="s">
        <v>70</v>
      </c>
      <c r="AJ29" s="17"/>
      <c r="AK29" s="13">
        <v>1</v>
      </c>
      <c r="AL29" s="13">
        <v>0</v>
      </c>
      <c r="AM29" s="13">
        <v>0</v>
      </c>
      <c r="AN29" s="14">
        <v>1</v>
      </c>
      <c r="AO29" s="9"/>
      <c r="AP29" s="16"/>
      <c r="AQ29" s="10"/>
      <c r="AR29" s="10"/>
      <c r="AS29" s="10"/>
      <c r="AT29" s="11"/>
      <c r="AU29" s="12"/>
      <c r="AV29" s="17"/>
      <c r="AW29" s="13"/>
      <c r="AX29" s="13"/>
      <c r="AY29" s="13"/>
      <c r="AZ29" s="14"/>
      <c r="BA29" s="9"/>
      <c r="BB29" s="16"/>
      <c r="BC29" s="10"/>
      <c r="BD29" s="10"/>
      <c r="BE29" s="10"/>
      <c r="BF29" s="11"/>
      <c r="BG29" s="12"/>
      <c r="BH29" s="17"/>
      <c r="BI29" s="13"/>
      <c r="BJ29" s="13"/>
      <c r="BK29" s="13"/>
      <c r="BL29" s="14"/>
      <c r="BM29" s="9"/>
      <c r="BN29" s="16"/>
      <c r="BO29" s="10"/>
      <c r="BP29" s="10"/>
      <c r="BQ29" s="10"/>
      <c r="BR29" s="11"/>
      <c r="BS29" s="8">
        <f t="shared" si="0"/>
        <v>2</v>
      </c>
      <c r="BT29" s="8">
        <f t="shared" si="1"/>
        <v>26</v>
      </c>
      <c r="BU29" s="8">
        <f t="shared" si="2"/>
        <v>16</v>
      </c>
      <c r="BV29" s="8">
        <f t="shared" si="3"/>
        <v>19</v>
      </c>
      <c r="BW29" s="8">
        <f t="shared" si="4"/>
        <v>26</v>
      </c>
      <c r="BX29" s="8">
        <f t="shared" si="5"/>
        <v>2</v>
      </c>
      <c r="BY29" s="15">
        <f t="shared" si="6"/>
        <v>3.8278322847272181</v>
      </c>
      <c r="BZ29" s="15" t="str">
        <f t="shared" si="7"/>
        <v>OK - No Upgrade</v>
      </c>
      <c r="CA29" s="15" t="str">
        <f t="shared" si="8"/>
        <v>Need to Balance</v>
      </c>
    </row>
    <row r="30" spans="1:79" ht="15.75" customHeight="1" x14ac:dyDescent="0.25">
      <c r="A30" s="8" t="s">
        <v>904</v>
      </c>
      <c r="B30" s="8" t="s">
        <v>4081</v>
      </c>
      <c r="C30" s="8" t="s">
        <v>3233</v>
      </c>
      <c r="D30" s="8" t="s">
        <v>4155</v>
      </c>
      <c r="E30" s="8" t="s">
        <v>4156</v>
      </c>
      <c r="F30" s="8" t="s">
        <v>43</v>
      </c>
      <c r="G30" s="8" t="s">
        <v>44</v>
      </c>
      <c r="H30" s="8">
        <v>315</v>
      </c>
      <c r="I30" s="8" t="s">
        <v>3098</v>
      </c>
      <c r="J30" s="8">
        <v>1</v>
      </c>
      <c r="K30" s="8">
        <v>242</v>
      </c>
      <c r="L30" s="8">
        <v>243</v>
      </c>
      <c r="M30" s="8">
        <v>240</v>
      </c>
      <c r="N30" s="8">
        <v>424</v>
      </c>
      <c r="O30" s="8">
        <v>417</v>
      </c>
      <c r="P30" s="8">
        <v>419</v>
      </c>
      <c r="Q30" s="9" t="s">
        <v>47</v>
      </c>
      <c r="R30" s="16"/>
      <c r="S30" s="10">
        <v>60</v>
      </c>
      <c r="T30" s="10">
        <v>65</v>
      </c>
      <c r="U30" s="10">
        <v>75</v>
      </c>
      <c r="V30" s="11">
        <v>20</v>
      </c>
      <c r="W30" s="12" t="s">
        <v>47</v>
      </c>
      <c r="X30" s="17"/>
      <c r="Y30" s="13">
        <v>50</v>
      </c>
      <c r="Z30" s="13">
        <v>48</v>
      </c>
      <c r="AA30" s="13">
        <v>25</v>
      </c>
      <c r="AB30" s="14">
        <v>19</v>
      </c>
      <c r="AC30" s="9"/>
      <c r="AD30" s="16"/>
      <c r="AE30" s="10"/>
      <c r="AF30" s="10"/>
      <c r="AG30" s="10"/>
      <c r="AH30" s="11"/>
      <c r="AI30" s="12"/>
      <c r="AJ30" s="17"/>
      <c r="AK30" s="13"/>
      <c r="AL30" s="13"/>
      <c r="AM30" s="13"/>
      <c r="AN30" s="14"/>
      <c r="AO30" s="9"/>
      <c r="AP30" s="16"/>
      <c r="AQ30" s="10"/>
      <c r="AR30" s="10"/>
      <c r="AS30" s="10"/>
      <c r="AT30" s="11"/>
      <c r="AU30" s="12"/>
      <c r="AV30" s="17"/>
      <c r="AW30" s="13"/>
      <c r="AX30" s="13"/>
      <c r="AY30" s="13"/>
      <c r="AZ30" s="14"/>
      <c r="BA30" s="9"/>
      <c r="BB30" s="16"/>
      <c r="BC30" s="10"/>
      <c r="BD30" s="10"/>
      <c r="BE30" s="10"/>
      <c r="BF30" s="11"/>
      <c r="BG30" s="12"/>
      <c r="BH30" s="17"/>
      <c r="BI30" s="13"/>
      <c r="BJ30" s="13"/>
      <c r="BK30" s="13"/>
      <c r="BL30" s="14"/>
      <c r="BM30" s="9"/>
      <c r="BN30" s="16"/>
      <c r="BO30" s="10"/>
      <c r="BP30" s="10"/>
      <c r="BQ30" s="10"/>
      <c r="BR30" s="11"/>
      <c r="BS30" s="8">
        <f t="shared" si="0"/>
        <v>110</v>
      </c>
      <c r="BT30" s="8">
        <f t="shared" si="1"/>
        <v>113</v>
      </c>
      <c r="BU30" s="8">
        <f t="shared" si="2"/>
        <v>100</v>
      </c>
      <c r="BV30" s="8">
        <f t="shared" si="3"/>
        <v>39</v>
      </c>
      <c r="BW30" s="8">
        <f t="shared" si="4"/>
        <v>113</v>
      </c>
      <c r="BX30" s="8">
        <f t="shared" si="5"/>
        <v>100</v>
      </c>
      <c r="BY30" s="15">
        <f t="shared" si="6"/>
        <v>26.344767711822236</v>
      </c>
      <c r="BZ30" s="15" t="str">
        <f t="shared" si="7"/>
        <v>OK - No Upgrade</v>
      </c>
      <c r="CA30" s="15" t="str">
        <f t="shared" si="8"/>
        <v>OK - Balanced</v>
      </c>
    </row>
    <row r="31" spans="1:79" ht="15.75" customHeight="1" x14ac:dyDescent="0.25">
      <c r="A31" s="8" t="s">
        <v>904</v>
      </c>
      <c r="B31" s="8" t="s">
        <v>4081</v>
      </c>
      <c r="C31" s="8" t="s">
        <v>3233</v>
      </c>
      <c r="D31" s="8" t="s">
        <v>4157</v>
      </c>
      <c r="E31" s="8" t="s">
        <v>4158</v>
      </c>
      <c r="F31" s="8" t="s">
        <v>43</v>
      </c>
      <c r="G31" s="8" t="s">
        <v>44</v>
      </c>
      <c r="H31" s="8">
        <v>100</v>
      </c>
      <c r="I31" s="8" t="s">
        <v>4159</v>
      </c>
      <c r="J31" s="8">
        <v>1</v>
      </c>
      <c r="K31" s="8">
        <v>245</v>
      </c>
      <c r="L31" s="8">
        <v>246</v>
      </c>
      <c r="M31" s="8">
        <v>243</v>
      </c>
      <c r="N31" s="8">
        <v>428</v>
      </c>
      <c r="O31" s="8">
        <v>423</v>
      </c>
      <c r="P31" s="8">
        <v>427</v>
      </c>
      <c r="Q31" s="9" t="s">
        <v>47</v>
      </c>
      <c r="R31" s="16"/>
      <c r="S31" s="10">
        <v>0</v>
      </c>
      <c r="T31" s="10">
        <v>0</v>
      </c>
      <c r="U31" s="10">
        <v>0</v>
      </c>
      <c r="V31" s="11">
        <v>0</v>
      </c>
      <c r="W31" s="12"/>
      <c r="X31" s="17"/>
      <c r="Y31" s="13"/>
      <c r="Z31" s="13"/>
      <c r="AA31" s="13"/>
      <c r="AB31" s="14"/>
      <c r="AC31" s="9"/>
      <c r="AD31" s="16"/>
      <c r="AE31" s="10"/>
      <c r="AF31" s="10"/>
      <c r="AG31" s="10"/>
      <c r="AH31" s="11"/>
      <c r="AI31" s="12"/>
      <c r="AJ31" s="17"/>
      <c r="AK31" s="13"/>
      <c r="AL31" s="13"/>
      <c r="AM31" s="13"/>
      <c r="AN31" s="14"/>
      <c r="AO31" s="9"/>
      <c r="AP31" s="16"/>
      <c r="AQ31" s="10"/>
      <c r="AR31" s="10"/>
      <c r="AS31" s="10"/>
      <c r="AT31" s="11"/>
      <c r="AU31" s="12"/>
      <c r="AV31" s="17"/>
      <c r="AW31" s="13"/>
      <c r="AX31" s="13"/>
      <c r="AY31" s="13"/>
      <c r="AZ31" s="14"/>
      <c r="BA31" s="9"/>
      <c r="BB31" s="16"/>
      <c r="BC31" s="10"/>
      <c r="BD31" s="10"/>
      <c r="BE31" s="10"/>
      <c r="BF31" s="11"/>
      <c r="BG31" s="12"/>
      <c r="BH31" s="17"/>
      <c r="BI31" s="13"/>
      <c r="BJ31" s="13"/>
      <c r="BK31" s="13"/>
      <c r="BL31" s="14"/>
      <c r="BM31" s="9"/>
      <c r="BN31" s="16"/>
      <c r="BO31" s="10"/>
      <c r="BP31" s="10"/>
      <c r="BQ31" s="10"/>
      <c r="BR31" s="11"/>
      <c r="BS31" s="8">
        <f t="shared" si="0"/>
        <v>0</v>
      </c>
      <c r="BT31" s="8">
        <f t="shared" si="1"/>
        <v>0</v>
      </c>
      <c r="BU31" s="8">
        <f t="shared" si="2"/>
        <v>0</v>
      </c>
      <c r="BV31" s="8">
        <f t="shared" si="3"/>
        <v>0</v>
      </c>
      <c r="BW31" s="8">
        <f t="shared" si="4"/>
        <v>0</v>
      </c>
      <c r="BX31" s="8">
        <f t="shared" si="5"/>
        <v>0</v>
      </c>
      <c r="BY31" s="15">
        <f t="shared" si="6"/>
        <v>0</v>
      </c>
      <c r="BZ31" s="15" t="str">
        <f t="shared" si="7"/>
        <v>OK - No Upgrade</v>
      </c>
      <c r="CA31" s="15" t="str">
        <f t="shared" si="8"/>
        <v>OK - Balanced</v>
      </c>
    </row>
    <row r="32" spans="1:79" ht="15.75" customHeight="1" x14ac:dyDescent="0.25">
      <c r="A32" s="8" t="s">
        <v>904</v>
      </c>
      <c r="B32" s="8" t="s">
        <v>4081</v>
      </c>
      <c r="C32" s="8" t="s">
        <v>2206</v>
      </c>
      <c r="D32" s="8" t="s">
        <v>4160</v>
      </c>
      <c r="E32" s="8" t="s">
        <v>4161</v>
      </c>
      <c r="F32" s="8" t="s">
        <v>56</v>
      </c>
      <c r="G32" s="8"/>
      <c r="H32" s="8">
        <v>1000</v>
      </c>
      <c r="I32" s="8" t="s">
        <v>4162</v>
      </c>
      <c r="J32" s="8">
        <v>1</v>
      </c>
      <c r="K32" s="8">
        <v>244</v>
      </c>
      <c r="L32" s="8">
        <v>242</v>
      </c>
      <c r="M32" s="8">
        <v>244</v>
      </c>
      <c r="N32" s="8">
        <v>422</v>
      </c>
      <c r="O32" s="8">
        <v>421</v>
      </c>
      <c r="P32" s="8">
        <v>425</v>
      </c>
      <c r="Q32" s="9"/>
      <c r="R32" s="16"/>
      <c r="S32" s="10"/>
      <c r="T32" s="10"/>
      <c r="U32" s="10"/>
      <c r="V32" s="11"/>
      <c r="W32" s="12" t="s">
        <v>334</v>
      </c>
      <c r="X32" s="17"/>
      <c r="Y32" s="13">
        <v>0</v>
      </c>
      <c r="Z32" s="13">
        <v>0</v>
      </c>
      <c r="AA32" s="13">
        <v>0</v>
      </c>
      <c r="AB32" s="14">
        <v>0</v>
      </c>
      <c r="AC32" s="9"/>
      <c r="AD32" s="16"/>
      <c r="AE32" s="10"/>
      <c r="AF32" s="10"/>
      <c r="AG32" s="10"/>
      <c r="AH32" s="11"/>
      <c r="AI32" s="12"/>
      <c r="AJ32" s="17"/>
      <c r="AK32" s="13"/>
      <c r="AL32" s="13"/>
      <c r="AM32" s="13"/>
      <c r="AN32" s="14"/>
      <c r="AO32" s="9" t="s">
        <v>47</v>
      </c>
      <c r="AP32" s="16"/>
      <c r="AQ32" s="10">
        <v>159</v>
      </c>
      <c r="AR32" s="10">
        <v>88</v>
      </c>
      <c r="AS32" s="10">
        <v>106</v>
      </c>
      <c r="AT32" s="11">
        <v>52</v>
      </c>
      <c r="AU32" s="12" t="s">
        <v>47</v>
      </c>
      <c r="AV32" s="17"/>
      <c r="AW32" s="13">
        <v>1</v>
      </c>
      <c r="AX32" s="13">
        <v>37</v>
      </c>
      <c r="AY32" s="13">
        <v>19</v>
      </c>
      <c r="AZ32" s="14">
        <v>23</v>
      </c>
      <c r="BA32" s="9" t="s">
        <v>47</v>
      </c>
      <c r="BB32" s="16"/>
      <c r="BC32" s="10">
        <v>40</v>
      </c>
      <c r="BD32" s="10">
        <v>45</v>
      </c>
      <c r="BE32" s="10">
        <v>40</v>
      </c>
      <c r="BF32" s="11">
        <v>10</v>
      </c>
      <c r="BG32" s="12" t="s">
        <v>47</v>
      </c>
      <c r="BH32" s="17"/>
      <c r="BI32" s="13">
        <v>200</v>
      </c>
      <c r="BJ32" s="13">
        <v>286</v>
      </c>
      <c r="BK32" s="13">
        <v>150</v>
      </c>
      <c r="BL32" s="14">
        <v>103</v>
      </c>
      <c r="BM32" s="9"/>
      <c r="BN32" s="16"/>
      <c r="BO32" s="10"/>
      <c r="BP32" s="10"/>
      <c r="BQ32" s="10"/>
      <c r="BR32" s="11"/>
      <c r="BS32" s="8">
        <f t="shared" si="0"/>
        <v>400</v>
      </c>
      <c r="BT32" s="8">
        <f t="shared" si="1"/>
        <v>456</v>
      </c>
      <c r="BU32" s="8">
        <f t="shared" si="2"/>
        <v>315</v>
      </c>
      <c r="BV32" s="8">
        <f t="shared" si="3"/>
        <v>188</v>
      </c>
      <c r="BW32" s="8">
        <f t="shared" si="4"/>
        <v>456</v>
      </c>
      <c r="BX32" s="8">
        <f t="shared" si="5"/>
        <v>315</v>
      </c>
      <c r="BY32" s="15">
        <f t="shared" si="6"/>
        <v>33.330200100209417</v>
      </c>
      <c r="BZ32" s="15" t="str">
        <f t="shared" si="7"/>
        <v>OK - No Upgrade</v>
      </c>
      <c r="CA32" s="15" t="str">
        <f t="shared" si="8"/>
        <v>Need to Balance</v>
      </c>
    </row>
    <row r="33" spans="1:79" ht="15.75" customHeight="1" x14ac:dyDescent="0.25">
      <c r="A33" s="8" t="s">
        <v>904</v>
      </c>
      <c r="B33" s="8" t="s">
        <v>4081</v>
      </c>
      <c r="C33" s="8" t="s">
        <v>2206</v>
      </c>
      <c r="D33" s="8" t="s">
        <v>4163</v>
      </c>
      <c r="E33" s="8" t="s">
        <v>4164</v>
      </c>
      <c r="F33" s="8" t="s">
        <v>43</v>
      </c>
      <c r="G33" s="8"/>
      <c r="H33" s="8">
        <v>315</v>
      </c>
      <c r="I33" s="8" t="s">
        <v>4165</v>
      </c>
      <c r="J33" s="8">
        <v>1</v>
      </c>
      <c r="K33" s="8">
        <v>242</v>
      </c>
      <c r="L33" s="8">
        <v>243</v>
      </c>
      <c r="M33" s="8">
        <v>240</v>
      </c>
      <c r="N33" s="8">
        <v>423</v>
      </c>
      <c r="O33" s="8">
        <v>420</v>
      </c>
      <c r="P33" s="8">
        <v>419</v>
      </c>
      <c r="Q33" s="9" t="s">
        <v>46</v>
      </c>
      <c r="R33" s="16"/>
      <c r="S33" s="10">
        <v>64</v>
      </c>
      <c r="T33" s="10">
        <v>126</v>
      </c>
      <c r="U33" s="10">
        <v>98</v>
      </c>
      <c r="V33" s="11">
        <v>38</v>
      </c>
      <c r="W33" s="12" t="s">
        <v>46</v>
      </c>
      <c r="X33" s="17"/>
      <c r="Y33" s="13">
        <v>111</v>
      </c>
      <c r="Z33" s="13">
        <v>54</v>
      </c>
      <c r="AA33" s="13">
        <v>97</v>
      </c>
      <c r="AB33" s="14">
        <v>43</v>
      </c>
      <c r="AC33" s="9"/>
      <c r="AD33" s="16"/>
      <c r="AE33" s="10"/>
      <c r="AF33" s="10"/>
      <c r="AG33" s="10"/>
      <c r="AH33" s="11"/>
      <c r="AI33" s="12"/>
      <c r="AJ33" s="17"/>
      <c r="AK33" s="13"/>
      <c r="AL33" s="13"/>
      <c r="AM33" s="13"/>
      <c r="AN33" s="14"/>
      <c r="AO33" s="9"/>
      <c r="AP33" s="16"/>
      <c r="AQ33" s="10"/>
      <c r="AR33" s="10"/>
      <c r="AS33" s="10"/>
      <c r="AT33" s="11"/>
      <c r="AU33" s="12"/>
      <c r="AV33" s="17"/>
      <c r="AW33" s="13"/>
      <c r="AX33" s="13"/>
      <c r="AY33" s="13"/>
      <c r="AZ33" s="14"/>
      <c r="BA33" s="9"/>
      <c r="BB33" s="16"/>
      <c r="BC33" s="10"/>
      <c r="BD33" s="10"/>
      <c r="BE33" s="10"/>
      <c r="BF33" s="11"/>
      <c r="BG33" s="12"/>
      <c r="BH33" s="17"/>
      <c r="BI33" s="13"/>
      <c r="BJ33" s="13"/>
      <c r="BK33" s="13"/>
      <c r="BL33" s="14"/>
      <c r="BM33" s="9"/>
      <c r="BN33" s="16"/>
      <c r="BO33" s="10"/>
      <c r="BP33" s="10"/>
      <c r="BQ33" s="10"/>
      <c r="BR33" s="11"/>
      <c r="BS33" s="8">
        <f t="shared" si="0"/>
        <v>175</v>
      </c>
      <c r="BT33" s="8">
        <f t="shared" si="1"/>
        <v>180</v>
      </c>
      <c r="BU33" s="8">
        <f t="shared" si="2"/>
        <v>195</v>
      </c>
      <c r="BV33" s="8">
        <f t="shared" si="3"/>
        <v>81</v>
      </c>
      <c r="BW33" s="8">
        <f t="shared" si="4"/>
        <v>195</v>
      </c>
      <c r="BX33" s="8">
        <f t="shared" si="5"/>
        <v>175</v>
      </c>
      <c r="BY33" s="15">
        <f t="shared" si="6"/>
        <v>45.354987575339308</v>
      </c>
      <c r="BZ33" s="15" t="str">
        <f t="shared" si="7"/>
        <v>OK - No Upgrade</v>
      </c>
      <c r="CA33" s="15" t="str">
        <f t="shared" si="8"/>
        <v>OK - Balanced</v>
      </c>
    </row>
    <row r="34" spans="1:79" ht="15.75" customHeight="1" x14ac:dyDescent="0.25">
      <c r="A34" s="8" t="s">
        <v>904</v>
      </c>
      <c r="B34" s="8" t="s">
        <v>4081</v>
      </c>
      <c r="C34" s="8" t="s">
        <v>2206</v>
      </c>
      <c r="D34" s="8" t="s">
        <v>4166</v>
      </c>
      <c r="E34" s="8" t="s">
        <v>4167</v>
      </c>
      <c r="F34" s="8" t="s">
        <v>43</v>
      </c>
      <c r="G34" s="8"/>
      <c r="H34" s="8">
        <v>315</v>
      </c>
      <c r="I34" s="8" t="s">
        <v>4168</v>
      </c>
      <c r="J34" s="8">
        <v>1</v>
      </c>
      <c r="K34" s="8">
        <v>244</v>
      </c>
      <c r="L34" s="8">
        <v>244</v>
      </c>
      <c r="M34" s="8">
        <v>242</v>
      </c>
      <c r="N34" s="8">
        <v>425</v>
      </c>
      <c r="O34" s="8">
        <v>421</v>
      </c>
      <c r="P34" s="8">
        <v>422</v>
      </c>
      <c r="Q34" s="9" t="s">
        <v>47</v>
      </c>
      <c r="R34" s="16"/>
      <c r="S34" s="10">
        <v>54</v>
      </c>
      <c r="T34" s="10">
        <v>55</v>
      </c>
      <c r="U34" s="10">
        <v>75</v>
      </c>
      <c r="V34" s="11">
        <v>22</v>
      </c>
      <c r="W34" s="12" t="s">
        <v>47</v>
      </c>
      <c r="X34" s="17"/>
      <c r="Y34" s="13">
        <v>45</v>
      </c>
      <c r="Z34" s="13">
        <v>58</v>
      </c>
      <c r="AA34" s="13">
        <v>14</v>
      </c>
      <c r="AB34" s="14">
        <v>33</v>
      </c>
      <c r="AC34" s="9"/>
      <c r="AD34" s="16"/>
      <c r="AE34" s="10"/>
      <c r="AF34" s="10"/>
      <c r="AG34" s="10"/>
      <c r="AH34" s="11"/>
      <c r="AI34" s="12"/>
      <c r="AJ34" s="17"/>
      <c r="AK34" s="13"/>
      <c r="AL34" s="13"/>
      <c r="AM34" s="13"/>
      <c r="AN34" s="14"/>
      <c r="AO34" s="9"/>
      <c r="AP34" s="16"/>
      <c r="AQ34" s="10"/>
      <c r="AR34" s="10"/>
      <c r="AS34" s="10"/>
      <c r="AT34" s="11"/>
      <c r="AU34" s="12"/>
      <c r="AV34" s="17"/>
      <c r="AW34" s="13"/>
      <c r="AX34" s="13"/>
      <c r="AY34" s="13"/>
      <c r="AZ34" s="14"/>
      <c r="BA34" s="9"/>
      <c r="BB34" s="16"/>
      <c r="BC34" s="10"/>
      <c r="BD34" s="10"/>
      <c r="BE34" s="10"/>
      <c r="BF34" s="11"/>
      <c r="BG34" s="12"/>
      <c r="BH34" s="17"/>
      <c r="BI34" s="13"/>
      <c r="BJ34" s="13"/>
      <c r="BK34" s="13"/>
      <c r="BL34" s="14"/>
      <c r="BM34" s="9"/>
      <c r="BN34" s="16"/>
      <c r="BO34" s="10"/>
      <c r="BP34" s="10"/>
      <c r="BQ34" s="10"/>
      <c r="BR34" s="11"/>
      <c r="BS34" s="8">
        <f t="shared" si="0"/>
        <v>99</v>
      </c>
      <c r="BT34" s="8">
        <f t="shared" si="1"/>
        <v>113</v>
      </c>
      <c r="BU34" s="8">
        <f t="shared" si="2"/>
        <v>89</v>
      </c>
      <c r="BV34" s="8">
        <f t="shared" si="3"/>
        <v>55</v>
      </c>
      <c r="BW34" s="8">
        <f t="shared" si="4"/>
        <v>113</v>
      </c>
      <c r="BX34" s="8">
        <f t="shared" si="5"/>
        <v>89</v>
      </c>
      <c r="BY34" s="15">
        <f t="shared" si="6"/>
        <v>26.406901597935022</v>
      </c>
      <c r="BZ34" s="15" t="str">
        <f t="shared" si="7"/>
        <v>OK - No Upgrade</v>
      </c>
      <c r="CA34" s="15" t="str">
        <f t="shared" si="8"/>
        <v>Need to Balance</v>
      </c>
    </row>
    <row r="35" spans="1:79" ht="15.75" customHeight="1" x14ac:dyDescent="0.25">
      <c r="A35" s="8" t="s">
        <v>904</v>
      </c>
      <c r="B35" s="8" t="s">
        <v>4081</v>
      </c>
      <c r="C35" s="8" t="s">
        <v>3233</v>
      </c>
      <c r="D35" s="8" t="s">
        <v>4169</v>
      </c>
      <c r="E35" s="8" t="s">
        <v>4170</v>
      </c>
      <c r="F35" s="8" t="s">
        <v>43</v>
      </c>
      <c r="G35" s="8"/>
      <c r="H35" s="8">
        <v>200</v>
      </c>
      <c r="I35" s="8" t="s">
        <v>4165</v>
      </c>
      <c r="J35" s="8">
        <v>1</v>
      </c>
      <c r="K35" s="8">
        <v>243</v>
      </c>
      <c r="L35" s="8">
        <v>245</v>
      </c>
      <c r="M35" s="8">
        <v>246</v>
      </c>
      <c r="N35" s="8">
        <v>422</v>
      </c>
      <c r="O35" s="8">
        <v>425</v>
      </c>
      <c r="P35" s="8">
        <v>428</v>
      </c>
      <c r="Q35" s="9" t="s">
        <v>47</v>
      </c>
      <c r="R35" s="16"/>
      <c r="S35" s="10">
        <v>0</v>
      </c>
      <c r="T35" s="10">
        <v>0</v>
      </c>
      <c r="U35" s="10">
        <v>0</v>
      </c>
      <c r="V35" s="11">
        <v>0</v>
      </c>
      <c r="W35" s="12" t="s">
        <v>47</v>
      </c>
      <c r="X35" s="17"/>
      <c r="Y35" s="13">
        <v>0</v>
      </c>
      <c r="Z35" s="13">
        <v>0</v>
      </c>
      <c r="AA35" s="13">
        <v>0</v>
      </c>
      <c r="AB35" s="14">
        <v>0</v>
      </c>
      <c r="AC35" s="9"/>
      <c r="AD35" s="16"/>
      <c r="AE35" s="10"/>
      <c r="AF35" s="10"/>
      <c r="AG35" s="10"/>
      <c r="AH35" s="11"/>
      <c r="AI35" s="12"/>
      <c r="AJ35" s="17"/>
      <c r="AK35" s="13"/>
      <c r="AL35" s="13"/>
      <c r="AM35" s="13"/>
      <c r="AN35" s="14"/>
      <c r="AO35" s="9"/>
      <c r="AP35" s="16"/>
      <c r="AQ35" s="10"/>
      <c r="AR35" s="10"/>
      <c r="AS35" s="10"/>
      <c r="AT35" s="11"/>
      <c r="AU35" s="12"/>
      <c r="AV35" s="17"/>
      <c r="AW35" s="13"/>
      <c r="AX35" s="13"/>
      <c r="AY35" s="13"/>
      <c r="AZ35" s="14"/>
      <c r="BA35" s="9"/>
      <c r="BB35" s="16"/>
      <c r="BC35" s="10"/>
      <c r="BD35" s="10"/>
      <c r="BE35" s="10"/>
      <c r="BF35" s="11"/>
      <c r="BG35" s="12"/>
      <c r="BH35" s="17"/>
      <c r="BI35" s="13"/>
      <c r="BJ35" s="13"/>
      <c r="BK35" s="13"/>
      <c r="BL35" s="14"/>
      <c r="BM35" s="9"/>
      <c r="BN35" s="16"/>
      <c r="BO35" s="10"/>
      <c r="BP35" s="10"/>
      <c r="BQ35" s="10"/>
      <c r="BR35" s="11"/>
      <c r="BS35" s="8">
        <f t="shared" si="0"/>
        <v>0</v>
      </c>
      <c r="BT35" s="8">
        <f t="shared" si="1"/>
        <v>0</v>
      </c>
      <c r="BU35" s="8">
        <f t="shared" si="2"/>
        <v>0</v>
      </c>
      <c r="BV35" s="8">
        <f t="shared" si="3"/>
        <v>0</v>
      </c>
      <c r="BW35" s="8">
        <f t="shared" si="4"/>
        <v>0</v>
      </c>
      <c r="BX35" s="8">
        <f t="shared" si="5"/>
        <v>0</v>
      </c>
      <c r="BY35" s="15">
        <f t="shared" si="6"/>
        <v>0</v>
      </c>
      <c r="BZ35" s="15" t="str">
        <f t="shared" si="7"/>
        <v>OK - No Upgrade</v>
      </c>
      <c r="CA35" s="15" t="str">
        <f t="shared" si="8"/>
        <v>OK - Balanced</v>
      </c>
    </row>
    <row r="36" spans="1:79" ht="15.75" customHeight="1" x14ac:dyDescent="0.25">
      <c r="A36" s="8" t="s">
        <v>904</v>
      </c>
      <c r="B36" s="8" t="s">
        <v>4081</v>
      </c>
      <c r="C36" s="8" t="s">
        <v>3233</v>
      </c>
      <c r="D36" s="8" t="s">
        <v>4171</v>
      </c>
      <c r="E36" s="8" t="s">
        <v>4172</v>
      </c>
      <c r="F36" s="8" t="s">
        <v>43</v>
      </c>
      <c r="G36" s="8"/>
      <c r="H36" s="8">
        <v>315</v>
      </c>
      <c r="I36" s="8" t="s">
        <v>3848</v>
      </c>
      <c r="J36" s="8">
        <v>1</v>
      </c>
      <c r="K36" s="8">
        <v>239</v>
      </c>
      <c r="L36" s="8">
        <v>240</v>
      </c>
      <c r="M36" s="8">
        <v>242</v>
      </c>
      <c r="N36" s="8">
        <v>427</v>
      </c>
      <c r="O36" s="8">
        <v>419</v>
      </c>
      <c r="P36" s="8">
        <v>421</v>
      </c>
      <c r="Q36" s="9" t="s">
        <v>47</v>
      </c>
      <c r="R36" s="16"/>
      <c r="S36" s="10">
        <v>13</v>
      </c>
      <c r="T36" s="10">
        <v>25</v>
      </c>
      <c r="U36" s="10">
        <v>11</v>
      </c>
      <c r="V36" s="11">
        <v>15</v>
      </c>
      <c r="W36" s="12"/>
      <c r="X36" s="17"/>
      <c r="Y36" s="13"/>
      <c r="Z36" s="13"/>
      <c r="AA36" s="13"/>
      <c r="AB36" s="14"/>
      <c r="AC36" s="9"/>
      <c r="AD36" s="16"/>
      <c r="AE36" s="10"/>
      <c r="AF36" s="10"/>
      <c r="AG36" s="10"/>
      <c r="AH36" s="11"/>
      <c r="AI36" s="12"/>
      <c r="AJ36" s="17"/>
      <c r="AK36" s="13"/>
      <c r="AL36" s="13"/>
      <c r="AM36" s="13"/>
      <c r="AN36" s="14"/>
      <c r="AO36" s="9"/>
      <c r="AP36" s="16"/>
      <c r="AQ36" s="10"/>
      <c r="AR36" s="10"/>
      <c r="AS36" s="10"/>
      <c r="AT36" s="11"/>
      <c r="AU36" s="12"/>
      <c r="AV36" s="17"/>
      <c r="AW36" s="13"/>
      <c r="AX36" s="13"/>
      <c r="AY36" s="13"/>
      <c r="AZ36" s="14"/>
      <c r="BA36" s="9"/>
      <c r="BB36" s="16"/>
      <c r="BC36" s="10"/>
      <c r="BD36" s="10"/>
      <c r="BE36" s="10"/>
      <c r="BF36" s="11"/>
      <c r="BG36" s="12"/>
      <c r="BH36" s="17"/>
      <c r="BI36" s="13"/>
      <c r="BJ36" s="13"/>
      <c r="BK36" s="13"/>
      <c r="BL36" s="14"/>
      <c r="BM36" s="9"/>
      <c r="BN36" s="16"/>
      <c r="BO36" s="10"/>
      <c r="BP36" s="10"/>
      <c r="BQ36" s="10"/>
      <c r="BR36" s="11"/>
      <c r="BS36" s="8">
        <f t="shared" ref="BS36:BS67" si="9">SUM(S36,Y36,AE36,AK36,AQ36,AW36,BC36,BI36,BO36)</f>
        <v>13</v>
      </c>
      <c r="BT36" s="8">
        <f t="shared" ref="BT36:BT67" si="10">SUM(T36,Z36,AF36,AL36,AR36,AX36,BD36,BJ36,BP36)</f>
        <v>25</v>
      </c>
      <c r="BU36" s="8">
        <f t="shared" ref="BU36:BU67" si="11">SUM(U36,AA36,AG36,AM36,AS36,AY36,BE36,BK36,BQ36)</f>
        <v>11</v>
      </c>
      <c r="BV36" s="8">
        <f t="shared" ref="BV36:BV67" si="12">SUM(V36,AB36,AH36,AN36,AT36,AZ36,BF36,BL36,BR36)</f>
        <v>15</v>
      </c>
      <c r="BW36" s="8">
        <f t="shared" ref="BW36:BW67" si="13">MAX(BS36:BU36)</f>
        <v>25</v>
      </c>
      <c r="BX36" s="8">
        <f t="shared" ref="BX36:BX67" si="14">MIN(BS36:BU36)</f>
        <v>11</v>
      </c>
      <c r="BY36" s="15">
        <f t="shared" ref="BY36:BY67" si="15">IF(H36&gt;0,(BW36*SQRT(3)*IF(N36&gt;0,N36,IF(O36&gt;0,O36,IF(P36&gt;0,P36,415)))/(H36*1000))*100,0)</f>
        <v>5.8697277367611944</v>
      </c>
      <c r="BZ36" s="15" t="str">
        <f t="shared" ref="BZ36:BZ67" si="16">IF(BY36&gt;70,"Upgrade","OK - No Upgrade")</f>
        <v>OK - No Upgrade</v>
      </c>
      <c r="CA36" s="15" t="str">
        <f t="shared" ref="CA36:CA67" si="17">IF(IF(AVERAGE(BS36:BU36)&gt;0,((BW36-AVERAGE(BS36:BU36))/AVERAGE(BS36:BU36))*100,0)&gt;10,"Need to Balance","OK - Balanced")</f>
        <v>Need to Balance</v>
      </c>
    </row>
    <row r="37" spans="1:79" ht="15.75" customHeight="1" x14ac:dyDescent="0.25">
      <c r="A37" s="8" t="s">
        <v>904</v>
      </c>
      <c r="B37" s="8" t="s">
        <v>4081</v>
      </c>
      <c r="C37" s="8" t="s">
        <v>3233</v>
      </c>
      <c r="D37" s="8" t="s">
        <v>4173</v>
      </c>
      <c r="E37" s="8" t="s">
        <v>4174</v>
      </c>
      <c r="F37" s="8" t="s">
        <v>43</v>
      </c>
      <c r="G37" s="8"/>
      <c r="H37" s="8">
        <v>315</v>
      </c>
      <c r="I37" s="8" t="s">
        <v>1486</v>
      </c>
      <c r="J37" s="8">
        <v>1</v>
      </c>
      <c r="K37" s="8">
        <v>240</v>
      </c>
      <c r="L37" s="8">
        <v>241</v>
      </c>
      <c r="M37" s="8">
        <v>243</v>
      </c>
      <c r="N37" s="8">
        <v>416</v>
      </c>
      <c r="O37" s="8">
        <v>421</v>
      </c>
      <c r="P37" s="8">
        <v>423</v>
      </c>
      <c r="Q37" s="9" t="s">
        <v>47</v>
      </c>
      <c r="R37" s="16"/>
      <c r="S37" s="10">
        <v>0</v>
      </c>
      <c r="T37" s="10">
        <v>0</v>
      </c>
      <c r="U37" s="10">
        <v>0</v>
      </c>
      <c r="V37" s="11">
        <v>0</v>
      </c>
      <c r="W37" s="12" t="s">
        <v>47</v>
      </c>
      <c r="X37" s="17"/>
      <c r="Y37" s="13">
        <v>0</v>
      </c>
      <c r="Z37" s="13">
        <v>0</v>
      </c>
      <c r="AA37" s="13">
        <v>0</v>
      </c>
      <c r="AB37" s="14">
        <v>0</v>
      </c>
      <c r="AC37" s="9"/>
      <c r="AD37" s="16"/>
      <c r="AE37" s="10"/>
      <c r="AF37" s="10"/>
      <c r="AG37" s="10"/>
      <c r="AH37" s="11"/>
      <c r="AI37" s="12"/>
      <c r="AJ37" s="17"/>
      <c r="AK37" s="13"/>
      <c r="AL37" s="13"/>
      <c r="AM37" s="13"/>
      <c r="AN37" s="14"/>
      <c r="AO37" s="9"/>
      <c r="AP37" s="16"/>
      <c r="AQ37" s="10"/>
      <c r="AR37" s="10"/>
      <c r="AS37" s="10"/>
      <c r="AT37" s="11"/>
      <c r="AU37" s="12"/>
      <c r="AV37" s="17"/>
      <c r="AW37" s="13"/>
      <c r="AX37" s="13"/>
      <c r="AY37" s="13"/>
      <c r="AZ37" s="14"/>
      <c r="BA37" s="9"/>
      <c r="BB37" s="16"/>
      <c r="BC37" s="10"/>
      <c r="BD37" s="10"/>
      <c r="BE37" s="10"/>
      <c r="BF37" s="11"/>
      <c r="BG37" s="12"/>
      <c r="BH37" s="17"/>
      <c r="BI37" s="13"/>
      <c r="BJ37" s="13"/>
      <c r="BK37" s="13"/>
      <c r="BL37" s="14"/>
      <c r="BM37" s="9"/>
      <c r="BN37" s="16"/>
      <c r="BO37" s="10"/>
      <c r="BP37" s="10"/>
      <c r="BQ37" s="10"/>
      <c r="BR37" s="11"/>
      <c r="BS37" s="8">
        <f t="shared" si="9"/>
        <v>0</v>
      </c>
      <c r="BT37" s="8">
        <f t="shared" si="10"/>
        <v>0</v>
      </c>
      <c r="BU37" s="8">
        <f t="shared" si="11"/>
        <v>0</v>
      </c>
      <c r="BV37" s="8">
        <f t="shared" si="12"/>
        <v>0</v>
      </c>
      <c r="BW37" s="8">
        <f t="shared" si="13"/>
        <v>0</v>
      </c>
      <c r="BX37" s="8">
        <f t="shared" si="14"/>
        <v>0</v>
      </c>
      <c r="BY37" s="15">
        <f t="shared" si="15"/>
        <v>0</v>
      </c>
      <c r="BZ37" s="15" t="str">
        <f t="shared" si="16"/>
        <v>OK - No Upgrade</v>
      </c>
      <c r="CA37" s="15" t="str">
        <f t="shared" si="17"/>
        <v>OK - Balanced</v>
      </c>
    </row>
    <row r="38" spans="1:79" ht="15.75" customHeight="1" x14ac:dyDescent="0.25">
      <c r="A38" s="8" t="s">
        <v>904</v>
      </c>
      <c r="B38" s="8" t="s">
        <v>4081</v>
      </c>
      <c r="C38" s="8" t="s">
        <v>3233</v>
      </c>
      <c r="D38" s="8" t="s">
        <v>4175</v>
      </c>
      <c r="E38" s="8" t="s">
        <v>4176</v>
      </c>
      <c r="F38" s="8" t="s">
        <v>56</v>
      </c>
      <c r="G38" s="8"/>
      <c r="H38" s="8">
        <v>1000</v>
      </c>
      <c r="I38" s="8" t="s">
        <v>4177</v>
      </c>
      <c r="J38" s="8">
        <v>1</v>
      </c>
      <c r="K38" s="8">
        <v>240</v>
      </c>
      <c r="L38" s="8">
        <v>242</v>
      </c>
      <c r="M38" s="8">
        <v>243</v>
      </c>
      <c r="N38" s="8">
        <v>418</v>
      </c>
      <c r="O38" s="8">
        <v>419</v>
      </c>
      <c r="P38" s="8">
        <v>422</v>
      </c>
      <c r="Q38" s="9"/>
      <c r="R38" s="16"/>
      <c r="S38" s="10"/>
      <c r="T38" s="10"/>
      <c r="U38" s="10"/>
      <c r="V38" s="11"/>
      <c r="W38" s="12"/>
      <c r="X38" s="17"/>
      <c r="Y38" s="13"/>
      <c r="Z38" s="13"/>
      <c r="AA38" s="13"/>
      <c r="AB38" s="14"/>
      <c r="AC38" s="9" t="s">
        <v>47</v>
      </c>
      <c r="AD38" s="16"/>
      <c r="AE38" s="10">
        <v>0</v>
      </c>
      <c r="AF38" s="10">
        <v>0</v>
      </c>
      <c r="AG38" s="10">
        <v>0</v>
      </c>
      <c r="AH38" s="11">
        <v>0</v>
      </c>
      <c r="AI38" s="12" t="s">
        <v>46</v>
      </c>
      <c r="AJ38" s="17"/>
      <c r="AK38" s="13">
        <v>0</v>
      </c>
      <c r="AL38" s="13">
        <v>0</v>
      </c>
      <c r="AM38" s="13">
        <v>21</v>
      </c>
      <c r="AN38" s="14">
        <v>15</v>
      </c>
      <c r="AO38" s="9"/>
      <c r="AP38" s="16"/>
      <c r="AQ38" s="10"/>
      <c r="AR38" s="10"/>
      <c r="AS38" s="10"/>
      <c r="AT38" s="11"/>
      <c r="AU38" s="12"/>
      <c r="AV38" s="17"/>
      <c r="AW38" s="13"/>
      <c r="AX38" s="13"/>
      <c r="AY38" s="13"/>
      <c r="AZ38" s="14"/>
      <c r="BA38" s="9"/>
      <c r="BB38" s="16"/>
      <c r="BC38" s="10"/>
      <c r="BD38" s="10"/>
      <c r="BE38" s="10"/>
      <c r="BF38" s="11"/>
      <c r="BG38" s="12"/>
      <c r="BH38" s="17"/>
      <c r="BI38" s="13"/>
      <c r="BJ38" s="13"/>
      <c r="BK38" s="13"/>
      <c r="BL38" s="14"/>
      <c r="BM38" s="9"/>
      <c r="BN38" s="16"/>
      <c r="BO38" s="10"/>
      <c r="BP38" s="10"/>
      <c r="BQ38" s="10"/>
      <c r="BR38" s="11"/>
      <c r="BS38" s="8">
        <f t="shared" si="9"/>
        <v>0</v>
      </c>
      <c r="BT38" s="8">
        <f t="shared" si="10"/>
        <v>0</v>
      </c>
      <c r="BU38" s="8">
        <f t="shared" si="11"/>
        <v>21</v>
      </c>
      <c r="BV38" s="8">
        <f t="shared" si="12"/>
        <v>15</v>
      </c>
      <c r="BW38" s="8">
        <f t="shared" si="13"/>
        <v>21</v>
      </c>
      <c r="BX38" s="8">
        <f t="shared" si="14"/>
        <v>0</v>
      </c>
      <c r="BY38" s="15">
        <f t="shared" si="15"/>
        <v>1.5203941988839607</v>
      </c>
      <c r="BZ38" s="15" t="str">
        <f t="shared" si="16"/>
        <v>OK - No Upgrade</v>
      </c>
      <c r="CA38" s="15" t="str">
        <f t="shared" si="17"/>
        <v>Need to Balance</v>
      </c>
    </row>
    <row r="39" spans="1:79" ht="15.75" customHeight="1" x14ac:dyDescent="0.25">
      <c r="A39" s="8" t="s">
        <v>904</v>
      </c>
      <c r="B39" s="8" t="s">
        <v>4081</v>
      </c>
      <c r="C39" s="8" t="s">
        <v>2206</v>
      </c>
      <c r="D39" s="8" t="s">
        <v>4178</v>
      </c>
      <c r="E39" s="8" t="s">
        <v>4179</v>
      </c>
      <c r="F39" s="8" t="s">
        <v>43</v>
      </c>
      <c r="G39" s="8"/>
      <c r="H39" s="8">
        <v>315</v>
      </c>
      <c r="I39" s="8" t="s">
        <v>4180</v>
      </c>
      <c r="J39" s="8">
        <v>1</v>
      </c>
      <c r="K39" s="8">
        <v>242</v>
      </c>
      <c r="L39" s="8">
        <v>241</v>
      </c>
      <c r="M39" s="8">
        <v>240</v>
      </c>
      <c r="N39" s="8">
        <v>422</v>
      </c>
      <c r="O39" s="8">
        <v>418</v>
      </c>
      <c r="P39" s="8">
        <v>420</v>
      </c>
      <c r="Q39" s="9" t="s">
        <v>47</v>
      </c>
      <c r="R39" s="16"/>
      <c r="S39" s="10">
        <v>72</v>
      </c>
      <c r="T39" s="10">
        <v>61</v>
      </c>
      <c r="U39" s="10">
        <v>36</v>
      </c>
      <c r="V39" s="11">
        <v>26</v>
      </c>
      <c r="W39" s="12" t="s">
        <v>46</v>
      </c>
      <c r="X39" s="17"/>
      <c r="Y39" s="13">
        <v>24</v>
      </c>
      <c r="Z39" s="13">
        <v>45</v>
      </c>
      <c r="AA39" s="13">
        <v>20</v>
      </c>
      <c r="AB39" s="14">
        <v>17</v>
      </c>
      <c r="AC39" s="9"/>
      <c r="AD39" s="16"/>
      <c r="AE39" s="10"/>
      <c r="AF39" s="10"/>
      <c r="AG39" s="10"/>
      <c r="AH39" s="11"/>
      <c r="AI39" s="12"/>
      <c r="AJ39" s="17"/>
      <c r="AK39" s="13"/>
      <c r="AL39" s="13"/>
      <c r="AM39" s="13"/>
      <c r="AN39" s="14"/>
      <c r="AO39" s="9"/>
      <c r="AP39" s="16"/>
      <c r="AQ39" s="10"/>
      <c r="AR39" s="10"/>
      <c r="AS39" s="10"/>
      <c r="AT39" s="11"/>
      <c r="AU39" s="12"/>
      <c r="AV39" s="17"/>
      <c r="AW39" s="13"/>
      <c r="AX39" s="13"/>
      <c r="AY39" s="13"/>
      <c r="AZ39" s="14"/>
      <c r="BA39" s="9"/>
      <c r="BB39" s="16"/>
      <c r="BC39" s="10"/>
      <c r="BD39" s="10"/>
      <c r="BE39" s="10"/>
      <c r="BF39" s="11"/>
      <c r="BG39" s="12"/>
      <c r="BH39" s="17"/>
      <c r="BI39" s="13"/>
      <c r="BJ39" s="13"/>
      <c r="BK39" s="13"/>
      <c r="BL39" s="14"/>
      <c r="BM39" s="9"/>
      <c r="BN39" s="16"/>
      <c r="BO39" s="10"/>
      <c r="BP39" s="10"/>
      <c r="BQ39" s="10"/>
      <c r="BR39" s="11"/>
      <c r="BS39" s="8">
        <f t="shared" si="9"/>
        <v>96</v>
      </c>
      <c r="BT39" s="8">
        <f t="shared" si="10"/>
        <v>106</v>
      </c>
      <c r="BU39" s="8">
        <f t="shared" si="11"/>
        <v>56</v>
      </c>
      <c r="BV39" s="8">
        <f t="shared" si="12"/>
        <v>43</v>
      </c>
      <c r="BW39" s="8">
        <f t="shared" si="13"/>
        <v>106</v>
      </c>
      <c r="BX39" s="8">
        <f t="shared" si="14"/>
        <v>56</v>
      </c>
      <c r="BY39" s="15">
        <f t="shared" si="15"/>
        <v>24.596221182276512</v>
      </c>
      <c r="BZ39" s="15" t="str">
        <f t="shared" si="16"/>
        <v>OK - No Upgrade</v>
      </c>
      <c r="CA39" s="15" t="str">
        <f t="shared" si="17"/>
        <v>Need to Balance</v>
      </c>
    </row>
    <row r="40" spans="1:79" ht="15.75" customHeight="1" x14ac:dyDescent="0.25">
      <c r="A40" s="8" t="s">
        <v>904</v>
      </c>
      <c r="B40" s="8" t="s">
        <v>4081</v>
      </c>
      <c r="C40" s="8" t="s">
        <v>3233</v>
      </c>
      <c r="D40" s="8" t="s">
        <v>4181</v>
      </c>
      <c r="E40" s="8" t="s">
        <v>4182</v>
      </c>
      <c r="F40" s="8" t="s">
        <v>43</v>
      </c>
      <c r="G40" s="8"/>
      <c r="H40" s="8">
        <v>100</v>
      </c>
      <c r="I40" s="8" t="s">
        <v>3913</v>
      </c>
      <c r="J40" s="8">
        <v>1</v>
      </c>
      <c r="K40" s="8">
        <v>126</v>
      </c>
      <c r="L40" s="8">
        <v>242</v>
      </c>
      <c r="M40" s="8">
        <v>115</v>
      </c>
      <c r="N40" s="8">
        <v>369</v>
      </c>
      <c r="O40" s="8">
        <v>132</v>
      </c>
      <c r="P40" s="8">
        <v>358</v>
      </c>
      <c r="Q40" s="9" t="s">
        <v>334</v>
      </c>
      <c r="R40" s="16"/>
      <c r="S40" s="10">
        <v>0</v>
      </c>
      <c r="T40" s="10">
        <v>0</v>
      </c>
      <c r="U40" s="10">
        <v>0</v>
      </c>
      <c r="V40" s="11">
        <v>0</v>
      </c>
      <c r="W40" s="12"/>
      <c r="X40" s="17"/>
      <c r="Y40" s="13"/>
      <c r="Z40" s="13"/>
      <c r="AA40" s="13"/>
      <c r="AB40" s="14"/>
      <c r="AC40" s="9"/>
      <c r="AD40" s="16"/>
      <c r="AE40" s="10"/>
      <c r="AF40" s="10"/>
      <c r="AG40" s="10"/>
      <c r="AH40" s="11"/>
      <c r="AI40" s="12"/>
      <c r="AJ40" s="17"/>
      <c r="AK40" s="13"/>
      <c r="AL40" s="13"/>
      <c r="AM40" s="13"/>
      <c r="AN40" s="14"/>
      <c r="AO40" s="9"/>
      <c r="AP40" s="16"/>
      <c r="AQ40" s="10"/>
      <c r="AR40" s="10"/>
      <c r="AS40" s="10"/>
      <c r="AT40" s="11"/>
      <c r="AU40" s="12"/>
      <c r="AV40" s="17"/>
      <c r="AW40" s="13"/>
      <c r="AX40" s="13"/>
      <c r="AY40" s="13"/>
      <c r="AZ40" s="14"/>
      <c r="BA40" s="9"/>
      <c r="BB40" s="16"/>
      <c r="BC40" s="10"/>
      <c r="BD40" s="10"/>
      <c r="BE40" s="10"/>
      <c r="BF40" s="11"/>
      <c r="BG40" s="12"/>
      <c r="BH40" s="17"/>
      <c r="BI40" s="13"/>
      <c r="BJ40" s="13"/>
      <c r="BK40" s="13"/>
      <c r="BL40" s="14"/>
      <c r="BM40" s="9"/>
      <c r="BN40" s="16"/>
      <c r="BO40" s="10"/>
      <c r="BP40" s="10"/>
      <c r="BQ40" s="10"/>
      <c r="BR40" s="11"/>
      <c r="BS40" s="8">
        <f t="shared" si="9"/>
        <v>0</v>
      </c>
      <c r="BT40" s="8">
        <f t="shared" si="10"/>
        <v>0</v>
      </c>
      <c r="BU40" s="8">
        <f t="shared" si="11"/>
        <v>0</v>
      </c>
      <c r="BV40" s="8">
        <f t="shared" si="12"/>
        <v>0</v>
      </c>
      <c r="BW40" s="8">
        <f t="shared" si="13"/>
        <v>0</v>
      </c>
      <c r="BX40" s="8">
        <f t="shared" si="14"/>
        <v>0</v>
      </c>
      <c r="BY40" s="15">
        <f t="shared" si="15"/>
        <v>0</v>
      </c>
      <c r="BZ40" s="15" t="str">
        <f t="shared" si="16"/>
        <v>OK - No Upgrade</v>
      </c>
      <c r="CA40" s="15" t="str">
        <f t="shared" si="17"/>
        <v>OK - Balanced</v>
      </c>
    </row>
    <row r="41" spans="1:79" ht="15.75" customHeight="1" x14ac:dyDescent="0.25">
      <c r="A41" s="8" t="s">
        <v>904</v>
      </c>
      <c r="B41" s="8" t="s">
        <v>4081</v>
      </c>
      <c r="C41" s="8" t="s">
        <v>3233</v>
      </c>
      <c r="D41" s="8" t="s">
        <v>4183</v>
      </c>
      <c r="E41" s="8" t="s">
        <v>4184</v>
      </c>
      <c r="F41" s="8" t="s">
        <v>43</v>
      </c>
      <c r="G41" s="8"/>
      <c r="H41" s="8">
        <v>100</v>
      </c>
      <c r="I41" s="8" t="s">
        <v>1495</v>
      </c>
      <c r="J41" s="8">
        <v>1</v>
      </c>
      <c r="K41" s="8">
        <v>243</v>
      </c>
      <c r="L41" s="8">
        <v>244</v>
      </c>
      <c r="M41" s="8">
        <v>240</v>
      </c>
      <c r="N41" s="8">
        <v>424</v>
      </c>
      <c r="O41" s="8">
        <v>418</v>
      </c>
      <c r="P41" s="8">
        <v>420</v>
      </c>
      <c r="Q41" s="9"/>
      <c r="R41" s="16"/>
      <c r="S41" s="10"/>
      <c r="T41" s="10"/>
      <c r="U41" s="10"/>
      <c r="V41" s="11"/>
      <c r="W41" s="12" t="s">
        <v>46</v>
      </c>
      <c r="X41" s="17"/>
      <c r="Y41" s="13">
        <v>0</v>
      </c>
      <c r="Z41" s="13">
        <v>2</v>
      </c>
      <c r="AA41" s="13">
        <v>14</v>
      </c>
      <c r="AB41" s="14">
        <v>14</v>
      </c>
      <c r="AC41" s="9"/>
      <c r="AD41" s="16"/>
      <c r="AE41" s="10"/>
      <c r="AF41" s="10"/>
      <c r="AG41" s="10"/>
      <c r="AH41" s="11"/>
      <c r="AI41" s="12"/>
      <c r="AJ41" s="17"/>
      <c r="AK41" s="13"/>
      <c r="AL41" s="13"/>
      <c r="AM41" s="13"/>
      <c r="AN41" s="14"/>
      <c r="AO41" s="9"/>
      <c r="AP41" s="16"/>
      <c r="AQ41" s="10"/>
      <c r="AR41" s="10"/>
      <c r="AS41" s="10"/>
      <c r="AT41" s="11"/>
      <c r="AU41" s="12"/>
      <c r="AV41" s="17"/>
      <c r="AW41" s="13"/>
      <c r="AX41" s="13"/>
      <c r="AY41" s="13"/>
      <c r="AZ41" s="14"/>
      <c r="BA41" s="9"/>
      <c r="BB41" s="16"/>
      <c r="BC41" s="10"/>
      <c r="BD41" s="10"/>
      <c r="BE41" s="10"/>
      <c r="BF41" s="11"/>
      <c r="BG41" s="12"/>
      <c r="BH41" s="17"/>
      <c r="BI41" s="13"/>
      <c r="BJ41" s="13"/>
      <c r="BK41" s="13"/>
      <c r="BL41" s="14"/>
      <c r="BM41" s="9"/>
      <c r="BN41" s="16"/>
      <c r="BO41" s="10"/>
      <c r="BP41" s="10"/>
      <c r="BQ41" s="10"/>
      <c r="BR41" s="11"/>
      <c r="BS41" s="8">
        <f t="shared" si="9"/>
        <v>0</v>
      </c>
      <c r="BT41" s="8">
        <f t="shared" si="10"/>
        <v>2</v>
      </c>
      <c r="BU41" s="8">
        <f t="shared" si="11"/>
        <v>14</v>
      </c>
      <c r="BV41" s="8">
        <f t="shared" si="12"/>
        <v>14</v>
      </c>
      <c r="BW41" s="8">
        <f t="shared" si="13"/>
        <v>14</v>
      </c>
      <c r="BX41" s="8">
        <f t="shared" si="14"/>
        <v>0</v>
      </c>
      <c r="BY41" s="15">
        <f t="shared" si="15"/>
        <v>10.281453593728855</v>
      </c>
      <c r="BZ41" s="15" t="str">
        <f t="shared" si="16"/>
        <v>OK - No Upgrade</v>
      </c>
      <c r="CA41" s="15" t="str">
        <f t="shared" si="17"/>
        <v>Need to Balance</v>
      </c>
    </row>
    <row r="42" spans="1:79" ht="15.75" customHeight="1" x14ac:dyDescent="0.25">
      <c r="A42" s="8" t="s">
        <v>904</v>
      </c>
      <c r="B42" s="8" t="s">
        <v>4081</v>
      </c>
      <c r="C42" s="8" t="s">
        <v>2206</v>
      </c>
      <c r="D42" s="8" t="s">
        <v>4185</v>
      </c>
      <c r="E42" s="8" t="s">
        <v>4186</v>
      </c>
      <c r="F42" s="8" t="s">
        <v>56</v>
      </c>
      <c r="G42" s="8"/>
      <c r="H42" s="8">
        <v>1000</v>
      </c>
      <c r="I42" s="8" t="s">
        <v>4187</v>
      </c>
      <c r="J42" s="8">
        <v>1</v>
      </c>
      <c r="K42" s="8">
        <v>242</v>
      </c>
      <c r="L42" s="8">
        <v>245</v>
      </c>
      <c r="M42" s="8">
        <v>245</v>
      </c>
      <c r="N42" s="8">
        <v>426</v>
      </c>
      <c r="O42" s="8">
        <v>422</v>
      </c>
      <c r="P42" s="8">
        <v>423</v>
      </c>
      <c r="Q42" s="9" t="s">
        <v>47</v>
      </c>
      <c r="R42" s="16"/>
      <c r="S42" s="10">
        <v>93</v>
      </c>
      <c r="T42" s="10">
        <v>39</v>
      </c>
      <c r="U42" s="10">
        <v>78</v>
      </c>
      <c r="V42" s="11">
        <v>42</v>
      </c>
      <c r="W42" s="12" t="s">
        <v>47</v>
      </c>
      <c r="X42" s="17"/>
      <c r="Y42" s="13">
        <v>68</v>
      </c>
      <c r="Z42" s="13">
        <v>108</v>
      </c>
      <c r="AA42" s="13">
        <v>78</v>
      </c>
      <c r="AB42" s="14">
        <v>23</v>
      </c>
      <c r="AC42" s="9" t="s">
        <v>47</v>
      </c>
      <c r="AD42" s="16"/>
      <c r="AE42" s="10">
        <v>92</v>
      </c>
      <c r="AF42" s="10">
        <v>88</v>
      </c>
      <c r="AG42" s="10">
        <v>73</v>
      </c>
      <c r="AH42" s="11">
        <v>32</v>
      </c>
      <c r="AI42" s="12" t="s">
        <v>47</v>
      </c>
      <c r="AJ42" s="17"/>
      <c r="AK42" s="13">
        <v>77</v>
      </c>
      <c r="AL42" s="13">
        <v>73</v>
      </c>
      <c r="AM42" s="13">
        <v>41</v>
      </c>
      <c r="AN42" s="14">
        <v>48</v>
      </c>
      <c r="AO42" s="9" t="s">
        <v>47</v>
      </c>
      <c r="AP42" s="16"/>
      <c r="AQ42" s="10">
        <v>0</v>
      </c>
      <c r="AR42" s="10">
        <v>0</v>
      </c>
      <c r="AS42" s="10">
        <v>0</v>
      </c>
      <c r="AT42" s="11">
        <v>0</v>
      </c>
      <c r="AU42" s="12"/>
      <c r="AV42" s="17"/>
      <c r="AW42" s="13"/>
      <c r="AX42" s="13"/>
      <c r="AY42" s="13"/>
      <c r="AZ42" s="14"/>
      <c r="BA42" s="9"/>
      <c r="BB42" s="16"/>
      <c r="BC42" s="10"/>
      <c r="BD42" s="10"/>
      <c r="BE42" s="10"/>
      <c r="BF42" s="11"/>
      <c r="BG42" s="12"/>
      <c r="BH42" s="17"/>
      <c r="BI42" s="13"/>
      <c r="BJ42" s="13"/>
      <c r="BK42" s="13"/>
      <c r="BL42" s="14"/>
      <c r="BM42" s="9" t="s">
        <v>47</v>
      </c>
      <c r="BN42" s="16"/>
      <c r="BO42" s="10"/>
      <c r="BP42" s="10"/>
      <c r="BQ42" s="10"/>
      <c r="BR42" s="11"/>
      <c r="BS42" s="8">
        <f t="shared" si="9"/>
        <v>330</v>
      </c>
      <c r="BT42" s="8">
        <f t="shared" si="10"/>
        <v>308</v>
      </c>
      <c r="BU42" s="8">
        <f t="shared" si="11"/>
        <v>270</v>
      </c>
      <c r="BV42" s="8">
        <f t="shared" si="12"/>
        <v>145</v>
      </c>
      <c r="BW42" s="8">
        <f t="shared" si="13"/>
        <v>330</v>
      </c>
      <c r="BX42" s="8">
        <f t="shared" si="14"/>
        <v>270</v>
      </c>
      <c r="BY42" s="15">
        <f t="shared" si="15"/>
        <v>24.349170252803276</v>
      </c>
      <c r="BZ42" s="15" t="str">
        <f t="shared" si="16"/>
        <v>OK - No Upgrade</v>
      </c>
      <c r="CA42" s="15" t="str">
        <f t="shared" si="17"/>
        <v>OK - Balanced</v>
      </c>
    </row>
    <row r="43" spans="1:79" ht="15.75" customHeight="1" x14ac:dyDescent="0.25">
      <c r="A43" s="8" t="s">
        <v>904</v>
      </c>
      <c r="B43" s="8" t="s">
        <v>4081</v>
      </c>
      <c r="C43" s="8" t="s">
        <v>3233</v>
      </c>
      <c r="D43" s="8" t="s">
        <v>4188</v>
      </c>
      <c r="E43" s="8" t="s">
        <v>4189</v>
      </c>
      <c r="F43" s="8" t="s">
        <v>56</v>
      </c>
      <c r="G43" s="8"/>
      <c r="H43" s="8">
        <v>500</v>
      </c>
      <c r="I43" s="8" t="s">
        <v>4190</v>
      </c>
      <c r="J43" s="8">
        <v>1</v>
      </c>
      <c r="K43" s="8">
        <v>243</v>
      </c>
      <c r="L43" s="8">
        <v>244</v>
      </c>
      <c r="M43" s="8">
        <v>246</v>
      </c>
      <c r="N43" s="8">
        <v>423</v>
      </c>
      <c r="O43" s="8">
        <v>423</v>
      </c>
      <c r="P43" s="8">
        <v>427</v>
      </c>
      <c r="Q43" s="9"/>
      <c r="R43" s="16"/>
      <c r="S43" s="10"/>
      <c r="T43" s="10"/>
      <c r="U43" s="10"/>
      <c r="V43" s="11"/>
      <c r="W43" s="12"/>
      <c r="X43" s="17"/>
      <c r="Y43" s="13"/>
      <c r="Z43" s="13"/>
      <c r="AA43" s="13"/>
      <c r="AB43" s="14"/>
      <c r="AC43" s="9"/>
      <c r="AD43" s="16"/>
      <c r="AE43" s="10"/>
      <c r="AF43" s="10"/>
      <c r="AG43" s="10"/>
      <c r="AH43" s="11"/>
      <c r="AI43" s="12"/>
      <c r="AJ43" s="17"/>
      <c r="AK43" s="13"/>
      <c r="AL43" s="13"/>
      <c r="AM43" s="13"/>
      <c r="AN43" s="14"/>
      <c r="AO43" s="9"/>
      <c r="AP43" s="16"/>
      <c r="AQ43" s="10"/>
      <c r="AR43" s="10"/>
      <c r="AS43" s="10"/>
      <c r="AT43" s="11"/>
      <c r="AU43" s="12"/>
      <c r="AV43" s="17"/>
      <c r="AW43" s="13"/>
      <c r="AX43" s="13"/>
      <c r="AY43" s="13"/>
      <c r="AZ43" s="14"/>
      <c r="BA43" s="9" t="s">
        <v>47</v>
      </c>
      <c r="BB43" s="16"/>
      <c r="BC43" s="10">
        <v>2</v>
      </c>
      <c r="BD43" s="10">
        <v>0</v>
      </c>
      <c r="BE43" s="10">
        <v>1</v>
      </c>
      <c r="BF43" s="11">
        <v>2</v>
      </c>
      <c r="BG43" s="12" t="s">
        <v>47</v>
      </c>
      <c r="BH43" s="17"/>
      <c r="BI43" s="13">
        <v>1</v>
      </c>
      <c r="BJ43" s="13">
        <v>0</v>
      </c>
      <c r="BK43" s="13">
        <v>1</v>
      </c>
      <c r="BL43" s="14">
        <v>1</v>
      </c>
      <c r="BM43" s="9"/>
      <c r="BN43" s="16"/>
      <c r="BO43" s="10"/>
      <c r="BP43" s="10"/>
      <c r="BQ43" s="10"/>
      <c r="BR43" s="11"/>
      <c r="BS43" s="8">
        <f t="shared" si="9"/>
        <v>3</v>
      </c>
      <c r="BT43" s="8">
        <f t="shared" si="10"/>
        <v>0</v>
      </c>
      <c r="BU43" s="8">
        <f t="shared" si="11"/>
        <v>2</v>
      </c>
      <c r="BV43" s="8">
        <f t="shared" si="12"/>
        <v>3</v>
      </c>
      <c r="BW43" s="8">
        <f t="shared" si="13"/>
        <v>3</v>
      </c>
      <c r="BX43" s="8">
        <f t="shared" si="14"/>
        <v>0</v>
      </c>
      <c r="BY43" s="15">
        <f t="shared" si="15"/>
        <v>0.43959449496098107</v>
      </c>
      <c r="BZ43" s="15" t="str">
        <f t="shared" si="16"/>
        <v>OK - No Upgrade</v>
      </c>
      <c r="CA43" s="15" t="str">
        <f t="shared" si="17"/>
        <v>Need to Balance</v>
      </c>
    </row>
    <row r="44" spans="1:79" ht="15.75" customHeight="1" x14ac:dyDescent="0.25">
      <c r="A44" s="8" t="s">
        <v>904</v>
      </c>
      <c r="B44" s="8" t="s">
        <v>4081</v>
      </c>
      <c r="C44" s="8" t="s">
        <v>3233</v>
      </c>
      <c r="D44" s="8" t="s">
        <v>4191</v>
      </c>
      <c r="E44" s="8" t="s">
        <v>4192</v>
      </c>
      <c r="F44" s="8" t="s">
        <v>56</v>
      </c>
      <c r="G44" s="8"/>
      <c r="H44" s="8">
        <v>1000</v>
      </c>
      <c r="I44" s="8" t="s">
        <v>1500</v>
      </c>
      <c r="J44" s="8">
        <v>1</v>
      </c>
      <c r="K44" s="8">
        <v>243</v>
      </c>
      <c r="L44" s="8">
        <v>244</v>
      </c>
      <c r="M44" s="8">
        <v>246</v>
      </c>
      <c r="N44" s="8">
        <v>424</v>
      </c>
      <c r="O44" s="8">
        <v>423</v>
      </c>
      <c r="P44" s="8">
        <v>429</v>
      </c>
      <c r="Q44" s="9"/>
      <c r="R44" s="16"/>
      <c r="S44" s="10"/>
      <c r="T44" s="10"/>
      <c r="U44" s="10"/>
      <c r="V44" s="11"/>
      <c r="W44" s="12" t="s">
        <v>70</v>
      </c>
      <c r="X44" s="17"/>
      <c r="Y44" s="13">
        <v>0</v>
      </c>
      <c r="Z44" s="13">
        <v>0</v>
      </c>
      <c r="AA44" s="13">
        <v>0</v>
      </c>
      <c r="AB44" s="14">
        <v>0</v>
      </c>
      <c r="AC44" s="9"/>
      <c r="AD44" s="16"/>
      <c r="AE44" s="10"/>
      <c r="AF44" s="10"/>
      <c r="AG44" s="10"/>
      <c r="AH44" s="11"/>
      <c r="AI44" s="12"/>
      <c r="AJ44" s="17"/>
      <c r="AK44" s="13"/>
      <c r="AL44" s="13"/>
      <c r="AM44" s="13"/>
      <c r="AN44" s="14"/>
      <c r="AO44" s="9"/>
      <c r="AP44" s="16"/>
      <c r="AQ44" s="10"/>
      <c r="AR44" s="10"/>
      <c r="AS44" s="10"/>
      <c r="AT44" s="11"/>
      <c r="AU44" s="12"/>
      <c r="AV44" s="17"/>
      <c r="AW44" s="13"/>
      <c r="AX44" s="13"/>
      <c r="AY44" s="13"/>
      <c r="AZ44" s="14"/>
      <c r="BA44" s="9"/>
      <c r="BB44" s="16"/>
      <c r="BC44" s="10"/>
      <c r="BD44" s="10"/>
      <c r="BE44" s="10"/>
      <c r="BF44" s="11"/>
      <c r="BG44" s="12"/>
      <c r="BH44" s="17"/>
      <c r="BI44" s="13"/>
      <c r="BJ44" s="13"/>
      <c r="BK44" s="13"/>
      <c r="BL44" s="14"/>
      <c r="BM44" s="9"/>
      <c r="BN44" s="16"/>
      <c r="BO44" s="10"/>
      <c r="BP44" s="10"/>
      <c r="BQ44" s="10"/>
      <c r="BR44" s="11"/>
      <c r="BS44" s="8">
        <f t="shared" si="9"/>
        <v>0</v>
      </c>
      <c r="BT44" s="8">
        <f t="shared" si="10"/>
        <v>0</v>
      </c>
      <c r="BU44" s="8">
        <f t="shared" si="11"/>
        <v>0</v>
      </c>
      <c r="BV44" s="8">
        <f t="shared" si="12"/>
        <v>0</v>
      </c>
      <c r="BW44" s="8">
        <f t="shared" si="13"/>
        <v>0</v>
      </c>
      <c r="BX44" s="8">
        <f t="shared" si="14"/>
        <v>0</v>
      </c>
      <c r="BY44" s="15">
        <f t="shared" si="15"/>
        <v>0</v>
      </c>
      <c r="BZ44" s="15" t="str">
        <f t="shared" si="16"/>
        <v>OK - No Upgrade</v>
      </c>
      <c r="CA44" s="15" t="str">
        <f t="shared" si="17"/>
        <v>OK - Balanced</v>
      </c>
    </row>
    <row r="45" spans="1:79" ht="15.75" customHeight="1" x14ac:dyDescent="0.25">
      <c r="A45" s="8" t="s">
        <v>904</v>
      </c>
      <c r="B45" s="8" t="s">
        <v>4081</v>
      </c>
      <c r="C45" s="8" t="s">
        <v>2206</v>
      </c>
      <c r="D45" s="8" t="s">
        <v>4193</v>
      </c>
      <c r="E45" s="8" t="s">
        <v>4194</v>
      </c>
      <c r="F45" s="8" t="s">
        <v>56</v>
      </c>
      <c r="G45" s="8"/>
      <c r="H45" s="8">
        <v>1000</v>
      </c>
      <c r="I45" s="8" t="s">
        <v>3854</v>
      </c>
      <c r="J45" s="8">
        <v>1</v>
      </c>
      <c r="K45" s="8">
        <v>242</v>
      </c>
      <c r="L45" s="8">
        <v>244</v>
      </c>
      <c r="M45" s="8">
        <v>244</v>
      </c>
      <c r="N45" s="8">
        <v>422</v>
      </c>
      <c r="O45" s="8">
        <v>425</v>
      </c>
      <c r="P45" s="8">
        <v>422</v>
      </c>
      <c r="Q45" s="9"/>
      <c r="R45" s="16"/>
      <c r="S45" s="10"/>
      <c r="T45" s="10"/>
      <c r="U45" s="10"/>
      <c r="V45" s="11"/>
      <c r="W45" s="12"/>
      <c r="X45" s="17"/>
      <c r="Y45" s="13"/>
      <c r="Z45" s="13"/>
      <c r="AA45" s="13"/>
      <c r="AB45" s="14"/>
      <c r="AC45" s="9" t="s">
        <v>47</v>
      </c>
      <c r="AD45" s="16"/>
      <c r="AE45" s="10">
        <v>151</v>
      </c>
      <c r="AF45" s="10">
        <v>111</v>
      </c>
      <c r="AG45" s="10">
        <v>129</v>
      </c>
      <c r="AH45" s="11">
        <v>30</v>
      </c>
      <c r="AI45" s="12" t="s">
        <v>47</v>
      </c>
      <c r="AJ45" s="17"/>
      <c r="AK45" s="13">
        <v>41</v>
      </c>
      <c r="AL45" s="13">
        <v>23</v>
      </c>
      <c r="AM45" s="13">
        <v>96</v>
      </c>
      <c r="AN45" s="14">
        <v>65</v>
      </c>
      <c r="AO45" s="9" t="s">
        <v>47</v>
      </c>
      <c r="AP45" s="16"/>
      <c r="AQ45" s="10">
        <v>52</v>
      </c>
      <c r="AR45" s="10">
        <v>36</v>
      </c>
      <c r="AS45" s="10">
        <v>11</v>
      </c>
      <c r="AT45" s="11">
        <v>44</v>
      </c>
      <c r="AU45" s="12" t="s">
        <v>47</v>
      </c>
      <c r="AV45" s="17"/>
      <c r="AW45" s="13">
        <v>25</v>
      </c>
      <c r="AX45" s="13">
        <v>91</v>
      </c>
      <c r="AY45" s="13">
        <v>50</v>
      </c>
      <c r="AZ45" s="14">
        <v>30</v>
      </c>
      <c r="BA45" s="9" t="s">
        <v>47</v>
      </c>
      <c r="BB45" s="16"/>
      <c r="BC45" s="10">
        <v>136</v>
      </c>
      <c r="BD45" s="10">
        <v>106</v>
      </c>
      <c r="BE45" s="10">
        <v>143</v>
      </c>
      <c r="BF45" s="11">
        <v>48</v>
      </c>
      <c r="BG45" s="12" t="s">
        <v>47</v>
      </c>
      <c r="BH45" s="17"/>
      <c r="BI45" s="13">
        <v>18</v>
      </c>
      <c r="BJ45" s="13">
        <v>101</v>
      </c>
      <c r="BK45" s="13">
        <v>49</v>
      </c>
      <c r="BL45" s="14">
        <v>41</v>
      </c>
      <c r="BM45" s="9"/>
      <c r="BN45" s="16"/>
      <c r="BO45" s="10"/>
      <c r="BP45" s="10"/>
      <c r="BQ45" s="10"/>
      <c r="BR45" s="11"/>
      <c r="BS45" s="8">
        <f t="shared" si="9"/>
        <v>423</v>
      </c>
      <c r="BT45" s="8">
        <f t="shared" si="10"/>
        <v>468</v>
      </c>
      <c r="BU45" s="8">
        <f t="shared" si="11"/>
        <v>478</v>
      </c>
      <c r="BV45" s="8">
        <f t="shared" si="12"/>
        <v>258</v>
      </c>
      <c r="BW45" s="8">
        <f t="shared" si="13"/>
        <v>478</v>
      </c>
      <c r="BX45" s="8">
        <f t="shared" si="14"/>
        <v>423</v>
      </c>
      <c r="BY45" s="15">
        <f t="shared" si="15"/>
        <v>34.938236069956361</v>
      </c>
      <c r="BZ45" s="15" t="str">
        <f t="shared" si="16"/>
        <v>OK - No Upgrade</v>
      </c>
      <c r="CA45" s="15" t="str">
        <f t="shared" si="17"/>
        <v>OK - Balanced</v>
      </c>
    </row>
    <row r="46" spans="1:79" ht="15.75" customHeight="1" x14ac:dyDescent="0.25">
      <c r="A46" s="8" t="s">
        <v>904</v>
      </c>
      <c r="B46" s="8" t="s">
        <v>4081</v>
      </c>
      <c r="C46" s="8" t="s">
        <v>3233</v>
      </c>
      <c r="D46" s="8" t="s">
        <v>4195</v>
      </c>
      <c r="E46" s="8" t="s">
        <v>4196</v>
      </c>
      <c r="F46" s="8" t="s">
        <v>56</v>
      </c>
      <c r="G46" s="8"/>
      <c r="H46" s="8">
        <v>500</v>
      </c>
      <c r="I46" s="8" t="s">
        <v>4197</v>
      </c>
      <c r="J46" s="8">
        <v>1</v>
      </c>
      <c r="K46" s="8">
        <v>245</v>
      </c>
      <c r="L46" s="8">
        <v>246</v>
      </c>
      <c r="M46" s="8">
        <v>243</v>
      </c>
      <c r="N46" s="8">
        <v>428</v>
      </c>
      <c r="O46" s="8">
        <v>425</v>
      </c>
      <c r="P46" s="8">
        <v>425</v>
      </c>
      <c r="Q46" s="9"/>
      <c r="R46" s="16"/>
      <c r="S46" s="10"/>
      <c r="T46" s="10"/>
      <c r="U46" s="10"/>
      <c r="V46" s="11"/>
      <c r="W46" s="12" t="s">
        <v>70</v>
      </c>
      <c r="X46" s="17"/>
      <c r="Y46" s="13">
        <v>3</v>
      </c>
      <c r="Z46" s="13">
        <v>1</v>
      </c>
      <c r="AA46" s="13">
        <v>0</v>
      </c>
      <c r="AB46" s="14">
        <v>2</v>
      </c>
      <c r="AC46" s="9"/>
      <c r="AD46" s="16"/>
      <c r="AE46" s="10"/>
      <c r="AF46" s="10"/>
      <c r="AG46" s="10"/>
      <c r="AH46" s="11"/>
      <c r="AI46" s="12"/>
      <c r="AJ46" s="17"/>
      <c r="AK46" s="13"/>
      <c r="AL46" s="13"/>
      <c r="AM46" s="13"/>
      <c r="AN46" s="14"/>
      <c r="AO46" s="9"/>
      <c r="AP46" s="16"/>
      <c r="AQ46" s="10"/>
      <c r="AR46" s="10"/>
      <c r="AS46" s="10"/>
      <c r="AT46" s="11"/>
      <c r="AU46" s="12"/>
      <c r="AV46" s="17"/>
      <c r="AW46" s="13"/>
      <c r="AX46" s="13"/>
      <c r="AY46" s="13"/>
      <c r="AZ46" s="14"/>
      <c r="BA46" s="9"/>
      <c r="BB46" s="16"/>
      <c r="BC46" s="10"/>
      <c r="BD46" s="10"/>
      <c r="BE46" s="10"/>
      <c r="BF46" s="11"/>
      <c r="BG46" s="12"/>
      <c r="BH46" s="17"/>
      <c r="BI46" s="13"/>
      <c r="BJ46" s="13"/>
      <c r="BK46" s="13"/>
      <c r="BL46" s="14"/>
      <c r="BM46" s="9"/>
      <c r="BN46" s="16"/>
      <c r="BO46" s="10"/>
      <c r="BP46" s="10"/>
      <c r="BQ46" s="10"/>
      <c r="BR46" s="11"/>
      <c r="BS46" s="8">
        <f t="shared" si="9"/>
        <v>3</v>
      </c>
      <c r="BT46" s="8">
        <f t="shared" si="10"/>
        <v>1</v>
      </c>
      <c r="BU46" s="8">
        <f t="shared" si="11"/>
        <v>0</v>
      </c>
      <c r="BV46" s="8">
        <f t="shared" si="12"/>
        <v>2</v>
      </c>
      <c r="BW46" s="8">
        <f t="shared" si="13"/>
        <v>3</v>
      </c>
      <c r="BX46" s="8">
        <f t="shared" si="14"/>
        <v>0</v>
      </c>
      <c r="BY46" s="15">
        <f t="shared" si="15"/>
        <v>0.44479064738368768</v>
      </c>
      <c r="BZ46" s="15" t="str">
        <f t="shared" si="16"/>
        <v>OK - No Upgrade</v>
      </c>
      <c r="CA46" s="15" t="str">
        <f t="shared" si="17"/>
        <v>Need to Balance</v>
      </c>
    </row>
    <row r="47" spans="1:79" ht="15.75" customHeight="1" x14ac:dyDescent="0.25">
      <c r="A47" s="8" t="s">
        <v>904</v>
      </c>
      <c r="B47" s="8" t="s">
        <v>4081</v>
      </c>
      <c r="C47" s="8" t="s">
        <v>2206</v>
      </c>
      <c r="D47" s="8" t="s">
        <v>4198</v>
      </c>
      <c r="E47" s="8" t="s">
        <v>4199</v>
      </c>
      <c r="F47" s="8" t="s">
        <v>43</v>
      </c>
      <c r="G47" s="8"/>
      <c r="H47" s="8">
        <v>315</v>
      </c>
      <c r="I47" s="8" t="s">
        <v>4200</v>
      </c>
      <c r="J47" s="8">
        <v>1</v>
      </c>
      <c r="K47" s="8">
        <v>242</v>
      </c>
      <c r="L47" s="8">
        <v>246</v>
      </c>
      <c r="M47" s="8">
        <v>245</v>
      </c>
      <c r="N47" s="8">
        <v>422</v>
      </c>
      <c r="O47" s="8">
        <v>430</v>
      </c>
      <c r="P47" s="8">
        <v>423</v>
      </c>
      <c r="Q47" s="9" t="s">
        <v>46</v>
      </c>
      <c r="R47" s="16"/>
      <c r="S47" s="10">
        <v>130</v>
      </c>
      <c r="T47" s="10">
        <v>57</v>
      </c>
      <c r="U47" s="10">
        <v>70</v>
      </c>
      <c r="V47" s="11">
        <v>61</v>
      </c>
      <c r="W47" s="12" t="s">
        <v>46</v>
      </c>
      <c r="X47" s="17"/>
      <c r="Y47" s="13">
        <v>60</v>
      </c>
      <c r="Z47" s="13">
        <v>19</v>
      </c>
      <c r="AA47" s="13">
        <v>80</v>
      </c>
      <c r="AB47" s="14">
        <v>55</v>
      </c>
      <c r="AC47" s="9"/>
      <c r="AD47" s="16"/>
      <c r="AE47" s="10"/>
      <c r="AF47" s="10"/>
      <c r="AG47" s="10"/>
      <c r="AH47" s="11"/>
      <c r="AI47" s="12"/>
      <c r="AJ47" s="17"/>
      <c r="AK47" s="13"/>
      <c r="AL47" s="13"/>
      <c r="AM47" s="13"/>
      <c r="AN47" s="14"/>
      <c r="AO47" s="9"/>
      <c r="AP47" s="16"/>
      <c r="AQ47" s="10"/>
      <c r="AR47" s="10"/>
      <c r="AS47" s="10"/>
      <c r="AT47" s="11"/>
      <c r="AU47" s="12"/>
      <c r="AV47" s="17"/>
      <c r="AW47" s="13"/>
      <c r="AX47" s="13"/>
      <c r="AY47" s="13"/>
      <c r="AZ47" s="14"/>
      <c r="BA47" s="9"/>
      <c r="BB47" s="16"/>
      <c r="BC47" s="10"/>
      <c r="BD47" s="10"/>
      <c r="BE47" s="10"/>
      <c r="BF47" s="11"/>
      <c r="BG47" s="12"/>
      <c r="BH47" s="17"/>
      <c r="BI47" s="13"/>
      <c r="BJ47" s="13"/>
      <c r="BK47" s="13"/>
      <c r="BL47" s="14"/>
      <c r="BM47" s="9"/>
      <c r="BN47" s="16"/>
      <c r="BO47" s="10"/>
      <c r="BP47" s="10"/>
      <c r="BQ47" s="10"/>
      <c r="BR47" s="11"/>
      <c r="BS47" s="8">
        <f t="shared" si="9"/>
        <v>190</v>
      </c>
      <c r="BT47" s="8">
        <f t="shared" si="10"/>
        <v>76</v>
      </c>
      <c r="BU47" s="8">
        <f t="shared" si="11"/>
        <v>150</v>
      </c>
      <c r="BV47" s="8">
        <f t="shared" si="12"/>
        <v>116</v>
      </c>
      <c r="BW47" s="8">
        <f t="shared" si="13"/>
        <v>190</v>
      </c>
      <c r="BX47" s="8">
        <f t="shared" si="14"/>
        <v>76</v>
      </c>
      <c r="BY47" s="15">
        <f t="shared" si="15"/>
        <v>44.08756627011828</v>
      </c>
      <c r="BZ47" s="15" t="str">
        <f t="shared" si="16"/>
        <v>OK - No Upgrade</v>
      </c>
      <c r="CA47" s="15" t="str">
        <f t="shared" si="17"/>
        <v>Need to Balance</v>
      </c>
    </row>
    <row r="48" spans="1:79" ht="15.75" customHeight="1" x14ac:dyDescent="0.25">
      <c r="A48" s="8" t="s">
        <v>904</v>
      </c>
      <c r="B48" s="8" t="s">
        <v>4081</v>
      </c>
      <c r="C48" s="8" t="s">
        <v>3233</v>
      </c>
      <c r="D48" s="8" t="s">
        <v>4201</v>
      </c>
      <c r="E48" s="8" t="s">
        <v>4202</v>
      </c>
      <c r="F48" s="8" t="s">
        <v>43</v>
      </c>
      <c r="G48" s="8" t="s">
        <v>44</v>
      </c>
      <c r="H48" s="8">
        <v>315</v>
      </c>
      <c r="I48" s="8" t="s">
        <v>4203</v>
      </c>
      <c r="J48" s="8">
        <v>1</v>
      </c>
      <c r="K48" s="8">
        <v>245</v>
      </c>
      <c r="L48" s="8">
        <v>246</v>
      </c>
      <c r="M48" s="8">
        <v>242</v>
      </c>
      <c r="N48" s="8">
        <v>429</v>
      </c>
      <c r="O48" s="8">
        <v>421</v>
      </c>
      <c r="P48" s="8">
        <v>424</v>
      </c>
      <c r="Q48" s="9"/>
      <c r="R48" s="16"/>
      <c r="S48" s="10"/>
      <c r="T48" s="10"/>
      <c r="U48" s="10"/>
      <c r="V48" s="11"/>
      <c r="W48" s="12" t="s">
        <v>46</v>
      </c>
      <c r="X48" s="17"/>
      <c r="Y48" s="13">
        <v>52</v>
      </c>
      <c r="Z48" s="13">
        <v>57</v>
      </c>
      <c r="AA48" s="13">
        <v>66</v>
      </c>
      <c r="AB48" s="14">
        <v>15</v>
      </c>
      <c r="AC48" s="9"/>
      <c r="AD48" s="16"/>
      <c r="AE48" s="10"/>
      <c r="AF48" s="10"/>
      <c r="AG48" s="10"/>
      <c r="AH48" s="11"/>
      <c r="AI48" s="12"/>
      <c r="AJ48" s="17"/>
      <c r="AK48" s="13"/>
      <c r="AL48" s="13"/>
      <c r="AM48" s="13"/>
      <c r="AN48" s="14"/>
      <c r="AO48" s="9"/>
      <c r="AP48" s="16"/>
      <c r="AQ48" s="10"/>
      <c r="AR48" s="10"/>
      <c r="AS48" s="10"/>
      <c r="AT48" s="11"/>
      <c r="AU48" s="12"/>
      <c r="AV48" s="17"/>
      <c r="AW48" s="13"/>
      <c r="AX48" s="13"/>
      <c r="AY48" s="13"/>
      <c r="AZ48" s="14"/>
      <c r="BA48" s="9"/>
      <c r="BB48" s="16"/>
      <c r="BC48" s="10"/>
      <c r="BD48" s="10"/>
      <c r="BE48" s="10"/>
      <c r="BF48" s="11"/>
      <c r="BG48" s="12"/>
      <c r="BH48" s="17"/>
      <c r="BI48" s="13"/>
      <c r="BJ48" s="13"/>
      <c r="BK48" s="13"/>
      <c r="BL48" s="14"/>
      <c r="BM48" s="9"/>
      <c r="BN48" s="16"/>
      <c r="BO48" s="10"/>
      <c r="BP48" s="10"/>
      <c r="BQ48" s="10"/>
      <c r="BR48" s="11"/>
      <c r="BS48" s="8">
        <f t="shared" si="9"/>
        <v>52</v>
      </c>
      <c r="BT48" s="8">
        <f t="shared" si="10"/>
        <v>57</v>
      </c>
      <c r="BU48" s="8">
        <f t="shared" si="11"/>
        <v>66</v>
      </c>
      <c r="BV48" s="8">
        <f t="shared" si="12"/>
        <v>15</v>
      </c>
      <c r="BW48" s="8">
        <f t="shared" si="13"/>
        <v>66</v>
      </c>
      <c r="BX48" s="8">
        <f t="shared" si="14"/>
        <v>52</v>
      </c>
      <c r="BY48" s="15">
        <f t="shared" si="15"/>
        <v>15.56866240174768</v>
      </c>
      <c r="BZ48" s="15" t="str">
        <f t="shared" si="16"/>
        <v>OK - No Upgrade</v>
      </c>
      <c r="CA48" s="15" t="str">
        <f t="shared" si="17"/>
        <v>Need to Balance</v>
      </c>
    </row>
    <row r="49" spans="1:79" ht="15.75" customHeight="1" x14ac:dyDescent="0.25">
      <c r="A49" s="8" t="s">
        <v>904</v>
      </c>
      <c r="B49" s="8" t="s">
        <v>4081</v>
      </c>
      <c r="C49" s="8" t="s">
        <v>3233</v>
      </c>
      <c r="D49" s="8" t="s">
        <v>4204</v>
      </c>
      <c r="E49" s="8" t="s">
        <v>4205</v>
      </c>
      <c r="F49" s="8" t="s">
        <v>43</v>
      </c>
      <c r="G49" s="8" t="s">
        <v>44</v>
      </c>
      <c r="H49" s="8">
        <v>315</v>
      </c>
      <c r="I49" s="8" t="s">
        <v>4206</v>
      </c>
      <c r="J49" s="8">
        <v>1</v>
      </c>
      <c r="K49" s="8">
        <v>246</v>
      </c>
      <c r="L49" s="8">
        <v>246</v>
      </c>
      <c r="M49" s="8">
        <v>244</v>
      </c>
      <c r="N49" s="8">
        <v>429</v>
      </c>
      <c r="O49" s="8">
        <v>426</v>
      </c>
      <c r="P49" s="8">
        <v>425</v>
      </c>
      <c r="Q49" s="9" t="s">
        <v>47</v>
      </c>
      <c r="R49" s="16"/>
      <c r="S49" s="10"/>
      <c r="T49" s="10"/>
      <c r="U49" s="10"/>
      <c r="V49" s="11"/>
      <c r="W49" s="12" t="s">
        <v>47</v>
      </c>
      <c r="X49" s="17"/>
      <c r="Y49" s="13">
        <v>4</v>
      </c>
      <c r="Z49" s="13">
        <v>24</v>
      </c>
      <c r="AA49" s="13">
        <v>4</v>
      </c>
      <c r="AB49" s="14">
        <v>17</v>
      </c>
      <c r="AC49" s="9"/>
      <c r="AD49" s="16"/>
      <c r="AE49" s="10"/>
      <c r="AF49" s="10"/>
      <c r="AG49" s="10"/>
      <c r="AH49" s="11"/>
      <c r="AI49" s="12"/>
      <c r="AJ49" s="17"/>
      <c r="AK49" s="13"/>
      <c r="AL49" s="13"/>
      <c r="AM49" s="13"/>
      <c r="AN49" s="14"/>
      <c r="AO49" s="9"/>
      <c r="AP49" s="16"/>
      <c r="AQ49" s="10"/>
      <c r="AR49" s="10"/>
      <c r="AS49" s="10"/>
      <c r="AT49" s="11"/>
      <c r="AU49" s="12"/>
      <c r="AV49" s="17"/>
      <c r="AW49" s="13"/>
      <c r="AX49" s="13"/>
      <c r="AY49" s="13"/>
      <c r="AZ49" s="14"/>
      <c r="BA49" s="9"/>
      <c r="BB49" s="16"/>
      <c r="BC49" s="10"/>
      <c r="BD49" s="10"/>
      <c r="BE49" s="10"/>
      <c r="BF49" s="11"/>
      <c r="BG49" s="12"/>
      <c r="BH49" s="17"/>
      <c r="BI49" s="13"/>
      <c r="BJ49" s="13"/>
      <c r="BK49" s="13"/>
      <c r="BL49" s="14"/>
      <c r="BM49" s="9"/>
      <c r="BN49" s="16"/>
      <c r="BO49" s="10"/>
      <c r="BP49" s="10"/>
      <c r="BQ49" s="10"/>
      <c r="BR49" s="11"/>
      <c r="BS49" s="8">
        <f t="shared" si="9"/>
        <v>4</v>
      </c>
      <c r="BT49" s="8">
        <f t="shared" si="10"/>
        <v>24</v>
      </c>
      <c r="BU49" s="8">
        <f t="shared" si="11"/>
        <v>4</v>
      </c>
      <c r="BV49" s="8">
        <f t="shared" si="12"/>
        <v>17</v>
      </c>
      <c r="BW49" s="8">
        <f t="shared" si="13"/>
        <v>24</v>
      </c>
      <c r="BX49" s="8">
        <f t="shared" si="14"/>
        <v>4</v>
      </c>
      <c r="BY49" s="15">
        <f t="shared" si="15"/>
        <v>5.6613317824537024</v>
      </c>
      <c r="BZ49" s="15" t="str">
        <f t="shared" si="16"/>
        <v>OK - No Upgrade</v>
      </c>
      <c r="CA49" s="15" t="str">
        <f t="shared" si="17"/>
        <v>Need to Balance</v>
      </c>
    </row>
    <row r="50" spans="1:79" ht="15.75" customHeight="1" x14ac:dyDescent="0.25">
      <c r="A50" s="8" t="s">
        <v>904</v>
      </c>
      <c r="B50" s="8" t="s">
        <v>4081</v>
      </c>
      <c r="C50" s="8" t="s">
        <v>2206</v>
      </c>
      <c r="D50" s="8" t="s">
        <v>4207</v>
      </c>
      <c r="E50" s="8" t="s">
        <v>4208</v>
      </c>
      <c r="F50" s="8" t="s">
        <v>56</v>
      </c>
      <c r="G50" s="8"/>
      <c r="H50" s="8">
        <v>1000</v>
      </c>
      <c r="I50" s="8" t="s">
        <v>4209</v>
      </c>
      <c r="J50" s="8">
        <v>1</v>
      </c>
      <c r="K50" s="8">
        <v>244</v>
      </c>
      <c r="L50" s="8">
        <v>248</v>
      </c>
      <c r="M50" s="8">
        <v>248</v>
      </c>
      <c r="N50" s="8">
        <v>425</v>
      </c>
      <c r="O50" s="8">
        <v>432</v>
      </c>
      <c r="P50" s="8">
        <v>428</v>
      </c>
      <c r="Q50" s="9"/>
      <c r="R50" s="16"/>
      <c r="S50" s="10"/>
      <c r="T50" s="10"/>
      <c r="U50" s="10"/>
      <c r="V50" s="11"/>
      <c r="W50" s="12"/>
      <c r="X50" s="17"/>
      <c r="Y50" s="13"/>
      <c r="Z50" s="13"/>
      <c r="AA50" s="13"/>
      <c r="AB50" s="14"/>
      <c r="AC50" s="9"/>
      <c r="AD50" s="16"/>
      <c r="AE50" s="10"/>
      <c r="AF50" s="10"/>
      <c r="AG50" s="10"/>
      <c r="AH50" s="11"/>
      <c r="AI50" s="12" t="s">
        <v>47</v>
      </c>
      <c r="AJ50" s="17"/>
      <c r="AK50" s="13">
        <v>51</v>
      </c>
      <c r="AL50" s="13">
        <v>26</v>
      </c>
      <c r="AM50" s="13">
        <v>27</v>
      </c>
      <c r="AN50" s="14">
        <v>20</v>
      </c>
      <c r="AO50" s="9" t="s">
        <v>47</v>
      </c>
      <c r="AP50" s="16"/>
      <c r="AQ50" s="10">
        <v>151</v>
      </c>
      <c r="AR50" s="10">
        <v>32</v>
      </c>
      <c r="AS50" s="10">
        <v>27</v>
      </c>
      <c r="AT50" s="11">
        <v>120</v>
      </c>
      <c r="AU50" s="12" t="s">
        <v>47</v>
      </c>
      <c r="AV50" s="17"/>
      <c r="AW50" s="13">
        <v>61</v>
      </c>
      <c r="AX50" s="13">
        <v>28</v>
      </c>
      <c r="AY50" s="13">
        <v>48</v>
      </c>
      <c r="AZ50" s="14">
        <v>31</v>
      </c>
      <c r="BA50" s="9" t="s">
        <v>47</v>
      </c>
      <c r="BB50" s="16"/>
      <c r="BC50" s="10">
        <v>186</v>
      </c>
      <c r="BD50" s="10">
        <v>115</v>
      </c>
      <c r="BE50" s="10">
        <v>101</v>
      </c>
      <c r="BF50" s="11">
        <v>83</v>
      </c>
      <c r="BG50" s="12" t="s">
        <v>47</v>
      </c>
      <c r="BH50" s="17"/>
      <c r="BI50" s="13">
        <v>42</v>
      </c>
      <c r="BJ50" s="13">
        <v>93</v>
      </c>
      <c r="BK50" s="13">
        <v>15</v>
      </c>
      <c r="BL50" s="14">
        <v>58</v>
      </c>
      <c r="BM50" s="9"/>
      <c r="BN50" s="16"/>
      <c r="BO50" s="10"/>
      <c r="BP50" s="10"/>
      <c r="BQ50" s="10"/>
      <c r="BR50" s="11"/>
      <c r="BS50" s="8">
        <f t="shared" si="9"/>
        <v>491</v>
      </c>
      <c r="BT50" s="8">
        <f t="shared" si="10"/>
        <v>294</v>
      </c>
      <c r="BU50" s="8">
        <f t="shared" si="11"/>
        <v>218</v>
      </c>
      <c r="BV50" s="8">
        <f t="shared" si="12"/>
        <v>312</v>
      </c>
      <c r="BW50" s="8">
        <f t="shared" si="13"/>
        <v>491</v>
      </c>
      <c r="BX50" s="8">
        <f t="shared" si="14"/>
        <v>218</v>
      </c>
      <c r="BY50" s="15">
        <f t="shared" si="15"/>
        <v>36.143570226943545</v>
      </c>
      <c r="BZ50" s="15" t="str">
        <f t="shared" si="16"/>
        <v>OK - No Upgrade</v>
      </c>
      <c r="CA50" s="15" t="str">
        <f t="shared" si="17"/>
        <v>Need to Balance</v>
      </c>
    </row>
    <row r="51" spans="1:79" ht="15.75" customHeight="1" x14ac:dyDescent="0.25">
      <c r="A51" s="8" t="s">
        <v>904</v>
      </c>
      <c r="B51" s="8" t="s">
        <v>4081</v>
      </c>
      <c r="C51" s="8" t="s">
        <v>3233</v>
      </c>
      <c r="D51" s="8" t="s">
        <v>4204</v>
      </c>
      <c r="E51" s="8" t="s">
        <v>4210</v>
      </c>
      <c r="F51" s="8" t="s">
        <v>43</v>
      </c>
      <c r="G51" s="8"/>
      <c r="H51" s="8">
        <v>315</v>
      </c>
      <c r="I51" s="8" t="s">
        <v>1505</v>
      </c>
      <c r="J51" s="8">
        <v>1</v>
      </c>
      <c r="K51" s="8">
        <v>246</v>
      </c>
      <c r="L51" s="8">
        <v>247</v>
      </c>
      <c r="M51" s="8">
        <v>244</v>
      </c>
      <c r="N51" s="8">
        <v>431</v>
      </c>
      <c r="O51" s="8">
        <v>426</v>
      </c>
      <c r="P51" s="8">
        <v>426</v>
      </c>
      <c r="Q51" s="9" t="s">
        <v>47</v>
      </c>
      <c r="R51" s="16"/>
      <c r="S51" s="10">
        <v>22</v>
      </c>
      <c r="T51" s="10">
        <v>17</v>
      </c>
      <c r="U51" s="10">
        <v>26</v>
      </c>
      <c r="V51" s="11">
        <v>10</v>
      </c>
      <c r="W51" s="12" t="s">
        <v>47</v>
      </c>
      <c r="X51" s="17"/>
      <c r="Y51" s="13">
        <v>21</v>
      </c>
      <c r="Z51" s="13">
        <v>46</v>
      </c>
      <c r="AA51" s="13">
        <v>25</v>
      </c>
      <c r="AB51" s="14">
        <v>17</v>
      </c>
      <c r="AC51" s="9"/>
      <c r="AD51" s="16"/>
      <c r="AE51" s="10"/>
      <c r="AF51" s="10"/>
      <c r="AG51" s="10"/>
      <c r="AH51" s="11"/>
      <c r="AI51" s="12"/>
      <c r="AJ51" s="17"/>
      <c r="AK51" s="13"/>
      <c r="AL51" s="13"/>
      <c r="AM51" s="13"/>
      <c r="AN51" s="14"/>
      <c r="AO51" s="9"/>
      <c r="AP51" s="16"/>
      <c r="AQ51" s="10"/>
      <c r="AR51" s="10"/>
      <c r="AS51" s="10"/>
      <c r="AT51" s="11"/>
      <c r="AU51" s="12"/>
      <c r="AV51" s="17"/>
      <c r="AW51" s="13"/>
      <c r="AX51" s="13"/>
      <c r="AY51" s="13"/>
      <c r="AZ51" s="14"/>
      <c r="BA51" s="9"/>
      <c r="BB51" s="16"/>
      <c r="BC51" s="10"/>
      <c r="BD51" s="10"/>
      <c r="BE51" s="10"/>
      <c r="BF51" s="11"/>
      <c r="BG51" s="12"/>
      <c r="BH51" s="17"/>
      <c r="BI51" s="13"/>
      <c r="BJ51" s="13"/>
      <c r="BK51" s="13"/>
      <c r="BL51" s="14"/>
      <c r="BM51" s="9"/>
      <c r="BN51" s="16"/>
      <c r="BO51" s="10"/>
      <c r="BP51" s="10"/>
      <c r="BQ51" s="10"/>
      <c r="BR51" s="11"/>
      <c r="BS51" s="8">
        <f t="shared" si="9"/>
        <v>43</v>
      </c>
      <c r="BT51" s="8">
        <f t="shared" si="10"/>
        <v>63</v>
      </c>
      <c r="BU51" s="8">
        <f t="shared" si="11"/>
        <v>51</v>
      </c>
      <c r="BV51" s="8">
        <f t="shared" si="12"/>
        <v>27</v>
      </c>
      <c r="BW51" s="8">
        <f t="shared" si="13"/>
        <v>63</v>
      </c>
      <c r="BX51" s="8">
        <f t="shared" si="14"/>
        <v>43</v>
      </c>
      <c r="BY51" s="15">
        <f t="shared" si="15"/>
        <v>14.930277961243721</v>
      </c>
      <c r="BZ51" s="15" t="str">
        <f t="shared" si="16"/>
        <v>OK - No Upgrade</v>
      </c>
      <c r="CA51" s="15" t="str">
        <f t="shared" si="17"/>
        <v>Need to Balance</v>
      </c>
    </row>
    <row r="52" spans="1:79" ht="15.75" customHeight="1" x14ac:dyDescent="0.25">
      <c r="A52" s="8" t="s">
        <v>904</v>
      </c>
      <c r="B52" s="8" t="s">
        <v>4081</v>
      </c>
      <c r="C52" s="8" t="s">
        <v>3233</v>
      </c>
      <c r="D52" s="8" t="s">
        <v>4211</v>
      </c>
      <c r="E52" s="8" t="s">
        <v>4212</v>
      </c>
      <c r="F52" s="8" t="s">
        <v>43</v>
      </c>
      <c r="G52" s="8"/>
      <c r="H52" s="8">
        <v>200</v>
      </c>
      <c r="I52" s="8" t="s">
        <v>4213</v>
      </c>
      <c r="J52" s="8">
        <v>1</v>
      </c>
      <c r="K52" s="8">
        <v>241</v>
      </c>
      <c r="L52" s="8">
        <v>242</v>
      </c>
      <c r="M52" s="8">
        <v>239</v>
      </c>
      <c r="N52" s="8">
        <v>421</v>
      </c>
      <c r="O52" s="8">
        <v>418</v>
      </c>
      <c r="P52" s="8">
        <v>426</v>
      </c>
      <c r="Q52" s="9" t="s">
        <v>47</v>
      </c>
      <c r="R52" s="16"/>
      <c r="S52" s="10">
        <v>1</v>
      </c>
      <c r="T52" s="10">
        <v>0</v>
      </c>
      <c r="U52" s="10">
        <v>12</v>
      </c>
      <c r="V52" s="11">
        <v>9</v>
      </c>
      <c r="W52" s="12"/>
      <c r="X52" s="17"/>
      <c r="Y52" s="13"/>
      <c r="Z52" s="13"/>
      <c r="AA52" s="13"/>
      <c r="AB52" s="14"/>
      <c r="AC52" s="9"/>
      <c r="AD52" s="16"/>
      <c r="AE52" s="10"/>
      <c r="AF52" s="10"/>
      <c r="AG52" s="10"/>
      <c r="AH52" s="11"/>
      <c r="AI52" s="12"/>
      <c r="AJ52" s="17"/>
      <c r="AK52" s="13"/>
      <c r="AL52" s="13"/>
      <c r="AM52" s="13"/>
      <c r="AN52" s="14"/>
      <c r="AO52" s="9"/>
      <c r="AP52" s="16"/>
      <c r="AQ52" s="10"/>
      <c r="AR52" s="10"/>
      <c r="AS52" s="10"/>
      <c r="AT52" s="11"/>
      <c r="AU52" s="12"/>
      <c r="AV52" s="17"/>
      <c r="AW52" s="13"/>
      <c r="AX52" s="13"/>
      <c r="AY52" s="13"/>
      <c r="AZ52" s="14"/>
      <c r="BA52" s="9"/>
      <c r="BB52" s="16"/>
      <c r="BC52" s="10"/>
      <c r="BD52" s="10"/>
      <c r="BE52" s="10"/>
      <c r="BF52" s="11"/>
      <c r="BG52" s="12"/>
      <c r="BH52" s="17"/>
      <c r="BI52" s="13"/>
      <c r="BJ52" s="13"/>
      <c r="BK52" s="13"/>
      <c r="BL52" s="14"/>
      <c r="BM52" s="9"/>
      <c r="BN52" s="16"/>
      <c r="BO52" s="10"/>
      <c r="BP52" s="10"/>
      <c r="BQ52" s="10"/>
      <c r="BR52" s="11"/>
      <c r="BS52" s="8">
        <f t="shared" si="9"/>
        <v>1</v>
      </c>
      <c r="BT52" s="8">
        <f t="shared" si="10"/>
        <v>0</v>
      </c>
      <c r="BU52" s="8">
        <f t="shared" si="11"/>
        <v>12</v>
      </c>
      <c r="BV52" s="8">
        <f t="shared" si="12"/>
        <v>9</v>
      </c>
      <c r="BW52" s="8">
        <f t="shared" si="13"/>
        <v>12</v>
      </c>
      <c r="BX52" s="8">
        <f t="shared" si="14"/>
        <v>0</v>
      </c>
      <c r="BY52" s="15">
        <f t="shared" si="15"/>
        <v>4.3751603399189838</v>
      </c>
      <c r="BZ52" s="15" t="str">
        <f t="shared" si="16"/>
        <v>OK - No Upgrade</v>
      </c>
      <c r="CA52" s="15" t="str">
        <f t="shared" si="17"/>
        <v>Need to Balance</v>
      </c>
    </row>
    <row r="53" spans="1:79" ht="15.75" customHeight="1" x14ac:dyDescent="0.25">
      <c r="A53" s="8" t="s">
        <v>904</v>
      </c>
      <c r="B53" s="8" t="s">
        <v>4081</v>
      </c>
      <c r="C53" s="8" t="s">
        <v>3233</v>
      </c>
      <c r="D53" s="8" t="s">
        <v>4214</v>
      </c>
      <c r="E53" s="8" t="s">
        <v>4215</v>
      </c>
      <c r="F53" s="8" t="s">
        <v>56</v>
      </c>
      <c r="G53" s="8"/>
      <c r="H53" s="8">
        <v>500</v>
      </c>
      <c r="I53" s="8" t="s">
        <v>1509</v>
      </c>
      <c r="J53" s="8">
        <v>1</v>
      </c>
      <c r="K53" s="8">
        <v>247</v>
      </c>
      <c r="L53" s="8">
        <v>247</v>
      </c>
      <c r="M53" s="8">
        <v>244</v>
      </c>
      <c r="N53" s="8">
        <v>431</v>
      </c>
      <c r="O53" s="8">
        <v>426</v>
      </c>
      <c r="P53" s="8">
        <v>427</v>
      </c>
      <c r="Q53" s="9"/>
      <c r="R53" s="16"/>
      <c r="S53" s="10"/>
      <c r="T53" s="10"/>
      <c r="U53" s="10"/>
      <c r="V53" s="11"/>
      <c r="W53" s="12"/>
      <c r="X53" s="17"/>
      <c r="Y53" s="13"/>
      <c r="Z53" s="13"/>
      <c r="AA53" s="13"/>
      <c r="AB53" s="14"/>
      <c r="AC53" s="9" t="s">
        <v>47</v>
      </c>
      <c r="AD53" s="16"/>
      <c r="AE53" s="10">
        <v>13</v>
      </c>
      <c r="AF53" s="10">
        <v>18</v>
      </c>
      <c r="AG53" s="10">
        <v>43</v>
      </c>
      <c r="AH53" s="11">
        <v>31</v>
      </c>
      <c r="AI53" s="12" t="s">
        <v>47</v>
      </c>
      <c r="AJ53" s="17"/>
      <c r="AK53" s="13">
        <v>16</v>
      </c>
      <c r="AL53" s="13">
        <v>0</v>
      </c>
      <c r="AM53" s="13">
        <v>0</v>
      </c>
      <c r="AN53" s="14">
        <v>13</v>
      </c>
      <c r="AO53" s="9"/>
      <c r="AP53" s="16"/>
      <c r="AQ53" s="10"/>
      <c r="AR53" s="10"/>
      <c r="AS53" s="10"/>
      <c r="AT53" s="11"/>
      <c r="AU53" s="12" t="s">
        <v>70</v>
      </c>
      <c r="AV53" s="17"/>
      <c r="AW53" s="13">
        <v>12</v>
      </c>
      <c r="AX53" s="13">
        <v>1</v>
      </c>
      <c r="AY53" s="13">
        <v>3</v>
      </c>
      <c r="AZ53" s="14">
        <v>10</v>
      </c>
      <c r="BA53" s="9"/>
      <c r="BB53" s="16"/>
      <c r="BC53" s="10"/>
      <c r="BD53" s="10"/>
      <c r="BE53" s="10"/>
      <c r="BF53" s="11"/>
      <c r="BG53" s="12"/>
      <c r="BH53" s="17"/>
      <c r="BI53" s="13"/>
      <c r="BJ53" s="13"/>
      <c r="BK53" s="13"/>
      <c r="BL53" s="14"/>
      <c r="BM53" s="9"/>
      <c r="BN53" s="16"/>
      <c r="BO53" s="10"/>
      <c r="BP53" s="10"/>
      <c r="BQ53" s="10"/>
      <c r="BR53" s="11"/>
      <c r="BS53" s="8">
        <f t="shared" si="9"/>
        <v>41</v>
      </c>
      <c r="BT53" s="8">
        <f t="shared" si="10"/>
        <v>19</v>
      </c>
      <c r="BU53" s="8">
        <f t="shared" si="11"/>
        <v>46</v>
      </c>
      <c r="BV53" s="8">
        <f t="shared" si="12"/>
        <v>54</v>
      </c>
      <c r="BW53" s="8">
        <f t="shared" si="13"/>
        <v>46</v>
      </c>
      <c r="BX53" s="8">
        <f t="shared" si="14"/>
        <v>19</v>
      </c>
      <c r="BY53" s="15">
        <f t="shared" si="15"/>
        <v>6.8679278621721114</v>
      </c>
      <c r="BZ53" s="15" t="str">
        <f t="shared" si="16"/>
        <v>OK - No Upgrade</v>
      </c>
      <c r="CA53" s="15" t="str">
        <f t="shared" si="17"/>
        <v>Need to Balance</v>
      </c>
    </row>
    <row r="54" spans="1:79" ht="15.75" customHeight="1" x14ac:dyDescent="0.25">
      <c r="A54" s="8" t="s">
        <v>904</v>
      </c>
      <c r="B54" s="8" t="s">
        <v>4081</v>
      </c>
      <c r="C54" s="8" t="s">
        <v>3233</v>
      </c>
      <c r="D54" s="8" t="s">
        <v>4216</v>
      </c>
      <c r="E54" s="8" t="s">
        <v>4217</v>
      </c>
      <c r="F54" s="8" t="s">
        <v>43</v>
      </c>
      <c r="G54" s="8" t="s">
        <v>44</v>
      </c>
      <c r="H54" s="8">
        <v>100</v>
      </c>
      <c r="I54" s="8" t="s">
        <v>4218</v>
      </c>
      <c r="J54" s="8">
        <v>1</v>
      </c>
      <c r="K54" s="8">
        <v>240</v>
      </c>
      <c r="L54" s="8">
        <v>241</v>
      </c>
      <c r="M54" s="8">
        <v>213</v>
      </c>
      <c r="N54" s="8">
        <v>420</v>
      </c>
      <c r="O54" s="8">
        <v>418</v>
      </c>
      <c r="P54" s="8">
        <v>401</v>
      </c>
      <c r="Q54" s="9" t="s">
        <v>334</v>
      </c>
      <c r="R54" s="16"/>
      <c r="S54" s="10">
        <v>13</v>
      </c>
      <c r="T54" s="10">
        <v>14</v>
      </c>
      <c r="U54" s="10">
        <v>4</v>
      </c>
      <c r="V54" s="11">
        <v>8</v>
      </c>
      <c r="W54" s="12" t="s">
        <v>334</v>
      </c>
      <c r="X54" s="17"/>
      <c r="Y54" s="13">
        <v>18</v>
      </c>
      <c r="Z54" s="13">
        <v>4</v>
      </c>
      <c r="AA54" s="13">
        <v>4</v>
      </c>
      <c r="AB54" s="14">
        <v>13</v>
      </c>
      <c r="AC54" s="9"/>
      <c r="AD54" s="16"/>
      <c r="AE54" s="10"/>
      <c r="AF54" s="10"/>
      <c r="AG54" s="10"/>
      <c r="AH54" s="11"/>
      <c r="AI54" s="12"/>
      <c r="AJ54" s="17"/>
      <c r="AK54" s="13"/>
      <c r="AL54" s="13"/>
      <c r="AM54" s="13"/>
      <c r="AN54" s="14"/>
      <c r="AO54" s="9"/>
      <c r="AP54" s="16"/>
      <c r="AQ54" s="10"/>
      <c r="AR54" s="10"/>
      <c r="AS54" s="10"/>
      <c r="AT54" s="11"/>
      <c r="AU54" s="12"/>
      <c r="AV54" s="17"/>
      <c r="AW54" s="13"/>
      <c r="AX54" s="13"/>
      <c r="AY54" s="13"/>
      <c r="AZ54" s="14"/>
      <c r="BA54" s="9"/>
      <c r="BB54" s="16"/>
      <c r="BC54" s="10"/>
      <c r="BD54" s="10"/>
      <c r="BE54" s="10"/>
      <c r="BF54" s="11"/>
      <c r="BG54" s="12"/>
      <c r="BH54" s="17"/>
      <c r="BI54" s="13"/>
      <c r="BJ54" s="13"/>
      <c r="BK54" s="13"/>
      <c r="BL54" s="14"/>
      <c r="BM54" s="9"/>
      <c r="BN54" s="16"/>
      <c r="BO54" s="10"/>
      <c r="BP54" s="10"/>
      <c r="BQ54" s="10"/>
      <c r="BR54" s="11"/>
      <c r="BS54" s="8">
        <f t="shared" si="9"/>
        <v>31</v>
      </c>
      <c r="BT54" s="8">
        <f t="shared" si="10"/>
        <v>18</v>
      </c>
      <c r="BU54" s="8">
        <f t="shared" si="11"/>
        <v>8</v>
      </c>
      <c r="BV54" s="8">
        <f t="shared" si="12"/>
        <v>21</v>
      </c>
      <c r="BW54" s="8">
        <f t="shared" si="13"/>
        <v>31</v>
      </c>
      <c r="BX54" s="8">
        <f t="shared" si="14"/>
        <v>8</v>
      </c>
      <c r="BY54" s="15">
        <f t="shared" si="15"/>
        <v>22.551301514546786</v>
      </c>
      <c r="BZ54" s="15" t="str">
        <f t="shared" si="16"/>
        <v>OK - No Upgrade</v>
      </c>
      <c r="CA54" s="15" t="str">
        <f t="shared" si="17"/>
        <v>Need to Balance</v>
      </c>
    </row>
    <row r="55" spans="1:79" ht="15.75" customHeight="1" x14ac:dyDescent="0.25">
      <c r="A55" s="8" t="s">
        <v>904</v>
      </c>
      <c r="B55" s="8" t="s">
        <v>4081</v>
      </c>
      <c r="C55" s="8" t="s">
        <v>3233</v>
      </c>
      <c r="D55" s="8" t="s">
        <v>4219</v>
      </c>
      <c r="E55" s="8" t="s">
        <v>4220</v>
      </c>
      <c r="F55" s="8" t="s">
        <v>43</v>
      </c>
      <c r="G55" s="8"/>
      <c r="H55" s="8">
        <v>315</v>
      </c>
      <c r="I55" s="8" t="s">
        <v>4221</v>
      </c>
      <c r="J55" s="8">
        <v>1</v>
      </c>
      <c r="K55" s="8">
        <v>247</v>
      </c>
      <c r="L55" s="8">
        <v>247</v>
      </c>
      <c r="M55" s="8">
        <v>245</v>
      </c>
      <c r="N55" s="8">
        <v>431</v>
      </c>
      <c r="O55" s="8">
        <v>428</v>
      </c>
      <c r="P55" s="8">
        <v>428</v>
      </c>
      <c r="Q55" s="9" t="s">
        <v>46</v>
      </c>
      <c r="R55" s="16"/>
      <c r="S55" s="10">
        <v>16</v>
      </c>
      <c r="T55" s="10">
        <v>22</v>
      </c>
      <c r="U55" s="10">
        <v>20</v>
      </c>
      <c r="V55" s="11">
        <v>19</v>
      </c>
      <c r="W55" s="12" t="s">
        <v>46</v>
      </c>
      <c r="X55" s="17"/>
      <c r="Y55" s="13">
        <v>20</v>
      </c>
      <c r="Z55" s="13">
        <v>16</v>
      </c>
      <c r="AA55" s="13">
        <v>24</v>
      </c>
      <c r="AB55" s="14">
        <v>14</v>
      </c>
      <c r="AC55" s="9"/>
      <c r="AD55" s="16"/>
      <c r="AE55" s="10"/>
      <c r="AF55" s="10"/>
      <c r="AG55" s="10"/>
      <c r="AH55" s="11"/>
      <c r="AI55" s="12"/>
      <c r="AJ55" s="17"/>
      <c r="AK55" s="13"/>
      <c r="AL55" s="13"/>
      <c r="AM55" s="13"/>
      <c r="AN55" s="14"/>
      <c r="AO55" s="9"/>
      <c r="AP55" s="16"/>
      <c r="AQ55" s="10"/>
      <c r="AR55" s="10"/>
      <c r="AS55" s="10"/>
      <c r="AT55" s="11"/>
      <c r="AU55" s="12"/>
      <c r="AV55" s="17"/>
      <c r="AW55" s="13"/>
      <c r="AX55" s="13"/>
      <c r="AY55" s="13"/>
      <c r="AZ55" s="14"/>
      <c r="BA55" s="9"/>
      <c r="BB55" s="16"/>
      <c r="BC55" s="10"/>
      <c r="BD55" s="10"/>
      <c r="BE55" s="10"/>
      <c r="BF55" s="11"/>
      <c r="BG55" s="12"/>
      <c r="BH55" s="17"/>
      <c r="BI55" s="13"/>
      <c r="BJ55" s="13"/>
      <c r="BK55" s="13"/>
      <c r="BL55" s="14"/>
      <c r="BM55" s="9"/>
      <c r="BN55" s="16"/>
      <c r="BO55" s="10"/>
      <c r="BP55" s="10"/>
      <c r="BQ55" s="10"/>
      <c r="BR55" s="11"/>
      <c r="BS55" s="8">
        <f t="shared" si="9"/>
        <v>36</v>
      </c>
      <c r="BT55" s="8">
        <f t="shared" si="10"/>
        <v>38</v>
      </c>
      <c r="BU55" s="8">
        <f t="shared" si="11"/>
        <v>44</v>
      </c>
      <c r="BV55" s="8">
        <f t="shared" si="12"/>
        <v>33</v>
      </c>
      <c r="BW55" s="8">
        <f t="shared" si="13"/>
        <v>44</v>
      </c>
      <c r="BX55" s="8">
        <f t="shared" si="14"/>
        <v>36</v>
      </c>
      <c r="BY55" s="15">
        <f t="shared" si="15"/>
        <v>10.427495718963868</v>
      </c>
      <c r="BZ55" s="15" t="str">
        <f t="shared" si="16"/>
        <v>OK - No Upgrade</v>
      </c>
      <c r="CA55" s="15" t="str">
        <f t="shared" si="17"/>
        <v>Need to Balance</v>
      </c>
    </row>
    <row r="56" spans="1:79" ht="15.75" customHeight="1" x14ac:dyDescent="0.25">
      <c r="A56" s="8" t="s">
        <v>904</v>
      </c>
      <c r="B56" s="8" t="s">
        <v>4081</v>
      </c>
      <c r="C56" s="8" t="s">
        <v>3233</v>
      </c>
      <c r="D56" s="8" t="s">
        <v>4222</v>
      </c>
      <c r="E56" s="8" t="s">
        <v>4223</v>
      </c>
      <c r="F56" s="8" t="s">
        <v>43</v>
      </c>
      <c r="G56" s="8"/>
      <c r="H56" s="8">
        <v>315</v>
      </c>
      <c r="I56" s="8" t="s">
        <v>4224</v>
      </c>
      <c r="J56" s="8">
        <v>1</v>
      </c>
      <c r="K56" s="8">
        <v>247</v>
      </c>
      <c r="L56" s="8">
        <v>248</v>
      </c>
      <c r="M56" s="8">
        <v>245</v>
      </c>
      <c r="N56" s="8">
        <v>432</v>
      </c>
      <c r="O56" s="8">
        <v>428</v>
      </c>
      <c r="P56" s="8">
        <v>430</v>
      </c>
      <c r="Q56" s="9" t="s">
        <v>47</v>
      </c>
      <c r="R56" s="16"/>
      <c r="S56" s="10">
        <v>1</v>
      </c>
      <c r="T56" s="10">
        <v>0</v>
      </c>
      <c r="U56" s="10">
        <v>0</v>
      </c>
      <c r="V56" s="11">
        <v>1</v>
      </c>
      <c r="W56" s="12"/>
      <c r="X56" s="17"/>
      <c r="Y56" s="13"/>
      <c r="Z56" s="13"/>
      <c r="AA56" s="13"/>
      <c r="AB56" s="14"/>
      <c r="AC56" s="9"/>
      <c r="AD56" s="16"/>
      <c r="AE56" s="10"/>
      <c r="AF56" s="10"/>
      <c r="AG56" s="10"/>
      <c r="AH56" s="11"/>
      <c r="AI56" s="12"/>
      <c r="AJ56" s="17"/>
      <c r="AK56" s="13"/>
      <c r="AL56" s="13"/>
      <c r="AM56" s="13"/>
      <c r="AN56" s="14"/>
      <c r="AO56" s="9"/>
      <c r="AP56" s="16"/>
      <c r="AQ56" s="10"/>
      <c r="AR56" s="10"/>
      <c r="AS56" s="10"/>
      <c r="AT56" s="11"/>
      <c r="AU56" s="12"/>
      <c r="AV56" s="17"/>
      <c r="AW56" s="13"/>
      <c r="AX56" s="13"/>
      <c r="AY56" s="13"/>
      <c r="AZ56" s="14"/>
      <c r="BA56" s="9"/>
      <c r="BB56" s="16"/>
      <c r="BC56" s="10"/>
      <c r="BD56" s="10"/>
      <c r="BE56" s="10"/>
      <c r="BF56" s="11"/>
      <c r="BG56" s="12"/>
      <c r="BH56" s="17"/>
      <c r="BI56" s="13"/>
      <c r="BJ56" s="13"/>
      <c r="BK56" s="13"/>
      <c r="BL56" s="14"/>
      <c r="BM56" s="9"/>
      <c r="BN56" s="16"/>
      <c r="BO56" s="10"/>
      <c r="BP56" s="10"/>
      <c r="BQ56" s="10"/>
      <c r="BR56" s="11"/>
      <c r="BS56" s="8">
        <f t="shared" si="9"/>
        <v>1</v>
      </c>
      <c r="BT56" s="8">
        <f t="shared" si="10"/>
        <v>0</v>
      </c>
      <c r="BU56" s="8">
        <f t="shared" si="11"/>
        <v>0</v>
      </c>
      <c r="BV56" s="8">
        <f t="shared" si="12"/>
        <v>1</v>
      </c>
      <c r="BW56" s="8">
        <f t="shared" si="13"/>
        <v>1</v>
      </c>
      <c r="BX56" s="8">
        <f t="shared" si="14"/>
        <v>0</v>
      </c>
      <c r="BY56" s="15">
        <f t="shared" si="15"/>
        <v>0.23753839646658884</v>
      </c>
      <c r="BZ56" s="15" t="str">
        <f t="shared" si="16"/>
        <v>OK - No Upgrade</v>
      </c>
      <c r="CA56" s="15" t="str">
        <f t="shared" si="17"/>
        <v>Need to Balance</v>
      </c>
    </row>
    <row r="57" spans="1:79" ht="15.75" customHeight="1" x14ac:dyDescent="0.25">
      <c r="A57" s="8" t="s">
        <v>904</v>
      </c>
      <c r="B57" s="8" t="s">
        <v>4081</v>
      </c>
      <c r="C57" s="8" t="s">
        <v>3233</v>
      </c>
      <c r="D57" s="8" t="s">
        <v>4225</v>
      </c>
      <c r="E57" s="8" t="s">
        <v>4226</v>
      </c>
      <c r="F57" s="8" t="s">
        <v>43</v>
      </c>
      <c r="G57" s="8"/>
      <c r="H57" s="8">
        <v>315</v>
      </c>
      <c r="I57" s="8" t="s">
        <v>4227</v>
      </c>
      <c r="J57" s="8">
        <v>1</v>
      </c>
      <c r="K57" s="8">
        <v>248</v>
      </c>
      <c r="L57" s="8">
        <v>248</v>
      </c>
      <c r="M57" s="8">
        <v>245</v>
      </c>
      <c r="N57" s="8">
        <v>431</v>
      </c>
      <c r="O57" s="8">
        <v>430</v>
      </c>
      <c r="P57" s="8">
        <v>429</v>
      </c>
      <c r="Q57" s="9" t="s">
        <v>46</v>
      </c>
      <c r="R57" s="16"/>
      <c r="S57" s="10">
        <v>3</v>
      </c>
      <c r="T57" s="10">
        <v>1</v>
      </c>
      <c r="U57" s="10">
        <v>0</v>
      </c>
      <c r="V57" s="11">
        <v>3</v>
      </c>
      <c r="W57" s="12" t="s">
        <v>46</v>
      </c>
      <c r="X57" s="17"/>
      <c r="Y57" s="13">
        <v>0</v>
      </c>
      <c r="Z57" s="13">
        <v>0</v>
      </c>
      <c r="AA57" s="13">
        <v>0</v>
      </c>
      <c r="AB57" s="14">
        <v>0</v>
      </c>
      <c r="AC57" s="9"/>
      <c r="AD57" s="16"/>
      <c r="AE57" s="10"/>
      <c r="AF57" s="10"/>
      <c r="AG57" s="10"/>
      <c r="AH57" s="11"/>
      <c r="AI57" s="12"/>
      <c r="AJ57" s="17"/>
      <c r="AK57" s="13"/>
      <c r="AL57" s="13"/>
      <c r="AM57" s="13"/>
      <c r="AN57" s="14"/>
      <c r="AO57" s="9"/>
      <c r="AP57" s="16"/>
      <c r="AQ57" s="10"/>
      <c r="AR57" s="10"/>
      <c r="AS57" s="10"/>
      <c r="AT57" s="11"/>
      <c r="AU57" s="12"/>
      <c r="AV57" s="17"/>
      <c r="AW57" s="13"/>
      <c r="AX57" s="13"/>
      <c r="AY57" s="13"/>
      <c r="AZ57" s="14"/>
      <c r="BA57" s="9"/>
      <c r="BB57" s="16"/>
      <c r="BC57" s="10"/>
      <c r="BD57" s="10"/>
      <c r="BE57" s="10"/>
      <c r="BF57" s="11"/>
      <c r="BG57" s="12"/>
      <c r="BH57" s="17"/>
      <c r="BI57" s="13"/>
      <c r="BJ57" s="13"/>
      <c r="BK57" s="13"/>
      <c r="BL57" s="14"/>
      <c r="BM57" s="9"/>
      <c r="BN57" s="16"/>
      <c r="BO57" s="10"/>
      <c r="BP57" s="10"/>
      <c r="BQ57" s="10"/>
      <c r="BR57" s="11"/>
      <c r="BS57" s="8">
        <f t="shared" si="9"/>
        <v>3</v>
      </c>
      <c r="BT57" s="8">
        <f t="shared" si="10"/>
        <v>1</v>
      </c>
      <c r="BU57" s="8">
        <f t="shared" si="11"/>
        <v>0</v>
      </c>
      <c r="BV57" s="8">
        <f t="shared" si="12"/>
        <v>3</v>
      </c>
      <c r="BW57" s="8">
        <f t="shared" si="13"/>
        <v>3</v>
      </c>
      <c r="BX57" s="8">
        <f t="shared" si="14"/>
        <v>0</v>
      </c>
      <c r="BY57" s="15">
        <f t="shared" si="15"/>
        <v>0.71096561720208196</v>
      </c>
      <c r="BZ57" s="15" t="str">
        <f t="shared" si="16"/>
        <v>OK - No Upgrade</v>
      </c>
      <c r="CA57" s="15" t="str">
        <f t="shared" si="17"/>
        <v>Need to Balance</v>
      </c>
    </row>
    <row r="58" spans="1:79" ht="15.75" customHeight="1" x14ac:dyDescent="0.25">
      <c r="A58" s="8" t="s">
        <v>904</v>
      </c>
      <c r="B58" s="8" t="s">
        <v>4081</v>
      </c>
      <c r="C58" s="8" t="s">
        <v>2296</v>
      </c>
      <c r="D58" s="8" t="s">
        <v>4228</v>
      </c>
      <c r="E58" s="8" t="s">
        <v>4229</v>
      </c>
      <c r="F58" s="8" t="s">
        <v>43</v>
      </c>
      <c r="G58" s="8"/>
      <c r="H58" s="8">
        <v>315</v>
      </c>
      <c r="I58" s="8" t="s">
        <v>4022</v>
      </c>
      <c r="J58" s="8">
        <v>1</v>
      </c>
      <c r="K58" s="8">
        <v>239</v>
      </c>
      <c r="L58" s="8">
        <v>238</v>
      </c>
      <c r="M58" s="8">
        <v>240</v>
      </c>
      <c r="N58" s="8">
        <v>414</v>
      </c>
      <c r="O58" s="8">
        <v>415</v>
      </c>
      <c r="P58" s="8">
        <v>415</v>
      </c>
      <c r="Q58" s="9" t="s">
        <v>47</v>
      </c>
      <c r="R58" s="16"/>
      <c r="S58" s="10">
        <v>31</v>
      </c>
      <c r="T58" s="10">
        <v>19</v>
      </c>
      <c r="U58" s="10">
        <v>13</v>
      </c>
      <c r="V58" s="11">
        <v>12</v>
      </c>
      <c r="W58" s="12" t="s">
        <v>70</v>
      </c>
      <c r="X58" s="17"/>
      <c r="Y58" s="13">
        <v>90</v>
      </c>
      <c r="Z58" s="13">
        <v>120</v>
      </c>
      <c r="AA58" s="13">
        <v>55</v>
      </c>
      <c r="AB58" s="14">
        <v>49</v>
      </c>
      <c r="AC58" s="9"/>
      <c r="AD58" s="16"/>
      <c r="AE58" s="10"/>
      <c r="AF58" s="10"/>
      <c r="AG58" s="10"/>
      <c r="AH58" s="11"/>
      <c r="AI58" s="12"/>
      <c r="AJ58" s="17"/>
      <c r="AK58" s="13"/>
      <c r="AL58" s="13"/>
      <c r="AM58" s="13"/>
      <c r="AN58" s="14"/>
      <c r="AO58" s="9"/>
      <c r="AP58" s="16"/>
      <c r="AQ58" s="10"/>
      <c r="AR58" s="10"/>
      <c r="AS58" s="10"/>
      <c r="AT58" s="11"/>
      <c r="AU58" s="12"/>
      <c r="AV58" s="17"/>
      <c r="AW58" s="13"/>
      <c r="AX58" s="13"/>
      <c r="AY58" s="13"/>
      <c r="AZ58" s="14"/>
      <c r="BA58" s="9"/>
      <c r="BB58" s="16"/>
      <c r="BC58" s="10"/>
      <c r="BD58" s="10"/>
      <c r="BE58" s="10"/>
      <c r="BF58" s="11"/>
      <c r="BG58" s="12"/>
      <c r="BH58" s="17"/>
      <c r="BI58" s="13"/>
      <c r="BJ58" s="13"/>
      <c r="BK58" s="13"/>
      <c r="BL58" s="14"/>
      <c r="BM58" s="9"/>
      <c r="BN58" s="16"/>
      <c r="BO58" s="10"/>
      <c r="BP58" s="10"/>
      <c r="BQ58" s="10"/>
      <c r="BR58" s="11"/>
      <c r="BS58" s="8">
        <f t="shared" si="9"/>
        <v>121</v>
      </c>
      <c r="BT58" s="8">
        <f t="shared" si="10"/>
        <v>139</v>
      </c>
      <c r="BU58" s="8">
        <f t="shared" si="11"/>
        <v>68</v>
      </c>
      <c r="BV58" s="8">
        <f t="shared" si="12"/>
        <v>61</v>
      </c>
      <c r="BW58" s="8">
        <f t="shared" si="13"/>
        <v>139</v>
      </c>
      <c r="BX58" s="8">
        <f t="shared" si="14"/>
        <v>68</v>
      </c>
      <c r="BY58" s="15">
        <f t="shared" si="15"/>
        <v>31.642093895986861</v>
      </c>
      <c r="BZ58" s="15" t="str">
        <f t="shared" si="16"/>
        <v>OK - No Upgrade</v>
      </c>
      <c r="CA58" s="15" t="str">
        <f t="shared" si="17"/>
        <v>Need to Balance</v>
      </c>
    </row>
    <row r="59" spans="1:79" ht="15.75" customHeight="1" x14ac:dyDescent="0.25">
      <c r="A59" s="8" t="s">
        <v>904</v>
      </c>
      <c r="B59" s="8" t="s">
        <v>4081</v>
      </c>
      <c r="C59" s="8" t="s">
        <v>2296</v>
      </c>
      <c r="D59" s="8" t="s">
        <v>4230</v>
      </c>
      <c r="E59" s="8" t="s">
        <v>4231</v>
      </c>
      <c r="F59" s="8" t="s">
        <v>43</v>
      </c>
      <c r="G59" s="8"/>
      <c r="H59" s="8">
        <v>200</v>
      </c>
      <c r="I59" s="8" t="s">
        <v>4232</v>
      </c>
      <c r="J59" s="8">
        <v>1</v>
      </c>
      <c r="K59" s="8">
        <v>244</v>
      </c>
      <c r="L59" s="8">
        <v>247</v>
      </c>
      <c r="M59" s="8">
        <v>247</v>
      </c>
      <c r="N59" s="8">
        <v>426</v>
      </c>
      <c r="O59" s="8">
        <v>431</v>
      </c>
      <c r="P59" s="8">
        <v>427</v>
      </c>
      <c r="Q59" s="9" t="s">
        <v>70</v>
      </c>
      <c r="R59" s="16"/>
      <c r="S59" s="10">
        <v>120</v>
      </c>
      <c r="T59" s="10">
        <v>101</v>
      </c>
      <c r="U59" s="10">
        <v>78</v>
      </c>
      <c r="V59" s="11">
        <v>36</v>
      </c>
      <c r="W59" s="12"/>
      <c r="X59" s="17"/>
      <c r="Y59" s="13"/>
      <c r="Z59" s="13"/>
      <c r="AA59" s="13"/>
      <c r="AB59" s="14"/>
      <c r="AC59" s="9"/>
      <c r="AD59" s="16"/>
      <c r="AE59" s="10"/>
      <c r="AF59" s="10"/>
      <c r="AG59" s="10"/>
      <c r="AH59" s="11"/>
      <c r="AI59" s="12"/>
      <c r="AJ59" s="17"/>
      <c r="AK59" s="13"/>
      <c r="AL59" s="13"/>
      <c r="AM59" s="13"/>
      <c r="AN59" s="14"/>
      <c r="AO59" s="9"/>
      <c r="AP59" s="16"/>
      <c r="AQ59" s="10"/>
      <c r="AR59" s="10"/>
      <c r="AS59" s="10"/>
      <c r="AT59" s="11"/>
      <c r="AU59" s="12"/>
      <c r="AV59" s="17"/>
      <c r="AW59" s="13"/>
      <c r="AX59" s="13"/>
      <c r="AY59" s="13"/>
      <c r="AZ59" s="14"/>
      <c r="BA59" s="9"/>
      <c r="BB59" s="16"/>
      <c r="BC59" s="10"/>
      <c r="BD59" s="10"/>
      <c r="BE59" s="10"/>
      <c r="BF59" s="11"/>
      <c r="BG59" s="12"/>
      <c r="BH59" s="17"/>
      <c r="BI59" s="13"/>
      <c r="BJ59" s="13"/>
      <c r="BK59" s="13"/>
      <c r="BL59" s="14"/>
      <c r="BM59" s="9"/>
      <c r="BN59" s="16"/>
      <c r="BO59" s="10"/>
      <c r="BP59" s="10"/>
      <c r="BQ59" s="10"/>
      <c r="BR59" s="11"/>
      <c r="BS59" s="8">
        <f t="shared" si="9"/>
        <v>120</v>
      </c>
      <c r="BT59" s="8">
        <f t="shared" si="10"/>
        <v>101</v>
      </c>
      <c r="BU59" s="8">
        <f t="shared" si="11"/>
        <v>78</v>
      </c>
      <c r="BV59" s="8">
        <f t="shared" si="12"/>
        <v>36</v>
      </c>
      <c r="BW59" s="8">
        <f t="shared" si="13"/>
        <v>120</v>
      </c>
      <c r="BX59" s="8">
        <f t="shared" si="14"/>
        <v>78</v>
      </c>
      <c r="BY59" s="15">
        <f t="shared" si="15"/>
        <v>44.2712186414605</v>
      </c>
      <c r="BZ59" s="15" t="str">
        <f t="shared" si="16"/>
        <v>OK - No Upgrade</v>
      </c>
      <c r="CA59" s="15" t="str">
        <f t="shared" si="17"/>
        <v>Need to Balance</v>
      </c>
    </row>
    <row r="60" spans="1:79" ht="15.75" customHeight="1" x14ac:dyDescent="0.25">
      <c r="A60" s="8" t="s">
        <v>904</v>
      </c>
      <c r="B60" s="8" t="s">
        <v>4081</v>
      </c>
      <c r="C60" s="8" t="s">
        <v>2296</v>
      </c>
      <c r="D60" s="8" t="s">
        <v>4233</v>
      </c>
      <c r="E60" s="8" t="s">
        <v>4234</v>
      </c>
      <c r="F60" s="8" t="s">
        <v>43</v>
      </c>
      <c r="G60" s="8"/>
      <c r="H60" s="8">
        <v>315</v>
      </c>
      <c r="I60" s="8" t="s">
        <v>4235</v>
      </c>
      <c r="J60" s="8">
        <v>1</v>
      </c>
      <c r="K60" s="8">
        <v>247</v>
      </c>
      <c r="L60" s="8">
        <v>250</v>
      </c>
      <c r="M60" s="8">
        <v>249</v>
      </c>
      <c r="N60" s="8">
        <v>433</v>
      </c>
      <c r="O60" s="8">
        <v>437</v>
      </c>
      <c r="P60" s="8">
        <v>431</v>
      </c>
      <c r="Q60" s="9" t="s">
        <v>47</v>
      </c>
      <c r="R60" s="16"/>
      <c r="S60" s="10">
        <v>15</v>
      </c>
      <c r="T60" s="10">
        <v>0</v>
      </c>
      <c r="U60" s="10">
        <v>3</v>
      </c>
      <c r="V60" s="11">
        <v>11</v>
      </c>
      <c r="W60" s="12" t="s">
        <v>47</v>
      </c>
      <c r="X60" s="17"/>
      <c r="Y60" s="13">
        <v>3</v>
      </c>
      <c r="Z60" s="13">
        <v>28</v>
      </c>
      <c r="AA60" s="13">
        <v>13</v>
      </c>
      <c r="AB60" s="14">
        <v>14</v>
      </c>
      <c r="AC60" s="9"/>
      <c r="AD60" s="16"/>
      <c r="AE60" s="10"/>
      <c r="AF60" s="10"/>
      <c r="AG60" s="10"/>
      <c r="AH60" s="11"/>
      <c r="AI60" s="12"/>
      <c r="AJ60" s="17"/>
      <c r="AK60" s="13"/>
      <c r="AL60" s="13"/>
      <c r="AM60" s="13"/>
      <c r="AN60" s="14"/>
      <c r="AO60" s="9"/>
      <c r="AP60" s="16"/>
      <c r="AQ60" s="10"/>
      <c r="AR60" s="10"/>
      <c r="AS60" s="10"/>
      <c r="AT60" s="11"/>
      <c r="AU60" s="12"/>
      <c r="AV60" s="17"/>
      <c r="AW60" s="13"/>
      <c r="AX60" s="13"/>
      <c r="AY60" s="13"/>
      <c r="AZ60" s="14"/>
      <c r="BA60" s="9"/>
      <c r="BB60" s="16"/>
      <c r="BC60" s="10"/>
      <c r="BD60" s="10"/>
      <c r="BE60" s="10"/>
      <c r="BF60" s="11"/>
      <c r="BG60" s="12"/>
      <c r="BH60" s="17"/>
      <c r="BI60" s="13"/>
      <c r="BJ60" s="13"/>
      <c r="BK60" s="13"/>
      <c r="BL60" s="14"/>
      <c r="BM60" s="9"/>
      <c r="BN60" s="16"/>
      <c r="BO60" s="10"/>
      <c r="BP60" s="10"/>
      <c r="BQ60" s="10"/>
      <c r="BR60" s="11"/>
      <c r="BS60" s="8">
        <f t="shared" si="9"/>
        <v>18</v>
      </c>
      <c r="BT60" s="8">
        <f t="shared" si="10"/>
        <v>28</v>
      </c>
      <c r="BU60" s="8">
        <f t="shared" si="11"/>
        <v>16</v>
      </c>
      <c r="BV60" s="8">
        <f t="shared" si="12"/>
        <v>25</v>
      </c>
      <c r="BW60" s="8">
        <f t="shared" si="13"/>
        <v>28</v>
      </c>
      <c r="BX60" s="8">
        <f t="shared" si="14"/>
        <v>16</v>
      </c>
      <c r="BY60" s="15">
        <f t="shared" si="15"/>
        <v>6.6664711082428791</v>
      </c>
      <c r="BZ60" s="15" t="str">
        <f t="shared" si="16"/>
        <v>OK - No Upgrade</v>
      </c>
      <c r="CA60" s="15" t="str">
        <f t="shared" si="17"/>
        <v>Need to Balance</v>
      </c>
    </row>
    <row r="61" spans="1:79" ht="15.75" customHeight="1" x14ac:dyDescent="0.25">
      <c r="A61" s="8" t="s">
        <v>904</v>
      </c>
      <c r="B61" s="8" t="s">
        <v>4081</v>
      </c>
      <c r="C61" s="8" t="s">
        <v>2296</v>
      </c>
      <c r="D61" s="8" t="s">
        <v>4236</v>
      </c>
      <c r="E61" s="8" t="s">
        <v>4237</v>
      </c>
      <c r="F61" s="8" t="s">
        <v>43</v>
      </c>
      <c r="G61" s="8"/>
      <c r="H61" s="8">
        <v>200</v>
      </c>
      <c r="I61" s="8" t="s">
        <v>4238</v>
      </c>
      <c r="J61" s="8">
        <v>1</v>
      </c>
      <c r="K61" s="8">
        <v>246</v>
      </c>
      <c r="L61" s="8">
        <v>250</v>
      </c>
      <c r="M61" s="8">
        <v>249</v>
      </c>
      <c r="N61" s="8">
        <v>431</v>
      </c>
      <c r="O61" s="8">
        <v>436</v>
      </c>
      <c r="P61" s="8">
        <v>431</v>
      </c>
      <c r="Q61" s="9" t="s">
        <v>46</v>
      </c>
      <c r="R61" s="16"/>
      <c r="S61" s="10">
        <v>50</v>
      </c>
      <c r="T61" s="10">
        <v>23</v>
      </c>
      <c r="U61" s="10">
        <v>23</v>
      </c>
      <c r="V61" s="11">
        <v>18</v>
      </c>
      <c r="W61" s="12" t="s">
        <v>47</v>
      </c>
      <c r="X61" s="17"/>
      <c r="Y61" s="13">
        <v>85</v>
      </c>
      <c r="Z61" s="13">
        <v>34</v>
      </c>
      <c r="AA61" s="13">
        <v>84</v>
      </c>
      <c r="AB61" s="14">
        <v>48</v>
      </c>
      <c r="AC61" s="9"/>
      <c r="AD61" s="16"/>
      <c r="AE61" s="10"/>
      <c r="AF61" s="10"/>
      <c r="AG61" s="10"/>
      <c r="AH61" s="11"/>
      <c r="AI61" s="12"/>
      <c r="AJ61" s="17"/>
      <c r="AK61" s="13"/>
      <c r="AL61" s="13"/>
      <c r="AM61" s="13"/>
      <c r="AN61" s="14"/>
      <c r="AO61" s="9"/>
      <c r="AP61" s="16"/>
      <c r="AQ61" s="10"/>
      <c r="AR61" s="10"/>
      <c r="AS61" s="10"/>
      <c r="AT61" s="11"/>
      <c r="AU61" s="12"/>
      <c r="AV61" s="17"/>
      <c r="AW61" s="13"/>
      <c r="AX61" s="13"/>
      <c r="AY61" s="13"/>
      <c r="AZ61" s="14"/>
      <c r="BA61" s="9"/>
      <c r="BB61" s="16"/>
      <c r="BC61" s="10"/>
      <c r="BD61" s="10"/>
      <c r="BE61" s="10"/>
      <c r="BF61" s="11"/>
      <c r="BG61" s="12"/>
      <c r="BH61" s="17"/>
      <c r="BI61" s="13"/>
      <c r="BJ61" s="13"/>
      <c r="BK61" s="13"/>
      <c r="BL61" s="14"/>
      <c r="BM61" s="9"/>
      <c r="BN61" s="16"/>
      <c r="BO61" s="10"/>
      <c r="BP61" s="10"/>
      <c r="BQ61" s="10"/>
      <c r="BR61" s="11"/>
      <c r="BS61" s="8">
        <f t="shared" si="9"/>
        <v>135</v>
      </c>
      <c r="BT61" s="8">
        <f t="shared" si="10"/>
        <v>57</v>
      </c>
      <c r="BU61" s="8">
        <f t="shared" si="11"/>
        <v>107</v>
      </c>
      <c r="BV61" s="8">
        <f t="shared" si="12"/>
        <v>66</v>
      </c>
      <c r="BW61" s="8">
        <f t="shared" si="13"/>
        <v>135</v>
      </c>
      <c r="BX61" s="8">
        <f t="shared" si="14"/>
        <v>57</v>
      </c>
      <c r="BY61" s="15">
        <f t="shared" si="15"/>
        <v>50.389688119197551</v>
      </c>
      <c r="BZ61" s="15" t="str">
        <f t="shared" si="16"/>
        <v>OK - No Upgrade</v>
      </c>
      <c r="CA61" s="15" t="str">
        <f t="shared" si="17"/>
        <v>Need to Balance</v>
      </c>
    </row>
    <row r="62" spans="1:79" ht="15.75" customHeight="1" x14ac:dyDescent="0.25">
      <c r="A62" s="8" t="s">
        <v>904</v>
      </c>
      <c r="B62" s="8" t="s">
        <v>4081</v>
      </c>
      <c r="C62" s="8" t="s">
        <v>2296</v>
      </c>
      <c r="D62" s="8" t="s">
        <v>4239</v>
      </c>
      <c r="E62" s="8" t="s">
        <v>4240</v>
      </c>
      <c r="F62" s="8" t="s">
        <v>43</v>
      </c>
      <c r="G62" s="8"/>
      <c r="H62" s="8">
        <v>200</v>
      </c>
      <c r="I62" s="8" t="s">
        <v>4241</v>
      </c>
      <c r="J62" s="8">
        <v>1</v>
      </c>
      <c r="K62" s="8">
        <v>248</v>
      </c>
      <c r="L62" s="8">
        <v>251</v>
      </c>
      <c r="M62" s="8">
        <v>250</v>
      </c>
      <c r="N62" s="8">
        <v>433</v>
      </c>
      <c r="O62" s="8">
        <v>437</v>
      </c>
      <c r="P62" s="8">
        <v>432</v>
      </c>
      <c r="Q62" s="9" t="s">
        <v>47</v>
      </c>
      <c r="R62" s="16"/>
      <c r="S62" s="10">
        <v>52</v>
      </c>
      <c r="T62" s="10">
        <v>36</v>
      </c>
      <c r="U62" s="10">
        <v>63</v>
      </c>
      <c r="V62" s="11">
        <v>20</v>
      </c>
      <c r="W62" s="12" t="s">
        <v>47</v>
      </c>
      <c r="X62" s="17"/>
      <c r="Y62" s="13">
        <v>1</v>
      </c>
      <c r="Z62" s="13">
        <v>0</v>
      </c>
      <c r="AA62" s="13">
        <v>0</v>
      </c>
      <c r="AB62" s="14">
        <v>1</v>
      </c>
      <c r="AC62" s="9"/>
      <c r="AD62" s="16"/>
      <c r="AE62" s="10"/>
      <c r="AF62" s="10"/>
      <c r="AG62" s="10"/>
      <c r="AH62" s="11"/>
      <c r="AI62" s="12"/>
      <c r="AJ62" s="17"/>
      <c r="AK62" s="13"/>
      <c r="AL62" s="13"/>
      <c r="AM62" s="13"/>
      <c r="AN62" s="14"/>
      <c r="AO62" s="9"/>
      <c r="AP62" s="16"/>
      <c r="AQ62" s="10"/>
      <c r="AR62" s="10"/>
      <c r="AS62" s="10"/>
      <c r="AT62" s="11"/>
      <c r="AU62" s="12"/>
      <c r="AV62" s="17"/>
      <c r="AW62" s="13"/>
      <c r="AX62" s="13"/>
      <c r="AY62" s="13"/>
      <c r="AZ62" s="14"/>
      <c r="BA62" s="9"/>
      <c r="BB62" s="16"/>
      <c r="BC62" s="10"/>
      <c r="BD62" s="10"/>
      <c r="BE62" s="10"/>
      <c r="BF62" s="11"/>
      <c r="BG62" s="12"/>
      <c r="BH62" s="17"/>
      <c r="BI62" s="13"/>
      <c r="BJ62" s="13"/>
      <c r="BK62" s="13"/>
      <c r="BL62" s="14"/>
      <c r="BM62" s="9"/>
      <c r="BN62" s="16"/>
      <c r="BO62" s="10"/>
      <c r="BP62" s="10"/>
      <c r="BQ62" s="10"/>
      <c r="BR62" s="11"/>
      <c r="BS62" s="8">
        <f t="shared" si="9"/>
        <v>53</v>
      </c>
      <c r="BT62" s="8">
        <f t="shared" si="10"/>
        <v>36</v>
      </c>
      <c r="BU62" s="8">
        <f t="shared" si="11"/>
        <v>63</v>
      </c>
      <c r="BV62" s="8">
        <f t="shared" si="12"/>
        <v>21</v>
      </c>
      <c r="BW62" s="8">
        <f t="shared" si="13"/>
        <v>63</v>
      </c>
      <c r="BX62" s="8">
        <f t="shared" si="14"/>
        <v>36</v>
      </c>
      <c r="BY62" s="15">
        <f t="shared" si="15"/>
        <v>23.624306989835699</v>
      </c>
      <c r="BZ62" s="15" t="str">
        <f t="shared" si="16"/>
        <v>OK - No Upgrade</v>
      </c>
      <c r="CA62" s="15" t="str">
        <f t="shared" si="17"/>
        <v>Need to Balance</v>
      </c>
    </row>
    <row r="63" spans="1:79" ht="15.75" customHeight="1" x14ac:dyDescent="0.25">
      <c r="A63" s="8" t="s">
        <v>904</v>
      </c>
      <c r="B63" s="8" t="s">
        <v>4081</v>
      </c>
      <c r="C63" s="8" t="s">
        <v>2296</v>
      </c>
      <c r="D63" s="8" t="s">
        <v>4242</v>
      </c>
      <c r="E63" s="8" t="s">
        <v>4243</v>
      </c>
      <c r="F63" s="8" t="s">
        <v>56</v>
      </c>
      <c r="G63" s="8"/>
      <c r="H63" s="8">
        <v>1000</v>
      </c>
      <c r="I63" s="8" t="s">
        <v>4244</v>
      </c>
      <c r="J63" s="8">
        <v>1</v>
      </c>
      <c r="K63" s="8">
        <v>249</v>
      </c>
      <c r="L63" s="8">
        <v>252</v>
      </c>
      <c r="M63" s="8">
        <v>251</v>
      </c>
      <c r="N63" s="8">
        <v>434</v>
      </c>
      <c r="O63" s="8">
        <v>439</v>
      </c>
      <c r="P63" s="8">
        <v>435</v>
      </c>
      <c r="Q63" s="9"/>
      <c r="R63" s="16"/>
      <c r="S63" s="10"/>
      <c r="T63" s="10"/>
      <c r="U63" s="10"/>
      <c r="V63" s="11"/>
      <c r="W63" s="12"/>
      <c r="X63" s="17"/>
      <c r="Y63" s="13"/>
      <c r="Z63" s="13"/>
      <c r="AA63" s="13"/>
      <c r="AB63" s="14"/>
      <c r="AC63" s="9"/>
      <c r="AD63" s="16"/>
      <c r="AE63" s="10"/>
      <c r="AF63" s="10"/>
      <c r="AG63" s="10"/>
      <c r="AH63" s="11"/>
      <c r="AI63" s="12"/>
      <c r="AJ63" s="17"/>
      <c r="AK63" s="13"/>
      <c r="AL63" s="13"/>
      <c r="AM63" s="13"/>
      <c r="AN63" s="14"/>
      <c r="AO63" s="9" t="s">
        <v>47</v>
      </c>
      <c r="AP63" s="16"/>
      <c r="AQ63" s="10">
        <v>22</v>
      </c>
      <c r="AR63" s="10">
        <v>1</v>
      </c>
      <c r="AS63" s="10">
        <v>1</v>
      </c>
      <c r="AT63" s="11">
        <v>13</v>
      </c>
      <c r="AU63" s="12" t="s">
        <v>47</v>
      </c>
      <c r="AV63" s="17"/>
      <c r="AW63" s="13">
        <v>1</v>
      </c>
      <c r="AX63" s="13">
        <v>0</v>
      </c>
      <c r="AY63" s="13">
        <v>0</v>
      </c>
      <c r="AZ63" s="14">
        <v>1</v>
      </c>
      <c r="BA63" s="9" t="s">
        <v>47</v>
      </c>
      <c r="BB63" s="16"/>
      <c r="BC63" s="10">
        <v>17</v>
      </c>
      <c r="BD63" s="10">
        <v>24</v>
      </c>
      <c r="BE63" s="10">
        <v>8</v>
      </c>
      <c r="BF63" s="11">
        <v>17</v>
      </c>
      <c r="BG63" s="12" t="s">
        <v>47</v>
      </c>
      <c r="BH63" s="17"/>
      <c r="BI63" s="13">
        <v>23</v>
      </c>
      <c r="BJ63" s="13">
        <v>24</v>
      </c>
      <c r="BK63" s="13">
        <v>18</v>
      </c>
      <c r="BL63" s="14">
        <v>8</v>
      </c>
      <c r="BM63" s="9"/>
      <c r="BN63" s="16"/>
      <c r="BO63" s="10"/>
      <c r="BP63" s="10"/>
      <c r="BQ63" s="10"/>
      <c r="BR63" s="11"/>
      <c r="BS63" s="8">
        <f t="shared" si="9"/>
        <v>63</v>
      </c>
      <c r="BT63" s="8">
        <f t="shared" si="10"/>
        <v>49</v>
      </c>
      <c r="BU63" s="8">
        <f t="shared" si="11"/>
        <v>27</v>
      </c>
      <c r="BV63" s="8">
        <f t="shared" si="12"/>
        <v>39</v>
      </c>
      <c r="BW63" s="8">
        <f t="shared" si="13"/>
        <v>63</v>
      </c>
      <c r="BX63" s="8">
        <f t="shared" si="14"/>
        <v>27</v>
      </c>
      <c r="BY63" s="15">
        <f t="shared" si="15"/>
        <v>4.7357733180548243</v>
      </c>
      <c r="BZ63" s="15" t="str">
        <f t="shared" si="16"/>
        <v>OK - No Upgrade</v>
      </c>
      <c r="CA63" s="15" t="str">
        <f t="shared" si="17"/>
        <v>Need to Balance</v>
      </c>
    </row>
    <row r="64" spans="1:79" ht="15.75" customHeight="1" x14ac:dyDescent="0.25">
      <c r="A64" s="8" t="s">
        <v>904</v>
      </c>
      <c r="B64" s="8" t="s">
        <v>4081</v>
      </c>
      <c r="C64" s="8" t="s">
        <v>2296</v>
      </c>
      <c r="D64" s="8" t="s">
        <v>4245</v>
      </c>
      <c r="E64" s="8" t="s">
        <v>4246</v>
      </c>
      <c r="F64" s="8" t="s">
        <v>56</v>
      </c>
      <c r="G64" s="8"/>
      <c r="H64" s="8">
        <v>1000</v>
      </c>
      <c r="I64" s="8" t="s">
        <v>4247</v>
      </c>
      <c r="J64" s="8">
        <v>1</v>
      </c>
      <c r="K64" s="8">
        <v>249</v>
      </c>
      <c r="L64" s="8">
        <v>251</v>
      </c>
      <c r="M64" s="8">
        <v>251</v>
      </c>
      <c r="N64" s="8">
        <v>435</v>
      </c>
      <c r="O64" s="8">
        <v>438</v>
      </c>
      <c r="P64" s="8">
        <v>434</v>
      </c>
      <c r="Q64" s="9"/>
      <c r="R64" s="16"/>
      <c r="S64" s="10"/>
      <c r="T64" s="10"/>
      <c r="U64" s="10"/>
      <c r="V64" s="11"/>
      <c r="W64" s="12"/>
      <c r="X64" s="17"/>
      <c r="Y64" s="13"/>
      <c r="Z64" s="13"/>
      <c r="AA64" s="13"/>
      <c r="AB64" s="14"/>
      <c r="AC64" s="9"/>
      <c r="AD64" s="16"/>
      <c r="AE64" s="10"/>
      <c r="AF64" s="10"/>
      <c r="AG64" s="10"/>
      <c r="AH64" s="11"/>
      <c r="AI64" s="12"/>
      <c r="AJ64" s="17"/>
      <c r="AK64" s="13"/>
      <c r="AL64" s="13"/>
      <c r="AM64" s="13"/>
      <c r="AN64" s="14"/>
      <c r="AO64" s="9" t="s">
        <v>70</v>
      </c>
      <c r="AP64" s="16"/>
      <c r="AQ64" s="10">
        <v>31</v>
      </c>
      <c r="AR64" s="10">
        <v>42</v>
      </c>
      <c r="AS64" s="10">
        <v>52</v>
      </c>
      <c r="AT64" s="11">
        <v>25</v>
      </c>
      <c r="AU64" s="12" t="s">
        <v>47</v>
      </c>
      <c r="AV64" s="17"/>
      <c r="AW64" s="13">
        <v>27</v>
      </c>
      <c r="AX64" s="13">
        <v>73</v>
      </c>
      <c r="AY64" s="13">
        <v>2</v>
      </c>
      <c r="AZ64" s="14">
        <v>56</v>
      </c>
      <c r="BA64" s="9" t="s">
        <v>47</v>
      </c>
      <c r="BB64" s="16"/>
      <c r="BC64" s="10">
        <v>1</v>
      </c>
      <c r="BD64" s="10">
        <v>0</v>
      </c>
      <c r="BE64" s="10">
        <v>10</v>
      </c>
      <c r="BF64" s="11">
        <v>8</v>
      </c>
      <c r="BG64" s="12" t="s">
        <v>47</v>
      </c>
      <c r="BH64" s="17"/>
      <c r="BI64" s="13">
        <v>45</v>
      </c>
      <c r="BJ64" s="13">
        <v>40</v>
      </c>
      <c r="BK64" s="13">
        <v>76</v>
      </c>
      <c r="BL64" s="14">
        <v>34</v>
      </c>
      <c r="BM64" s="9"/>
      <c r="BN64" s="16"/>
      <c r="BO64" s="10"/>
      <c r="BP64" s="10"/>
      <c r="BQ64" s="10"/>
      <c r="BR64" s="11"/>
      <c r="BS64" s="8">
        <f t="shared" si="9"/>
        <v>104</v>
      </c>
      <c r="BT64" s="8">
        <f t="shared" si="10"/>
        <v>155</v>
      </c>
      <c r="BU64" s="8">
        <f t="shared" si="11"/>
        <v>140</v>
      </c>
      <c r="BV64" s="8">
        <f t="shared" si="12"/>
        <v>123</v>
      </c>
      <c r="BW64" s="8">
        <f t="shared" si="13"/>
        <v>155</v>
      </c>
      <c r="BX64" s="8">
        <f t="shared" si="14"/>
        <v>104</v>
      </c>
      <c r="BY64" s="15">
        <f t="shared" si="15"/>
        <v>11.678352570033155</v>
      </c>
      <c r="BZ64" s="15" t="str">
        <f t="shared" si="16"/>
        <v>OK - No Upgrade</v>
      </c>
      <c r="CA64" s="15" t="str">
        <f t="shared" si="17"/>
        <v>Need to Balance</v>
      </c>
    </row>
    <row r="65" spans="1:79" ht="15.75" customHeight="1" x14ac:dyDescent="0.25">
      <c r="A65" s="8" t="s">
        <v>904</v>
      </c>
      <c r="B65" s="8" t="s">
        <v>4081</v>
      </c>
      <c r="C65" s="8" t="s">
        <v>2948</v>
      </c>
      <c r="D65" s="8"/>
      <c r="E65" s="8" t="s">
        <v>4248</v>
      </c>
      <c r="F65" s="8" t="s">
        <v>43</v>
      </c>
      <c r="G65" s="8"/>
      <c r="H65" s="8">
        <v>100</v>
      </c>
      <c r="I65" s="8" t="s">
        <v>4249</v>
      </c>
      <c r="J65" s="8">
        <v>1</v>
      </c>
      <c r="K65" s="8">
        <v>246</v>
      </c>
      <c r="L65" s="8">
        <v>246</v>
      </c>
      <c r="M65" s="8">
        <v>246</v>
      </c>
      <c r="N65" s="8">
        <v>430</v>
      </c>
      <c r="O65" s="8">
        <v>428</v>
      </c>
      <c r="P65" s="8">
        <v>427</v>
      </c>
      <c r="Q65" s="9" t="s">
        <v>46</v>
      </c>
      <c r="R65" s="16"/>
      <c r="S65" s="10">
        <v>15</v>
      </c>
      <c r="T65" s="10">
        <v>5</v>
      </c>
      <c r="U65" s="10">
        <v>7</v>
      </c>
      <c r="V65" s="11">
        <v>6</v>
      </c>
      <c r="W65" s="12" t="s">
        <v>47</v>
      </c>
      <c r="X65" s="17"/>
      <c r="Y65" s="13">
        <v>0</v>
      </c>
      <c r="Z65" s="13">
        <v>0</v>
      </c>
      <c r="AA65" s="13">
        <v>0</v>
      </c>
      <c r="AB65" s="14">
        <v>0</v>
      </c>
      <c r="AC65" s="9"/>
      <c r="AD65" s="16"/>
      <c r="AE65" s="10"/>
      <c r="AF65" s="10"/>
      <c r="AG65" s="10"/>
      <c r="AH65" s="11"/>
      <c r="AI65" s="12"/>
      <c r="AJ65" s="17"/>
      <c r="AK65" s="13"/>
      <c r="AL65" s="13"/>
      <c r="AM65" s="13"/>
      <c r="AN65" s="14"/>
      <c r="AO65" s="9"/>
      <c r="AP65" s="16"/>
      <c r="AQ65" s="10"/>
      <c r="AR65" s="10"/>
      <c r="AS65" s="10"/>
      <c r="AT65" s="11"/>
      <c r="AU65" s="12"/>
      <c r="AV65" s="17"/>
      <c r="AW65" s="13"/>
      <c r="AX65" s="13"/>
      <c r="AY65" s="13"/>
      <c r="AZ65" s="14"/>
      <c r="BA65" s="9"/>
      <c r="BB65" s="16"/>
      <c r="BC65" s="10"/>
      <c r="BD65" s="10"/>
      <c r="BE65" s="10"/>
      <c r="BF65" s="11"/>
      <c r="BG65" s="12"/>
      <c r="BH65" s="17"/>
      <c r="BI65" s="13"/>
      <c r="BJ65" s="13"/>
      <c r="BK65" s="13"/>
      <c r="BL65" s="14"/>
      <c r="BM65" s="9"/>
      <c r="BN65" s="16"/>
      <c r="BO65" s="10"/>
      <c r="BP65" s="10"/>
      <c r="BQ65" s="10"/>
      <c r="BR65" s="11"/>
      <c r="BS65" s="8">
        <f t="shared" si="9"/>
        <v>15</v>
      </c>
      <c r="BT65" s="8">
        <f t="shared" si="10"/>
        <v>5</v>
      </c>
      <c r="BU65" s="8">
        <f t="shared" si="11"/>
        <v>7</v>
      </c>
      <c r="BV65" s="8">
        <f t="shared" si="12"/>
        <v>6</v>
      </c>
      <c r="BW65" s="8">
        <f t="shared" si="13"/>
        <v>15</v>
      </c>
      <c r="BX65" s="8">
        <f t="shared" si="14"/>
        <v>5</v>
      </c>
      <c r="BY65" s="15">
        <f t="shared" si="15"/>
        <v>11.171727708819256</v>
      </c>
      <c r="BZ65" s="15" t="str">
        <f t="shared" si="16"/>
        <v>OK - No Upgrade</v>
      </c>
      <c r="CA65" s="15" t="str">
        <f t="shared" si="17"/>
        <v>Need to Balance</v>
      </c>
    </row>
    <row r="66" spans="1:79" ht="15.75" customHeight="1" x14ac:dyDescent="0.25">
      <c r="A66" s="8" t="s">
        <v>904</v>
      </c>
      <c r="B66" s="8" t="s">
        <v>4081</v>
      </c>
      <c r="C66" s="8" t="s">
        <v>2948</v>
      </c>
      <c r="D66" s="8" t="s">
        <v>4250</v>
      </c>
      <c r="E66" s="8" t="s">
        <v>4251</v>
      </c>
      <c r="F66" s="8" t="s">
        <v>56</v>
      </c>
      <c r="G66" s="8"/>
      <c r="H66" s="8">
        <v>1000</v>
      </c>
      <c r="I66" s="8" t="s">
        <v>4252</v>
      </c>
      <c r="J66" s="8">
        <v>1</v>
      </c>
      <c r="K66" s="8">
        <v>242</v>
      </c>
      <c r="L66" s="8">
        <v>245</v>
      </c>
      <c r="M66" s="8">
        <v>242</v>
      </c>
      <c r="N66" s="8">
        <v>428</v>
      </c>
      <c r="O66" s="8">
        <v>427</v>
      </c>
      <c r="P66" s="8">
        <v>426</v>
      </c>
      <c r="Q66" s="9"/>
      <c r="R66" s="16"/>
      <c r="S66" s="10"/>
      <c r="T66" s="10"/>
      <c r="U66" s="10"/>
      <c r="V66" s="11"/>
      <c r="W66" s="12"/>
      <c r="X66" s="17"/>
      <c r="Y66" s="13"/>
      <c r="Z66" s="13"/>
      <c r="AA66" s="13"/>
      <c r="AB66" s="14"/>
      <c r="AC66" s="9" t="s">
        <v>46</v>
      </c>
      <c r="AD66" s="16"/>
      <c r="AE66" s="10">
        <v>0</v>
      </c>
      <c r="AF66" s="10">
        <v>0</v>
      </c>
      <c r="AG66" s="10">
        <v>0</v>
      </c>
      <c r="AH66" s="11">
        <v>0</v>
      </c>
      <c r="AI66" s="12" t="s">
        <v>46</v>
      </c>
      <c r="AJ66" s="17"/>
      <c r="AK66" s="13">
        <v>60</v>
      </c>
      <c r="AL66" s="13">
        <v>61</v>
      </c>
      <c r="AM66" s="13">
        <v>65</v>
      </c>
      <c r="AN66" s="14">
        <v>4</v>
      </c>
      <c r="AO66" s="9" t="s">
        <v>46</v>
      </c>
      <c r="AP66" s="16"/>
      <c r="AQ66" s="10">
        <v>1</v>
      </c>
      <c r="AR66" s="10">
        <v>2</v>
      </c>
      <c r="AS66" s="10">
        <v>1</v>
      </c>
      <c r="AT66" s="11">
        <v>1</v>
      </c>
      <c r="AU66" s="12" t="s">
        <v>46</v>
      </c>
      <c r="AV66" s="17"/>
      <c r="AW66" s="13">
        <v>45</v>
      </c>
      <c r="AX66" s="13">
        <v>48</v>
      </c>
      <c r="AY66" s="13">
        <v>50</v>
      </c>
      <c r="AZ66" s="14">
        <v>3</v>
      </c>
      <c r="BA66" s="9" t="s">
        <v>46</v>
      </c>
      <c r="BB66" s="16"/>
      <c r="BC66" s="10">
        <v>60</v>
      </c>
      <c r="BD66" s="10">
        <v>71</v>
      </c>
      <c r="BE66" s="10">
        <v>65</v>
      </c>
      <c r="BF66" s="11">
        <v>3</v>
      </c>
      <c r="BG66" s="12" t="s">
        <v>46</v>
      </c>
      <c r="BH66" s="17"/>
      <c r="BI66" s="13">
        <v>65</v>
      </c>
      <c r="BJ66" s="13">
        <v>78</v>
      </c>
      <c r="BK66" s="13">
        <v>45</v>
      </c>
      <c r="BL66" s="14">
        <v>3</v>
      </c>
      <c r="BM66" s="9"/>
      <c r="BN66" s="16"/>
      <c r="BO66" s="10"/>
      <c r="BP66" s="10"/>
      <c r="BQ66" s="10"/>
      <c r="BR66" s="11"/>
      <c r="BS66" s="8">
        <f t="shared" si="9"/>
        <v>231</v>
      </c>
      <c r="BT66" s="8">
        <f t="shared" si="10"/>
        <v>260</v>
      </c>
      <c r="BU66" s="8">
        <f t="shared" si="11"/>
        <v>226</v>
      </c>
      <c r="BV66" s="8">
        <f t="shared" si="12"/>
        <v>14</v>
      </c>
      <c r="BW66" s="8">
        <f t="shared" si="13"/>
        <v>260</v>
      </c>
      <c r="BX66" s="8">
        <f t="shared" si="14"/>
        <v>226</v>
      </c>
      <c r="BY66" s="15">
        <f t="shared" si="15"/>
        <v>19.274261386626467</v>
      </c>
      <c r="BZ66" s="15" t="str">
        <f t="shared" si="16"/>
        <v>OK - No Upgrade</v>
      </c>
      <c r="CA66" s="15" t="str">
        <f t="shared" si="17"/>
        <v>OK - Balanced</v>
      </c>
    </row>
    <row r="67" spans="1:79" ht="15.75" customHeight="1" x14ac:dyDescent="0.25">
      <c r="A67" s="8" t="s">
        <v>904</v>
      </c>
      <c r="B67" s="8" t="s">
        <v>4081</v>
      </c>
      <c r="C67" s="8" t="s">
        <v>2948</v>
      </c>
      <c r="D67" s="8" t="s">
        <v>4253</v>
      </c>
      <c r="E67" s="8" t="s">
        <v>4254</v>
      </c>
      <c r="F67" s="8" t="s">
        <v>56</v>
      </c>
      <c r="G67" s="8"/>
      <c r="H67" s="8">
        <v>1000</v>
      </c>
      <c r="I67" s="8" t="s">
        <v>4255</v>
      </c>
      <c r="J67" s="8">
        <v>1</v>
      </c>
      <c r="K67" s="8">
        <v>246</v>
      </c>
      <c r="L67" s="8">
        <v>248</v>
      </c>
      <c r="M67" s="8">
        <v>247</v>
      </c>
      <c r="N67" s="8">
        <v>428</v>
      </c>
      <c r="O67" s="8">
        <v>426</v>
      </c>
      <c r="P67" s="8">
        <v>427</v>
      </c>
      <c r="Q67" s="9"/>
      <c r="R67" s="16"/>
      <c r="S67" s="10"/>
      <c r="T67" s="10"/>
      <c r="U67" s="10"/>
      <c r="V67" s="11"/>
      <c r="W67" s="12" t="s">
        <v>46</v>
      </c>
      <c r="X67" s="17"/>
      <c r="Y67" s="13">
        <v>28</v>
      </c>
      <c r="Z67" s="13">
        <v>26</v>
      </c>
      <c r="AA67" s="13">
        <v>25</v>
      </c>
      <c r="AB67" s="14">
        <v>0</v>
      </c>
      <c r="AC67" s="9" t="s">
        <v>46</v>
      </c>
      <c r="AD67" s="16"/>
      <c r="AE67" s="10">
        <v>25</v>
      </c>
      <c r="AF67" s="10">
        <v>26</v>
      </c>
      <c r="AG67" s="10">
        <v>24</v>
      </c>
      <c r="AH67" s="11">
        <v>0</v>
      </c>
      <c r="AI67" s="12" t="s">
        <v>46</v>
      </c>
      <c r="AJ67" s="17"/>
      <c r="AK67" s="13">
        <v>15</v>
      </c>
      <c r="AL67" s="13">
        <v>20</v>
      </c>
      <c r="AM67" s="13">
        <v>18</v>
      </c>
      <c r="AN67" s="14">
        <v>0</v>
      </c>
      <c r="AO67" s="9" t="s">
        <v>46</v>
      </c>
      <c r="AP67" s="16"/>
      <c r="AQ67" s="10">
        <v>25</v>
      </c>
      <c r="AR67" s="10">
        <v>28</v>
      </c>
      <c r="AS67" s="10">
        <v>25</v>
      </c>
      <c r="AT67" s="11">
        <v>0</v>
      </c>
      <c r="AU67" s="12" t="s">
        <v>46</v>
      </c>
      <c r="AV67" s="17"/>
      <c r="AW67" s="13">
        <v>15</v>
      </c>
      <c r="AX67" s="13">
        <v>14</v>
      </c>
      <c r="AY67" s="13">
        <v>13</v>
      </c>
      <c r="AZ67" s="14">
        <v>0</v>
      </c>
      <c r="BA67" s="9" t="s">
        <v>46</v>
      </c>
      <c r="BB67" s="16"/>
      <c r="BC67" s="10">
        <v>15</v>
      </c>
      <c r="BD67" s="10">
        <v>17</v>
      </c>
      <c r="BE67" s="10">
        <v>10</v>
      </c>
      <c r="BF67" s="11">
        <v>0</v>
      </c>
      <c r="BG67" s="12" t="s">
        <v>46</v>
      </c>
      <c r="BH67" s="17"/>
      <c r="BI67" s="13">
        <v>15</v>
      </c>
      <c r="BJ67" s="13">
        <v>17</v>
      </c>
      <c r="BK67" s="13">
        <v>20</v>
      </c>
      <c r="BL67" s="14">
        <v>0</v>
      </c>
      <c r="BM67" s="9"/>
      <c r="BN67" s="16"/>
      <c r="BO67" s="10"/>
      <c r="BP67" s="10"/>
      <c r="BQ67" s="10"/>
      <c r="BR67" s="11"/>
      <c r="BS67" s="8">
        <f t="shared" si="9"/>
        <v>138</v>
      </c>
      <c r="BT67" s="8">
        <f t="shared" si="10"/>
        <v>148</v>
      </c>
      <c r="BU67" s="8">
        <f t="shared" si="11"/>
        <v>135</v>
      </c>
      <c r="BV67" s="8">
        <f t="shared" si="12"/>
        <v>0</v>
      </c>
      <c r="BW67" s="8">
        <f t="shared" si="13"/>
        <v>148</v>
      </c>
      <c r="BX67" s="8">
        <f t="shared" si="14"/>
        <v>135</v>
      </c>
      <c r="BY67" s="15">
        <f t="shared" si="15"/>
        <v>10.971502635464295</v>
      </c>
      <c r="BZ67" s="15" t="str">
        <f t="shared" si="16"/>
        <v>OK - No Upgrade</v>
      </c>
      <c r="CA67" s="15" t="str">
        <f t="shared" si="17"/>
        <v>OK - Balanced</v>
      </c>
    </row>
    <row r="68" spans="1:79" ht="15.75" customHeight="1" x14ac:dyDescent="0.25">
      <c r="A68" s="8" t="s">
        <v>904</v>
      </c>
      <c r="B68" s="8" t="s">
        <v>4081</v>
      </c>
      <c r="C68" s="8" t="s">
        <v>2948</v>
      </c>
      <c r="D68" s="8" t="s">
        <v>4256</v>
      </c>
      <c r="E68" s="8" t="s">
        <v>4257</v>
      </c>
      <c r="F68" s="8" t="s">
        <v>56</v>
      </c>
      <c r="G68" s="8"/>
      <c r="H68" s="8">
        <v>1000</v>
      </c>
      <c r="I68" s="8" t="s">
        <v>4258</v>
      </c>
      <c r="J68" s="8">
        <v>1</v>
      </c>
      <c r="K68" s="8">
        <v>246</v>
      </c>
      <c r="L68" s="8">
        <v>248</v>
      </c>
      <c r="M68" s="8">
        <v>247</v>
      </c>
      <c r="N68" s="8">
        <v>430</v>
      </c>
      <c r="O68" s="8">
        <v>429</v>
      </c>
      <c r="P68" s="8">
        <v>433</v>
      </c>
      <c r="Q68" s="9" t="s">
        <v>46</v>
      </c>
      <c r="R68" s="16"/>
      <c r="S68" s="10">
        <v>0</v>
      </c>
      <c r="T68" s="10">
        <v>0</v>
      </c>
      <c r="U68" s="10">
        <v>0</v>
      </c>
      <c r="V68" s="11">
        <v>0</v>
      </c>
      <c r="W68" s="12" t="s">
        <v>47</v>
      </c>
      <c r="X68" s="17"/>
      <c r="Y68" s="13">
        <v>0</v>
      </c>
      <c r="Z68" s="13">
        <v>0</v>
      </c>
      <c r="AA68" s="13">
        <v>0</v>
      </c>
      <c r="AB68" s="14">
        <v>0</v>
      </c>
      <c r="AC68" s="9" t="s">
        <v>47</v>
      </c>
      <c r="AD68" s="16"/>
      <c r="AE68" s="10">
        <v>110</v>
      </c>
      <c r="AF68" s="10">
        <v>101</v>
      </c>
      <c r="AG68" s="10">
        <v>75</v>
      </c>
      <c r="AH68" s="11">
        <v>60</v>
      </c>
      <c r="AI68" s="12" t="s">
        <v>47</v>
      </c>
      <c r="AJ68" s="17"/>
      <c r="AK68" s="13">
        <v>50</v>
      </c>
      <c r="AL68" s="13">
        <v>60</v>
      </c>
      <c r="AM68" s="13">
        <v>45</v>
      </c>
      <c r="AN68" s="14">
        <v>29</v>
      </c>
      <c r="AO68" s="9" t="s">
        <v>70</v>
      </c>
      <c r="AP68" s="16"/>
      <c r="AQ68" s="10">
        <v>110</v>
      </c>
      <c r="AR68" s="10">
        <v>99</v>
      </c>
      <c r="AS68" s="10">
        <v>60</v>
      </c>
      <c r="AT68" s="11">
        <v>50</v>
      </c>
      <c r="AU68" s="12" t="s">
        <v>47</v>
      </c>
      <c r="AV68" s="17"/>
      <c r="AW68" s="13">
        <v>50</v>
      </c>
      <c r="AX68" s="13">
        <v>60</v>
      </c>
      <c r="AY68" s="13">
        <v>77</v>
      </c>
      <c r="AZ68" s="14">
        <v>45</v>
      </c>
      <c r="BA68" s="9" t="s">
        <v>70</v>
      </c>
      <c r="BB68" s="16"/>
      <c r="BC68" s="10">
        <v>90</v>
      </c>
      <c r="BD68" s="10">
        <v>91</v>
      </c>
      <c r="BE68" s="10">
        <v>81</v>
      </c>
      <c r="BF68" s="11">
        <v>35</v>
      </c>
      <c r="BG68" s="12" t="s">
        <v>70</v>
      </c>
      <c r="BH68" s="17"/>
      <c r="BI68" s="13">
        <v>60</v>
      </c>
      <c r="BJ68" s="13">
        <v>48</v>
      </c>
      <c r="BK68" s="13">
        <v>34</v>
      </c>
      <c r="BL68" s="14">
        <v>31</v>
      </c>
      <c r="BM68" s="9"/>
      <c r="BN68" s="16"/>
      <c r="BO68" s="10"/>
      <c r="BP68" s="10"/>
      <c r="BQ68" s="10"/>
      <c r="BR68" s="11"/>
      <c r="BS68" s="8">
        <f t="shared" ref="BS68:BS104" si="18">SUM(S68,Y68,AE68,AK68,AQ68,AW68,BC68,BI68,BO68)</f>
        <v>470</v>
      </c>
      <c r="BT68" s="8">
        <f t="shared" ref="BT68:BT104" si="19">SUM(T68,Z68,AF68,AL68,AR68,AX68,BD68,BJ68,BP68)</f>
        <v>459</v>
      </c>
      <c r="BU68" s="8">
        <f t="shared" ref="BU68:BU104" si="20">SUM(U68,AA68,AG68,AM68,AS68,AY68,BE68,BK68,BQ68)</f>
        <v>372</v>
      </c>
      <c r="BV68" s="8">
        <f t="shared" ref="BV68:BV104" si="21">SUM(V68,AB68,AH68,AN68,AT68,AZ68,BF68,BL68,BR68)</f>
        <v>250</v>
      </c>
      <c r="BW68" s="8">
        <f t="shared" ref="BW68:BW104" si="22">MAX(BS68:BU68)</f>
        <v>470</v>
      </c>
      <c r="BX68" s="8">
        <f t="shared" ref="BX68:BX104" si="23">MIN(BS68:BU68)</f>
        <v>372</v>
      </c>
      <c r="BY68" s="15">
        <f t="shared" ref="BY68:BY104" si="24">IF(H68&gt;0,(BW68*SQRT(3)*IF(N68&gt;0,N68,IF(O68&gt;0,O68,IF(P68&gt;0,P68,415)))/(H68*1000))*100,0)</f>
        <v>35.004746820967007</v>
      </c>
      <c r="BZ68" s="15" t="str">
        <f t="shared" ref="BZ68:BZ99" si="25">IF(BY68&gt;70,"Upgrade","OK - No Upgrade")</f>
        <v>OK - No Upgrade</v>
      </c>
      <c r="CA68" s="15" t="str">
        <f t="shared" ref="CA68:CA104" si="26">IF(IF(AVERAGE(BS68:BU68)&gt;0,((BW68-AVERAGE(BS68:BU68))/AVERAGE(BS68:BU68))*100,0)&gt;10,"Need to Balance","OK - Balanced")</f>
        <v>OK - Balanced</v>
      </c>
    </row>
    <row r="69" spans="1:79" ht="15.75" customHeight="1" x14ac:dyDescent="0.25">
      <c r="A69" s="8" t="s">
        <v>904</v>
      </c>
      <c r="B69" s="8" t="s">
        <v>4081</v>
      </c>
      <c r="C69" s="8" t="s">
        <v>2948</v>
      </c>
      <c r="D69" s="8" t="s">
        <v>4259</v>
      </c>
      <c r="E69" s="8" t="s">
        <v>4260</v>
      </c>
      <c r="F69" s="8" t="s">
        <v>56</v>
      </c>
      <c r="G69" s="8"/>
      <c r="H69" s="8">
        <v>1000</v>
      </c>
      <c r="I69" s="8" t="s">
        <v>4261</v>
      </c>
      <c r="J69" s="8">
        <v>1</v>
      </c>
      <c r="K69" s="8">
        <v>246</v>
      </c>
      <c r="L69" s="8">
        <v>249</v>
      </c>
      <c r="M69" s="8">
        <v>249</v>
      </c>
      <c r="N69" s="8">
        <v>430</v>
      </c>
      <c r="O69" s="8">
        <v>431</v>
      </c>
      <c r="P69" s="8">
        <v>435</v>
      </c>
      <c r="Q69" s="9"/>
      <c r="R69" s="16"/>
      <c r="S69" s="10"/>
      <c r="T69" s="10"/>
      <c r="U69" s="10"/>
      <c r="V69" s="11"/>
      <c r="W69" s="12" t="s">
        <v>47</v>
      </c>
      <c r="X69" s="17"/>
      <c r="Y69" s="13">
        <v>110</v>
      </c>
      <c r="Z69" s="13">
        <v>65</v>
      </c>
      <c r="AA69" s="13">
        <v>35</v>
      </c>
      <c r="AB69" s="14">
        <v>60</v>
      </c>
      <c r="AC69" s="9" t="s">
        <v>47</v>
      </c>
      <c r="AD69" s="16"/>
      <c r="AE69" s="10">
        <v>65</v>
      </c>
      <c r="AF69" s="10">
        <v>35</v>
      </c>
      <c r="AG69" s="10">
        <v>15</v>
      </c>
      <c r="AH69" s="11">
        <v>20</v>
      </c>
      <c r="AI69" s="12" t="s">
        <v>70</v>
      </c>
      <c r="AJ69" s="17"/>
      <c r="AK69" s="13">
        <v>20</v>
      </c>
      <c r="AL69" s="13">
        <v>10</v>
      </c>
      <c r="AM69" s="13">
        <v>50</v>
      </c>
      <c r="AN69" s="14">
        <v>25</v>
      </c>
      <c r="AO69" s="9" t="s">
        <v>70</v>
      </c>
      <c r="AP69" s="16"/>
      <c r="AQ69" s="10">
        <v>33</v>
      </c>
      <c r="AR69" s="10">
        <v>65</v>
      </c>
      <c r="AS69" s="10">
        <v>88</v>
      </c>
      <c r="AT69" s="11">
        <v>30</v>
      </c>
      <c r="AU69" s="12" t="s">
        <v>47</v>
      </c>
      <c r="AV69" s="17"/>
      <c r="AW69" s="13">
        <v>20</v>
      </c>
      <c r="AX69" s="13">
        <v>18</v>
      </c>
      <c r="AY69" s="13">
        <v>4</v>
      </c>
      <c r="AZ69" s="14">
        <v>12</v>
      </c>
      <c r="BA69" s="9" t="s">
        <v>47</v>
      </c>
      <c r="BB69" s="16"/>
      <c r="BC69" s="10">
        <v>95</v>
      </c>
      <c r="BD69" s="10">
        <v>54</v>
      </c>
      <c r="BE69" s="10">
        <v>60</v>
      </c>
      <c r="BF69" s="11">
        <v>29</v>
      </c>
      <c r="BG69" s="12" t="s">
        <v>47</v>
      </c>
      <c r="BH69" s="17"/>
      <c r="BI69" s="13">
        <v>60</v>
      </c>
      <c r="BJ69" s="13">
        <v>75</v>
      </c>
      <c r="BK69" s="13">
        <v>73</v>
      </c>
      <c r="BL69" s="14">
        <v>35</v>
      </c>
      <c r="BM69" s="9"/>
      <c r="BN69" s="16"/>
      <c r="BO69" s="10"/>
      <c r="BP69" s="10"/>
      <c r="BQ69" s="10"/>
      <c r="BR69" s="11"/>
      <c r="BS69" s="8">
        <f t="shared" si="18"/>
        <v>403</v>
      </c>
      <c r="BT69" s="8">
        <f t="shared" si="19"/>
        <v>322</v>
      </c>
      <c r="BU69" s="8">
        <f t="shared" si="20"/>
        <v>325</v>
      </c>
      <c r="BV69" s="8">
        <f t="shared" si="21"/>
        <v>211</v>
      </c>
      <c r="BW69" s="8">
        <f t="shared" si="22"/>
        <v>403</v>
      </c>
      <c r="BX69" s="8">
        <f t="shared" si="23"/>
        <v>322</v>
      </c>
      <c r="BY69" s="15">
        <f t="shared" si="24"/>
        <v>30.014708444361077</v>
      </c>
      <c r="BZ69" s="15" t="str">
        <f t="shared" si="25"/>
        <v>OK - No Upgrade</v>
      </c>
      <c r="CA69" s="15" t="str">
        <f t="shared" si="26"/>
        <v>Need to Balance</v>
      </c>
    </row>
    <row r="70" spans="1:79" ht="15.75" customHeight="1" x14ac:dyDescent="0.25">
      <c r="A70" s="8" t="s">
        <v>904</v>
      </c>
      <c r="B70" s="8" t="s">
        <v>4081</v>
      </c>
      <c r="C70" s="8" t="s">
        <v>2948</v>
      </c>
      <c r="D70" s="8" t="s">
        <v>4262</v>
      </c>
      <c r="E70" s="8" t="s">
        <v>4263</v>
      </c>
      <c r="F70" s="8" t="s">
        <v>56</v>
      </c>
      <c r="G70" s="8"/>
      <c r="H70" s="8">
        <v>1000</v>
      </c>
      <c r="I70" s="8" t="s">
        <v>4264</v>
      </c>
      <c r="J70" s="8">
        <v>1</v>
      </c>
      <c r="K70" s="8">
        <v>247</v>
      </c>
      <c r="L70" s="8">
        <v>250</v>
      </c>
      <c r="M70" s="8">
        <v>249</v>
      </c>
      <c r="N70" s="8">
        <v>422</v>
      </c>
      <c r="O70" s="8">
        <v>436</v>
      </c>
      <c r="P70" s="8">
        <v>436</v>
      </c>
      <c r="Q70" s="9" t="s">
        <v>47</v>
      </c>
      <c r="R70" s="16"/>
      <c r="S70" s="10">
        <v>70</v>
      </c>
      <c r="T70" s="10">
        <v>10</v>
      </c>
      <c r="U70" s="10">
        <v>7</v>
      </c>
      <c r="V70" s="11">
        <v>20</v>
      </c>
      <c r="W70" s="12" t="s">
        <v>47</v>
      </c>
      <c r="X70" s="17"/>
      <c r="Y70" s="13">
        <v>45</v>
      </c>
      <c r="Z70" s="13">
        <v>50</v>
      </c>
      <c r="AA70" s="13">
        <v>40</v>
      </c>
      <c r="AB70" s="14">
        <v>6</v>
      </c>
      <c r="AC70" s="9" t="s">
        <v>47</v>
      </c>
      <c r="AD70" s="16"/>
      <c r="AE70" s="10">
        <v>68</v>
      </c>
      <c r="AF70" s="10">
        <v>75</v>
      </c>
      <c r="AG70" s="10">
        <v>60</v>
      </c>
      <c r="AH70" s="11">
        <v>25</v>
      </c>
      <c r="AI70" s="12" t="s">
        <v>46</v>
      </c>
      <c r="AJ70" s="17"/>
      <c r="AK70" s="13">
        <v>30</v>
      </c>
      <c r="AL70" s="13">
        <v>18</v>
      </c>
      <c r="AM70" s="13">
        <v>28</v>
      </c>
      <c r="AN70" s="14">
        <v>20</v>
      </c>
      <c r="AO70" s="9" t="s">
        <v>47</v>
      </c>
      <c r="AP70" s="16"/>
      <c r="AQ70" s="10">
        <v>20</v>
      </c>
      <c r="AR70" s="10">
        <v>2</v>
      </c>
      <c r="AS70" s="10">
        <v>3</v>
      </c>
      <c r="AT70" s="11">
        <v>10</v>
      </c>
      <c r="AU70" s="12"/>
      <c r="AV70" s="17"/>
      <c r="AW70" s="13"/>
      <c r="AX70" s="13"/>
      <c r="AY70" s="13"/>
      <c r="AZ70" s="14"/>
      <c r="BA70" s="9"/>
      <c r="BB70" s="16"/>
      <c r="BC70" s="10"/>
      <c r="BD70" s="10"/>
      <c r="BE70" s="10"/>
      <c r="BF70" s="11"/>
      <c r="BG70" s="12"/>
      <c r="BH70" s="17"/>
      <c r="BI70" s="13"/>
      <c r="BJ70" s="13"/>
      <c r="BK70" s="13"/>
      <c r="BL70" s="14"/>
      <c r="BM70" s="9"/>
      <c r="BN70" s="16"/>
      <c r="BO70" s="10"/>
      <c r="BP70" s="10"/>
      <c r="BQ70" s="10"/>
      <c r="BR70" s="11"/>
      <c r="BS70" s="8">
        <f t="shared" si="18"/>
        <v>233</v>
      </c>
      <c r="BT70" s="8">
        <f t="shared" si="19"/>
        <v>155</v>
      </c>
      <c r="BU70" s="8">
        <f t="shared" si="20"/>
        <v>138</v>
      </c>
      <c r="BV70" s="8">
        <f t="shared" si="21"/>
        <v>81</v>
      </c>
      <c r="BW70" s="8">
        <f t="shared" si="22"/>
        <v>233</v>
      </c>
      <c r="BX70" s="8">
        <f t="shared" si="23"/>
        <v>138</v>
      </c>
      <c r="BY70" s="15">
        <f t="shared" si="24"/>
        <v>17.030562770501742</v>
      </c>
      <c r="BZ70" s="15" t="str">
        <f t="shared" si="25"/>
        <v>OK - No Upgrade</v>
      </c>
      <c r="CA70" s="15" t="str">
        <f t="shared" si="26"/>
        <v>Need to Balance</v>
      </c>
    </row>
    <row r="71" spans="1:79" ht="15.75" customHeight="1" x14ac:dyDescent="0.25">
      <c r="A71" s="8" t="s">
        <v>904</v>
      </c>
      <c r="B71" s="8" t="s">
        <v>4081</v>
      </c>
      <c r="C71" s="8" t="s">
        <v>2948</v>
      </c>
      <c r="D71" s="8" t="s">
        <v>4265</v>
      </c>
      <c r="E71" s="8" t="s">
        <v>4266</v>
      </c>
      <c r="F71" s="8" t="s">
        <v>43</v>
      </c>
      <c r="G71" s="8"/>
      <c r="H71" s="8">
        <v>100</v>
      </c>
      <c r="I71" s="8" t="s">
        <v>4267</v>
      </c>
      <c r="J71" s="8">
        <v>1</v>
      </c>
      <c r="K71" s="8">
        <v>246</v>
      </c>
      <c r="L71" s="8">
        <v>241</v>
      </c>
      <c r="M71" s="8">
        <v>247</v>
      </c>
      <c r="N71" s="8">
        <v>443</v>
      </c>
      <c r="O71" s="8">
        <v>438</v>
      </c>
      <c r="P71" s="8">
        <v>439</v>
      </c>
      <c r="Q71" s="9" t="s">
        <v>47</v>
      </c>
      <c r="R71" s="16"/>
      <c r="S71" s="10">
        <v>0</v>
      </c>
      <c r="T71" s="10">
        <v>0</v>
      </c>
      <c r="U71" s="10">
        <v>0</v>
      </c>
      <c r="V71" s="11">
        <v>0</v>
      </c>
      <c r="W71" s="12"/>
      <c r="X71" s="17"/>
      <c r="Y71" s="13"/>
      <c r="Z71" s="13"/>
      <c r="AA71" s="13"/>
      <c r="AB71" s="14"/>
      <c r="AC71" s="9"/>
      <c r="AD71" s="16"/>
      <c r="AE71" s="10"/>
      <c r="AF71" s="10"/>
      <c r="AG71" s="10"/>
      <c r="AH71" s="11"/>
      <c r="AI71" s="12"/>
      <c r="AJ71" s="17"/>
      <c r="AK71" s="13"/>
      <c r="AL71" s="13"/>
      <c r="AM71" s="13"/>
      <c r="AN71" s="14"/>
      <c r="AO71" s="9"/>
      <c r="AP71" s="16"/>
      <c r="AQ71" s="10"/>
      <c r="AR71" s="10"/>
      <c r="AS71" s="10"/>
      <c r="AT71" s="11"/>
      <c r="AU71" s="12"/>
      <c r="AV71" s="17"/>
      <c r="AW71" s="13"/>
      <c r="AX71" s="13"/>
      <c r="AY71" s="13"/>
      <c r="AZ71" s="14"/>
      <c r="BA71" s="9"/>
      <c r="BB71" s="16"/>
      <c r="BC71" s="10"/>
      <c r="BD71" s="10"/>
      <c r="BE71" s="10"/>
      <c r="BF71" s="11"/>
      <c r="BG71" s="12"/>
      <c r="BH71" s="17"/>
      <c r="BI71" s="13"/>
      <c r="BJ71" s="13"/>
      <c r="BK71" s="13"/>
      <c r="BL71" s="14"/>
      <c r="BM71" s="9"/>
      <c r="BN71" s="16"/>
      <c r="BO71" s="10"/>
      <c r="BP71" s="10"/>
      <c r="BQ71" s="10"/>
      <c r="BR71" s="11"/>
      <c r="BS71" s="8">
        <f t="shared" si="18"/>
        <v>0</v>
      </c>
      <c r="BT71" s="8">
        <f t="shared" si="19"/>
        <v>0</v>
      </c>
      <c r="BU71" s="8">
        <f t="shared" si="20"/>
        <v>0</v>
      </c>
      <c r="BV71" s="8">
        <f t="shared" si="21"/>
        <v>0</v>
      </c>
      <c r="BW71" s="8">
        <f t="shared" si="22"/>
        <v>0</v>
      </c>
      <c r="BX71" s="8">
        <f t="shared" si="23"/>
        <v>0</v>
      </c>
      <c r="BY71" s="15">
        <f t="shared" si="24"/>
        <v>0</v>
      </c>
      <c r="BZ71" s="15" t="str">
        <f t="shared" si="25"/>
        <v>OK - No Upgrade</v>
      </c>
      <c r="CA71" s="15" t="str">
        <f t="shared" si="26"/>
        <v>OK - Balanced</v>
      </c>
    </row>
    <row r="72" spans="1:79" ht="15.75" customHeight="1" x14ac:dyDescent="0.25">
      <c r="A72" s="8" t="s">
        <v>904</v>
      </c>
      <c r="B72" s="8" t="s">
        <v>4081</v>
      </c>
      <c r="C72" s="8" t="s">
        <v>2948</v>
      </c>
      <c r="D72" s="8" t="s">
        <v>4268</v>
      </c>
      <c r="E72" s="8" t="s">
        <v>4269</v>
      </c>
      <c r="F72" s="8" t="s">
        <v>56</v>
      </c>
      <c r="G72" s="8"/>
      <c r="H72" s="8">
        <v>1000</v>
      </c>
      <c r="I72" s="8" t="s">
        <v>4270</v>
      </c>
      <c r="J72" s="8">
        <v>1</v>
      </c>
      <c r="K72" s="8">
        <v>248</v>
      </c>
      <c r="L72" s="8">
        <v>251</v>
      </c>
      <c r="M72" s="8">
        <v>250</v>
      </c>
      <c r="N72" s="8">
        <v>432</v>
      </c>
      <c r="O72" s="8">
        <v>441</v>
      </c>
      <c r="P72" s="8">
        <v>432</v>
      </c>
      <c r="Q72" s="9" t="s">
        <v>47</v>
      </c>
      <c r="R72" s="16"/>
      <c r="S72" s="10">
        <v>10</v>
      </c>
      <c r="T72" s="10">
        <v>20</v>
      </c>
      <c r="U72" s="10">
        <v>4</v>
      </c>
      <c r="V72" s="11">
        <v>7</v>
      </c>
      <c r="W72" s="12"/>
      <c r="X72" s="17"/>
      <c r="Y72" s="13"/>
      <c r="Z72" s="13"/>
      <c r="AA72" s="13"/>
      <c r="AB72" s="14"/>
      <c r="AC72" s="9" t="s">
        <v>47</v>
      </c>
      <c r="AD72" s="16"/>
      <c r="AE72" s="10">
        <v>0</v>
      </c>
      <c r="AF72" s="10">
        <v>0</v>
      </c>
      <c r="AG72" s="10">
        <v>0</v>
      </c>
      <c r="AH72" s="11">
        <v>0</v>
      </c>
      <c r="AI72" s="12"/>
      <c r="AJ72" s="17"/>
      <c r="AK72" s="13"/>
      <c r="AL72" s="13"/>
      <c r="AM72" s="13"/>
      <c r="AN72" s="14"/>
      <c r="AO72" s="9"/>
      <c r="AP72" s="16"/>
      <c r="AQ72" s="10"/>
      <c r="AR72" s="10"/>
      <c r="AS72" s="10"/>
      <c r="AT72" s="11"/>
      <c r="AU72" s="12"/>
      <c r="AV72" s="17"/>
      <c r="AW72" s="13"/>
      <c r="AX72" s="13"/>
      <c r="AY72" s="13"/>
      <c r="AZ72" s="14"/>
      <c r="BA72" s="9"/>
      <c r="BB72" s="16"/>
      <c r="BC72" s="10"/>
      <c r="BD72" s="10"/>
      <c r="BE72" s="10"/>
      <c r="BF72" s="11"/>
      <c r="BG72" s="12"/>
      <c r="BH72" s="17"/>
      <c r="BI72" s="13"/>
      <c r="BJ72" s="13"/>
      <c r="BK72" s="13"/>
      <c r="BL72" s="14"/>
      <c r="BM72" s="9"/>
      <c r="BN72" s="16"/>
      <c r="BO72" s="10"/>
      <c r="BP72" s="10"/>
      <c r="BQ72" s="10"/>
      <c r="BR72" s="11"/>
      <c r="BS72" s="8">
        <f t="shared" si="18"/>
        <v>10</v>
      </c>
      <c r="BT72" s="8">
        <f t="shared" si="19"/>
        <v>20</v>
      </c>
      <c r="BU72" s="8">
        <f t="shared" si="20"/>
        <v>4</v>
      </c>
      <c r="BV72" s="8">
        <f t="shared" si="21"/>
        <v>7</v>
      </c>
      <c r="BW72" s="8">
        <f t="shared" si="22"/>
        <v>20</v>
      </c>
      <c r="BX72" s="8">
        <f t="shared" si="23"/>
        <v>4</v>
      </c>
      <c r="BY72" s="15">
        <f t="shared" si="24"/>
        <v>1.4964918977395099</v>
      </c>
      <c r="BZ72" s="15" t="str">
        <f t="shared" si="25"/>
        <v>OK - No Upgrade</v>
      </c>
      <c r="CA72" s="15" t="str">
        <f t="shared" si="26"/>
        <v>Need to Balance</v>
      </c>
    </row>
    <row r="73" spans="1:79" ht="15.75" customHeight="1" x14ac:dyDescent="0.25">
      <c r="A73" s="8" t="s">
        <v>904</v>
      </c>
      <c r="B73" s="8" t="s">
        <v>4081</v>
      </c>
      <c r="C73" s="8" t="s">
        <v>2948</v>
      </c>
      <c r="D73" s="8" t="s">
        <v>4271</v>
      </c>
      <c r="E73" s="8" t="s">
        <v>4272</v>
      </c>
      <c r="F73" s="8" t="s">
        <v>56</v>
      </c>
      <c r="G73" s="8"/>
      <c r="H73" s="8">
        <v>1000</v>
      </c>
      <c r="I73" s="8" t="s">
        <v>4273</v>
      </c>
      <c r="J73" s="8">
        <v>1</v>
      </c>
      <c r="K73" s="8">
        <v>248</v>
      </c>
      <c r="L73" s="8">
        <v>251</v>
      </c>
      <c r="M73" s="8">
        <v>250</v>
      </c>
      <c r="N73" s="8">
        <v>443</v>
      </c>
      <c r="O73" s="8">
        <v>438</v>
      </c>
      <c r="P73" s="8">
        <v>441</v>
      </c>
      <c r="Q73" s="9" t="s">
        <v>47</v>
      </c>
      <c r="R73" s="16"/>
      <c r="S73" s="10">
        <v>10</v>
      </c>
      <c r="T73" s="10">
        <v>0</v>
      </c>
      <c r="U73" s="10">
        <v>8</v>
      </c>
      <c r="V73" s="11">
        <v>6</v>
      </c>
      <c r="W73" s="12"/>
      <c r="X73" s="17"/>
      <c r="Y73" s="13"/>
      <c r="Z73" s="13"/>
      <c r="AA73" s="13"/>
      <c r="AB73" s="14"/>
      <c r="AC73" s="9"/>
      <c r="AD73" s="16"/>
      <c r="AE73" s="10"/>
      <c r="AF73" s="10"/>
      <c r="AG73" s="10"/>
      <c r="AH73" s="11"/>
      <c r="AI73" s="12"/>
      <c r="AJ73" s="17"/>
      <c r="AK73" s="13"/>
      <c r="AL73" s="13"/>
      <c r="AM73" s="13"/>
      <c r="AN73" s="14"/>
      <c r="AO73" s="9"/>
      <c r="AP73" s="16"/>
      <c r="AQ73" s="10"/>
      <c r="AR73" s="10"/>
      <c r="AS73" s="10"/>
      <c r="AT73" s="11"/>
      <c r="AU73" s="12"/>
      <c r="AV73" s="17"/>
      <c r="AW73" s="13"/>
      <c r="AX73" s="13"/>
      <c r="AY73" s="13"/>
      <c r="AZ73" s="14"/>
      <c r="BA73" s="9"/>
      <c r="BB73" s="16"/>
      <c r="BC73" s="10"/>
      <c r="BD73" s="10"/>
      <c r="BE73" s="10"/>
      <c r="BF73" s="11"/>
      <c r="BG73" s="12"/>
      <c r="BH73" s="17"/>
      <c r="BI73" s="13"/>
      <c r="BJ73" s="13"/>
      <c r="BK73" s="13"/>
      <c r="BL73" s="14"/>
      <c r="BM73" s="9"/>
      <c r="BN73" s="16"/>
      <c r="BO73" s="10"/>
      <c r="BP73" s="10"/>
      <c r="BQ73" s="10"/>
      <c r="BR73" s="11"/>
      <c r="BS73" s="8">
        <f t="shared" si="18"/>
        <v>10</v>
      </c>
      <c r="BT73" s="8">
        <f t="shared" si="19"/>
        <v>0</v>
      </c>
      <c r="BU73" s="8">
        <f t="shared" si="20"/>
        <v>8</v>
      </c>
      <c r="BV73" s="8">
        <f t="shared" si="21"/>
        <v>6</v>
      </c>
      <c r="BW73" s="8">
        <f t="shared" si="22"/>
        <v>10</v>
      </c>
      <c r="BX73" s="8">
        <f t="shared" si="23"/>
        <v>0</v>
      </c>
      <c r="BY73" s="15">
        <f t="shared" si="24"/>
        <v>0.76729850775301256</v>
      </c>
      <c r="BZ73" s="15" t="str">
        <f t="shared" si="25"/>
        <v>OK - No Upgrade</v>
      </c>
      <c r="CA73" s="15" t="str">
        <f t="shared" si="26"/>
        <v>Need to Balance</v>
      </c>
    </row>
    <row r="74" spans="1:79" ht="15.75" customHeight="1" x14ac:dyDescent="0.25">
      <c r="A74" s="8" t="s">
        <v>904</v>
      </c>
      <c r="B74" s="8" t="s">
        <v>4081</v>
      </c>
      <c r="C74" s="8" t="s">
        <v>2948</v>
      </c>
      <c r="D74" s="8" t="s">
        <v>4274</v>
      </c>
      <c r="E74" s="8" t="s">
        <v>4275</v>
      </c>
      <c r="F74" s="8" t="s">
        <v>56</v>
      </c>
      <c r="G74" s="8"/>
      <c r="H74" s="8">
        <v>1000</v>
      </c>
      <c r="I74" s="8" t="s">
        <v>4276</v>
      </c>
      <c r="J74" s="8">
        <v>1</v>
      </c>
      <c r="K74" s="8">
        <v>247</v>
      </c>
      <c r="L74" s="8">
        <v>249</v>
      </c>
      <c r="M74" s="8">
        <v>248</v>
      </c>
      <c r="N74" s="8">
        <v>432</v>
      </c>
      <c r="O74" s="8">
        <v>430</v>
      </c>
      <c r="P74" s="8">
        <v>435</v>
      </c>
      <c r="Q74" s="9"/>
      <c r="R74" s="16"/>
      <c r="S74" s="10"/>
      <c r="T74" s="10"/>
      <c r="U74" s="10"/>
      <c r="V74" s="11"/>
      <c r="W74" s="12" t="s">
        <v>334</v>
      </c>
      <c r="X74" s="17"/>
      <c r="Y74" s="13">
        <v>20</v>
      </c>
      <c r="Z74" s="13">
        <v>1</v>
      </c>
      <c r="AA74" s="13">
        <v>0</v>
      </c>
      <c r="AB74" s="14">
        <v>20</v>
      </c>
      <c r="AC74" s="9" t="s">
        <v>46</v>
      </c>
      <c r="AD74" s="16"/>
      <c r="AE74" s="10">
        <v>0</v>
      </c>
      <c r="AF74" s="10">
        <v>0</v>
      </c>
      <c r="AG74" s="10">
        <v>0</v>
      </c>
      <c r="AH74" s="11">
        <v>0</v>
      </c>
      <c r="AI74" s="12" t="s">
        <v>47</v>
      </c>
      <c r="AJ74" s="17"/>
      <c r="AK74" s="13">
        <v>2</v>
      </c>
      <c r="AL74" s="13">
        <v>17</v>
      </c>
      <c r="AM74" s="13">
        <v>16</v>
      </c>
      <c r="AN74" s="14">
        <v>8</v>
      </c>
      <c r="AO74" s="9" t="s">
        <v>70</v>
      </c>
      <c r="AP74" s="16"/>
      <c r="AQ74" s="10">
        <v>186</v>
      </c>
      <c r="AR74" s="10">
        <v>190</v>
      </c>
      <c r="AS74" s="10">
        <v>200</v>
      </c>
      <c r="AT74" s="11">
        <v>70</v>
      </c>
      <c r="AU74" s="12" t="s">
        <v>47</v>
      </c>
      <c r="AV74" s="17"/>
      <c r="AW74" s="13">
        <v>70</v>
      </c>
      <c r="AX74" s="13">
        <v>85</v>
      </c>
      <c r="AY74" s="13">
        <v>66</v>
      </c>
      <c r="AZ74" s="14">
        <v>36</v>
      </c>
      <c r="BA74" s="9" t="s">
        <v>47</v>
      </c>
      <c r="BB74" s="16"/>
      <c r="BC74" s="10">
        <v>50</v>
      </c>
      <c r="BD74" s="10">
        <v>56</v>
      </c>
      <c r="BE74" s="10">
        <v>42</v>
      </c>
      <c r="BF74" s="11">
        <v>17</v>
      </c>
      <c r="BG74" s="12" t="s">
        <v>47</v>
      </c>
      <c r="BH74" s="17"/>
      <c r="BI74" s="13">
        <v>70</v>
      </c>
      <c r="BJ74" s="13">
        <v>60</v>
      </c>
      <c r="BK74" s="13">
        <v>35</v>
      </c>
      <c r="BL74" s="14">
        <v>30</v>
      </c>
      <c r="BM74" s="9"/>
      <c r="BN74" s="16"/>
      <c r="BO74" s="10"/>
      <c r="BP74" s="10"/>
      <c r="BQ74" s="10"/>
      <c r="BR74" s="11"/>
      <c r="BS74" s="8">
        <f t="shared" si="18"/>
        <v>398</v>
      </c>
      <c r="BT74" s="8">
        <f t="shared" si="19"/>
        <v>409</v>
      </c>
      <c r="BU74" s="8">
        <f t="shared" si="20"/>
        <v>359</v>
      </c>
      <c r="BV74" s="8">
        <f t="shared" si="21"/>
        <v>181</v>
      </c>
      <c r="BW74" s="8">
        <f t="shared" si="22"/>
        <v>409</v>
      </c>
      <c r="BX74" s="8">
        <f t="shared" si="23"/>
        <v>359</v>
      </c>
      <c r="BY74" s="15">
        <f t="shared" si="24"/>
        <v>30.60325930877298</v>
      </c>
      <c r="BZ74" s="15" t="str">
        <f t="shared" si="25"/>
        <v>OK - No Upgrade</v>
      </c>
      <c r="CA74" s="15" t="str">
        <f t="shared" si="26"/>
        <v>OK - Balanced</v>
      </c>
    </row>
    <row r="75" spans="1:79" ht="15.75" customHeight="1" x14ac:dyDescent="0.25">
      <c r="A75" s="8" t="s">
        <v>904</v>
      </c>
      <c r="B75" s="8" t="s">
        <v>4081</v>
      </c>
      <c r="C75" s="8" t="s">
        <v>905</v>
      </c>
      <c r="D75" s="8" t="s">
        <v>3293</v>
      </c>
      <c r="E75" s="8" t="s">
        <v>4277</v>
      </c>
      <c r="F75" s="8" t="s">
        <v>56</v>
      </c>
      <c r="G75" s="8"/>
      <c r="H75" s="8">
        <v>1000</v>
      </c>
      <c r="I75" s="8" t="s">
        <v>4278</v>
      </c>
      <c r="J75" s="8">
        <v>1</v>
      </c>
      <c r="K75" s="8">
        <v>246</v>
      </c>
      <c r="L75" s="8">
        <v>249</v>
      </c>
      <c r="M75" s="8">
        <v>248</v>
      </c>
      <c r="N75" s="8">
        <v>433</v>
      </c>
      <c r="O75" s="8">
        <v>430</v>
      </c>
      <c r="P75" s="8">
        <v>433</v>
      </c>
      <c r="Q75" s="9" t="s">
        <v>47</v>
      </c>
      <c r="R75" s="16"/>
      <c r="S75" s="10">
        <v>288</v>
      </c>
      <c r="T75" s="10">
        <v>193</v>
      </c>
      <c r="U75" s="10">
        <v>182</v>
      </c>
      <c r="V75" s="11">
        <v>214</v>
      </c>
      <c r="W75" s="12"/>
      <c r="X75" s="17"/>
      <c r="Y75" s="13"/>
      <c r="Z75" s="13"/>
      <c r="AA75" s="13"/>
      <c r="AB75" s="14"/>
      <c r="AC75" s="9"/>
      <c r="AD75" s="16"/>
      <c r="AE75" s="10"/>
      <c r="AF75" s="10"/>
      <c r="AG75" s="10"/>
      <c r="AH75" s="11"/>
      <c r="AI75" s="12"/>
      <c r="AJ75" s="17"/>
      <c r="AK75" s="13"/>
      <c r="AL75" s="13"/>
      <c r="AM75" s="13"/>
      <c r="AN75" s="14"/>
      <c r="AO75" s="9"/>
      <c r="AP75" s="16"/>
      <c r="AQ75" s="10"/>
      <c r="AR75" s="10"/>
      <c r="AS75" s="10"/>
      <c r="AT75" s="11"/>
      <c r="AU75" s="12"/>
      <c r="AV75" s="17"/>
      <c r="AW75" s="13"/>
      <c r="AX75" s="13"/>
      <c r="AY75" s="13"/>
      <c r="AZ75" s="14"/>
      <c r="BA75" s="9"/>
      <c r="BB75" s="16"/>
      <c r="BC75" s="10"/>
      <c r="BD75" s="10"/>
      <c r="BE75" s="10"/>
      <c r="BF75" s="11"/>
      <c r="BG75" s="12"/>
      <c r="BH75" s="17"/>
      <c r="BI75" s="13"/>
      <c r="BJ75" s="13"/>
      <c r="BK75" s="13"/>
      <c r="BL75" s="14"/>
      <c r="BM75" s="9"/>
      <c r="BN75" s="16"/>
      <c r="BO75" s="10"/>
      <c r="BP75" s="10"/>
      <c r="BQ75" s="10"/>
      <c r="BR75" s="11"/>
      <c r="BS75" s="8">
        <f t="shared" si="18"/>
        <v>288</v>
      </c>
      <c r="BT75" s="8">
        <f t="shared" si="19"/>
        <v>193</v>
      </c>
      <c r="BU75" s="8">
        <f t="shared" si="20"/>
        <v>182</v>
      </c>
      <c r="BV75" s="8">
        <f t="shared" si="21"/>
        <v>214</v>
      </c>
      <c r="BW75" s="8">
        <f t="shared" si="22"/>
        <v>288</v>
      </c>
      <c r="BX75" s="8">
        <f t="shared" si="23"/>
        <v>182</v>
      </c>
      <c r="BY75" s="15">
        <f t="shared" si="24"/>
        <v>21.599366390706926</v>
      </c>
      <c r="BZ75" s="15" t="str">
        <f t="shared" si="25"/>
        <v>OK - No Upgrade</v>
      </c>
      <c r="CA75" s="15" t="str">
        <f t="shared" si="26"/>
        <v>Need to Balance</v>
      </c>
    </row>
    <row r="76" spans="1:79" ht="15.75" customHeight="1" x14ac:dyDescent="0.25">
      <c r="A76" s="8" t="s">
        <v>904</v>
      </c>
      <c r="B76" s="8" t="s">
        <v>4081</v>
      </c>
      <c r="C76" s="8" t="s">
        <v>905</v>
      </c>
      <c r="D76" s="8" t="s">
        <v>3293</v>
      </c>
      <c r="E76" s="8" t="s">
        <v>4277</v>
      </c>
      <c r="F76" s="8" t="s">
        <v>56</v>
      </c>
      <c r="G76" s="8" t="s">
        <v>44</v>
      </c>
      <c r="H76" s="8">
        <v>1000</v>
      </c>
      <c r="I76" s="8" t="s">
        <v>4279</v>
      </c>
      <c r="J76" s="8">
        <v>2</v>
      </c>
      <c r="K76" s="8">
        <v>246</v>
      </c>
      <c r="L76" s="8">
        <v>249</v>
      </c>
      <c r="M76" s="8">
        <v>248</v>
      </c>
      <c r="N76" s="8">
        <v>431</v>
      </c>
      <c r="O76" s="8">
        <v>436</v>
      </c>
      <c r="P76" s="8">
        <v>431</v>
      </c>
      <c r="Q76" s="9" t="s">
        <v>92</v>
      </c>
      <c r="R76" s="16"/>
      <c r="S76" s="10">
        <v>368</v>
      </c>
      <c r="T76" s="10">
        <v>240</v>
      </c>
      <c r="U76" s="10">
        <v>370</v>
      </c>
      <c r="V76" s="11">
        <v>158</v>
      </c>
      <c r="W76" s="12"/>
      <c r="X76" s="17"/>
      <c r="Y76" s="13"/>
      <c r="Z76" s="13"/>
      <c r="AA76" s="13"/>
      <c r="AB76" s="14"/>
      <c r="AC76" s="9"/>
      <c r="AD76" s="16"/>
      <c r="AE76" s="10"/>
      <c r="AF76" s="10"/>
      <c r="AG76" s="10"/>
      <c r="AH76" s="11"/>
      <c r="AI76" s="12"/>
      <c r="AJ76" s="17"/>
      <c r="AK76" s="13"/>
      <c r="AL76" s="13"/>
      <c r="AM76" s="13"/>
      <c r="AN76" s="14"/>
      <c r="AO76" s="9"/>
      <c r="AP76" s="16"/>
      <c r="AQ76" s="10"/>
      <c r="AR76" s="10"/>
      <c r="AS76" s="10"/>
      <c r="AT76" s="11"/>
      <c r="AU76" s="12"/>
      <c r="AV76" s="17"/>
      <c r="AW76" s="13"/>
      <c r="AX76" s="13"/>
      <c r="AY76" s="13"/>
      <c r="AZ76" s="14"/>
      <c r="BA76" s="9"/>
      <c r="BB76" s="16"/>
      <c r="BC76" s="10"/>
      <c r="BD76" s="10"/>
      <c r="BE76" s="10"/>
      <c r="BF76" s="11"/>
      <c r="BG76" s="12"/>
      <c r="BH76" s="17"/>
      <c r="BI76" s="13"/>
      <c r="BJ76" s="13"/>
      <c r="BK76" s="13"/>
      <c r="BL76" s="14"/>
      <c r="BM76" s="9"/>
      <c r="BN76" s="16"/>
      <c r="BO76" s="10"/>
      <c r="BP76" s="10"/>
      <c r="BQ76" s="10"/>
      <c r="BR76" s="11"/>
      <c r="BS76" s="8">
        <f t="shared" si="18"/>
        <v>368</v>
      </c>
      <c r="BT76" s="8">
        <f t="shared" si="19"/>
        <v>240</v>
      </c>
      <c r="BU76" s="8">
        <f t="shared" si="20"/>
        <v>370</v>
      </c>
      <c r="BV76" s="8">
        <f t="shared" si="21"/>
        <v>158</v>
      </c>
      <c r="BW76" s="8">
        <f t="shared" si="22"/>
        <v>370</v>
      </c>
      <c r="BX76" s="8">
        <f t="shared" si="23"/>
        <v>240</v>
      </c>
      <c r="BY76" s="15">
        <f t="shared" si="24"/>
        <v>27.621014228300883</v>
      </c>
      <c r="BZ76" s="15" t="str">
        <f t="shared" si="25"/>
        <v>OK - No Upgrade</v>
      </c>
      <c r="CA76" s="15" t="str">
        <f t="shared" si="26"/>
        <v>Need to Balance</v>
      </c>
    </row>
    <row r="77" spans="1:79" ht="15.75" customHeight="1" x14ac:dyDescent="0.25">
      <c r="A77" s="8" t="s">
        <v>904</v>
      </c>
      <c r="B77" s="8" t="s">
        <v>4081</v>
      </c>
      <c r="C77" s="8" t="s">
        <v>3233</v>
      </c>
      <c r="D77" s="8" t="s">
        <v>4280</v>
      </c>
      <c r="E77" s="8" t="s">
        <v>4281</v>
      </c>
      <c r="F77" s="8" t="s">
        <v>43</v>
      </c>
      <c r="G77" s="8"/>
      <c r="H77" s="8">
        <v>315</v>
      </c>
      <c r="I77" s="8" t="s">
        <v>825</v>
      </c>
      <c r="J77" s="8">
        <v>1</v>
      </c>
      <c r="K77" s="8">
        <v>246</v>
      </c>
      <c r="L77" s="8">
        <v>244</v>
      </c>
      <c r="M77" s="8">
        <v>243</v>
      </c>
      <c r="N77" s="8">
        <v>427</v>
      </c>
      <c r="O77" s="8">
        <v>426</v>
      </c>
      <c r="P77" s="8">
        <v>422</v>
      </c>
      <c r="Q77" s="9" t="s">
        <v>47</v>
      </c>
      <c r="R77" s="16"/>
      <c r="S77" s="10">
        <v>0</v>
      </c>
      <c r="T77" s="10">
        <v>14</v>
      </c>
      <c r="U77" s="10">
        <v>0</v>
      </c>
      <c r="V77" s="11">
        <v>10</v>
      </c>
      <c r="W77" s="12" t="s">
        <v>46</v>
      </c>
      <c r="X77" s="17"/>
      <c r="Y77" s="13">
        <v>50</v>
      </c>
      <c r="Z77" s="13">
        <v>51</v>
      </c>
      <c r="AA77" s="13">
        <v>20</v>
      </c>
      <c r="AB77" s="14">
        <v>32</v>
      </c>
      <c r="AC77" s="9"/>
      <c r="AD77" s="16"/>
      <c r="AE77" s="10"/>
      <c r="AF77" s="10"/>
      <c r="AG77" s="10"/>
      <c r="AH77" s="11"/>
      <c r="AI77" s="12"/>
      <c r="AJ77" s="17"/>
      <c r="AK77" s="13"/>
      <c r="AL77" s="13"/>
      <c r="AM77" s="13"/>
      <c r="AN77" s="14"/>
      <c r="AO77" s="9"/>
      <c r="AP77" s="16"/>
      <c r="AQ77" s="10"/>
      <c r="AR77" s="10"/>
      <c r="AS77" s="10"/>
      <c r="AT77" s="11"/>
      <c r="AU77" s="12"/>
      <c r="AV77" s="17"/>
      <c r="AW77" s="13"/>
      <c r="AX77" s="13"/>
      <c r="AY77" s="13"/>
      <c r="AZ77" s="14"/>
      <c r="BA77" s="9"/>
      <c r="BB77" s="16"/>
      <c r="BC77" s="10"/>
      <c r="BD77" s="10"/>
      <c r="BE77" s="10"/>
      <c r="BF77" s="11"/>
      <c r="BG77" s="12"/>
      <c r="BH77" s="17"/>
      <c r="BI77" s="13"/>
      <c r="BJ77" s="13"/>
      <c r="BK77" s="13"/>
      <c r="BL77" s="14"/>
      <c r="BM77" s="9"/>
      <c r="BN77" s="16"/>
      <c r="BO77" s="10"/>
      <c r="BP77" s="10"/>
      <c r="BQ77" s="10"/>
      <c r="BR77" s="11"/>
      <c r="BS77" s="8">
        <f t="shared" si="18"/>
        <v>50</v>
      </c>
      <c r="BT77" s="8">
        <f t="shared" si="19"/>
        <v>65</v>
      </c>
      <c r="BU77" s="8">
        <f t="shared" si="20"/>
        <v>20</v>
      </c>
      <c r="BV77" s="8">
        <f t="shared" si="21"/>
        <v>42</v>
      </c>
      <c r="BW77" s="8">
        <f t="shared" si="22"/>
        <v>65</v>
      </c>
      <c r="BX77" s="8">
        <f t="shared" si="23"/>
        <v>20</v>
      </c>
      <c r="BY77" s="15">
        <f t="shared" si="24"/>
        <v>15.261292115579108</v>
      </c>
      <c r="BZ77" s="15" t="str">
        <f t="shared" si="25"/>
        <v>OK - No Upgrade</v>
      </c>
      <c r="CA77" s="15" t="str">
        <f t="shared" si="26"/>
        <v>Need to Balance</v>
      </c>
    </row>
    <row r="78" spans="1:79" ht="15.75" customHeight="1" x14ac:dyDescent="0.25">
      <c r="A78" s="8" t="s">
        <v>904</v>
      </c>
      <c r="B78" s="8" t="s">
        <v>4081</v>
      </c>
      <c r="C78" s="8" t="s">
        <v>3233</v>
      </c>
      <c r="D78" s="8" t="s">
        <v>4282</v>
      </c>
      <c r="E78" s="8" t="s">
        <v>4283</v>
      </c>
      <c r="F78" s="8" t="s">
        <v>43</v>
      </c>
      <c r="G78" s="8"/>
      <c r="H78" s="8">
        <v>315</v>
      </c>
      <c r="I78" s="8" t="s">
        <v>4284</v>
      </c>
      <c r="J78" s="8">
        <v>1</v>
      </c>
      <c r="K78" s="8">
        <v>234</v>
      </c>
      <c r="L78" s="8">
        <v>236</v>
      </c>
      <c r="M78" s="8">
        <v>232</v>
      </c>
      <c r="N78" s="8">
        <v>410</v>
      </c>
      <c r="O78" s="8">
        <v>415</v>
      </c>
      <c r="P78" s="8">
        <v>420</v>
      </c>
      <c r="Q78" s="9" t="s">
        <v>47</v>
      </c>
      <c r="R78" s="16"/>
      <c r="S78" s="10">
        <v>0</v>
      </c>
      <c r="T78" s="10">
        <v>0</v>
      </c>
      <c r="U78" s="10">
        <v>0</v>
      </c>
      <c r="V78" s="11">
        <v>0</v>
      </c>
      <c r="W78" s="12" t="s">
        <v>47</v>
      </c>
      <c r="X78" s="17"/>
      <c r="Y78" s="13">
        <v>15</v>
      </c>
      <c r="Z78" s="13">
        <v>0</v>
      </c>
      <c r="AA78" s="13">
        <v>7</v>
      </c>
      <c r="AB78" s="14">
        <v>1</v>
      </c>
      <c r="AC78" s="9"/>
      <c r="AD78" s="16"/>
      <c r="AE78" s="10"/>
      <c r="AF78" s="10"/>
      <c r="AG78" s="10"/>
      <c r="AH78" s="11"/>
      <c r="AI78" s="12"/>
      <c r="AJ78" s="17"/>
      <c r="AK78" s="13"/>
      <c r="AL78" s="13"/>
      <c r="AM78" s="13"/>
      <c r="AN78" s="14"/>
      <c r="AO78" s="9"/>
      <c r="AP78" s="16"/>
      <c r="AQ78" s="10"/>
      <c r="AR78" s="10"/>
      <c r="AS78" s="10"/>
      <c r="AT78" s="11"/>
      <c r="AU78" s="12"/>
      <c r="AV78" s="17"/>
      <c r="AW78" s="13"/>
      <c r="AX78" s="13"/>
      <c r="AY78" s="13"/>
      <c r="AZ78" s="14"/>
      <c r="BA78" s="9"/>
      <c r="BB78" s="16"/>
      <c r="BC78" s="10"/>
      <c r="BD78" s="10"/>
      <c r="BE78" s="10"/>
      <c r="BF78" s="11"/>
      <c r="BG78" s="12"/>
      <c r="BH78" s="17"/>
      <c r="BI78" s="13"/>
      <c r="BJ78" s="13"/>
      <c r="BK78" s="13"/>
      <c r="BL78" s="14"/>
      <c r="BM78" s="9"/>
      <c r="BN78" s="16"/>
      <c r="BO78" s="10"/>
      <c r="BP78" s="10"/>
      <c r="BQ78" s="10"/>
      <c r="BR78" s="11"/>
      <c r="BS78" s="8">
        <f t="shared" si="18"/>
        <v>15</v>
      </c>
      <c r="BT78" s="8">
        <f t="shared" si="19"/>
        <v>0</v>
      </c>
      <c r="BU78" s="8">
        <f t="shared" si="20"/>
        <v>7</v>
      </c>
      <c r="BV78" s="8">
        <f t="shared" si="21"/>
        <v>1</v>
      </c>
      <c r="BW78" s="8">
        <f t="shared" si="22"/>
        <v>15</v>
      </c>
      <c r="BX78" s="8">
        <f t="shared" si="23"/>
        <v>0</v>
      </c>
      <c r="BY78" s="15">
        <f t="shared" si="24"/>
        <v>3.3816230052535223</v>
      </c>
      <c r="BZ78" s="15" t="str">
        <f t="shared" si="25"/>
        <v>OK - No Upgrade</v>
      </c>
      <c r="CA78" s="15" t="str">
        <f t="shared" si="26"/>
        <v>Need to Balance</v>
      </c>
    </row>
    <row r="79" spans="1:79" ht="15.75" customHeight="1" x14ac:dyDescent="0.25">
      <c r="A79" s="8" t="s">
        <v>904</v>
      </c>
      <c r="B79" s="8" t="s">
        <v>4081</v>
      </c>
      <c r="C79" s="8" t="s">
        <v>3233</v>
      </c>
      <c r="D79" s="8" t="s">
        <v>4285</v>
      </c>
      <c r="E79" s="8" t="s">
        <v>4286</v>
      </c>
      <c r="F79" s="8" t="s">
        <v>43</v>
      </c>
      <c r="G79" s="8"/>
      <c r="H79" s="8">
        <v>315</v>
      </c>
      <c r="I79" s="8" t="s">
        <v>4287</v>
      </c>
      <c r="J79" s="8">
        <v>1</v>
      </c>
      <c r="K79" s="8">
        <v>245</v>
      </c>
      <c r="L79" s="8">
        <v>247</v>
      </c>
      <c r="M79" s="8">
        <v>243</v>
      </c>
      <c r="N79" s="8">
        <v>430</v>
      </c>
      <c r="O79" s="8">
        <v>425</v>
      </c>
      <c r="P79" s="8">
        <v>427</v>
      </c>
      <c r="Q79" s="9" t="s">
        <v>47</v>
      </c>
      <c r="R79" s="16"/>
      <c r="S79" s="10">
        <v>2</v>
      </c>
      <c r="T79" s="10">
        <v>0</v>
      </c>
      <c r="U79" s="10">
        <v>9</v>
      </c>
      <c r="V79" s="11">
        <v>5</v>
      </c>
      <c r="W79" s="12" t="s">
        <v>47</v>
      </c>
      <c r="X79" s="17"/>
      <c r="Y79" s="13">
        <v>2</v>
      </c>
      <c r="Z79" s="13">
        <v>10</v>
      </c>
      <c r="AA79" s="13">
        <v>11</v>
      </c>
      <c r="AB79" s="14">
        <v>5</v>
      </c>
      <c r="AC79" s="9"/>
      <c r="AD79" s="16"/>
      <c r="AE79" s="10"/>
      <c r="AF79" s="10"/>
      <c r="AG79" s="10"/>
      <c r="AH79" s="11"/>
      <c r="AI79" s="12"/>
      <c r="AJ79" s="17"/>
      <c r="AK79" s="13"/>
      <c r="AL79" s="13"/>
      <c r="AM79" s="13"/>
      <c r="AN79" s="14"/>
      <c r="AO79" s="9"/>
      <c r="AP79" s="16"/>
      <c r="AQ79" s="10"/>
      <c r="AR79" s="10"/>
      <c r="AS79" s="10"/>
      <c r="AT79" s="11"/>
      <c r="AU79" s="12"/>
      <c r="AV79" s="17"/>
      <c r="AW79" s="13"/>
      <c r="AX79" s="13"/>
      <c r="AY79" s="13"/>
      <c r="AZ79" s="14"/>
      <c r="BA79" s="9"/>
      <c r="BB79" s="16"/>
      <c r="BC79" s="10"/>
      <c r="BD79" s="10"/>
      <c r="BE79" s="10"/>
      <c r="BF79" s="11"/>
      <c r="BG79" s="12"/>
      <c r="BH79" s="17"/>
      <c r="BI79" s="13"/>
      <c r="BJ79" s="13"/>
      <c r="BK79" s="13"/>
      <c r="BL79" s="14"/>
      <c r="BM79" s="9"/>
      <c r="BN79" s="16"/>
      <c r="BO79" s="10"/>
      <c r="BP79" s="10"/>
      <c r="BQ79" s="10"/>
      <c r="BR79" s="11"/>
      <c r="BS79" s="8">
        <f t="shared" si="18"/>
        <v>4</v>
      </c>
      <c r="BT79" s="8">
        <f t="shared" si="19"/>
        <v>10</v>
      </c>
      <c r="BU79" s="8">
        <f t="shared" si="20"/>
        <v>20</v>
      </c>
      <c r="BV79" s="8">
        <f t="shared" si="21"/>
        <v>10</v>
      </c>
      <c r="BW79" s="8">
        <f t="shared" si="22"/>
        <v>20</v>
      </c>
      <c r="BX79" s="8">
        <f t="shared" si="23"/>
        <v>4</v>
      </c>
      <c r="BY79" s="15">
        <f t="shared" si="24"/>
        <v>4.728773633362648</v>
      </c>
      <c r="BZ79" s="15" t="str">
        <f t="shared" si="25"/>
        <v>OK - No Upgrade</v>
      </c>
      <c r="CA79" s="15" t="str">
        <f t="shared" si="26"/>
        <v>Need to Balance</v>
      </c>
    </row>
    <row r="80" spans="1:79" ht="15.75" customHeight="1" x14ac:dyDescent="0.25">
      <c r="A80" s="8" t="s">
        <v>904</v>
      </c>
      <c r="B80" s="8" t="s">
        <v>4081</v>
      </c>
      <c r="C80" s="8" t="s">
        <v>3233</v>
      </c>
      <c r="D80" s="8" t="s">
        <v>4288</v>
      </c>
      <c r="E80" s="8" t="s">
        <v>4289</v>
      </c>
      <c r="F80" s="8" t="s">
        <v>43</v>
      </c>
      <c r="G80" s="8"/>
      <c r="H80" s="8">
        <v>100</v>
      </c>
      <c r="I80" s="8" t="s">
        <v>4290</v>
      </c>
      <c r="J80" s="8">
        <v>1</v>
      </c>
      <c r="K80" s="8">
        <v>245</v>
      </c>
      <c r="L80" s="8">
        <v>247</v>
      </c>
      <c r="M80" s="8">
        <v>244</v>
      </c>
      <c r="N80" s="8">
        <v>430</v>
      </c>
      <c r="O80" s="8">
        <v>424</v>
      </c>
      <c r="P80" s="8">
        <v>427</v>
      </c>
      <c r="Q80" s="9" t="s">
        <v>47</v>
      </c>
      <c r="R80" s="16"/>
      <c r="S80" s="10">
        <v>1</v>
      </c>
      <c r="T80" s="10">
        <v>0</v>
      </c>
      <c r="U80" s="10">
        <v>0</v>
      </c>
      <c r="V80" s="11">
        <v>1</v>
      </c>
      <c r="W80" s="12" t="s">
        <v>47</v>
      </c>
      <c r="X80" s="17"/>
      <c r="Y80" s="13">
        <v>0</v>
      </c>
      <c r="Z80" s="13">
        <v>0</v>
      </c>
      <c r="AA80" s="13">
        <v>0</v>
      </c>
      <c r="AB80" s="14">
        <v>0</v>
      </c>
      <c r="AC80" s="9"/>
      <c r="AD80" s="16"/>
      <c r="AE80" s="10"/>
      <c r="AF80" s="10"/>
      <c r="AG80" s="10"/>
      <c r="AH80" s="11"/>
      <c r="AI80" s="12"/>
      <c r="AJ80" s="17"/>
      <c r="AK80" s="13"/>
      <c r="AL80" s="13"/>
      <c r="AM80" s="13"/>
      <c r="AN80" s="14"/>
      <c r="AO80" s="9"/>
      <c r="AP80" s="16"/>
      <c r="AQ80" s="10"/>
      <c r="AR80" s="10"/>
      <c r="AS80" s="10"/>
      <c r="AT80" s="11"/>
      <c r="AU80" s="12"/>
      <c r="AV80" s="17"/>
      <c r="AW80" s="13"/>
      <c r="AX80" s="13"/>
      <c r="AY80" s="13"/>
      <c r="AZ80" s="14"/>
      <c r="BA80" s="9"/>
      <c r="BB80" s="16"/>
      <c r="BC80" s="10"/>
      <c r="BD80" s="10"/>
      <c r="BE80" s="10"/>
      <c r="BF80" s="11"/>
      <c r="BG80" s="12"/>
      <c r="BH80" s="17"/>
      <c r="BI80" s="13"/>
      <c r="BJ80" s="13"/>
      <c r="BK80" s="13"/>
      <c r="BL80" s="14"/>
      <c r="BM80" s="9"/>
      <c r="BN80" s="16"/>
      <c r="BO80" s="10"/>
      <c r="BP80" s="10"/>
      <c r="BQ80" s="10"/>
      <c r="BR80" s="11"/>
      <c r="BS80" s="8">
        <f t="shared" si="18"/>
        <v>1</v>
      </c>
      <c r="BT80" s="8">
        <f t="shared" si="19"/>
        <v>0</v>
      </c>
      <c r="BU80" s="8">
        <f t="shared" si="20"/>
        <v>0</v>
      </c>
      <c r="BV80" s="8">
        <f t="shared" si="21"/>
        <v>1</v>
      </c>
      <c r="BW80" s="8">
        <f t="shared" si="22"/>
        <v>1</v>
      </c>
      <c r="BX80" s="8">
        <f t="shared" si="23"/>
        <v>0</v>
      </c>
      <c r="BY80" s="15">
        <f t="shared" si="24"/>
        <v>0.74478184725461727</v>
      </c>
      <c r="BZ80" s="15" t="str">
        <f t="shared" si="25"/>
        <v>OK - No Upgrade</v>
      </c>
      <c r="CA80" s="15" t="str">
        <f t="shared" si="26"/>
        <v>Need to Balance</v>
      </c>
    </row>
    <row r="81" spans="1:79" ht="15.75" customHeight="1" x14ac:dyDescent="0.25">
      <c r="A81" s="8" t="s">
        <v>904</v>
      </c>
      <c r="B81" s="8" t="s">
        <v>4081</v>
      </c>
      <c r="C81" s="8" t="s">
        <v>3233</v>
      </c>
      <c r="D81" s="8" t="s">
        <v>4291</v>
      </c>
      <c r="E81" s="8" t="s">
        <v>4292</v>
      </c>
      <c r="F81" s="8" t="s">
        <v>43</v>
      </c>
      <c r="G81" s="8"/>
      <c r="H81" s="8">
        <v>100</v>
      </c>
      <c r="I81" s="8" t="s">
        <v>4293</v>
      </c>
      <c r="J81" s="8">
        <v>1</v>
      </c>
      <c r="K81" s="8">
        <v>244</v>
      </c>
      <c r="L81" s="8">
        <v>246</v>
      </c>
      <c r="M81" s="8">
        <v>245</v>
      </c>
      <c r="N81" s="8">
        <v>428</v>
      </c>
      <c r="O81" s="8">
        <v>425</v>
      </c>
      <c r="P81" s="8">
        <v>424</v>
      </c>
      <c r="Q81" s="9" t="s">
        <v>47</v>
      </c>
      <c r="R81" s="16"/>
      <c r="S81" s="10">
        <v>0</v>
      </c>
      <c r="T81" s="10">
        <v>0</v>
      </c>
      <c r="U81" s="10">
        <v>0</v>
      </c>
      <c r="V81" s="11">
        <v>0</v>
      </c>
      <c r="W81" s="12"/>
      <c r="X81" s="17"/>
      <c r="Y81" s="13"/>
      <c r="Z81" s="13"/>
      <c r="AA81" s="13"/>
      <c r="AB81" s="14"/>
      <c r="AC81" s="9"/>
      <c r="AD81" s="16"/>
      <c r="AE81" s="10"/>
      <c r="AF81" s="10"/>
      <c r="AG81" s="10"/>
      <c r="AH81" s="11"/>
      <c r="AI81" s="12"/>
      <c r="AJ81" s="17"/>
      <c r="AK81" s="13"/>
      <c r="AL81" s="13"/>
      <c r="AM81" s="13"/>
      <c r="AN81" s="14"/>
      <c r="AO81" s="9"/>
      <c r="AP81" s="16"/>
      <c r="AQ81" s="10"/>
      <c r="AR81" s="10"/>
      <c r="AS81" s="10"/>
      <c r="AT81" s="11"/>
      <c r="AU81" s="12"/>
      <c r="AV81" s="17"/>
      <c r="AW81" s="13"/>
      <c r="AX81" s="13"/>
      <c r="AY81" s="13"/>
      <c r="AZ81" s="14"/>
      <c r="BA81" s="9"/>
      <c r="BB81" s="16"/>
      <c r="BC81" s="10"/>
      <c r="BD81" s="10"/>
      <c r="BE81" s="10"/>
      <c r="BF81" s="11"/>
      <c r="BG81" s="12"/>
      <c r="BH81" s="17"/>
      <c r="BI81" s="13"/>
      <c r="BJ81" s="13"/>
      <c r="BK81" s="13"/>
      <c r="BL81" s="14"/>
      <c r="BM81" s="9"/>
      <c r="BN81" s="16"/>
      <c r="BO81" s="10"/>
      <c r="BP81" s="10"/>
      <c r="BQ81" s="10"/>
      <c r="BR81" s="11"/>
      <c r="BS81" s="8">
        <f t="shared" si="18"/>
        <v>0</v>
      </c>
      <c r="BT81" s="8">
        <f t="shared" si="19"/>
        <v>0</v>
      </c>
      <c r="BU81" s="8">
        <f t="shared" si="20"/>
        <v>0</v>
      </c>
      <c r="BV81" s="8">
        <f t="shared" si="21"/>
        <v>0</v>
      </c>
      <c r="BW81" s="8">
        <f t="shared" si="22"/>
        <v>0</v>
      </c>
      <c r="BX81" s="8">
        <f t="shared" si="23"/>
        <v>0</v>
      </c>
      <c r="BY81" s="15">
        <f t="shared" si="24"/>
        <v>0</v>
      </c>
      <c r="BZ81" s="15" t="str">
        <f t="shared" si="25"/>
        <v>OK - No Upgrade</v>
      </c>
      <c r="CA81" s="15" t="str">
        <f t="shared" si="26"/>
        <v>OK - Balanced</v>
      </c>
    </row>
    <row r="82" spans="1:79" ht="15.75" customHeight="1" x14ac:dyDescent="0.25">
      <c r="A82" s="8" t="s">
        <v>904</v>
      </c>
      <c r="B82" s="8" t="s">
        <v>4081</v>
      </c>
      <c r="C82" s="8" t="s">
        <v>3233</v>
      </c>
      <c r="D82" s="8" t="s">
        <v>4294</v>
      </c>
      <c r="E82" s="8" t="s">
        <v>4295</v>
      </c>
      <c r="F82" s="8" t="s">
        <v>56</v>
      </c>
      <c r="G82" s="8"/>
      <c r="H82" s="8">
        <v>1000</v>
      </c>
      <c r="I82" s="8" t="s">
        <v>4296</v>
      </c>
      <c r="J82" s="8">
        <v>1</v>
      </c>
      <c r="K82" s="8">
        <v>241</v>
      </c>
      <c r="L82" s="8">
        <v>242</v>
      </c>
      <c r="M82" s="8">
        <v>243</v>
      </c>
      <c r="N82" s="8">
        <v>422</v>
      </c>
      <c r="O82" s="8">
        <v>424</v>
      </c>
      <c r="P82" s="8">
        <v>420</v>
      </c>
      <c r="Q82" s="9" t="s">
        <v>47</v>
      </c>
      <c r="R82" s="16"/>
      <c r="S82" s="10">
        <v>2</v>
      </c>
      <c r="T82" s="10">
        <v>30</v>
      </c>
      <c r="U82" s="10">
        <v>15</v>
      </c>
      <c r="V82" s="11">
        <v>18</v>
      </c>
      <c r="W82" s="12" t="s">
        <v>47</v>
      </c>
      <c r="X82" s="17"/>
      <c r="Y82" s="13">
        <v>0</v>
      </c>
      <c r="Z82" s="13">
        <v>0</v>
      </c>
      <c r="AA82" s="13">
        <v>0</v>
      </c>
      <c r="AB82" s="14">
        <v>0</v>
      </c>
      <c r="AC82" s="9" t="s">
        <v>70</v>
      </c>
      <c r="AD82" s="16"/>
      <c r="AE82" s="10">
        <v>0</v>
      </c>
      <c r="AF82" s="10">
        <v>0</v>
      </c>
      <c r="AG82" s="10">
        <v>0</v>
      </c>
      <c r="AH82" s="11">
        <v>0</v>
      </c>
      <c r="AI82" s="12"/>
      <c r="AJ82" s="17"/>
      <c r="AK82" s="13"/>
      <c r="AL82" s="13"/>
      <c r="AM82" s="13"/>
      <c r="AN82" s="14"/>
      <c r="AO82" s="9"/>
      <c r="AP82" s="16"/>
      <c r="AQ82" s="10"/>
      <c r="AR82" s="10"/>
      <c r="AS82" s="10"/>
      <c r="AT82" s="11"/>
      <c r="AU82" s="12"/>
      <c r="AV82" s="17"/>
      <c r="AW82" s="13"/>
      <c r="AX82" s="13"/>
      <c r="AY82" s="13"/>
      <c r="AZ82" s="14"/>
      <c r="BA82" s="9"/>
      <c r="BB82" s="16"/>
      <c r="BC82" s="10"/>
      <c r="BD82" s="10"/>
      <c r="BE82" s="10"/>
      <c r="BF82" s="11"/>
      <c r="BG82" s="12"/>
      <c r="BH82" s="17"/>
      <c r="BI82" s="13"/>
      <c r="BJ82" s="13"/>
      <c r="BK82" s="13"/>
      <c r="BL82" s="14"/>
      <c r="BM82" s="9"/>
      <c r="BN82" s="16"/>
      <c r="BO82" s="10"/>
      <c r="BP82" s="10"/>
      <c r="BQ82" s="10"/>
      <c r="BR82" s="11"/>
      <c r="BS82" s="8">
        <f t="shared" si="18"/>
        <v>2</v>
      </c>
      <c r="BT82" s="8">
        <f t="shared" si="19"/>
        <v>30</v>
      </c>
      <c r="BU82" s="8">
        <f t="shared" si="20"/>
        <v>15</v>
      </c>
      <c r="BV82" s="8">
        <f t="shared" si="21"/>
        <v>18</v>
      </c>
      <c r="BW82" s="8">
        <f t="shared" si="22"/>
        <v>30</v>
      </c>
      <c r="BX82" s="8">
        <f t="shared" si="23"/>
        <v>2</v>
      </c>
      <c r="BY82" s="15">
        <f t="shared" si="24"/>
        <v>2.1927763223821986</v>
      </c>
      <c r="BZ82" s="15" t="str">
        <f t="shared" si="25"/>
        <v>OK - No Upgrade</v>
      </c>
      <c r="CA82" s="15" t="str">
        <f t="shared" si="26"/>
        <v>Need to Balance</v>
      </c>
    </row>
    <row r="83" spans="1:79" ht="15.75" customHeight="1" x14ac:dyDescent="0.25">
      <c r="A83" s="8" t="s">
        <v>904</v>
      </c>
      <c r="B83" s="8" t="s">
        <v>4081</v>
      </c>
      <c r="C83" s="8" t="s">
        <v>3233</v>
      </c>
      <c r="D83" s="8" t="s">
        <v>4297</v>
      </c>
      <c r="E83" s="8" t="s">
        <v>4298</v>
      </c>
      <c r="F83" s="8" t="s">
        <v>56</v>
      </c>
      <c r="G83" s="8"/>
      <c r="H83" s="8">
        <v>1000</v>
      </c>
      <c r="I83" s="8" t="s">
        <v>834</v>
      </c>
      <c r="J83" s="8">
        <v>1</v>
      </c>
      <c r="K83" s="8">
        <v>242</v>
      </c>
      <c r="L83" s="8">
        <v>243</v>
      </c>
      <c r="M83" s="8">
        <v>242</v>
      </c>
      <c r="N83" s="8">
        <v>422</v>
      </c>
      <c r="O83" s="8">
        <v>424</v>
      </c>
      <c r="P83" s="8">
        <v>420</v>
      </c>
      <c r="Q83" s="9" t="s">
        <v>47</v>
      </c>
      <c r="R83" s="16"/>
      <c r="S83" s="10">
        <v>15</v>
      </c>
      <c r="T83" s="10">
        <v>11</v>
      </c>
      <c r="U83" s="10">
        <v>0</v>
      </c>
      <c r="V83" s="11">
        <v>10</v>
      </c>
      <c r="W83" s="12"/>
      <c r="X83" s="17"/>
      <c r="Y83" s="13"/>
      <c r="Z83" s="13"/>
      <c r="AA83" s="13"/>
      <c r="AB83" s="14"/>
      <c r="AC83" s="9"/>
      <c r="AD83" s="16"/>
      <c r="AE83" s="10"/>
      <c r="AF83" s="10"/>
      <c r="AG83" s="10"/>
      <c r="AH83" s="11"/>
      <c r="AI83" s="12"/>
      <c r="AJ83" s="17"/>
      <c r="AK83" s="13"/>
      <c r="AL83" s="13"/>
      <c r="AM83" s="13"/>
      <c r="AN83" s="14"/>
      <c r="AO83" s="9"/>
      <c r="AP83" s="16"/>
      <c r="AQ83" s="10"/>
      <c r="AR83" s="10"/>
      <c r="AS83" s="10"/>
      <c r="AT83" s="11"/>
      <c r="AU83" s="12"/>
      <c r="AV83" s="17"/>
      <c r="AW83" s="13"/>
      <c r="AX83" s="13"/>
      <c r="AY83" s="13"/>
      <c r="AZ83" s="14"/>
      <c r="BA83" s="9"/>
      <c r="BB83" s="16"/>
      <c r="BC83" s="10"/>
      <c r="BD83" s="10"/>
      <c r="BE83" s="10"/>
      <c r="BF83" s="11"/>
      <c r="BG83" s="12"/>
      <c r="BH83" s="17"/>
      <c r="BI83" s="13"/>
      <c r="BJ83" s="13"/>
      <c r="BK83" s="13"/>
      <c r="BL83" s="14"/>
      <c r="BM83" s="9"/>
      <c r="BN83" s="16"/>
      <c r="BO83" s="10"/>
      <c r="BP83" s="10"/>
      <c r="BQ83" s="10"/>
      <c r="BR83" s="11"/>
      <c r="BS83" s="8">
        <f t="shared" si="18"/>
        <v>15</v>
      </c>
      <c r="BT83" s="8">
        <f t="shared" si="19"/>
        <v>11</v>
      </c>
      <c r="BU83" s="8">
        <f t="shared" si="20"/>
        <v>0</v>
      </c>
      <c r="BV83" s="8">
        <f t="shared" si="21"/>
        <v>10</v>
      </c>
      <c r="BW83" s="8">
        <f t="shared" si="22"/>
        <v>15</v>
      </c>
      <c r="BX83" s="8">
        <f t="shared" si="23"/>
        <v>0</v>
      </c>
      <c r="BY83" s="15">
        <f t="shared" si="24"/>
        <v>1.0963881611910993</v>
      </c>
      <c r="BZ83" s="15" t="str">
        <f t="shared" si="25"/>
        <v>OK - No Upgrade</v>
      </c>
      <c r="CA83" s="15" t="str">
        <f t="shared" si="26"/>
        <v>Need to Balance</v>
      </c>
    </row>
    <row r="84" spans="1:79" ht="15.75" customHeight="1" x14ac:dyDescent="0.25">
      <c r="A84" s="8" t="s">
        <v>904</v>
      </c>
      <c r="B84" s="8" t="s">
        <v>4081</v>
      </c>
      <c r="C84" s="8" t="s">
        <v>3233</v>
      </c>
      <c r="D84" s="8" t="s">
        <v>4299</v>
      </c>
      <c r="E84" s="8" t="s">
        <v>4300</v>
      </c>
      <c r="F84" s="8" t="s">
        <v>56</v>
      </c>
      <c r="G84" s="8"/>
      <c r="H84" s="8">
        <v>500</v>
      </c>
      <c r="I84" s="8" t="s">
        <v>4301</v>
      </c>
      <c r="J84" s="8">
        <v>1</v>
      </c>
      <c r="K84" s="8">
        <v>241</v>
      </c>
      <c r="L84" s="8">
        <v>243</v>
      </c>
      <c r="M84" s="8">
        <v>240</v>
      </c>
      <c r="N84" s="8">
        <v>421</v>
      </c>
      <c r="O84" s="8">
        <v>421</v>
      </c>
      <c r="P84" s="8">
        <v>423</v>
      </c>
      <c r="Q84" s="9" t="s">
        <v>70</v>
      </c>
      <c r="R84" s="16"/>
      <c r="S84" s="10">
        <v>11</v>
      </c>
      <c r="T84" s="10">
        <v>0</v>
      </c>
      <c r="U84" s="10">
        <v>0</v>
      </c>
      <c r="V84" s="11">
        <v>7</v>
      </c>
      <c r="W84" s="12"/>
      <c r="X84" s="17"/>
      <c r="Y84" s="13"/>
      <c r="Z84" s="13"/>
      <c r="AA84" s="13"/>
      <c r="AB84" s="14"/>
      <c r="AC84" s="9"/>
      <c r="AD84" s="16"/>
      <c r="AE84" s="10"/>
      <c r="AF84" s="10"/>
      <c r="AG84" s="10"/>
      <c r="AH84" s="11"/>
      <c r="AI84" s="12"/>
      <c r="AJ84" s="17"/>
      <c r="AK84" s="13"/>
      <c r="AL84" s="13"/>
      <c r="AM84" s="13"/>
      <c r="AN84" s="14"/>
      <c r="AO84" s="9"/>
      <c r="AP84" s="16"/>
      <c r="AQ84" s="10"/>
      <c r="AR84" s="10"/>
      <c r="AS84" s="10"/>
      <c r="AT84" s="11"/>
      <c r="AU84" s="12"/>
      <c r="AV84" s="17"/>
      <c r="AW84" s="13"/>
      <c r="AX84" s="13"/>
      <c r="AY84" s="13"/>
      <c r="AZ84" s="14"/>
      <c r="BA84" s="9"/>
      <c r="BB84" s="16"/>
      <c r="BC84" s="10"/>
      <c r="BD84" s="10"/>
      <c r="BE84" s="10"/>
      <c r="BF84" s="11"/>
      <c r="BG84" s="12"/>
      <c r="BH84" s="17"/>
      <c r="BI84" s="13"/>
      <c r="BJ84" s="13"/>
      <c r="BK84" s="13"/>
      <c r="BL84" s="14"/>
      <c r="BM84" s="9"/>
      <c r="BN84" s="16"/>
      <c r="BO84" s="10"/>
      <c r="BP84" s="10"/>
      <c r="BQ84" s="10"/>
      <c r="BR84" s="11"/>
      <c r="BS84" s="8">
        <f t="shared" si="18"/>
        <v>11</v>
      </c>
      <c r="BT84" s="8">
        <f t="shared" si="19"/>
        <v>0</v>
      </c>
      <c r="BU84" s="8">
        <f t="shared" si="20"/>
        <v>0</v>
      </c>
      <c r="BV84" s="8">
        <f t="shared" si="21"/>
        <v>7</v>
      </c>
      <c r="BW84" s="8">
        <f t="shared" si="22"/>
        <v>11</v>
      </c>
      <c r="BX84" s="8">
        <f t="shared" si="23"/>
        <v>0</v>
      </c>
      <c r="BY84" s="15">
        <f t="shared" si="24"/>
        <v>1.6042254579702941</v>
      </c>
      <c r="BZ84" s="15" t="str">
        <f t="shared" si="25"/>
        <v>OK - No Upgrade</v>
      </c>
      <c r="CA84" s="15" t="str">
        <f t="shared" si="26"/>
        <v>Need to Balance</v>
      </c>
    </row>
    <row r="85" spans="1:79" ht="15.75" customHeight="1" x14ac:dyDescent="0.25">
      <c r="A85" s="8" t="s">
        <v>904</v>
      </c>
      <c r="B85" s="8" t="s">
        <v>4081</v>
      </c>
      <c r="C85" s="8" t="s">
        <v>3233</v>
      </c>
      <c r="D85" s="8" t="s">
        <v>4302</v>
      </c>
      <c r="E85" s="8" t="s">
        <v>4303</v>
      </c>
      <c r="F85" s="8" t="s">
        <v>43</v>
      </c>
      <c r="G85" s="8"/>
      <c r="H85" s="8">
        <v>100</v>
      </c>
      <c r="I85" s="8" t="s">
        <v>4304</v>
      </c>
      <c r="J85" s="8">
        <v>1</v>
      </c>
      <c r="K85" s="8">
        <v>242</v>
      </c>
      <c r="L85" s="8">
        <v>243</v>
      </c>
      <c r="M85" s="8">
        <v>240</v>
      </c>
      <c r="N85" s="8">
        <v>424</v>
      </c>
      <c r="O85" s="8">
        <v>427</v>
      </c>
      <c r="P85" s="8">
        <v>422</v>
      </c>
      <c r="Q85" s="9" t="s">
        <v>46</v>
      </c>
      <c r="R85" s="16"/>
      <c r="S85" s="10">
        <v>0</v>
      </c>
      <c r="T85" s="10">
        <v>0</v>
      </c>
      <c r="U85" s="10">
        <v>0</v>
      </c>
      <c r="V85" s="11">
        <v>0</v>
      </c>
      <c r="W85" s="12"/>
      <c r="X85" s="17"/>
      <c r="Y85" s="13"/>
      <c r="Z85" s="13"/>
      <c r="AA85" s="13"/>
      <c r="AB85" s="14"/>
      <c r="AC85" s="9"/>
      <c r="AD85" s="16"/>
      <c r="AE85" s="10"/>
      <c r="AF85" s="10"/>
      <c r="AG85" s="10"/>
      <c r="AH85" s="11"/>
      <c r="AI85" s="12"/>
      <c r="AJ85" s="17"/>
      <c r="AK85" s="13"/>
      <c r="AL85" s="13"/>
      <c r="AM85" s="13"/>
      <c r="AN85" s="14"/>
      <c r="AO85" s="9"/>
      <c r="AP85" s="16"/>
      <c r="AQ85" s="10"/>
      <c r="AR85" s="10"/>
      <c r="AS85" s="10"/>
      <c r="AT85" s="11"/>
      <c r="AU85" s="12"/>
      <c r="AV85" s="17"/>
      <c r="AW85" s="13"/>
      <c r="AX85" s="13"/>
      <c r="AY85" s="13"/>
      <c r="AZ85" s="14"/>
      <c r="BA85" s="9"/>
      <c r="BB85" s="16"/>
      <c r="BC85" s="10"/>
      <c r="BD85" s="10"/>
      <c r="BE85" s="10"/>
      <c r="BF85" s="11"/>
      <c r="BG85" s="12"/>
      <c r="BH85" s="17"/>
      <c r="BI85" s="13"/>
      <c r="BJ85" s="13"/>
      <c r="BK85" s="13"/>
      <c r="BL85" s="14"/>
      <c r="BM85" s="9"/>
      <c r="BN85" s="16"/>
      <c r="BO85" s="10"/>
      <c r="BP85" s="10"/>
      <c r="BQ85" s="10"/>
      <c r="BR85" s="11"/>
      <c r="BS85" s="8">
        <f t="shared" si="18"/>
        <v>0</v>
      </c>
      <c r="BT85" s="8">
        <f t="shared" si="19"/>
        <v>0</v>
      </c>
      <c r="BU85" s="8">
        <f t="shared" si="20"/>
        <v>0</v>
      </c>
      <c r="BV85" s="8">
        <f t="shared" si="21"/>
        <v>0</v>
      </c>
      <c r="BW85" s="8">
        <f t="shared" si="22"/>
        <v>0</v>
      </c>
      <c r="BX85" s="8">
        <f t="shared" si="23"/>
        <v>0</v>
      </c>
      <c r="BY85" s="15">
        <f t="shared" si="24"/>
        <v>0</v>
      </c>
      <c r="BZ85" s="15" t="str">
        <f t="shared" si="25"/>
        <v>OK - No Upgrade</v>
      </c>
      <c r="CA85" s="15" t="str">
        <f t="shared" si="26"/>
        <v>OK - Balanced</v>
      </c>
    </row>
    <row r="86" spans="1:79" ht="15.75" customHeight="1" x14ac:dyDescent="0.25">
      <c r="A86" s="8" t="s">
        <v>904</v>
      </c>
      <c r="B86" s="8" t="s">
        <v>4081</v>
      </c>
      <c r="C86" s="8" t="s">
        <v>3233</v>
      </c>
      <c r="D86" s="8" t="s">
        <v>4305</v>
      </c>
      <c r="E86" s="8" t="s">
        <v>4306</v>
      </c>
      <c r="F86" s="8" t="s">
        <v>43</v>
      </c>
      <c r="G86" s="8"/>
      <c r="H86" s="8">
        <v>100</v>
      </c>
      <c r="I86" s="8" t="s">
        <v>4307</v>
      </c>
      <c r="J86" s="8">
        <v>1</v>
      </c>
      <c r="K86" s="8">
        <v>242</v>
      </c>
      <c r="L86" s="8">
        <v>243</v>
      </c>
      <c r="M86" s="8">
        <v>240</v>
      </c>
      <c r="N86" s="8">
        <v>425</v>
      </c>
      <c r="O86" s="8">
        <v>423</v>
      </c>
      <c r="P86" s="8">
        <v>421</v>
      </c>
      <c r="Q86" s="9" t="s">
        <v>46</v>
      </c>
      <c r="R86" s="16"/>
      <c r="S86" s="10">
        <v>0</v>
      </c>
      <c r="T86" s="10">
        <v>0</v>
      </c>
      <c r="U86" s="10">
        <v>1</v>
      </c>
      <c r="V86" s="11">
        <v>1</v>
      </c>
      <c r="W86" s="12"/>
      <c r="X86" s="17"/>
      <c r="Y86" s="13"/>
      <c r="Z86" s="13"/>
      <c r="AA86" s="13"/>
      <c r="AB86" s="14"/>
      <c r="AC86" s="9"/>
      <c r="AD86" s="16"/>
      <c r="AE86" s="10"/>
      <c r="AF86" s="10"/>
      <c r="AG86" s="10"/>
      <c r="AH86" s="11"/>
      <c r="AI86" s="12"/>
      <c r="AJ86" s="17"/>
      <c r="AK86" s="13"/>
      <c r="AL86" s="13"/>
      <c r="AM86" s="13"/>
      <c r="AN86" s="14"/>
      <c r="AO86" s="9"/>
      <c r="AP86" s="16"/>
      <c r="AQ86" s="10"/>
      <c r="AR86" s="10"/>
      <c r="AS86" s="10"/>
      <c r="AT86" s="11"/>
      <c r="AU86" s="12"/>
      <c r="AV86" s="17"/>
      <c r="AW86" s="13"/>
      <c r="AX86" s="13"/>
      <c r="AY86" s="13"/>
      <c r="AZ86" s="14"/>
      <c r="BA86" s="9"/>
      <c r="BB86" s="16"/>
      <c r="BC86" s="10"/>
      <c r="BD86" s="10"/>
      <c r="BE86" s="10"/>
      <c r="BF86" s="11"/>
      <c r="BG86" s="12"/>
      <c r="BH86" s="17"/>
      <c r="BI86" s="13"/>
      <c r="BJ86" s="13"/>
      <c r="BK86" s="13"/>
      <c r="BL86" s="14"/>
      <c r="BM86" s="9"/>
      <c r="BN86" s="16"/>
      <c r="BO86" s="10"/>
      <c r="BP86" s="10"/>
      <c r="BQ86" s="10"/>
      <c r="BR86" s="11"/>
      <c r="BS86" s="8">
        <f t="shared" si="18"/>
        <v>0</v>
      </c>
      <c r="BT86" s="8">
        <f t="shared" si="19"/>
        <v>0</v>
      </c>
      <c r="BU86" s="8">
        <f t="shared" si="20"/>
        <v>1</v>
      </c>
      <c r="BV86" s="8">
        <f t="shared" si="21"/>
        <v>1</v>
      </c>
      <c r="BW86" s="8">
        <f t="shared" si="22"/>
        <v>1</v>
      </c>
      <c r="BX86" s="8">
        <f t="shared" si="23"/>
        <v>0</v>
      </c>
      <c r="BY86" s="15">
        <f t="shared" si="24"/>
        <v>0.73612159321677284</v>
      </c>
      <c r="BZ86" s="15" t="str">
        <f t="shared" si="25"/>
        <v>OK - No Upgrade</v>
      </c>
      <c r="CA86" s="15" t="str">
        <f t="shared" si="26"/>
        <v>Need to Balance</v>
      </c>
    </row>
    <row r="87" spans="1:79" ht="15.75" customHeight="1" x14ac:dyDescent="0.25">
      <c r="A87" s="8" t="s">
        <v>904</v>
      </c>
      <c r="B87" s="8" t="s">
        <v>4081</v>
      </c>
      <c r="C87" s="8" t="s">
        <v>3233</v>
      </c>
      <c r="D87" s="8" t="s">
        <v>4308</v>
      </c>
      <c r="E87" s="8" t="s">
        <v>4309</v>
      </c>
      <c r="F87" s="8" t="s">
        <v>43</v>
      </c>
      <c r="G87" s="8"/>
      <c r="H87" s="8">
        <v>200</v>
      </c>
      <c r="I87" s="8" t="s">
        <v>4310</v>
      </c>
      <c r="J87" s="8">
        <v>1</v>
      </c>
      <c r="K87" s="8">
        <v>242</v>
      </c>
      <c r="L87" s="8">
        <v>244</v>
      </c>
      <c r="M87" s="8">
        <v>240</v>
      </c>
      <c r="N87" s="8">
        <v>425</v>
      </c>
      <c r="O87" s="8">
        <v>419</v>
      </c>
      <c r="P87" s="8">
        <v>420</v>
      </c>
      <c r="Q87" s="9" t="s">
        <v>47</v>
      </c>
      <c r="R87" s="16"/>
      <c r="S87" s="10">
        <v>0</v>
      </c>
      <c r="T87" s="10">
        <v>0</v>
      </c>
      <c r="U87" s="10">
        <v>0</v>
      </c>
      <c r="V87" s="11">
        <v>0</v>
      </c>
      <c r="W87" s="12"/>
      <c r="X87" s="17"/>
      <c r="Y87" s="13"/>
      <c r="Z87" s="13"/>
      <c r="AA87" s="13"/>
      <c r="AB87" s="14"/>
      <c r="AC87" s="9"/>
      <c r="AD87" s="16"/>
      <c r="AE87" s="10"/>
      <c r="AF87" s="10"/>
      <c r="AG87" s="10"/>
      <c r="AH87" s="11"/>
      <c r="AI87" s="12"/>
      <c r="AJ87" s="17"/>
      <c r="AK87" s="13"/>
      <c r="AL87" s="13"/>
      <c r="AM87" s="13"/>
      <c r="AN87" s="14"/>
      <c r="AO87" s="9"/>
      <c r="AP87" s="16"/>
      <c r="AQ87" s="10"/>
      <c r="AR87" s="10"/>
      <c r="AS87" s="10"/>
      <c r="AT87" s="11"/>
      <c r="AU87" s="12"/>
      <c r="AV87" s="17"/>
      <c r="AW87" s="13"/>
      <c r="AX87" s="13"/>
      <c r="AY87" s="13"/>
      <c r="AZ87" s="14"/>
      <c r="BA87" s="9"/>
      <c r="BB87" s="16"/>
      <c r="BC87" s="10"/>
      <c r="BD87" s="10"/>
      <c r="BE87" s="10"/>
      <c r="BF87" s="11"/>
      <c r="BG87" s="12"/>
      <c r="BH87" s="17"/>
      <c r="BI87" s="13"/>
      <c r="BJ87" s="13"/>
      <c r="BK87" s="13"/>
      <c r="BL87" s="14"/>
      <c r="BM87" s="9"/>
      <c r="BN87" s="16"/>
      <c r="BO87" s="10"/>
      <c r="BP87" s="10"/>
      <c r="BQ87" s="10"/>
      <c r="BR87" s="11"/>
      <c r="BS87" s="8">
        <f t="shared" si="18"/>
        <v>0</v>
      </c>
      <c r="BT87" s="8">
        <f t="shared" si="19"/>
        <v>0</v>
      </c>
      <c r="BU87" s="8">
        <f t="shared" si="20"/>
        <v>0</v>
      </c>
      <c r="BV87" s="8">
        <f t="shared" si="21"/>
        <v>0</v>
      </c>
      <c r="BW87" s="8">
        <f t="shared" si="22"/>
        <v>0</v>
      </c>
      <c r="BX87" s="8">
        <f t="shared" si="23"/>
        <v>0</v>
      </c>
      <c r="BY87" s="15">
        <f t="shared" si="24"/>
        <v>0</v>
      </c>
      <c r="BZ87" s="15" t="str">
        <f t="shared" si="25"/>
        <v>OK - No Upgrade</v>
      </c>
      <c r="CA87" s="15" t="str">
        <f t="shared" si="26"/>
        <v>OK - Balanced</v>
      </c>
    </row>
    <row r="88" spans="1:79" ht="15.75" customHeight="1" x14ac:dyDescent="0.25">
      <c r="A88" s="8" t="s">
        <v>904</v>
      </c>
      <c r="B88" s="8" t="s">
        <v>4081</v>
      </c>
      <c r="C88" s="8" t="s">
        <v>3233</v>
      </c>
      <c r="D88" s="8" t="s">
        <v>4311</v>
      </c>
      <c r="E88" s="8" t="s">
        <v>4312</v>
      </c>
      <c r="F88" s="8" t="s">
        <v>43</v>
      </c>
      <c r="G88" s="8"/>
      <c r="H88" s="8">
        <v>315</v>
      </c>
      <c r="I88" s="8" t="s">
        <v>4313</v>
      </c>
      <c r="J88" s="8">
        <v>1</v>
      </c>
      <c r="K88" s="8">
        <v>240</v>
      </c>
      <c r="L88" s="8">
        <v>241</v>
      </c>
      <c r="M88" s="8">
        <v>239</v>
      </c>
      <c r="N88" s="8">
        <v>419</v>
      </c>
      <c r="O88" s="8">
        <v>415</v>
      </c>
      <c r="P88" s="8">
        <v>417</v>
      </c>
      <c r="Q88" s="9" t="s">
        <v>47</v>
      </c>
      <c r="R88" s="16"/>
      <c r="S88" s="10">
        <v>6</v>
      </c>
      <c r="T88" s="10">
        <v>15</v>
      </c>
      <c r="U88" s="10">
        <v>0</v>
      </c>
      <c r="V88" s="11">
        <v>9</v>
      </c>
      <c r="W88" s="12" t="s">
        <v>46</v>
      </c>
      <c r="X88" s="17"/>
      <c r="Y88" s="13">
        <v>135</v>
      </c>
      <c r="Z88" s="13">
        <v>75</v>
      </c>
      <c r="AA88" s="13">
        <v>71</v>
      </c>
      <c r="AB88" s="14">
        <v>49</v>
      </c>
      <c r="AC88" s="9"/>
      <c r="AD88" s="16"/>
      <c r="AE88" s="10"/>
      <c r="AF88" s="10"/>
      <c r="AG88" s="10"/>
      <c r="AH88" s="11"/>
      <c r="AI88" s="12"/>
      <c r="AJ88" s="17"/>
      <c r="AK88" s="13"/>
      <c r="AL88" s="13"/>
      <c r="AM88" s="13"/>
      <c r="AN88" s="14"/>
      <c r="AO88" s="9"/>
      <c r="AP88" s="16"/>
      <c r="AQ88" s="10"/>
      <c r="AR88" s="10"/>
      <c r="AS88" s="10"/>
      <c r="AT88" s="11"/>
      <c r="AU88" s="12"/>
      <c r="AV88" s="17"/>
      <c r="AW88" s="13"/>
      <c r="AX88" s="13"/>
      <c r="AY88" s="13"/>
      <c r="AZ88" s="14"/>
      <c r="BA88" s="9"/>
      <c r="BB88" s="16"/>
      <c r="BC88" s="10"/>
      <c r="BD88" s="10"/>
      <c r="BE88" s="10"/>
      <c r="BF88" s="11"/>
      <c r="BG88" s="12"/>
      <c r="BH88" s="17"/>
      <c r="BI88" s="13"/>
      <c r="BJ88" s="13"/>
      <c r="BK88" s="13"/>
      <c r="BL88" s="14"/>
      <c r="BM88" s="9"/>
      <c r="BN88" s="16"/>
      <c r="BO88" s="10"/>
      <c r="BP88" s="10"/>
      <c r="BQ88" s="10"/>
      <c r="BR88" s="11"/>
      <c r="BS88" s="8">
        <f t="shared" si="18"/>
        <v>141</v>
      </c>
      <c r="BT88" s="8">
        <f t="shared" si="19"/>
        <v>90</v>
      </c>
      <c r="BU88" s="8">
        <f t="shared" si="20"/>
        <v>71</v>
      </c>
      <c r="BV88" s="8">
        <f t="shared" si="21"/>
        <v>58</v>
      </c>
      <c r="BW88" s="8">
        <f t="shared" si="22"/>
        <v>141</v>
      </c>
      <c r="BX88" s="8">
        <f t="shared" si="23"/>
        <v>71</v>
      </c>
      <c r="BY88" s="15">
        <f t="shared" si="24"/>
        <v>32.485025289003708</v>
      </c>
      <c r="BZ88" s="15" t="str">
        <f t="shared" si="25"/>
        <v>OK - No Upgrade</v>
      </c>
      <c r="CA88" s="15" t="str">
        <f t="shared" si="26"/>
        <v>Need to Balance</v>
      </c>
    </row>
    <row r="89" spans="1:79" ht="15.75" customHeight="1" x14ac:dyDescent="0.25">
      <c r="A89" s="8" t="s">
        <v>904</v>
      </c>
      <c r="B89" s="8" t="s">
        <v>4081</v>
      </c>
      <c r="C89" s="8" t="s">
        <v>3233</v>
      </c>
      <c r="D89" s="8" t="s">
        <v>4314</v>
      </c>
      <c r="E89" s="8" t="s">
        <v>4315</v>
      </c>
      <c r="F89" s="8" t="s">
        <v>43</v>
      </c>
      <c r="G89" s="8"/>
      <c r="H89" s="8">
        <v>315</v>
      </c>
      <c r="I89" s="8" t="s">
        <v>4316</v>
      </c>
      <c r="J89" s="8">
        <v>1</v>
      </c>
      <c r="K89" s="8">
        <v>241</v>
      </c>
      <c r="L89" s="8">
        <v>242</v>
      </c>
      <c r="M89" s="8">
        <v>243</v>
      </c>
      <c r="N89" s="8">
        <v>421</v>
      </c>
      <c r="O89" s="8">
        <v>425</v>
      </c>
      <c r="P89" s="8">
        <v>420</v>
      </c>
      <c r="Q89" s="9" t="s">
        <v>46</v>
      </c>
      <c r="R89" s="16"/>
      <c r="S89" s="10">
        <v>22</v>
      </c>
      <c r="T89" s="10">
        <v>17</v>
      </c>
      <c r="U89" s="10">
        <v>39</v>
      </c>
      <c r="V89" s="11">
        <v>15</v>
      </c>
      <c r="W89" s="12" t="s">
        <v>46</v>
      </c>
      <c r="X89" s="17"/>
      <c r="Y89" s="13">
        <v>1</v>
      </c>
      <c r="Z89" s="13">
        <v>15</v>
      </c>
      <c r="AA89" s="13">
        <v>39</v>
      </c>
      <c r="AB89" s="14">
        <v>21</v>
      </c>
      <c r="AC89" s="9"/>
      <c r="AD89" s="16"/>
      <c r="AE89" s="10"/>
      <c r="AF89" s="10"/>
      <c r="AG89" s="10"/>
      <c r="AH89" s="11"/>
      <c r="AI89" s="12"/>
      <c r="AJ89" s="17"/>
      <c r="AK89" s="13"/>
      <c r="AL89" s="13"/>
      <c r="AM89" s="13"/>
      <c r="AN89" s="14"/>
      <c r="AO89" s="9"/>
      <c r="AP89" s="16"/>
      <c r="AQ89" s="10"/>
      <c r="AR89" s="10"/>
      <c r="AS89" s="10"/>
      <c r="AT89" s="11"/>
      <c r="AU89" s="12"/>
      <c r="AV89" s="17"/>
      <c r="AW89" s="13"/>
      <c r="AX89" s="13"/>
      <c r="AY89" s="13"/>
      <c r="AZ89" s="14"/>
      <c r="BA89" s="9"/>
      <c r="BB89" s="16"/>
      <c r="BC89" s="10"/>
      <c r="BD89" s="10"/>
      <c r="BE89" s="10"/>
      <c r="BF89" s="11"/>
      <c r="BG89" s="12"/>
      <c r="BH89" s="17"/>
      <c r="BI89" s="13"/>
      <c r="BJ89" s="13"/>
      <c r="BK89" s="13"/>
      <c r="BL89" s="14"/>
      <c r="BM89" s="9"/>
      <c r="BN89" s="16"/>
      <c r="BO89" s="10"/>
      <c r="BP89" s="10"/>
      <c r="BQ89" s="10"/>
      <c r="BR89" s="11"/>
      <c r="BS89" s="8">
        <f t="shared" si="18"/>
        <v>23</v>
      </c>
      <c r="BT89" s="8">
        <f t="shared" si="19"/>
        <v>32</v>
      </c>
      <c r="BU89" s="8">
        <f t="shared" si="20"/>
        <v>78</v>
      </c>
      <c r="BV89" s="8">
        <f t="shared" si="21"/>
        <v>36</v>
      </c>
      <c r="BW89" s="8">
        <f t="shared" si="22"/>
        <v>78</v>
      </c>
      <c r="BX89" s="8">
        <f t="shared" si="23"/>
        <v>23</v>
      </c>
      <c r="BY89" s="15">
        <f t="shared" si="24"/>
        <v>18.056217275856127</v>
      </c>
      <c r="BZ89" s="15" t="str">
        <f t="shared" si="25"/>
        <v>OK - No Upgrade</v>
      </c>
      <c r="CA89" s="15" t="str">
        <f t="shared" si="26"/>
        <v>Need to Balance</v>
      </c>
    </row>
    <row r="90" spans="1:79" ht="15.75" customHeight="1" x14ac:dyDescent="0.25">
      <c r="A90" s="8" t="s">
        <v>904</v>
      </c>
      <c r="B90" s="8" t="s">
        <v>4081</v>
      </c>
      <c r="C90" s="8" t="s">
        <v>3233</v>
      </c>
      <c r="D90" s="8" t="s">
        <v>4317</v>
      </c>
      <c r="E90" s="8" t="s">
        <v>4318</v>
      </c>
      <c r="F90" s="8" t="s">
        <v>43</v>
      </c>
      <c r="G90" s="8"/>
      <c r="H90" s="8">
        <v>315</v>
      </c>
      <c r="I90" s="8" t="s">
        <v>4319</v>
      </c>
      <c r="J90" s="8">
        <v>1</v>
      </c>
      <c r="K90" s="8">
        <v>242</v>
      </c>
      <c r="L90" s="8">
        <v>243</v>
      </c>
      <c r="M90" s="8">
        <v>241</v>
      </c>
      <c r="N90" s="8">
        <v>422</v>
      </c>
      <c r="O90" s="8">
        <v>419</v>
      </c>
      <c r="P90" s="8">
        <v>420</v>
      </c>
      <c r="Q90" s="9" t="s">
        <v>47</v>
      </c>
      <c r="R90" s="16"/>
      <c r="S90" s="10">
        <v>0</v>
      </c>
      <c r="T90" s="10">
        <v>0</v>
      </c>
      <c r="U90" s="10">
        <v>0</v>
      </c>
      <c r="V90" s="11">
        <v>0</v>
      </c>
      <c r="W90" s="12"/>
      <c r="X90" s="17"/>
      <c r="Y90" s="13"/>
      <c r="Z90" s="13"/>
      <c r="AA90" s="13"/>
      <c r="AB90" s="14"/>
      <c r="AC90" s="9"/>
      <c r="AD90" s="16"/>
      <c r="AE90" s="10"/>
      <c r="AF90" s="10"/>
      <c r="AG90" s="10"/>
      <c r="AH90" s="11"/>
      <c r="AI90" s="12"/>
      <c r="AJ90" s="17"/>
      <c r="AK90" s="13"/>
      <c r="AL90" s="13"/>
      <c r="AM90" s="13"/>
      <c r="AN90" s="14"/>
      <c r="AO90" s="9"/>
      <c r="AP90" s="16"/>
      <c r="AQ90" s="10"/>
      <c r="AR90" s="10"/>
      <c r="AS90" s="10"/>
      <c r="AT90" s="11"/>
      <c r="AU90" s="12"/>
      <c r="AV90" s="17"/>
      <c r="AW90" s="13"/>
      <c r="AX90" s="13"/>
      <c r="AY90" s="13"/>
      <c r="AZ90" s="14"/>
      <c r="BA90" s="9"/>
      <c r="BB90" s="16"/>
      <c r="BC90" s="10"/>
      <c r="BD90" s="10"/>
      <c r="BE90" s="10"/>
      <c r="BF90" s="11"/>
      <c r="BG90" s="12"/>
      <c r="BH90" s="17"/>
      <c r="BI90" s="13"/>
      <c r="BJ90" s="13"/>
      <c r="BK90" s="13"/>
      <c r="BL90" s="14"/>
      <c r="BM90" s="9"/>
      <c r="BN90" s="16"/>
      <c r="BO90" s="10"/>
      <c r="BP90" s="10"/>
      <c r="BQ90" s="10"/>
      <c r="BR90" s="11"/>
      <c r="BS90" s="8">
        <f t="shared" si="18"/>
        <v>0</v>
      </c>
      <c r="BT90" s="8">
        <f t="shared" si="19"/>
        <v>0</v>
      </c>
      <c r="BU90" s="8">
        <f t="shared" si="20"/>
        <v>0</v>
      </c>
      <c r="BV90" s="8">
        <f t="shared" si="21"/>
        <v>0</v>
      </c>
      <c r="BW90" s="8">
        <f t="shared" si="22"/>
        <v>0</v>
      </c>
      <c r="BX90" s="8">
        <f t="shared" si="23"/>
        <v>0</v>
      </c>
      <c r="BY90" s="15">
        <f t="shared" si="24"/>
        <v>0</v>
      </c>
      <c r="BZ90" s="15" t="str">
        <f t="shared" si="25"/>
        <v>OK - No Upgrade</v>
      </c>
      <c r="CA90" s="15" t="str">
        <f t="shared" si="26"/>
        <v>OK - Balanced</v>
      </c>
    </row>
    <row r="91" spans="1:79" ht="15.75" customHeight="1" x14ac:dyDescent="0.25">
      <c r="A91" s="8" t="s">
        <v>904</v>
      </c>
      <c r="B91" s="8" t="s">
        <v>4081</v>
      </c>
      <c r="C91" s="8" t="s">
        <v>3233</v>
      </c>
      <c r="D91" s="8" t="s">
        <v>4320</v>
      </c>
      <c r="E91" s="8" t="s">
        <v>4321</v>
      </c>
      <c r="F91" s="8" t="s">
        <v>43</v>
      </c>
      <c r="G91" s="8"/>
      <c r="H91" s="8">
        <v>315</v>
      </c>
      <c r="I91" s="8" t="s">
        <v>4322</v>
      </c>
      <c r="J91" s="8">
        <v>1</v>
      </c>
      <c r="K91" s="8">
        <v>242</v>
      </c>
      <c r="L91" s="8">
        <v>243</v>
      </c>
      <c r="M91" s="8">
        <v>240</v>
      </c>
      <c r="N91" s="8">
        <v>424</v>
      </c>
      <c r="O91" s="8">
        <v>425</v>
      </c>
      <c r="P91" s="8">
        <v>422</v>
      </c>
      <c r="Q91" s="9" t="s">
        <v>47</v>
      </c>
      <c r="R91" s="16"/>
      <c r="S91" s="10">
        <v>9</v>
      </c>
      <c r="T91" s="10">
        <v>11</v>
      </c>
      <c r="U91" s="10">
        <v>15</v>
      </c>
      <c r="V91" s="11">
        <v>7</v>
      </c>
      <c r="W91" s="12"/>
      <c r="X91" s="17"/>
      <c r="Y91" s="13"/>
      <c r="Z91" s="13"/>
      <c r="AA91" s="13"/>
      <c r="AB91" s="14"/>
      <c r="AC91" s="9"/>
      <c r="AD91" s="16"/>
      <c r="AE91" s="10"/>
      <c r="AF91" s="10"/>
      <c r="AG91" s="10"/>
      <c r="AH91" s="11"/>
      <c r="AI91" s="12"/>
      <c r="AJ91" s="17"/>
      <c r="AK91" s="13"/>
      <c r="AL91" s="13"/>
      <c r="AM91" s="13"/>
      <c r="AN91" s="14"/>
      <c r="AO91" s="9"/>
      <c r="AP91" s="16"/>
      <c r="AQ91" s="10"/>
      <c r="AR91" s="10"/>
      <c r="AS91" s="10"/>
      <c r="AT91" s="11"/>
      <c r="AU91" s="12"/>
      <c r="AV91" s="17"/>
      <c r="AW91" s="13"/>
      <c r="AX91" s="13"/>
      <c r="AY91" s="13"/>
      <c r="AZ91" s="14"/>
      <c r="BA91" s="9"/>
      <c r="BB91" s="16"/>
      <c r="BC91" s="10"/>
      <c r="BD91" s="10"/>
      <c r="BE91" s="10"/>
      <c r="BF91" s="11"/>
      <c r="BG91" s="12"/>
      <c r="BH91" s="17"/>
      <c r="BI91" s="13"/>
      <c r="BJ91" s="13"/>
      <c r="BK91" s="13"/>
      <c r="BL91" s="14"/>
      <c r="BM91" s="9"/>
      <c r="BN91" s="16"/>
      <c r="BO91" s="10"/>
      <c r="BP91" s="10"/>
      <c r="BQ91" s="10"/>
      <c r="BR91" s="11"/>
      <c r="BS91" s="8">
        <f t="shared" si="18"/>
        <v>9</v>
      </c>
      <c r="BT91" s="8">
        <f t="shared" si="19"/>
        <v>11</v>
      </c>
      <c r="BU91" s="8">
        <f t="shared" si="20"/>
        <v>15</v>
      </c>
      <c r="BV91" s="8">
        <f t="shared" si="21"/>
        <v>7</v>
      </c>
      <c r="BW91" s="8">
        <f t="shared" si="22"/>
        <v>15</v>
      </c>
      <c r="BX91" s="8">
        <f t="shared" si="23"/>
        <v>9</v>
      </c>
      <c r="BY91" s="15">
        <f t="shared" si="24"/>
        <v>3.4970930590914473</v>
      </c>
      <c r="BZ91" s="15" t="str">
        <f t="shared" si="25"/>
        <v>OK - No Upgrade</v>
      </c>
      <c r="CA91" s="15" t="str">
        <f t="shared" si="26"/>
        <v>Need to Balance</v>
      </c>
    </row>
    <row r="92" spans="1:79" ht="15.75" customHeight="1" x14ac:dyDescent="0.25">
      <c r="A92" s="8" t="s">
        <v>904</v>
      </c>
      <c r="B92" s="8" t="s">
        <v>4081</v>
      </c>
      <c r="C92" s="8" t="s">
        <v>3233</v>
      </c>
      <c r="D92" s="8" t="s">
        <v>4323</v>
      </c>
      <c r="E92" s="8" t="s">
        <v>4324</v>
      </c>
      <c r="F92" s="8" t="s">
        <v>43</v>
      </c>
      <c r="G92" s="8"/>
      <c r="H92" s="8">
        <v>315</v>
      </c>
      <c r="I92" s="8" t="s">
        <v>4325</v>
      </c>
      <c r="J92" s="8">
        <v>1</v>
      </c>
      <c r="K92" s="8">
        <v>241</v>
      </c>
      <c r="L92" s="8">
        <v>240</v>
      </c>
      <c r="M92" s="8">
        <v>242</v>
      </c>
      <c r="N92" s="8">
        <v>422</v>
      </c>
      <c r="O92" s="8">
        <v>424</v>
      </c>
      <c r="P92" s="8">
        <v>421</v>
      </c>
      <c r="Q92" s="9" t="s">
        <v>46</v>
      </c>
      <c r="R92" s="16"/>
      <c r="S92" s="10">
        <v>31</v>
      </c>
      <c r="T92" s="10">
        <v>25</v>
      </c>
      <c r="U92" s="10">
        <v>39</v>
      </c>
      <c r="V92" s="11">
        <v>15</v>
      </c>
      <c r="W92" s="12" t="s">
        <v>46</v>
      </c>
      <c r="X92" s="17"/>
      <c r="Y92" s="13">
        <v>90</v>
      </c>
      <c r="Z92" s="13">
        <v>101</v>
      </c>
      <c r="AA92" s="13">
        <v>15</v>
      </c>
      <c r="AB92" s="14">
        <v>20</v>
      </c>
      <c r="AC92" s="9"/>
      <c r="AD92" s="16"/>
      <c r="AE92" s="10"/>
      <c r="AF92" s="10"/>
      <c r="AG92" s="10"/>
      <c r="AH92" s="11"/>
      <c r="AI92" s="12"/>
      <c r="AJ92" s="17"/>
      <c r="AK92" s="13"/>
      <c r="AL92" s="13"/>
      <c r="AM92" s="13"/>
      <c r="AN92" s="14"/>
      <c r="AO92" s="9"/>
      <c r="AP92" s="16"/>
      <c r="AQ92" s="10"/>
      <c r="AR92" s="10"/>
      <c r="AS92" s="10"/>
      <c r="AT92" s="11"/>
      <c r="AU92" s="12"/>
      <c r="AV92" s="17"/>
      <c r="AW92" s="13"/>
      <c r="AX92" s="13"/>
      <c r="AY92" s="13"/>
      <c r="AZ92" s="14"/>
      <c r="BA92" s="9"/>
      <c r="BB92" s="16"/>
      <c r="BC92" s="10"/>
      <c r="BD92" s="10"/>
      <c r="BE92" s="10"/>
      <c r="BF92" s="11"/>
      <c r="BG92" s="12"/>
      <c r="BH92" s="17"/>
      <c r="BI92" s="13"/>
      <c r="BJ92" s="13"/>
      <c r="BK92" s="13"/>
      <c r="BL92" s="14"/>
      <c r="BM92" s="9"/>
      <c r="BN92" s="16"/>
      <c r="BO92" s="10"/>
      <c r="BP92" s="10"/>
      <c r="BQ92" s="10"/>
      <c r="BR92" s="11"/>
      <c r="BS92" s="8">
        <f t="shared" si="18"/>
        <v>121</v>
      </c>
      <c r="BT92" s="8">
        <f t="shared" si="19"/>
        <v>126</v>
      </c>
      <c r="BU92" s="8">
        <f t="shared" si="20"/>
        <v>54</v>
      </c>
      <c r="BV92" s="8">
        <f t="shared" si="21"/>
        <v>35</v>
      </c>
      <c r="BW92" s="8">
        <f t="shared" si="22"/>
        <v>126</v>
      </c>
      <c r="BX92" s="8">
        <f t="shared" si="23"/>
        <v>54</v>
      </c>
      <c r="BY92" s="15">
        <f t="shared" si="24"/>
        <v>29.237017631762647</v>
      </c>
      <c r="BZ92" s="15" t="str">
        <f t="shared" si="25"/>
        <v>OK - No Upgrade</v>
      </c>
      <c r="CA92" s="15" t="str">
        <f t="shared" si="26"/>
        <v>Need to Balance</v>
      </c>
    </row>
    <row r="93" spans="1:79" ht="15.75" customHeight="1" x14ac:dyDescent="0.25">
      <c r="A93" s="8" t="s">
        <v>904</v>
      </c>
      <c r="B93" s="8" t="s">
        <v>4081</v>
      </c>
      <c r="C93" s="8" t="s">
        <v>3233</v>
      </c>
      <c r="D93" s="8" t="s">
        <v>4326</v>
      </c>
      <c r="E93" s="8" t="s">
        <v>4327</v>
      </c>
      <c r="F93" s="8" t="s">
        <v>56</v>
      </c>
      <c r="G93" s="8"/>
      <c r="H93" s="8">
        <v>1000</v>
      </c>
      <c r="I93" s="8" t="s">
        <v>4328</v>
      </c>
      <c r="J93" s="8">
        <v>1</v>
      </c>
      <c r="K93" s="8">
        <v>243</v>
      </c>
      <c r="L93" s="8">
        <v>244</v>
      </c>
      <c r="M93" s="8">
        <v>241</v>
      </c>
      <c r="N93" s="8">
        <v>426</v>
      </c>
      <c r="O93" s="8">
        <v>420</v>
      </c>
      <c r="P93" s="8">
        <v>427</v>
      </c>
      <c r="Q93" s="9" t="s">
        <v>47</v>
      </c>
      <c r="R93" s="16"/>
      <c r="S93" s="10">
        <v>60</v>
      </c>
      <c r="T93" s="10">
        <v>25</v>
      </c>
      <c r="U93" s="10">
        <v>35</v>
      </c>
      <c r="V93" s="11">
        <v>31</v>
      </c>
      <c r="W93" s="12" t="s">
        <v>47</v>
      </c>
      <c r="X93" s="17"/>
      <c r="Y93" s="13">
        <v>81</v>
      </c>
      <c r="Z93" s="13">
        <v>75</v>
      </c>
      <c r="AA93" s="13">
        <v>79</v>
      </c>
      <c r="AB93" s="14">
        <v>25</v>
      </c>
      <c r="AC93" s="9"/>
      <c r="AD93" s="16"/>
      <c r="AE93" s="10"/>
      <c r="AF93" s="10"/>
      <c r="AG93" s="10"/>
      <c r="AH93" s="11"/>
      <c r="AI93" s="12"/>
      <c r="AJ93" s="17"/>
      <c r="AK93" s="13"/>
      <c r="AL93" s="13"/>
      <c r="AM93" s="13"/>
      <c r="AN93" s="14"/>
      <c r="AO93" s="9"/>
      <c r="AP93" s="16"/>
      <c r="AQ93" s="10"/>
      <c r="AR93" s="10"/>
      <c r="AS93" s="10"/>
      <c r="AT93" s="11"/>
      <c r="AU93" s="12"/>
      <c r="AV93" s="17"/>
      <c r="AW93" s="13"/>
      <c r="AX93" s="13"/>
      <c r="AY93" s="13"/>
      <c r="AZ93" s="14"/>
      <c r="BA93" s="9"/>
      <c r="BB93" s="16"/>
      <c r="BC93" s="10"/>
      <c r="BD93" s="10"/>
      <c r="BE93" s="10"/>
      <c r="BF93" s="11"/>
      <c r="BG93" s="12"/>
      <c r="BH93" s="17"/>
      <c r="BI93" s="13"/>
      <c r="BJ93" s="13"/>
      <c r="BK93" s="13"/>
      <c r="BL93" s="14"/>
      <c r="BM93" s="9"/>
      <c r="BN93" s="16"/>
      <c r="BO93" s="10"/>
      <c r="BP93" s="10"/>
      <c r="BQ93" s="10"/>
      <c r="BR93" s="11"/>
      <c r="BS93" s="8">
        <f t="shared" si="18"/>
        <v>141</v>
      </c>
      <c r="BT93" s="8">
        <f t="shared" si="19"/>
        <v>100</v>
      </c>
      <c r="BU93" s="8">
        <f t="shared" si="20"/>
        <v>114</v>
      </c>
      <c r="BV93" s="8">
        <f t="shared" si="21"/>
        <v>56</v>
      </c>
      <c r="BW93" s="8">
        <f t="shared" si="22"/>
        <v>141</v>
      </c>
      <c r="BX93" s="8">
        <f t="shared" si="23"/>
        <v>100</v>
      </c>
      <c r="BY93" s="15">
        <f t="shared" si="24"/>
        <v>10.403736380743219</v>
      </c>
      <c r="BZ93" s="15" t="str">
        <f t="shared" si="25"/>
        <v>OK - No Upgrade</v>
      </c>
      <c r="CA93" s="15" t="str">
        <f t="shared" si="26"/>
        <v>Need to Balance</v>
      </c>
    </row>
    <row r="94" spans="1:79" ht="15.75" customHeight="1" x14ac:dyDescent="0.25">
      <c r="A94" s="8" t="s">
        <v>904</v>
      </c>
      <c r="B94" s="8" t="s">
        <v>4081</v>
      </c>
      <c r="C94" s="8" t="s">
        <v>3233</v>
      </c>
      <c r="D94" s="8" t="s">
        <v>4329</v>
      </c>
      <c r="E94" s="8" t="s">
        <v>4330</v>
      </c>
      <c r="F94" s="8" t="s">
        <v>43</v>
      </c>
      <c r="G94" s="8"/>
      <c r="H94" s="8">
        <v>315</v>
      </c>
      <c r="I94" s="8" t="s">
        <v>4331</v>
      </c>
      <c r="J94" s="8">
        <v>1</v>
      </c>
      <c r="K94" s="8">
        <v>245</v>
      </c>
      <c r="L94" s="8">
        <v>246</v>
      </c>
      <c r="M94" s="8">
        <v>244</v>
      </c>
      <c r="N94" s="8">
        <v>424</v>
      </c>
      <c r="O94" s="8">
        <v>425</v>
      </c>
      <c r="P94" s="8">
        <v>423</v>
      </c>
      <c r="Q94" s="9" t="s">
        <v>46</v>
      </c>
      <c r="R94" s="16"/>
      <c r="S94" s="10">
        <v>50</v>
      </c>
      <c r="T94" s="10">
        <v>40</v>
      </c>
      <c r="U94" s="10">
        <v>90</v>
      </c>
      <c r="V94" s="11">
        <v>45</v>
      </c>
      <c r="W94" s="12" t="s">
        <v>46</v>
      </c>
      <c r="X94" s="17"/>
      <c r="Y94" s="13">
        <v>3</v>
      </c>
      <c r="Z94" s="13">
        <v>1</v>
      </c>
      <c r="AA94" s="13">
        <v>5</v>
      </c>
      <c r="AB94" s="14">
        <v>3</v>
      </c>
      <c r="AC94" s="9"/>
      <c r="AD94" s="16"/>
      <c r="AE94" s="10"/>
      <c r="AF94" s="10"/>
      <c r="AG94" s="10"/>
      <c r="AH94" s="11"/>
      <c r="AI94" s="12"/>
      <c r="AJ94" s="17"/>
      <c r="AK94" s="13"/>
      <c r="AL94" s="13"/>
      <c r="AM94" s="13"/>
      <c r="AN94" s="14"/>
      <c r="AO94" s="9"/>
      <c r="AP94" s="16"/>
      <c r="AQ94" s="10"/>
      <c r="AR94" s="10"/>
      <c r="AS94" s="10"/>
      <c r="AT94" s="11"/>
      <c r="AU94" s="12"/>
      <c r="AV94" s="17"/>
      <c r="AW94" s="13"/>
      <c r="AX94" s="13"/>
      <c r="AY94" s="13"/>
      <c r="AZ94" s="14"/>
      <c r="BA94" s="9"/>
      <c r="BB94" s="16"/>
      <c r="BC94" s="10"/>
      <c r="BD94" s="10"/>
      <c r="BE94" s="10"/>
      <c r="BF94" s="11"/>
      <c r="BG94" s="12"/>
      <c r="BH94" s="17"/>
      <c r="BI94" s="13"/>
      <c r="BJ94" s="13"/>
      <c r="BK94" s="13"/>
      <c r="BL94" s="14"/>
      <c r="BM94" s="9"/>
      <c r="BN94" s="16"/>
      <c r="BO94" s="10"/>
      <c r="BP94" s="10"/>
      <c r="BQ94" s="10"/>
      <c r="BR94" s="11"/>
      <c r="BS94" s="8">
        <f t="shared" si="18"/>
        <v>53</v>
      </c>
      <c r="BT94" s="8">
        <f t="shared" si="19"/>
        <v>41</v>
      </c>
      <c r="BU94" s="8">
        <f t="shared" si="20"/>
        <v>95</v>
      </c>
      <c r="BV94" s="8">
        <f t="shared" si="21"/>
        <v>48</v>
      </c>
      <c r="BW94" s="8">
        <f t="shared" si="22"/>
        <v>95</v>
      </c>
      <c r="BX94" s="8">
        <f t="shared" si="23"/>
        <v>41</v>
      </c>
      <c r="BY94" s="15">
        <f t="shared" si="24"/>
        <v>22.148256040912496</v>
      </c>
      <c r="BZ94" s="15" t="str">
        <f t="shared" si="25"/>
        <v>OK - No Upgrade</v>
      </c>
      <c r="CA94" s="15" t="str">
        <f t="shared" si="26"/>
        <v>Need to Balance</v>
      </c>
    </row>
    <row r="95" spans="1:79" ht="15.75" customHeight="1" x14ac:dyDescent="0.25">
      <c r="A95" s="8" t="s">
        <v>904</v>
      </c>
      <c r="B95" s="8" t="s">
        <v>4081</v>
      </c>
      <c r="C95" s="8" t="s">
        <v>3233</v>
      </c>
      <c r="D95" s="8" t="s">
        <v>4332</v>
      </c>
      <c r="E95" s="8" t="s">
        <v>4333</v>
      </c>
      <c r="F95" s="8" t="s">
        <v>43</v>
      </c>
      <c r="G95" s="8"/>
      <c r="H95" s="8">
        <v>315</v>
      </c>
      <c r="I95" s="8" t="s">
        <v>852</v>
      </c>
      <c r="J95" s="8">
        <v>1</v>
      </c>
      <c r="K95" s="8">
        <v>245</v>
      </c>
      <c r="L95" s="8">
        <v>244</v>
      </c>
      <c r="M95" s="8">
        <v>246</v>
      </c>
      <c r="N95" s="8">
        <v>425</v>
      </c>
      <c r="O95" s="8">
        <v>424</v>
      </c>
      <c r="P95" s="8">
        <v>423</v>
      </c>
      <c r="Q95" s="9" t="s">
        <v>70</v>
      </c>
      <c r="R95" s="16"/>
      <c r="S95" s="10">
        <v>40</v>
      </c>
      <c r="T95" s="10">
        <v>25</v>
      </c>
      <c r="U95" s="10">
        <v>40</v>
      </c>
      <c r="V95" s="11">
        <v>25</v>
      </c>
      <c r="W95" s="12" t="s">
        <v>47</v>
      </c>
      <c r="X95" s="17"/>
      <c r="Y95" s="13">
        <v>45</v>
      </c>
      <c r="Z95" s="13">
        <v>11</v>
      </c>
      <c r="AA95" s="13">
        <v>60</v>
      </c>
      <c r="AB95" s="14">
        <v>40</v>
      </c>
      <c r="AC95" s="9"/>
      <c r="AD95" s="16"/>
      <c r="AE95" s="10"/>
      <c r="AF95" s="10"/>
      <c r="AG95" s="10"/>
      <c r="AH95" s="11"/>
      <c r="AI95" s="12"/>
      <c r="AJ95" s="17"/>
      <c r="AK95" s="13"/>
      <c r="AL95" s="13"/>
      <c r="AM95" s="13"/>
      <c r="AN95" s="14"/>
      <c r="AO95" s="9"/>
      <c r="AP95" s="16"/>
      <c r="AQ95" s="10"/>
      <c r="AR95" s="10"/>
      <c r="AS95" s="10"/>
      <c r="AT95" s="11"/>
      <c r="AU95" s="12"/>
      <c r="AV95" s="17"/>
      <c r="AW95" s="13"/>
      <c r="AX95" s="13"/>
      <c r="AY95" s="13"/>
      <c r="AZ95" s="14"/>
      <c r="BA95" s="9"/>
      <c r="BB95" s="16"/>
      <c r="BC95" s="10"/>
      <c r="BD95" s="10"/>
      <c r="BE95" s="10"/>
      <c r="BF95" s="11"/>
      <c r="BG95" s="12"/>
      <c r="BH95" s="17"/>
      <c r="BI95" s="13"/>
      <c r="BJ95" s="13"/>
      <c r="BK95" s="13"/>
      <c r="BL95" s="14"/>
      <c r="BM95" s="9"/>
      <c r="BN95" s="16"/>
      <c r="BO95" s="10"/>
      <c r="BP95" s="10"/>
      <c r="BQ95" s="10"/>
      <c r="BR95" s="11"/>
      <c r="BS95" s="8">
        <f t="shared" si="18"/>
        <v>85</v>
      </c>
      <c r="BT95" s="8">
        <f t="shared" si="19"/>
        <v>36</v>
      </c>
      <c r="BU95" s="8">
        <f t="shared" si="20"/>
        <v>100</v>
      </c>
      <c r="BV95" s="8">
        <f t="shared" si="21"/>
        <v>65</v>
      </c>
      <c r="BW95" s="8">
        <f t="shared" si="22"/>
        <v>100</v>
      </c>
      <c r="BX95" s="8">
        <f t="shared" si="23"/>
        <v>36</v>
      </c>
      <c r="BY95" s="15">
        <f t="shared" si="24"/>
        <v>23.368939467199141</v>
      </c>
      <c r="BZ95" s="15" t="str">
        <f t="shared" si="25"/>
        <v>OK - No Upgrade</v>
      </c>
      <c r="CA95" s="15" t="str">
        <f t="shared" si="26"/>
        <v>Need to Balance</v>
      </c>
    </row>
    <row r="96" spans="1:79" ht="15.75" customHeight="1" x14ac:dyDescent="0.25">
      <c r="A96" s="8" t="s">
        <v>904</v>
      </c>
      <c r="B96" s="8" t="s">
        <v>4081</v>
      </c>
      <c r="C96" s="8" t="s">
        <v>3233</v>
      </c>
      <c r="D96" s="8" t="s">
        <v>4334</v>
      </c>
      <c r="E96" s="8" t="s">
        <v>4335</v>
      </c>
      <c r="F96" s="8" t="s">
        <v>43</v>
      </c>
      <c r="G96" s="8"/>
      <c r="H96" s="8">
        <v>315</v>
      </c>
      <c r="I96" s="8" t="s">
        <v>1613</v>
      </c>
      <c r="J96" s="8">
        <v>1</v>
      </c>
      <c r="K96" s="8">
        <v>245</v>
      </c>
      <c r="L96" s="8">
        <v>245</v>
      </c>
      <c r="M96" s="8">
        <v>243</v>
      </c>
      <c r="N96" s="8">
        <v>427</v>
      </c>
      <c r="O96" s="8">
        <v>425</v>
      </c>
      <c r="P96" s="8">
        <v>426</v>
      </c>
      <c r="Q96" s="9" t="s">
        <v>46</v>
      </c>
      <c r="R96" s="16"/>
      <c r="S96" s="10">
        <v>7</v>
      </c>
      <c r="T96" s="10">
        <v>22</v>
      </c>
      <c r="U96" s="10">
        <v>25</v>
      </c>
      <c r="V96" s="11">
        <v>15</v>
      </c>
      <c r="W96" s="12" t="s">
        <v>46</v>
      </c>
      <c r="X96" s="17"/>
      <c r="Y96" s="13">
        <v>0</v>
      </c>
      <c r="Z96" s="13">
        <v>0</v>
      </c>
      <c r="AA96" s="13">
        <v>0</v>
      </c>
      <c r="AB96" s="14">
        <v>0</v>
      </c>
      <c r="AC96" s="9"/>
      <c r="AD96" s="16"/>
      <c r="AE96" s="10"/>
      <c r="AF96" s="10"/>
      <c r="AG96" s="10"/>
      <c r="AH96" s="11"/>
      <c r="AI96" s="12"/>
      <c r="AJ96" s="17"/>
      <c r="AK96" s="13"/>
      <c r="AL96" s="13"/>
      <c r="AM96" s="13"/>
      <c r="AN96" s="14"/>
      <c r="AO96" s="9"/>
      <c r="AP96" s="16"/>
      <c r="AQ96" s="10"/>
      <c r="AR96" s="10"/>
      <c r="AS96" s="10"/>
      <c r="AT96" s="11"/>
      <c r="AU96" s="12"/>
      <c r="AV96" s="17"/>
      <c r="AW96" s="13"/>
      <c r="AX96" s="13"/>
      <c r="AY96" s="13"/>
      <c r="AZ96" s="14"/>
      <c r="BA96" s="9"/>
      <c r="BB96" s="16"/>
      <c r="BC96" s="10"/>
      <c r="BD96" s="10"/>
      <c r="BE96" s="10"/>
      <c r="BF96" s="11"/>
      <c r="BG96" s="12"/>
      <c r="BH96" s="17"/>
      <c r="BI96" s="13"/>
      <c r="BJ96" s="13"/>
      <c r="BK96" s="13"/>
      <c r="BL96" s="14"/>
      <c r="BM96" s="9"/>
      <c r="BN96" s="16"/>
      <c r="BO96" s="10"/>
      <c r="BP96" s="10"/>
      <c r="BQ96" s="10"/>
      <c r="BR96" s="11"/>
      <c r="BS96" s="8">
        <f t="shared" si="18"/>
        <v>7</v>
      </c>
      <c r="BT96" s="8">
        <f t="shared" si="19"/>
        <v>22</v>
      </c>
      <c r="BU96" s="8">
        <f t="shared" si="20"/>
        <v>25</v>
      </c>
      <c r="BV96" s="8">
        <f t="shared" si="21"/>
        <v>15</v>
      </c>
      <c r="BW96" s="8">
        <f t="shared" si="22"/>
        <v>25</v>
      </c>
      <c r="BX96" s="8">
        <f t="shared" si="23"/>
        <v>7</v>
      </c>
      <c r="BY96" s="15">
        <f t="shared" si="24"/>
        <v>5.8697277367611944</v>
      </c>
      <c r="BZ96" s="15" t="str">
        <f t="shared" si="25"/>
        <v>OK - No Upgrade</v>
      </c>
      <c r="CA96" s="15" t="str">
        <f t="shared" si="26"/>
        <v>Need to Balance</v>
      </c>
    </row>
    <row r="97" spans="1:79" ht="15.75" customHeight="1" x14ac:dyDescent="0.25">
      <c r="A97" s="8" t="s">
        <v>904</v>
      </c>
      <c r="B97" s="8" t="s">
        <v>4081</v>
      </c>
      <c r="C97" s="8" t="s">
        <v>3233</v>
      </c>
      <c r="D97" s="8" t="s">
        <v>4336</v>
      </c>
      <c r="E97" s="8" t="s">
        <v>4337</v>
      </c>
      <c r="F97" s="8" t="s">
        <v>43</v>
      </c>
      <c r="G97" s="8"/>
      <c r="H97" s="8">
        <v>315</v>
      </c>
      <c r="I97" s="8" t="s">
        <v>4338</v>
      </c>
      <c r="J97" s="8">
        <v>1</v>
      </c>
      <c r="K97" s="8">
        <v>246</v>
      </c>
      <c r="L97" s="8">
        <v>245</v>
      </c>
      <c r="M97" s="8">
        <v>244</v>
      </c>
      <c r="N97" s="8">
        <v>431</v>
      </c>
      <c r="O97" s="8">
        <v>429</v>
      </c>
      <c r="P97" s="8">
        <v>420</v>
      </c>
      <c r="Q97" s="9" t="s">
        <v>47</v>
      </c>
      <c r="R97" s="16"/>
      <c r="S97" s="10">
        <v>0</v>
      </c>
      <c r="T97" s="10">
        <v>0</v>
      </c>
      <c r="U97" s="10">
        <v>0</v>
      </c>
      <c r="V97" s="11">
        <v>0</v>
      </c>
      <c r="W97" s="12"/>
      <c r="X97" s="17"/>
      <c r="Y97" s="13"/>
      <c r="Z97" s="13"/>
      <c r="AA97" s="13"/>
      <c r="AB97" s="14"/>
      <c r="AC97" s="9"/>
      <c r="AD97" s="16"/>
      <c r="AE97" s="10"/>
      <c r="AF97" s="10"/>
      <c r="AG97" s="10"/>
      <c r="AH97" s="11"/>
      <c r="AI97" s="12"/>
      <c r="AJ97" s="17"/>
      <c r="AK97" s="13"/>
      <c r="AL97" s="13"/>
      <c r="AM97" s="13"/>
      <c r="AN97" s="14"/>
      <c r="AO97" s="9"/>
      <c r="AP97" s="16"/>
      <c r="AQ97" s="10"/>
      <c r="AR97" s="10"/>
      <c r="AS97" s="10"/>
      <c r="AT97" s="11"/>
      <c r="AU97" s="12"/>
      <c r="AV97" s="17"/>
      <c r="AW97" s="13"/>
      <c r="AX97" s="13"/>
      <c r="AY97" s="13"/>
      <c r="AZ97" s="14"/>
      <c r="BA97" s="9"/>
      <c r="BB97" s="16"/>
      <c r="BC97" s="10"/>
      <c r="BD97" s="10"/>
      <c r="BE97" s="10"/>
      <c r="BF97" s="11"/>
      <c r="BG97" s="12"/>
      <c r="BH97" s="17"/>
      <c r="BI97" s="13"/>
      <c r="BJ97" s="13"/>
      <c r="BK97" s="13"/>
      <c r="BL97" s="14"/>
      <c r="BM97" s="9"/>
      <c r="BN97" s="16"/>
      <c r="BO97" s="10"/>
      <c r="BP97" s="10"/>
      <c r="BQ97" s="10"/>
      <c r="BR97" s="11"/>
      <c r="BS97" s="8">
        <f t="shared" si="18"/>
        <v>0</v>
      </c>
      <c r="BT97" s="8">
        <f t="shared" si="19"/>
        <v>0</v>
      </c>
      <c r="BU97" s="8">
        <f t="shared" si="20"/>
        <v>0</v>
      </c>
      <c r="BV97" s="8">
        <f t="shared" si="21"/>
        <v>0</v>
      </c>
      <c r="BW97" s="8">
        <f t="shared" si="22"/>
        <v>0</v>
      </c>
      <c r="BX97" s="8">
        <f t="shared" si="23"/>
        <v>0</v>
      </c>
      <c r="BY97" s="15">
        <f t="shared" si="24"/>
        <v>0</v>
      </c>
      <c r="BZ97" s="15" t="str">
        <f t="shared" si="25"/>
        <v>OK - No Upgrade</v>
      </c>
      <c r="CA97" s="15" t="str">
        <f t="shared" si="26"/>
        <v>OK - Balanced</v>
      </c>
    </row>
    <row r="98" spans="1:79" ht="15.75" customHeight="1" x14ac:dyDescent="0.25">
      <c r="A98" s="8" t="s">
        <v>904</v>
      </c>
      <c r="B98" s="8" t="s">
        <v>4081</v>
      </c>
      <c r="C98" s="8" t="s">
        <v>3233</v>
      </c>
      <c r="D98" s="8" t="s">
        <v>4339</v>
      </c>
      <c r="E98" s="8" t="s">
        <v>4340</v>
      </c>
      <c r="F98" s="8" t="s">
        <v>43</v>
      </c>
      <c r="G98" s="8"/>
      <c r="H98" s="8">
        <v>315</v>
      </c>
      <c r="I98" s="8" t="s">
        <v>1615</v>
      </c>
      <c r="J98" s="8">
        <v>1</v>
      </c>
      <c r="K98" s="8">
        <v>245</v>
      </c>
      <c r="L98" s="8">
        <v>247</v>
      </c>
      <c r="M98" s="8">
        <v>248</v>
      </c>
      <c r="N98" s="8">
        <v>428</v>
      </c>
      <c r="O98" s="8">
        <v>420</v>
      </c>
      <c r="P98" s="8">
        <v>431</v>
      </c>
      <c r="Q98" s="9" t="s">
        <v>47</v>
      </c>
      <c r="R98" s="16"/>
      <c r="S98" s="10">
        <v>40</v>
      </c>
      <c r="T98" s="10">
        <v>39</v>
      </c>
      <c r="U98" s="10">
        <v>67</v>
      </c>
      <c r="V98" s="11">
        <v>30</v>
      </c>
      <c r="W98" s="12" t="s">
        <v>47</v>
      </c>
      <c r="X98" s="17"/>
      <c r="Y98" s="13">
        <v>90</v>
      </c>
      <c r="Z98" s="13">
        <v>25</v>
      </c>
      <c r="AA98" s="13">
        <v>15</v>
      </c>
      <c r="AB98" s="14">
        <v>57</v>
      </c>
      <c r="AC98" s="9"/>
      <c r="AD98" s="16"/>
      <c r="AE98" s="10"/>
      <c r="AF98" s="10"/>
      <c r="AG98" s="10"/>
      <c r="AH98" s="11"/>
      <c r="AI98" s="12"/>
      <c r="AJ98" s="17"/>
      <c r="AK98" s="13"/>
      <c r="AL98" s="13"/>
      <c r="AM98" s="13"/>
      <c r="AN98" s="14"/>
      <c r="AO98" s="9"/>
      <c r="AP98" s="16"/>
      <c r="AQ98" s="10"/>
      <c r="AR98" s="10"/>
      <c r="AS98" s="10"/>
      <c r="AT98" s="11"/>
      <c r="AU98" s="12"/>
      <c r="AV98" s="17"/>
      <c r="AW98" s="13"/>
      <c r="AX98" s="13"/>
      <c r="AY98" s="13"/>
      <c r="AZ98" s="14"/>
      <c r="BA98" s="9"/>
      <c r="BB98" s="16"/>
      <c r="BC98" s="10"/>
      <c r="BD98" s="10"/>
      <c r="BE98" s="10"/>
      <c r="BF98" s="11"/>
      <c r="BG98" s="12"/>
      <c r="BH98" s="17"/>
      <c r="BI98" s="13"/>
      <c r="BJ98" s="13"/>
      <c r="BK98" s="13"/>
      <c r="BL98" s="14"/>
      <c r="BM98" s="9"/>
      <c r="BN98" s="16"/>
      <c r="BO98" s="10"/>
      <c r="BP98" s="10"/>
      <c r="BQ98" s="10"/>
      <c r="BR98" s="11"/>
      <c r="BS98" s="8">
        <f t="shared" si="18"/>
        <v>130</v>
      </c>
      <c r="BT98" s="8">
        <f t="shared" si="19"/>
        <v>64</v>
      </c>
      <c r="BU98" s="8">
        <f t="shared" si="20"/>
        <v>82</v>
      </c>
      <c r="BV98" s="8">
        <f t="shared" si="21"/>
        <v>87</v>
      </c>
      <c r="BW98" s="8">
        <f t="shared" si="22"/>
        <v>130</v>
      </c>
      <c r="BX98" s="8">
        <f t="shared" si="23"/>
        <v>64</v>
      </c>
      <c r="BY98" s="15">
        <f t="shared" si="24"/>
        <v>30.594065693057882</v>
      </c>
      <c r="BZ98" s="15" t="str">
        <f t="shared" si="25"/>
        <v>OK - No Upgrade</v>
      </c>
      <c r="CA98" s="15" t="str">
        <f t="shared" si="26"/>
        <v>Need to Balance</v>
      </c>
    </row>
    <row r="99" spans="1:79" ht="15.75" customHeight="1" x14ac:dyDescent="0.25">
      <c r="A99" s="8" t="s">
        <v>904</v>
      </c>
      <c r="B99" s="8" t="s">
        <v>4081</v>
      </c>
      <c r="C99" s="8" t="s">
        <v>3233</v>
      </c>
      <c r="D99" s="8" t="s">
        <v>4341</v>
      </c>
      <c r="E99" s="8" t="s">
        <v>4342</v>
      </c>
      <c r="F99" s="8" t="s">
        <v>43</v>
      </c>
      <c r="G99" s="8"/>
      <c r="H99" s="8">
        <v>315</v>
      </c>
      <c r="I99" s="8" t="s">
        <v>1617</v>
      </c>
      <c r="J99" s="8">
        <v>1</v>
      </c>
      <c r="K99" s="8">
        <v>247</v>
      </c>
      <c r="L99" s="8">
        <v>245</v>
      </c>
      <c r="M99" s="8">
        <v>247</v>
      </c>
      <c r="N99" s="8">
        <v>432</v>
      </c>
      <c r="O99" s="8">
        <v>431</v>
      </c>
      <c r="P99" s="8">
        <v>430</v>
      </c>
      <c r="Q99" s="9" t="s">
        <v>47</v>
      </c>
      <c r="R99" s="16"/>
      <c r="S99" s="10">
        <v>20</v>
      </c>
      <c r="T99" s="10">
        <v>8</v>
      </c>
      <c r="U99" s="10">
        <v>0</v>
      </c>
      <c r="V99" s="11">
        <v>5</v>
      </c>
      <c r="W99" s="12" t="s">
        <v>47</v>
      </c>
      <c r="X99" s="17"/>
      <c r="Y99" s="13">
        <v>25</v>
      </c>
      <c r="Z99" s="13">
        <v>15</v>
      </c>
      <c r="AA99" s="13">
        <v>19</v>
      </c>
      <c r="AB99" s="14">
        <v>7</v>
      </c>
      <c r="AC99" s="9"/>
      <c r="AD99" s="16"/>
      <c r="AE99" s="10"/>
      <c r="AF99" s="10"/>
      <c r="AG99" s="10"/>
      <c r="AH99" s="11"/>
      <c r="AI99" s="12"/>
      <c r="AJ99" s="17"/>
      <c r="AK99" s="13"/>
      <c r="AL99" s="13"/>
      <c r="AM99" s="13"/>
      <c r="AN99" s="14"/>
      <c r="AO99" s="9"/>
      <c r="AP99" s="16"/>
      <c r="AQ99" s="10"/>
      <c r="AR99" s="10"/>
      <c r="AS99" s="10"/>
      <c r="AT99" s="11"/>
      <c r="AU99" s="12"/>
      <c r="AV99" s="17"/>
      <c r="AW99" s="13"/>
      <c r="AX99" s="13"/>
      <c r="AY99" s="13"/>
      <c r="AZ99" s="14"/>
      <c r="BA99" s="9"/>
      <c r="BB99" s="16"/>
      <c r="BC99" s="10"/>
      <c r="BD99" s="10"/>
      <c r="BE99" s="10"/>
      <c r="BF99" s="11"/>
      <c r="BG99" s="12"/>
      <c r="BH99" s="17"/>
      <c r="BI99" s="13"/>
      <c r="BJ99" s="13"/>
      <c r="BK99" s="13"/>
      <c r="BL99" s="14"/>
      <c r="BM99" s="9"/>
      <c r="BN99" s="16"/>
      <c r="BO99" s="10"/>
      <c r="BP99" s="10"/>
      <c r="BQ99" s="10"/>
      <c r="BR99" s="11"/>
      <c r="BS99" s="8">
        <f t="shared" si="18"/>
        <v>45</v>
      </c>
      <c r="BT99" s="8">
        <f t="shared" si="19"/>
        <v>23</v>
      </c>
      <c r="BU99" s="8">
        <f t="shared" si="20"/>
        <v>19</v>
      </c>
      <c r="BV99" s="8">
        <f t="shared" si="21"/>
        <v>12</v>
      </c>
      <c r="BW99" s="8">
        <f t="shared" si="22"/>
        <v>45</v>
      </c>
      <c r="BX99" s="8">
        <f t="shared" si="23"/>
        <v>19</v>
      </c>
      <c r="BY99" s="15">
        <f t="shared" si="24"/>
        <v>10.689227840996502</v>
      </c>
      <c r="BZ99" s="15" t="str">
        <f t="shared" si="25"/>
        <v>OK - No Upgrade</v>
      </c>
      <c r="CA99" s="15" t="str">
        <f t="shared" si="26"/>
        <v>Need to Balance</v>
      </c>
    </row>
    <row r="100" spans="1:79" ht="15.75" customHeight="1" x14ac:dyDescent="0.25">
      <c r="A100" s="8" t="s">
        <v>904</v>
      </c>
      <c r="B100" s="8" t="s">
        <v>4081</v>
      </c>
      <c r="C100" s="8" t="s">
        <v>3233</v>
      </c>
      <c r="D100" s="8" t="s">
        <v>4343</v>
      </c>
      <c r="E100" s="8" t="s">
        <v>4344</v>
      </c>
      <c r="F100" s="8" t="s">
        <v>43</v>
      </c>
      <c r="G100" s="8"/>
      <c r="H100" s="8">
        <v>315</v>
      </c>
      <c r="I100" s="8" t="s">
        <v>4345</v>
      </c>
      <c r="J100" s="8">
        <v>1</v>
      </c>
      <c r="K100" s="8">
        <v>248</v>
      </c>
      <c r="L100" s="8">
        <v>247</v>
      </c>
      <c r="M100" s="8">
        <v>245</v>
      </c>
      <c r="N100" s="8">
        <v>432</v>
      </c>
      <c r="O100" s="8">
        <v>431</v>
      </c>
      <c r="P100" s="8">
        <v>429</v>
      </c>
      <c r="Q100" s="9" t="s">
        <v>47</v>
      </c>
      <c r="R100" s="16"/>
      <c r="S100" s="10">
        <v>0</v>
      </c>
      <c r="T100" s="10">
        <v>0</v>
      </c>
      <c r="U100" s="10">
        <v>0</v>
      </c>
      <c r="V100" s="11">
        <v>0</v>
      </c>
      <c r="W100" s="12" t="s">
        <v>47</v>
      </c>
      <c r="X100" s="17"/>
      <c r="Y100" s="13">
        <v>2</v>
      </c>
      <c r="Z100" s="13">
        <v>15</v>
      </c>
      <c r="AA100" s="13">
        <v>1</v>
      </c>
      <c r="AB100" s="14">
        <v>9</v>
      </c>
      <c r="AC100" s="9"/>
      <c r="AD100" s="16"/>
      <c r="AE100" s="10"/>
      <c r="AF100" s="10"/>
      <c r="AG100" s="10"/>
      <c r="AH100" s="11"/>
      <c r="AI100" s="12"/>
      <c r="AJ100" s="17"/>
      <c r="AK100" s="13"/>
      <c r="AL100" s="13"/>
      <c r="AM100" s="13"/>
      <c r="AN100" s="14"/>
      <c r="AO100" s="9"/>
      <c r="AP100" s="16"/>
      <c r="AQ100" s="10"/>
      <c r="AR100" s="10"/>
      <c r="AS100" s="10"/>
      <c r="AT100" s="11"/>
      <c r="AU100" s="12"/>
      <c r="AV100" s="17"/>
      <c r="AW100" s="13"/>
      <c r="AX100" s="13"/>
      <c r="AY100" s="13"/>
      <c r="AZ100" s="14"/>
      <c r="BA100" s="9"/>
      <c r="BB100" s="16"/>
      <c r="BC100" s="10"/>
      <c r="BD100" s="10"/>
      <c r="BE100" s="10"/>
      <c r="BF100" s="11"/>
      <c r="BG100" s="12"/>
      <c r="BH100" s="17"/>
      <c r="BI100" s="13"/>
      <c r="BJ100" s="13"/>
      <c r="BK100" s="13"/>
      <c r="BL100" s="14"/>
      <c r="BM100" s="9"/>
      <c r="BN100" s="16"/>
      <c r="BO100" s="10"/>
      <c r="BP100" s="10"/>
      <c r="BQ100" s="10"/>
      <c r="BR100" s="11"/>
      <c r="BS100" s="8">
        <f t="shared" si="18"/>
        <v>2</v>
      </c>
      <c r="BT100" s="8">
        <f t="shared" si="19"/>
        <v>15</v>
      </c>
      <c r="BU100" s="8">
        <f t="shared" si="20"/>
        <v>1</v>
      </c>
      <c r="BV100" s="8">
        <f t="shared" si="21"/>
        <v>9</v>
      </c>
      <c r="BW100" s="8">
        <f t="shared" si="22"/>
        <v>15</v>
      </c>
      <c r="BX100" s="8">
        <f t="shared" si="23"/>
        <v>1</v>
      </c>
      <c r="BY100" s="15">
        <f t="shared" si="24"/>
        <v>3.5630759469988331</v>
      </c>
      <c r="BZ100" s="15" t="str">
        <f t="shared" ref="BZ100:BZ131" si="27">IF(BY100&gt;70,"Upgrade","OK - No Upgrade")</f>
        <v>OK - No Upgrade</v>
      </c>
      <c r="CA100" s="15" t="str">
        <f t="shared" si="26"/>
        <v>Need to Balance</v>
      </c>
    </row>
    <row r="101" spans="1:79" ht="15.75" customHeight="1" x14ac:dyDescent="0.25">
      <c r="A101" s="8" t="s">
        <v>904</v>
      </c>
      <c r="B101" s="8" t="s">
        <v>4081</v>
      </c>
      <c r="C101" s="8" t="s">
        <v>3233</v>
      </c>
      <c r="D101" s="8" t="s">
        <v>4346</v>
      </c>
      <c r="E101" s="8" t="s">
        <v>4347</v>
      </c>
      <c r="F101" s="8" t="s">
        <v>43</v>
      </c>
      <c r="G101" s="8"/>
      <c r="H101" s="8">
        <v>315</v>
      </c>
      <c r="I101" s="8" t="s">
        <v>4348</v>
      </c>
      <c r="J101" s="8">
        <v>1</v>
      </c>
      <c r="K101" s="8">
        <v>246</v>
      </c>
      <c r="L101" s="8">
        <v>247</v>
      </c>
      <c r="M101" s="8">
        <v>248</v>
      </c>
      <c r="N101" s="8">
        <v>431</v>
      </c>
      <c r="O101" s="8">
        <v>430</v>
      </c>
      <c r="P101" s="8">
        <v>429</v>
      </c>
      <c r="Q101" s="9" t="s">
        <v>47</v>
      </c>
      <c r="R101" s="16"/>
      <c r="S101" s="10">
        <v>20</v>
      </c>
      <c r="T101" s="10">
        <v>30</v>
      </c>
      <c r="U101" s="10">
        <v>69</v>
      </c>
      <c r="V101" s="11">
        <v>40</v>
      </c>
      <c r="W101" s="12" t="s">
        <v>46</v>
      </c>
      <c r="X101" s="17"/>
      <c r="Y101" s="13">
        <v>64</v>
      </c>
      <c r="Z101" s="13">
        <v>50</v>
      </c>
      <c r="AA101" s="13">
        <v>75</v>
      </c>
      <c r="AB101" s="14">
        <v>30</v>
      </c>
      <c r="AC101" s="9"/>
      <c r="AD101" s="16"/>
      <c r="AE101" s="10"/>
      <c r="AF101" s="10"/>
      <c r="AG101" s="10"/>
      <c r="AH101" s="11"/>
      <c r="AI101" s="12"/>
      <c r="AJ101" s="17"/>
      <c r="AK101" s="13"/>
      <c r="AL101" s="13"/>
      <c r="AM101" s="13"/>
      <c r="AN101" s="14"/>
      <c r="AO101" s="9"/>
      <c r="AP101" s="16"/>
      <c r="AQ101" s="10"/>
      <c r="AR101" s="10"/>
      <c r="AS101" s="10"/>
      <c r="AT101" s="11"/>
      <c r="AU101" s="12"/>
      <c r="AV101" s="17"/>
      <c r="AW101" s="13"/>
      <c r="AX101" s="13"/>
      <c r="AY101" s="13"/>
      <c r="AZ101" s="14"/>
      <c r="BA101" s="9"/>
      <c r="BB101" s="16"/>
      <c r="BC101" s="10"/>
      <c r="BD101" s="10"/>
      <c r="BE101" s="10"/>
      <c r="BF101" s="11"/>
      <c r="BG101" s="12"/>
      <c r="BH101" s="17"/>
      <c r="BI101" s="13"/>
      <c r="BJ101" s="13"/>
      <c r="BK101" s="13"/>
      <c r="BL101" s="14"/>
      <c r="BM101" s="9"/>
      <c r="BN101" s="16"/>
      <c r="BO101" s="10"/>
      <c r="BP101" s="10"/>
      <c r="BQ101" s="10"/>
      <c r="BR101" s="11"/>
      <c r="BS101" s="8">
        <f t="shared" si="18"/>
        <v>84</v>
      </c>
      <c r="BT101" s="8">
        <f t="shared" si="19"/>
        <v>80</v>
      </c>
      <c r="BU101" s="8">
        <f t="shared" si="20"/>
        <v>144</v>
      </c>
      <c r="BV101" s="8">
        <f t="shared" si="21"/>
        <v>70</v>
      </c>
      <c r="BW101" s="8">
        <f t="shared" si="22"/>
        <v>144</v>
      </c>
      <c r="BX101" s="8">
        <f t="shared" si="23"/>
        <v>80</v>
      </c>
      <c r="BY101" s="15">
        <f t="shared" si="24"/>
        <v>34.12634962569993</v>
      </c>
      <c r="BZ101" s="15" t="str">
        <f t="shared" si="27"/>
        <v>OK - No Upgrade</v>
      </c>
      <c r="CA101" s="15" t="str">
        <f t="shared" si="26"/>
        <v>Need to Balance</v>
      </c>
    </row>
    <row r="102" spans="1:79" ht="15.75" customHeight="1" x14ac:dyDescent="0.25">
      <c r="A102" s="8" t="s">
        <v>904</v>
      </c>
      <c r="B102" s="8" t="s">
        <v>4081</v>
      </c>
      <c r="C102" s="8" t="s">
        <v>3233</v>
      </c>
      <c r="D102" s="8" t="s">
        <v>4349</v>
      </c>
      <c r="E102" s="8" t="s">
        <v>4350</v>
      </c>
      <c r="F102" s="8" t="s">
        <v>43</v>
      </c>
      <c r="G102" s="8"/>
      <c r="H102" s="8">
        <v>315</v>
      </c>
      <c r="I102" s="8" t="s">
        <v>4351</v>
      </c>
      <c r="J102" s="8">
        <v>1</v>
      </c>
      <c r="K102" s="8">
        <v>248</v>
      </c>
      <c r="L102" s="8">
        <v>248</v>
      </c>
      <c r="M102" s="8">
        <v>246</v>
      </c>
      <c r="N102" s="8">
        <v>432</v>
      </c>
      <c r="O102" s="8">
        <v>427</v>
      </c>
      <c r="P102" s="8">
        <v>428</v>
      </c>
      <c r="Q102" s="9"/>
      <c r="R102" s="16"/>
      <c r="S102" s="10">
        <v>25</v>
      </c>
      <c r="T102" s="10">
        <v>45</v>
      </c>
      <c r="U102" s="10">
        <v>31</v>
      </c>
      <c r="V102" s="11">
        <v>30</v>
      </c>
      <c r="W102" s="12" t="s">
        <v>70</v>
      </c>
      <c r="X102" s="17"/>
      <c r="Y102" s="13">
        <v>40</v>
      </c>
      <c r="Z102" s="13">
        <v>15</v>
      </c>
      <c r="AA102" s="13">
        <v>31</v>
      </c>
      <c r="AB102" s="14">
        <v>18</v>
      </c>
      <c r="AC102" s="9" t="s">
        <v>47</v>
      </c>
      <c r="AD102" s="16"/>
      <c r="AE102" s="10">
        <v>0</v>
      </c>
      <c r="AF102" s="10">
        <v>0</v>
      </c>
      <c r="AG102" s="10">
        <v>0</v>
      </c>
      <c r="AH102" s="11">
        <v>0</v>
      </c>
      <c r="AI102" s="12"/>
      <c r="AJ102" s="17"/>
      <c r="AK102" s="13"/>
      <c r="AL102" s="13"/>
      <c r="AM102" s="13"/>
      <c r="AN102" s="14"/>
      <c r="AO102" s="9"/>
      <c r="AP102" s="16"/>
      <c r="AQ102" s="10"/>
      <c r="AR102" s="10"/>
      <c r="AS102" s="10"/>
      <c r="AT102" s="11"/>
      <c r="AU102" s="12"/>
      <c r="AV102" s="17"/>
      <c r="AW102" s="13"/>
      <c r="AX102" s="13"/>
      <c r="AY102" s="13"/>
      <c r="AZ102" s="14"/>
      <c r="BA102" s="9"/>
      <c r="BB102" s="16"/>
      <c r="BC102" s="10"/>
      <c r="BD102" s="10"/>
      <c r="BE102" s="10"/>
      <c r="BF102" s="11"/>
      <c r="BG102" s="12"/>
      <c r="BH102" s="17"/>
      <c r="BI102" s="13"/>
      <c r="BJ102" s="13"/>
      <c r="BK102" s="13"/>
      <c r="BL102" s="14"/>
      <c r="BM102" s="9"/>
      <c r="BN102" s="16"/>
      <c r="BO102" s="10"/>
      <c r="BP102" s="10"/>
      <c r="BQ102" s="10"/>
      <c r="BR102" s="11"/>
      <c r="BS102" s="8">
        <f t="shared" si="18"/>
        <v>65</v>
      </c>
      <c r="BT102" s="8">
        <f t="shared" si="19"/>
        <v>60</v>
      </c>
      <c r="BU102" s="8">
        <f t="shared" si="20"/>
        <v>62</v>
      </c>
      <c r="BV102" s="8">
        <f t="shared" si="21"/>
        <v>48</v>
      </c>
      <c r="BW102" s="8">
        <f t="shared" si="22"/>
        <v>65</v>
      </c>
      <c r="BX102" s="8">
        <f t="shared" si="23"/>
        <v>60</v>
      </c>
      <c r="BY102" s="15">
        <f t="shared" si="24"/>
        <v>15.439995770328277</v>
      </c>
      <c r="BZ102" s="15" t="str">
        <f t="shared" si="27"/>
        <v>OK - No Upgrade</v>
      </c>
      <c r="CA102" s="15" t="str">
        <f t="shared" si="26"/>
        <v>OK - Balanced</v>
      </c>
    </row>
    <row r="103" spans="1:79" ht="15.75" customHeight="1" x14ac:dyDescent="0.25">
      <c r="A103" s="8" t="s">
        <v>904</v>
      </c>
      <c r="B103" s="8" t="s">
        <v>4081</v>
      </c>
      <c r="C103" s="8" t="s">
        <v>3233</v>
      </c>
      <c r="D103" s="8" t="s">
        <v>4352</v>
      </c>
      <c r="E103" s="8" t="s">
        <v>4353</v>
      </c>
      <c r="F103" s="8" t="s">
        <v>43</v>
      </c>
      <c r="G103" s="8"/>
      <c r="H103" s="8">
        <v>315</v>
      </c>
      <c r="I103" s="8" t="s">
        <v>4043</v>
      </c>
      <c r="J103" s="8">
        <v>1</v>
      </c>
      <c r="K103" s="8">
        <v>249</v>
      </c>
      <c r="L103" s="8">
        <v>248</v>
      </c>
      <c r="M103" s="8">
        <v>247</v>
      </c>
      <c r="N103" s="8">
        <v>435</v>
      </c>
      <c r="O103" s="8">
        <v>431</v>
      </c>
      <c r="P103" s="8">
        <v>430</v>
      </c>
      <c r="Q103" s="9" t="s">
        <v>47</v>
      </c>
      <c r="R103" s="16"/>
      <c r="S103" s="10">
        <v>1</v>
      </c>
      <c r="T103" s="10">
        <v>21</v>
      </c>
      <c r="U103" s="10">
        <v>1</v>
      </c>
      <c r="V103" s="11">
        <v>16</v>
      </c>
      <c r="W103" s="12"/>
      <c r="X103" s="17"/>
      <c r="Y103" s="13"/>
      <c r="Z103" s="13"/>
      <c r="AA103" s="13"/>
      <c r="AB103" s="14"/>
      <c r="AC103" s="9"/>
      <c r="AD103" s="16"/>
      <c r="AE103" s="10"/>
      <c r="AF103" s="10"/>
      <c r="AG103" s="10"/>
      <c r="AH103" s="11"/>
      <c r="AI103" s="12"/>
      <c r="AJ103" s="17"/>
      <c r="AK103" s="13"/>
      <c r="AL103" s="13"/>
      <c r="AM103" s="13"/>
      <c r="AN103" s="14"/>
      <c r="AO103" s="9"/>
      <c r="AP103" s="16"/>
      <c r="AQ103" s="10"/>
      <c r="AR103" s="10"/>
      <c r="AS103" s="10"/>
      <c r="AT103" s="11"/>
      <c r="AU103" s="12"/>
      <c r="AV103" s="17"/>
      <c r="AW103" s="13"/>
      <c r="AX103" s="13"/>
      <c r="AY103" s="13"/>
      <c r="AZ103" s="14"/>
      <c r="BA103" s="9"/>
      <c r="BB103" s="16"/>
      <c r="BC103" s="10"/>
      <c r="BD103" s="10"/>
      <c r="BE103" s="10"/>
      <c r="BF103" s="11"/>
      <c r="BG103" s="12"/>
      <c r="BH103" s="17"/>
      <c r="BI103" s="13"/>
      <c r="BJ103" s="13"/>
      <c r="BK103" s="13"/>
      <c r="BL103" s="14"/>
      <c r="BM103" s="9"/>
      <c r="BN103" s="16"/>
      <c r="BO103" s="10"/>
      <c r="BP103" s="10"/>
      <c r="BQ103" s="10"/>
      <c r="BR103" s="11"/>
      <c r="BS103" s="8">
        <f t="shared" si="18"/>
        <v>1</v>
      </c>
      <c r="BT103" s="8">
        <f t="shared" si="19"/>
        <v>21</v>
      </c>
      <c r="BU103" s="8">
        <f t="shared" si="20"/>
        <v>1</v>
      </c>
      <c r="BV103" s="8">
        <f t="shared" si="21"/>
        <v>16</v>
      </c>
      <c r="BW103" s="8">
        <f t="shared" si="22"/>
        <v>21</v>
      </c>
      <c r="BX103" s="8">
        <f t="shared" si="23"/>
        <v>1</v>
      </c>
      <c r="BY103" s="15">
        <f t="shared" si="24"/>
        <v>5.0229473419497443</v>
      </c>
      <c r="BZ103" s="15" t="str">
        <f t="shared" si="27"/>
        <v>OK - No Upgrade</v>
      </c>
      <c r="CA103" s="15" t="str">
        <f t="shared" si="26"/>
        <v>Need to Balance</v>
      </c>
    </row>
    <row r="104" spans="1:79" ht="15.75" customHeight="1" x14ac:dyDescent="0.25">
      <c r="A104" s="8" t="s">
        <v>904</v>
      </c>
      <c r="B104" s="8" t="s">
        <v>4081</v>
      </c>
      <c r="C104" s="8" t="s">
        <v>2206</v>
      </c>
      <c r="D104" s="8" t="s">
        <v>4354</v>
      </c>
      <c r="E104" s="8" t="s">
        <v>3270</v>
      </c>
      <c r="F104" s="8" t="s">
        <v>56</v>
      </c>
      <c r="G104" s="8"/>
      <c r="H104" s="8">
        <v>1000</v>
      </c>
      <c r="I104" s="8" t="s">
        <v>4355</v>
      </c>
      <c r="J104" s="8">
        <v>1</v>
      </c>
      <c r="K104" s="8">
        <v>244</v>
      </c>
      <c r="L104" s="8">
        <v>243</v>
      </c>
      <c r="M104" s="8">
        <v>245</v>
      </c>
      <c r="N104" s="8">
        <v>422</v>
      </c>
      <c r="O104" s="8">
        <v>425</v>
      </c>
      <c r="P104" s="8">
        <v>425</v>
      </c>
      <c r="Q104" s="9"/>
      <c r="R104" s="16"/>
      <c r="S104" s="10"/>
      <c r="T104" s="10"/>
      <c r="U104" s="10"/>
      <c r="V104" s="11"/>
      <c r="W104" s="12"/>
      <c r="X104" s="17"/>
      <c r="Y104" s="13"/>
      <c r="Z104" s="13"/>
      <c r="AA104" s="13"/>
      <c r="AB104" s="14"/>
      <c r="AC104" s="9"/>
      <c r="AD104" s="16"/>
      <c r="AE104" s="10"/>
      <c r="AF104" s="10"/>
      <c r="AG104" s="10"/>
      <c r="AH104" s="11"/>
      <c r="AI104" s="12" t="s">
        <v>47</v>
      </c>
      <c r="AJ104" s="17"/>
      <c r="AK104" s="13">
        <v>88</v>
      </c>
      <c r="AL104" s="13">
        <v>76</v>
      </c>
      <c r="AM104" s="13">
        <v>65</v>
      </c>
      <c r="AN104" s="14">
        <v>37</v>
      </c>
      <c r="AO104" s="9" t="s">
        <v>47</v>
      </c>
      <c r="AP104" s="16"/>
      <c r="AQ104" s="10">
        <v>95</v>
      </c>
      <c r="AR104" s="10">
        <v>88</v>
      </c>
      <c r="AS104" s="10">
        <v>97</v>
      </c>
      <c r="AT104" s="11">
        <v>31</v>
      </c>
      <c r="AU104" s="12" t="s">
        <v>47</v>
      </c>
      <c r="AV104" s="17"/>
      <c r="AW104" s="13">
        <v>147</v>
      </c>
      <c r="AX104" s="13">
        <v>100</v>
      </c>
      <c r="AY104" s="13">
        <v>115</v>
      </c>
      <c r="AZ104" s="14">
        <v>57</v>
      </c>
      <c r="BA104" s="9" t="s">
        <v>47</v>
      </c>
      <c r="BB104" s="16"/>
      <c r="BC104" s="10">
        <v>75</v>
      </c>
      <c r="BD104" s="10">
        <v>35</v>
      </c>
      <c r="BE104" s="10">
        <v>135</v>
      </c>
      <c r="BF104" s="11">
        <v>80</v>
      </c>
      <c r="BG104" s="12" t="s">
        <v>47</v>
      </c>
      <c r="BH104" s="17"/>
      <c r="BI104" s="13">
        <v>49</v>
      </c>
      <c r="BJ104" s="13">
        <v>108</v>
      </c>
      <c r="BK104" s="13">
        <v>135</v>
      </c>
      <c r="BL104" s="14">
        <v>85</v>
      </c>
      <c r="BM104" s="9"/>
      <c r="BN104" s="16"/>
      <c r="BO104" s="10"/>
      <c r="BP104" s="10"/>
      <c r="BQ104" s="10"/>
      <c r="BR104" s="11"/>
      <c r="BS104" s="8">
        <f t="shared" si="18"/>
        <v>454</v>
      </c>
      <c r="BT104" s="8">
        <f t="shared" si="19"/>
        <v>407</v>
      </c>
      <c r="BU104" s="8">
        <f t="shared" si="20"/>
        <v>547</v>
      </c>
      <c r="BV104" s="8">
        <f t="shared" si="21"/>
        <v>290</v>
      </c>
      <c r="BW104" s="8">
        <f t="shared" si="22"/>
        <v>547</v>
      </c>
      <c r="BX104" s="8">
        <f t="shared" si="23"/>
        <v>407</v>
      </c>
      <c r="BY104" s="15">
        <f t="shared" si="24"/>
        <v>39.981621611435422</v>
      </c>
      <c r="BZ104" s="15" t="str">
        <f t="shared" si="27"/>
        <v>OK - No Upgrade</v>
      </c>
      <c r="CA104" s="15" t="str">
        <f t="shared" si="26"/>
        <v>Need to Balance</v>
      </c>
    </row>
  </sheetData>
  <mergeCells count="86">
    <mergeCell ref="CA1:CA3"/>
    <mergeCell ref="BK2:BK3"/>
    <mergeCell ref="R2:R3"/>
    <mergeCell ref="AZ2:AZ3"/>
    <mergeCell ref="BB2:BB3"/>
    <mergeCell ref="BL2:BL3"/>
    <mergeCell ref="BN2:BN3"/>
    <mergeCell ref="AU1:AZ1"/>
    <mergeCell ref="BR2:BR3"/>
    <mergeCell ref="AL2:AL3"/>
    <mergeCell ref="BX1:BX3"/>
    <mergeCell ref="BF2:BF3"/>
    <mergeCell ref="BI2:BI3"/>
    <mergeCell ref="AE2:AE3"/>
    <mergeCell ref="AG2:AG3"/>
    <mergeCell ref="AQ2:AQ3"/>
    <mergeCell ref="AS2:AS3"/>
    <mergeCell ref="AJ2:AJ3"/>
    <mergeCell ref="AY2:AY3"/>
    <mergeCell ref="A1:A3"/>
    <mergeCell ref="H1:H3"/>
    <mergeCell ref="AR2:AR3"/>
    <mergeCell ref="AT2:AT3"/>
    <mergeCell ref="E1:E3"/>
    <mergeCell ref="Y2:Y3"/>
    <mergeCell ref="K2:M2"/>
    <mergeCell ref="F1:F3"/>
    <mergeCell ref="J1:J3"/>
    <mergeCell ref="T2:T3"/>
    <mergeCell ref="BV2:BV3"/>
    <mergeCell ref="AN2:AN3"/>
    <mergeCell ref="AP2:AP3"/>
    <mergeCell ref="BA1:BF1"/>
    <mergeCell ref="AC1:AH1"/>
    <mergeCell ref="AO1:AT1"/>
    <mergeCell ref="Z2:Z3"/>
    <mergeCell ref="AB2:AB3"/>
    <mergeCell ref="AD2:AD3"/>
    <mergeCell ref="BZ1:BZ3"/>
    <mergeCell ref="BH2:BH3"/>
    <mergeCell ref="BJ2:BJ3"/>
    <mergeCell ref="BY1:BY3"/>
    <mergeCell ref="AF2:AF3"/>
    <mergeCell ref="AH2:AH3"/>
    <mergeCell ref="AI2:AI3"/>
    <mergeCell ref="AK2:AK3"/>
    <mergeCell ref="AU2:AU3"/>
    <mergeCell ref="AW2:AW3"/>
    <mergeCell ref="BA2:BA3"/>
    <mergeCell ref="BC2:BC3"/>
    <mergeCell ref="BU2:BU3"/>
    <mergeCell ref="BM2:BM3"/>
    <mergeCell ref="BO2:BO3"/>
    <mergeCell ref="BM1:BR1"/>
    <mergeCell ref="B1:B3"/>
    <mergeCell ref="BS1:BV1"/>
    <mergeCell ref="AI1:AN1"/>
    <mergeCell ref="V2:V3"/>
    <mergeCell ref="X2:X3"/>
    <mergeCell ref="BG1:BL1"/>
    <mergeCell ref="BD2:BD3"/>
    <mergeCell ref="AV2:AV3"/>
    <mergeCell ref="AX2:AX3"/>
    <mergeCell ref="I1:I3"/>
    <mergeCell ref="Q2:Q3"/>
    <mergeCell ref="C1:C3"/>
    <mergeCell ref="D1:D2"/>
    <mergeCell ref="S2:S3"/>
    <mergeCell ref="K1:P1"/>
    <mergeCell ref="W1:AB1"/>
    <mergeCell ref="N2:P2"/>
    <mergeCell ref="G1:G3"/>
    <mergeCell ref="U2:U3"/>
    <mergeCell ref="BT2:BT3"/>
    <mergeCell ref="BW1:BW3"/>
    <mergeCell ref="BE2:BE3"/>
    <mergeCell ref="W2:W3"/>
    <mergeCell ref="BG2:BG3"/>
    <mergeCell ref="BQ2:BQ3"/>
    <mergeCell ref="BS2:BS3"/>
    <mergeCell ref="AA2:AA3"/>
    <mergeCell ref="AC2:AC3"/>
    <mergeCell ref="AM2:AM3"/>
    <mergeCell ref="AO2:AO3"/>
    <mergeCell ref="Q1:V1"/>
    <mergeCell ref="BP2:BP3"/>
  </mergeCells>
  <dataValidations count="1">
    <dataValidation type="list" allowBlank="1" errorTitle="Invalid value" error="Please choose Cu or Al" promptTitle="Cable Type" prompt="Choose cable material" sqref="R4:R104 BN4:BN104 BH4:BH104 BB4:BB104 AV4:AV104 AP4:AP104 AJ4:AJ104 AD4:AD104 X4:X104" xr:uid="{00000000-0002-0000-1600-000000000000}">
      <formula1>"Cu,Al"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U18"/>
  <sheetViews>
    <sheetView workbookViewId="0"/>
  </sheetViews>
  <sheetFormatPr defaultRowHeight="15" x14ac:dyDescent="0.25"/>
  <cols>
    <col min="1" max="1" width="12.85546875" customWidth="1"/>
    <col min="2" max="2" width="14.85546875" customWidth="1"/>
    <col min="3" max="3" width="9.85546875" customWidth="1"/>
    <col min="4" max="4" width="20.85546875" customWidth="1"/>
    <col min="5" max="5" width="8.85546875" customWidth="1"/>
    <col min="6" max="6" width="10.85546875" customWidth="1"/>
    <col min="7" max="7" width="5.85546875" customWidth="1"/>
    <col min="8" max="8" width="9.85546875" customWidth="1"/>
    <col min="9" max="9" width="10.85546875" customWidth="1"/>
    <col min="10" max="10" width="5.85546875" customWidth="1"/>
    <col min="11" max="11" width="7.85546875" customWidth="1"/>
    <col min="12" max="16" width="6.85546875" customWidth="1"/>
    <col min="17" max="17" width="8.85546875" customWidth="1"/>
    <col min="18" max="21" width="6.85546875" customWidth="1"/>
    <col min="22" max="22" width="8.85546875" customWidth="1"/>
    <col min="23" max="26" width="6.85546875" customWidth="1"/>
    <col min="27" max="27" width="8.85546875" customWidth="1"/>
    <col min="28" max="31" width="6.85546875" customWidth="1"/>
    <col min="32" max="32" width="8.85546875" customWidth="1"/>
    <col min="33" max="36" width="6.85546875" customWidth="1"/>
    <col min="37" max="37" width="8.85546875" customWidth="1"/>
    <col min="38" max="41" width="6.85546875" customWidth="1"/>
    <col min="42" max="42" width="8.85546875" customWidth="1"/>
    <col min="43" max="46" width="6.85546875" customWidth="1"/>
    <col min="47" max="47" width="8.85546875" customWidth="1"/>
    <col min="48" max="51" width="6.85546875" customWidth="1"/>
    <col min="52" max="52" width="8.85546875" customWidth="1"/>
    <col min="53" max="60" width="6.85546875" customWidth="1"/>
    <col min="61" max="62" width="7.85546875" customWidth="1"/>
    <col min="63" max="63" width="9.85546875" customWidth="1"/>
    <col min="64" max="65" width="24.85546875" customWidth="1"/>
  </cols>
  <sheetData>
    <row r="1" spans="1:73" ht="19.5" customHeight="1" x14ac:dyDescent="0.25">
      <c r="A1" s="21" t="s">
        <v>0</v>
      </c>
      <c r="B1" s="21" t="s">
        <v>1</v>
      </c>
      <c r="C1" s="21" t="s">
        <v>2</v>
      </c>
      <c r="D1" s="38" t="s">
        <v>3</v>
      </c>
      <c r="E1" s="21" t="s">
        <v>4</v>
      </c>
      <c r="F1" s="40" t="s">
        <v>5</v>
      </c>
      <c r="G1" s="21" t="s">
        <v>6</v>
      </c>
      <c r="H1" s="21" t="s">
        <v>7</v>
      </c>
      <c r="I1" s="21" t="s">
        <v>8</v>
      </c>
      <c r="J1" s="41" t="s">
        <v>9</v>
      </c>
      <c r="K1" s="18" t="s">
        <v>10</v>
      </c>
      <c r="L1" s="19"/>
      <c r="M1" s="19"/>
      <c r="N1" s="19"/>
      <c r="O1" s="19"/>
      <c r="P1" s="20"/>
      <c r="Q1" s="29" t="s">
        <v>11</v>
      </c>
      <c r="R1" s="30"/>
      <c r="S1" s="30"/>
      <c r="T1" s="30"/>
      <c r="U1" s="30"/>
      <c r="V1" s="31"/>
      <c r="W1" s="29" t="s">
        <v>12</v>
      </c>
      <c r="X1" s="30"/>
      <c r="Y1" s="30"/>
      <c r="Z1" s="30"/>
      <c r="AA1" s="30"/>
      <c r="AB1" s="31"/>
      <c r="AC1" s="29" t="s">
        <v>13</v>
      </c>
      <c r="AD1" s="30"/>
      <c r="AE1" s="30"/>
      <c r="AF1" s="30"/>
      <c r="AG1" s="30"/>
      <c r="AH1" s="31"/>
      <c r="AI1" s="29" t="s">
        <v>14</v>
      </c>
      <c r="AJ1" s="30"/>
      <c r="AK1" s="30"/>
      <c r="AL1" s="30"/>
      <c r="AM1" s="30"/>
      <c r="AN1" s="31"/>
      <c r="AO1" s="29" t="s">
        <v>15</v>
      </c>
      <c r="AP1" s="30"/>
      <c r="AQ1" s="30"/>
      <c r="AR1" s="30"/>
      <c r="AS1" s="30"/>
      <c r="AT1" s="31"/>
      <c r="AU1" s="29" t="s">
        <v>16</v>
      </c>
      <c r="AV1" s="30"/>
      <c r="AW1" s="30"/>
      <c r="AX1" s="30"/>
      <c r="AY1" s="30"/>
      <c r="AZ1" s="31"/>
      <c r="BA1" s="29" t="s">
        <v>17</v>
      </c>
      <c r="BB1" s="30"/>
      <c r="BC1" s="30"/>
      <c r="BD1" s="30"/>
      <c r="BE1" s="30"/>
      <c r="BF1" s="31"/>
      <c r="BG1" s="29" t="s">
        <v>18</v>
      </c>
      <c r="BH1" s="30"/>
      <c r="BI1" s="30"/>
      <c r="BJ1" s="30"/>
      <c r="BK1" s="30"/>
      <c r="BL1" s="31"/>
      <c r="BM1" s="37" t="s">
        <v>19</v>
      </c>
      <c r="BN1" s="19"/>
      <c r="BO1" s="19"/>
      <c r="BP1" s="20"/>
      <c r="BQ1" s="18" t="s">
        <v>20</v>
      </c>
      <c r="BR1" s="18" t="s">
        <v>21</v>
      </c>
      <c r="BS1" s="39" t="s">
        <v>22</v>
      </c>
      <c r="BT1" s="26" t="s">
        <v>23</v>
      </c>
      <c r="BU1" s="26" t="s">
        <v>24</v>
      </c>
    </row>
    <row r="2" spans="1:73" ht="19.5" customHeight="1" x14ac:dyDescent="0.25">
      <c r="A2" s="22"/>
      <c r="B2" s="22"/>
      <c r="C2" s="22"/>
      <c r="D2" s="23"/>
      <c r="E2" s="22"/>
      <c r="F2" s="22"/>
      <c r="G2" s="22"/>
      <c r="H2" s="22"/>
      <c r="I2" s="22"/>
      <c r="J2" s="22"/>
      <c r="K2" s="18" t="s">
        <v>25</v>
      </c>
      <c r="L2" s="19"/>
      <c r="M2" s="20"/>
      <c r="N2" s="18" t="s">
        <v>26</v>
      </c>
      <c r="O2" s="19"/>
      <c r="P2" s="20"/>
      <c r="Q2" s="27" t="s">
        <v>27</v>
      </c>
      <c r="R2" s="34" t="s">
        <v>5</v>
      </c>
      <c r="S2" s="36" t="s">
        <v>28</v>
      </c>
      <c r="T2" s="35" t="s">
        <v>29</v>
      </c>
      <c r="U2" s="24" t="s">
        <v>30</v>
      </c>
      <c r="V2" s="32" t="s">
        <v>31</v>
      </c>
      <c r="W2" s="27" t="s">
        <v>27</v>
      </c>
      <c r="X2" s="34" t="s">
        <v>5</v>
      </c>
      <c r="Y2" s="36" t="s">
        <v>28</v>
      </c>
      <c r="Z2" s="35" t="s">
        <v>29</v>
      </c>
      <c r="AA2" s="24" t="s">
        <v>30</v>
      </c>
      <c r="AB2" s="32" t="s">
        <v>31</v>
      </c>
      <c r="AC2" s="27" t="s">
        <v>27</v>
      </c>
      <c r="AD2" s="34" t="s">
        <v>5</v>
      </c>
      <c r="AE2" s="36" t="s">
        <v>28</v>
      </c>
      <c r="AF2" s="35" t="s">
        <v>29</v>
      </c>
      <c r="AG2" s="24" t="s">
        <v>30</v>
      </c>
      <c r="AH2" s="32" t="s">
        <v>31</v>
      </c>
      <c r="AI2" s="27" t="s">
        <v>27</v>
      </c>
      <c r="AJ2" s="34" t="s">
        <v>5</v>
      </c>
      <c r="AK2" s="36" t="s">
        <v>28</v>
      </c>
      <c r="AL2" s="35" t="s">
        <v>29</v>
      </c>
      <c r="AM2" s="24" t="s">
        <v>30</v>
      </c>
      <c r="AN2" s="32" t="s">
        <v>31</v>
      </c>
      <c r="AO2" s="27" t="s">
        <v>27</v>
      </c>
      <c r="AP2" s="34" t="s">
        <v>5</v>
      </c>
      <c r="AQ2" s="36" t="s">
        <v>28</v>
      </c>
      <c r="AR2" s="35" t="s">
        <v>29</v>
      </c>
      <c r="AS2" s="24" t="s">
        <v>30</v>
      </c>
      <c r="AT2" s="32" t="s">
        <v>31</v>
      </c>
      <c r="AU2" s="27" t="s">
        <v>27</v>
      </c>
      <c r="AV2" s="34" t="s">
        <v>5</v>
      </c>
      <c r="AW2" s="36" t="s">
        <v>28</v>
      </c>
      <c r="AX2" s="35" t="s">
        <v>29</v>
      </c>
      <c r="AY2" s="24" t="s">
        <v>30</v>
      </c>
      <c r="AZ2" s="32" t="s">
        <v>31</v>
      </c>
      <c r="BA2" s="27" t="s">
        <v>27</v>
      </c>
      <c r="BB2" s="34" t="s">
        <v>5</v>
      </c>
      <c r="BC2" s="36" t="s">
        <v>28</v>
      </c>
      <c r="BD2" s="35" t="s">
        <v>29</v>
      </c>
      <c r="BE2" s="24" t="s">
        <v>30</v>
      </c>
      <c r="BF2" s="32" t="s">
        <v>31</v>
      </c>
      <c r="BG2" s="27" t="s">
        <v>27</v>
      </c>
      <c r="BH2" s="34" t="s">
        <v>5</v>
      </c>
      <c r="BI2" s="36" t="s">
        <v>28</v>
      </c>
      <c r="BJ2" s="35" t="s">
        <v>29</v>
      </c>
      <c r="BK2" s="24" t="s">
        <v>30</v>
      </c>
      <c r="BL2" s="32" t="s">
        <v>31</v>
      </c>
      <c r="BM2" s="37" t="s">
        <v>28</v>
      </c>
      <c r="BN2" s="37" t="s">
        <v>29</v>
      </c>
      <c r="BO2" s="37" t="s">
        <v>30</v>
      </c>
      <c r="BP2" s="37" t="s">
        <v>31</v>
      </c>
      <c r="BQ2" s="22"/>
      <c r="BR2" s="22"/>
      <c r="BS2" s="22"/>
      <c r="BT2" s="22"/>
      <c r="BU2" s="22"/>
    </row>
    <row r="3" spans="1:73" ht="19.5" customHeight="1" x14ac:dyDescent="0.25">
      <c r="A3" s="23"/>
      <c r="B3" s="23"/>
      <c r="C3" s="23"/>
      <c r="D3" s="1"/>
      <c r="E3" s="23"/>
      <c r="F3" s="23"/>
      <c r="G3" s="23"/>
      <c r="H3" s="23"/>
      <c r="I3" s="23"/>
      <c r="J3" s="23"/>
      <c r="K3" s="2" t="s">
        <v>32</v>
      </c>
      <c r="L3" s="3" t="s">
        <v>33</v>
      </c>
      <c r="M3" s="4" t="s">
        <v>34</v>
      </c>
      <c r="N3" s="5" t="s">
        <v>35</v>
      </c>
      <c r="O3" s="6" t="s">
        <v>36</v>
      </c>
      <c r="P3" s="7" t="s">
        <v>37</v>
      </c>
      <c r="Q3" s="28"/>
      <c r="R3" s="25"/>
      <c r="S3" s="25"/>
      <c r="T3" s="25"/>
      <c r="U3" s="25"/>
      <c r="V3" s="33"/>
      <c r="W3" s="28"/>
      <c r="X3" s="25"/>
      <c r="Y3" s="25"/>
      <c r="Z3" s="25"/>
      <c r="AA3" s="25"/>
      <c r="AB3" s="33"/>
      <c r="AC3" s="28"/>
      <c r="AD3" s="25"/>
      <c r="AE3" s="25"/>
      <c r="AF3" s="25"/>
      <c r="AG3" s="25"/>
      <c r="AH3" s="33"/>
      <c r="AI3" s="28"/>
      <c r="AJ3" s="25"/>
      <c r="AK3" s="25"/>
      <c r="AL3" s="25"/>
      <c r="AM3" s="25"/>
      <c r="AN3" s="33"/>
      <c r="AO3" s="28"/>
      <c r="AP3" s="25"/>
      <c r="AQ3" s="25"/>
      <c r="AR3" s="25"/>
      <c r="AS3" s="25"/>
      <c r="AT3" s="33"/>
      <c r="AU3" s="28"/>
      <c r="AV3" s="25"/>
      <c r="AW3" s="25"/>
      <c r="AX3" s="25"/>
      <c r="AY3" s="25"/>
      <c r="AZ3" s="33"/>
      <c r="BA3" s="28"/>
      <c r="BB3" s="25"/>
      <c r="BC3" s="25"/>
      <c r="BD3" s="25"/>
      <c r="BE3" s="25"/>
      <c r="BF3" s="33"/>
      <c r="BG3" s="28"/>
      <c r="BH3" s="25"/>
      <c r="BI3" s="25"/>
      <c r="BJ3" s="25"/>
      <c r="BK3" s="25"/>
      <c r="BL3" s="33"/>
      <c r="BM3" s="23"/>
      <c r="BN3" s="23"/>
      <c r="BO3" s="23"/>
      <c r="BP3" s="23"/>
      <c r="BQ3" s="23"/>
      <c r="BR3" s="23"/>
      <c r="BS3" s="23"/>
      <c r="BT3" s="23"/>
      <c r="BU3" s="23"/>
    </row>
    <row r="4" spans="1:73" ht="15.75" customHeight="1" x14ac:dyDescent="0.25">
      <c r="A4" s="8" t="s">
        <v>904</v>
      </c>
      <c r="B4" s="8" t="s">
        <v>4356</v>
      </c>
      <c r="C4" s="8" t="s">
        <v>2206</v>
      </c>
      <c r="D4" s="8" t="s">
        <v>4357</v>
      </c>
      <c r="E4" s="8" t="s">
        <v>4358</v>
      </c>
      <c r="F4" s="8" t="s">
        <v>43</v>
      </c>
      <c r="G4" s="8"/>
      <c r="H4" s="8">
        <v>100</v>
      </c>
      <c r="I4" s="8" t="s">
        <v>4359</v>
      </c>
      <c r="J4" s="8">
        <v>1</v>
      </c>
      <c r="K4" s="8">
        <v>220</v>
      </c>
      <c r="L4" s="8">
        <v>221</v>
      </c>
      <c r="M4" s="8">
        <v>222</v>
      </c>
      <c r="N4" s="8">
        <v>381</v>
      </c>
      <c r="O4" s="8">
        <v>384</v>
      </c>
      <c r="P4" s="8">
        <v>384</v>
      </c>
      <c r="Q4" s="9" t="s">
        <v>47</v>
      </c>
      <c r="R4" s="16"/>
      <c r="S4" s="10">
        <v>32</v>
      </c>
      <c r="T4" s="10">
        <v>4</v>
      </c>
      <c r="U4" s="10">
        <v>3</v>
      </c>
      <c r="V4" s="11">
        <v>25</v>
      </c>
      <c r="W4" s="12"/>
      <c r="X4" s="17"/>
      <c r="Y4" s="13"/>
      <c r="Z4" s="13"/>
      <c r="AA4" s="13"/>
      <c r="AB4" s="14"/>
      <c r="AC4" s="9"/>
      <c r="AD4" s="16"/>
      <c r="AE4" s="10"/>
      <c r="AF4" s="10"/>
      <c r="AG4" s="10"/>
      <c r="AH4" s="11"/>
      <c r="AI4" s="12"/>
      <c r="AJ4" s="17"/>
      <c r="AK4" s="13"/>
      <c r="AL4" s="13"/>
      <c r="AM4" s="13"/>
      <c r="AN4" s="14"/>
      <c r="AO4" s="9"/>
      <c r="AP4" s="16"/>
      <c r="AQ4" s="10"/>
      <c r="AR4" s="10"/>
      <c r="AS4" s="10"/>
      <c r="AT4" s="11"/>
      <c r="AU4" s="12"/>
      <c r="AV4" s="17"/>
      <c r="AW4" s="13"/>
      <c r="AX4" s="13"/>
      <c r="AY4" s="13"/>
      <c r="AZ4" s="14"/>
      <c r="BA4" s="9"/>
      <c r="BB4" s="16"/>
      <c r="BC4" s="10"/>
      <c r="BD4" s="10"/>
      <c r="BE4" s="10"/>
      <c r="BF4" s="11"/>
      <c r="BG4" s="12"/>
      <c r="BH4" s="17"/>
      <c r="BI4" s="13"/>
      <c r="BJ4" s="13"/>
      <c r="BK4" s="13"/>
      <c r="BL4" s="14"/>
      <c r="BM4" s="8">
        <f t="shared" ref="BM4:BM18" si="0">SUM(S4,Y4,AE4,AK4,AQ4,AW4,BC4,BI4)</f>
        <v>32</v>
      </c>
      <c r="BN4" s="8">
        <f t="shared" ref="BN4:BN18" si="1">SUM(T4,Z4,AF4,AL4,AR4,AX4,BD4,BJ4)</f>
        <v>4</v>
      </c>
      <c r="BO4" s="8">
        <f t="shared" ref="BO4:BO18" si="2">SUM(U4,AA4,AG4,AM4,AS4,AY4,BE4,BK4)</f>
        <v>3</v>
      </c>
      <c r="BP4" s="8">
        <f t="shared" ref="BP4:BP18" si="3">SUM(V4,AB4,AH4,AN4,AT4,AZ4,BF4,BL4)</f>
        <v>25</v>
      </c>
      <c r="BQ4" s="8">
        <f t="shared" ref="BQ4:BQ18" si="4">MAX(BM4:BO4)</f>
        <v>32</v>
      </c>
      <c r="BR4" s="8">
        <f t="shared" ref="BR4:BR18" si="5">MIN(BM4:BO4)</f>
        <v>3</v>
      </c>
      <c r="BS4" s="15">
        <f t="shared" ref="BS4:BS18" si="6">IF(H4&gt;0,(BQ4*SQRT(3)*IF(N4&gt;0,N4,IF(O4&gt;0,O4,IF(P4&gt;0,P4,415)))/(H4*1000))*100,0)</f>
        <v>21.117163445879754</v>
      </c>
      <c r="BT4" s="15" t="str">
        <f t="shared" ref="BT4:BT18" si="7">IF(BS4&gt;70,"Upgrade","OK - No Upgrade")</f>
        <v>OK - No Upgrade</v>
      </c>
      <c r="BU4" s="15" t="str">
        <f t="shared" ref="BU4:BU18" si="8">IF(IF(AVERAGE(BM4:BO4)&gt;0,((BQ4-AVERAGE(BM4:BO4))/AVERAGE(BM4:BO4))*100,0)&gt;10,"Need to Balance","OK - Balanced")</f>
        <v>Need to Balance</v>
      </c>
    </row>
    <row r="5" spans="1:73" ht="15.75" customHeight="1" x14ac:dyDescent="0.25">
      <c r="A5" s="8" t="s">
        <v>904</v>
      </c>
      <c r="B5" s="8" t="s">
        <v>4356</v>
      </c>
      <c r="C5" s="8" t="s">
        <v>2206</v>
      </c>
      <c r="D5" s="8" t="s">
        <v>4360</v>
      </c>
      <c r="E5" s="8" t="s">
        <v>4361</v>
      </c>
      <c r="F5" s="8" t="s">
        <v>56</v>
      </c>
      <c r="G5" s="8"/>
      <c r="H5" s="8">
        <v>1000</v>
      </c>
      <c r="I5" s="8" t="s">
        <v>4362</v>
      </c>
      <c r="J5" s="8">
        <v>1</v>
      </c>
      <c r="K5" s="8">
        <v>231</v>
      </c>
      <c r="L5" s="8">
        <v>234</v>
      </c>
      <c r="M5" s="8">
        <v>233</v>
      </c>
      <c r="N5" s="8">
        <v>401</v>
      </c>
      <c r="O5" s="8">
        <v>408</v>
      </c>
      <c r="P5" s="8">
        <v>402</v>
      </c>
      <c r="Q5" s="9"/>
      <c r="R5" s="16"/>
      <c r="S5" s="10"/>
      <c r="T5" s="10"/>
      <c r="U5" s="10"/>
      <c r="V5" s="11"/>
      <c r="W5" s="12"/>
      <c r="X5" s="17"/>
      <c r="Y5" s="13"/>
      <c r="Z5" s="13"/>
      <c r="AA5" s="13"/>
      <c r="AB5" s="14"/>
      <c r="AC5" s="9" t="s">
        <v>47</v>
      </c>
      <c r="AD5" s="16"/>
      <c r="AE5" s="10">
        <v>20</v>
      </c>
      <c r="AF5" s="10">
        <v>21</v>
      </c>
      <c r="AG5" s="10">
        <v>45</v>
      </c>
      <c r="AH5" s="11">
        <v>23</v>
      </c>
      <c r="AI5" s="12" t="s">
        <v>47</v>
      </c>
      <c r="AJ5" s="17"/>
      <c r="AK5" s="13">
        <v>21</v>
      </c>
      <c r="AL5" s="13">
        <v>11</v>
      </c>
      <c r="AM5" s="13">
        <v>20</v>
      </c>
      <c r="AN5" s="14">
        <v>9</v>
      </c>
      <c r="AO5" s="9" t="s">
        <v>46</v>
      </c>
      <c r="AP5" s="16"/>
      <c r="AQ5" s="10">
        <v>0</v>
      </c>
      <c r="AR5" s="10">
        <v>0</v>
      </c>
      <c r="AS5" s="10">
        <v>0</v>
      </c>
      <c r="AT5" s="11">
        <v>0</v>
      </c>
      <c r="AU5" s="12"/>
      <c r="AV5" s="17"/>
      <c r="AW5" s="13"/>
      <c r="AX5" s="13"/>
      <c r="AY5" s="13"/>
      <c r="AZ5" s="14"/>
      <c r="BA5" s="9"/>
      <c r="BB5" s="16"/>
      <c r="BC5" s="10"/>
      <c r="BD5" s="10"/>
      <c r="BE5" s="10"/>
      <c r="BF5" s="11"/>
      <c r="BG5" s="12"/>
      <c r="BH5" s="17"/>
      <c r="BI5" s="13">
        <v>68</v>
      </c>
      <c r="BJ5" s="13">
        <v>174</v>
      </c>
      <c r="BK5" s="13">
        <v>147</v>
      </c>
      <c r="BL5" s="14">
        <v>94</v>
      </c>
      <c r="BM5" s="8">
        <f t="shared" si="0"/>
        <v>109</v>
      </c>
      <c r="BN5" s="8">
        <f t="shared" si="1"/>
        <v>206</v>
      </c>
      <c r="BO5" s="8">
        <f t="shared" si="2"/>
        <v>212</v>
      </c>
      <c r="BP5" s="8">
        <f t="shared" si="3"/>
        <v>126</v>
      </c>
      <c r="BQ5" s="8">
        <f t="shared" si="4"/>
        <v>212</v>
      </c>
      <c r="BR5" s="8">
        <f t="shared" si="5"/>
        <v>109</v>
      </c>
      <c r="BS5" s="15">
        <f t="shared" si="6"/>
        <v>14.724510325304538</v>
      </c>
      <c r="BT5" s="15" t="str">
        <f t="shared" si="7"/>
        <v>OK - No Upgrade</v>
      </c>
      <c r="BU5" s="15" t="str">
        <f t="shared" si="8"/>
        <v>Need to Balance</v>
      </c>
    </row>
    <row r="6" spans="1:73" ht="15.75" customHeight="1" x14ac:dyDescent="0.25">
      <c r="A6" s="8" t="s">
        <v>904</v>
      </c>
      <c r="B6" s="8" t="s">
        <v>4356</v>
      </c>
      <c r="C6" s="8" t="s">
        <v>2206</v>
      </c>
      <c r="D6" s="8" t="s">
        <v>4363</v>
      </c>
      <c r="E6" s="8" t="s">
        <v>4364</v>
      </c>
      <c r="F6" s="8" t="s">
        <v>43</v>
      </c>
      <c r="G6" s="8"/>
      <c r="H6" s="8">
        <v>200</v>
      </c>
      <c r="I6" s="8" t="s">
        <v>4365</v>
      </c>
      <c r="J6" s="8">
        <v>1</v>
      </c>
      <c r="K6" s="8">
        <v>232</v>
      </c>
      <c r="L6" s="8">
        <v>235</v>
      </c>
      <c r="M6" s="8">
        <v>236</v>
      </c>
      <c r="N6" s="8">
        <v>407</v>
      </c>
      <c r="O6" s="8">
        <v>408</v>
      </c>
      <c r="P6" s="8">
        <v>403</v>
      </c>
      <c r="Q6" s="9" t="s">
        <v>47</v>
      </c>
      <c r="R6" s="16"/>
      <c r="S6" s="10">
        <v>12</v>
      </c>
      <c r="T6" s="10">
        <v>0</v>
      </c>
      <c r="U6" s="10">
        <v>0</v>
      </c>
      <c r="V6" s="11">
        <v>8</v>
      </c>
      <c r="W6" s="12" t="s">
        <v>46</v>
      </c>
      <c r="X6" s="17"/>
      <c r="Y6" s="13">
        <v>11</v>
      </c>
      <c r="Z6" s="13">
        <v>0</v>
      </c>
      <c r="AA6" s="13">
        <v>0</v>
      </c>
      <c r="AB6" s="14">
        <v>8</v>
      </c>
      <c r="AC6" s="9"/>
      <c r="AD6" s="16"/>
      <c r="AE6" s="10"/>
      <c r="AF6" s="10"/>
      <c r="AG6" s="10"/>
      <c r="AH6" s="11"/>
      <c r="AI6" s="12"/>
      <c r="AJ6" s="17"/>
      <c r="AK6" s="13"/>
      <c r="AL6" s="13"/>
      <c r="AM6" s="13"/>
      <c r="AN6" s="14"/>
      <c r="AO6" s="9"/>
      <c r="AP6" s="16"/>
      <c r="AQ6" s="10"/>
      <c r="AR6" s="10"/>
      <c r="AS6" s="10"/>
      <c r="AT6" s="11"/>
      <c r="AU6" s="12"/>
      <c r="AV6" s="17"/>
      <c r="AW6" s="13"/>
      <c r="AX6" s="13"/>
      <c r="AY6" s="13"/>
      <c r="AZ6" s="14"/>
      <c r="BA6" s="9"/>
      <c r="BB6" s="16"/>
      <c r="BC6" s="10"/>
      <c r="BD6" s="10"/>
      <c r="BE6" s="10"/>
      <c r="BF6" s="11"/>
      <c r="BG6" s="12"/>
      <c r="BH6" s="17"/>
      <c r="BI6" s="13"/>
      <c r="BJ6" s="13"/>
      <c r="BK6" s="13"/>
      <c r="BL6" s="14"/>
      <c r="BM6" s="8">
        <f t="shared" si="0"/>
        <v>23</v>
      </c>
      <c r="BN6" s="8">
        <f t="shared" si="1"/>
        <v>0</v>
      </c>
      <c r="BO6" s="8">
        <f t="shared" si="2"/>
        <v>0</v>
      </c>
      <c r="BP6" s="8">
        <f t="shared" si="3"/>
        <v>16</v>
      </c>
      <c r="BQ6" s="8">
        <f t="shared" si="4"/>
        <v>23</v>
      </c>
      <c r="BR6" s="8">
        <f t="shared" si="5"/>
        <v>0</v>
      </c>
      <c r="BS6" s="15">
        <f t="shared" si="6"/>
        <v>8.1068638048261299</v>
      </c>
      <c r="BT6" s="15" t="str">
        <f t="shared" si="7"/>
        <v>OK - No Upgrade</v>
      </c>
      <c r="BU6" s="15" t="str">
        <f t="shared" si="8"/>
        <v>Need to Balance</v>
      </c>
    </row>
    <row r="7" spans="1:73" ht="15.75" customHeight="1" x14ac:dyDescent="0.25">
      <c r="A7" s="8" t="s">
        <v>904</v>
      </c>
      <c r="B7" s="8" t="s">
        <v>4356</v>
      </c>
      <c r="C7" s="8" t="s">
        <v>2206</v>
      </c>
      <c r="D7" s="8" t="s">
        <v>4366</v>
      </c>
      <c r="E7" s="8" t="s">
        <v>4367</v>
      </c>
      <c r="F7" s="8" t="s">
        <v>43</v>
      </c>
      <c r="G7" s="8" t="s">
        <v>44</v>
      </c>
      <c r="H7" s="8">
        <v>100</v>
      </c>
      <c r="I7" s="8" t="s">
        <v>4368</v>
      </c>
      <c r="J7" s="8">
        <v>1</v>
      </c>
      <c r="K7" s="8">
        <v>234</v>
      </c>
      <c r="L7" s="8">
        <v>236</v>
      </c>
      <c r="M7" s="8">
        <v>233</v>
      </c>
      <c r="N7" s="8">
        <v>410</v>
      </c>
      <c r="O7" s="8">
        <v>409</v>
      </c>
      <c r="P7" s="8">
        <v>405</v>
      </c>
      <c r="Q7" s="9" t="s">
        <v>47</v>
      </c>
      <c r="R7" s="16"/>
      <c r="S7" s="10">
        <v>0</v>
      </c>
      <c r="T7" s="10">
        <v>0</v>
      </c>
      <c r="U7" s="10">
        <v>0</v>
      </c>
      <c r="V7" s="11">
        <v>0</v>
      </c>
      <c r="W7" s="12"/>
      <c r="X7" s="17"/>
      <c r="Y7" s="13"/>
      <c r="Z7" s="13"/>
      <c r="AA7" s="13"/>
      <c r="AB7" s="14"/>
      <c r="AC7" s="9"/>
      <c r="AD7" s="16"/>
      <c r="AE7" s="10"/>
      <c r="AF7" s="10"/>
      <c r="AG7" s="10"/>
      <c r="AH7" s="11"/>
      <c r="AI7" s="12"/>
      <c r="AJ7" s="17"/>
      <c r="AK7" s="13"/>
      <c r="AL7" s="13"/>
      <c r="AM7" s="13"/>
      <c r="AN7" s="14"/>
      <c r="AO7" s="9"/>
      <c r="AP7" s="16"/>
      <c r="AQ7" s="10"/>
      <c r="AR7" s="10"/>
      <c r="AS7" s="10"/>
      <c r="AT7" s="11"/>
      <c r="AU7" s="12"/>
      <c r="AV7" s="17"/>
      <c r="AW7" s="13"/>
      <c r="AX7" s="13"/>
      <c r="AY7" s="13"/>
      <c r="AZ7" s="14"/>
      <c r="BA7" s="9"/>
      <c r="BB7" s="16"/>
      <c r="BC7" s="10"/>
      <c r="BD7" s="10"/>
      <c r="BE7" s="10"/>
      <c r="BF7" s="11"/>
      <c r="BG7" s="12"/>
      <c r="BH7" s="17"/>
      <c r="BI7" s="13"/>
      <c r="BJ7" s="13"/>
      <c r="BK7" s="13"/>
      <c r="BL7" s="14"/>
      <c r="BM7" s="8">
        <f t="shared" si="0"/>
        <v>0</v>
      </c>
      <c r="BN7" s="8">
        <f t="shared" si="1"/>
        <v>0</v>
      </c>
      <c r="BO7" s="8">
        <f t="shared" si="2"/>
        <v>0</v>
      </c>
      <c r="BP7" s="8">
        <f t="shared" si="3"/>
        <v>0</v>
      </c>
      <c r="BQ7" s="8">
        <f t="shared" si="4"/>
        <v>0</v>
      </c>
      <c r="BR7" s="8">
        <f t="shared" si="5"/>
        <v>0</v>
      </c>
      <c r="BS7" s="15">
        <f t="shared" si="6"/>
        <v>0</v>
      </c>
      <c r="BT7" s="15" t="str">
        <f t="shared" si="7"/>
        <v>OK - No Upgrade</v>
      </c>
      <c r="BU7" s="15" t="str">
        <f t="shared" si="8"/>
        <v>OK - Balanced</v>
      </c>
    </row>
    <row r="8" spans="1:73" ht="15.75" customHeight="1" x14ac:dyDescent="0.25">
      <c r="A8" s="8" t="s">
        <v>904</v>
      </c>
      <c r="B8" s="8" t="s">
        <v>4356</v>
      </c>
      <c r="C8" s="8" t="s">
        <v>2206</v>
      </c>
      <c r="D8" s="8" t="s">
        <v>4369</v>
      </c>
      <c r="E8" s="8" t="s">
        <v>4370</v>
      </c>
      <c r="F8" s="8" t="s">
        <v>43</v>
      </c>
      <c r="G8" s="8"/>
      <c r="H8" s="8">
        <v>315</v>
      </c>
      <c r="I8" s="8" t="s">
        <v>4371</v>
      </c>
      <c r="J8" s="8">
        <v>1</v>
      </c>
      <c r="K8" s="8">
        <v>235</v>
      </c>
      <c r="L8" s="8">
        <v>236</v>
      </c>
      <c r="M8" s="8">
        <v>234</v>
      </c>
      <c r="N8" s="8">
        <v>410</v>
      </c>
      <c r="O8" s="8">
        <v>418</v>
      </c>
      <c r="P8" s="8">
        <v>405</v>
      </c>
      <c r="Q8" s="9" t="s">
        <v>47</v>
      </c>
      <c r="R8" s="16"/>
      <c r="S8" s="10">
        <v>79</v>
      </c>
      <c r="T8" s="10">
        <v>124</v>
      </c>
      <c r="U8" s="10">
        <v>59</v>
      </c>
      <c r="V8" s="11">
        <v>50</v>
      </c>
      <c r="W8" s="12" t="s">
        <v>47</v>
      </c>
      <c r="X8" s="17"/>
      <c r="Y8" s="13">
        <v>17</v>
      </c>
      <c r="Z8" s="13">
        <v>13</v>
      </c>
      <c r="AA8" s="13">
        <v>6</v>
      </c>
      <c r="AB8" s="14">
        <v>9</v>
      </c>
      <c r="AC8" s="9"/>
      <c r="AD8" s="16"/>
      <c r="AE8" s="10"/>
      <c r="AF8" s="10"/>
      <c r="AG8" s="10"/>
      <c r="AH8" s="11"/>
      <c r="AI8" s="12"/>
      <c r="AJ8" s="17"/>
      <c r="AK8" s="13"/>
      <c r="AL8" s="13"/>
      <c r="AM8" s="13"/>
      <c r="AN8" s="14"/>
      <c r="AO8" s="9"/>
      <c r="AP8" s="16"/>
      <c r="AQ8" s="10"/>
      <c r="AR8" s="10"/>
      <c r="AS8" s="10"/>
      <c r="AT8" s="11"/>
      <c r="AU8" s="12"/>
      <c r="AV8" s="17"/>
      <c r="AW8" s="13"/>
      <c r="AX8" s="13"/>
      <c r="AY8" s="13"/>
      <c r="AZ8" s="14"/>
      <c r="BA8" s="9"/>
      <c r="BB8" s="16"/>
      <c r="BC8" s="10"/>
      <c r="BD8" s="10"/>
      <c r="BE8" s="10"/>
      <c r="BF8" s="11"/>
      <c r="BG8" s="12"/>
      <c r="BH8" s="17"/>
      <c r="BI8" s="13"/>
      <c r="BJ8" s="13"/>
      <c r="BK8" s="13"/>
      <c r="BL8" s="14"/>
      <c r="BM8" s="8">
        <f t="shared" si="0"/>
        <v>96</v>
      </c>
      <c r="BN8" s="8">
        <f t="shared" si="1"/>
        <v>137</v>
      </c>
      <c r="BO8" s="8">
        <f t="shared" si="2"/>
        <v>65</v>
      </c>
      <c r="BP8" s="8">
        <f t="shared" si="3"/>
        <v>59</v>
      </c>
      <c r="BQ8" s="8">
        <f t="shared" si="4"/>
        <v>137</v>
      </c>
      <c r="BR8" s="8">
        <f t="shared" si="5"/>
        <v>65</v>
      </c>
      <c r="BS8" s="15">
        <f t="shared" si="6"/>
        <v>30.885490114648835</v>
      </c>
      <c r="BT8" s="15" t="str">
        <f t="shared" si="7"/>
        <v>OK - No Upgrade</v>
      </c>
      <c r="BU8" s="15" t="str">
        <f t="shared" si="8"/>
        <v>Need to Balance</v>
      </c>
    </row>
    <row r="9" spans="1:73" ht="15.75" customHeight="1" x14ac:dyDescent="0.25">
      <c r="A9" s="8" t="s">
        <v>904</v>
      </c>
      <c r="B9" s="8" t="s">
        <v>4356</v>
      </c>
      <c r="C9" s="8" t="s">
        <v>2206</v>
      </c>
      <c r="D9" s="8" t="s">
        <v>4372</v>
      </c>
      <c r="E9" s="8" t="s">
        <v>4373</v>
      </c>
      <c r="F9" s="8" t="s">
        <v>43</v>
      </c>
      <c r="G9" s="8"/>
      <c r="H9" s="8">
        <v>315</v>
      </c>
      <c r="I9" s="8" t="s">
        <v>4374</v>
      </c>
      <c r="J9" s="8">
        <v>1</v>
      </c>
      <c r="K9" s="8">
        <v>238</v>
      </c>
      <c r="L9" s="8">
        <v>235</v>
      </c>
      <c r="M9" s="8">
        <v>236</v>
      </c>
      <c r="N9" s="8">
        <v>414</v>
      </c>
      <c r="O9" s="8">
        <v>410</v>
      </c>
      <c r="P9" s="8">
        <v>413</v>
      </c>
      <c r="Q9" s="9" t="s">
        <v>47</v>
      </c>
      <c r="R9" s="16"/>
      <c r="S9" s="10">
        <v>4</v>
      </c>
      <c r="T9" s="10">
        <v>29</v>
      </c>
      <c r="U9" s="10">
        <v>16</v>
      </c>
      <c r="V9" s="11">
        <v>21</v>
      </c>
      <c r="W9" s="12" t="s">
        <v>47</v>
      </c>
      <c r="X9" s="17"/>
      <c r="Y9" s="13">
        <v>8</v>
      </c>
      <c r="Z9" s="13">
        <v>20</v>
      </c>
      <c r="AA9" s="13">
        <v>10</v>
      </c>
      <c r="AB9" s="14">
        <v>6</v>
      </c>
      <c r="AC9" s="9"/>
      <c r="AD9" s="16"/>
      <c r="AE9" s="10"/>
      <c r="AF9" s="10"/>
      <c r="AG9" s="10"/>
      <c r="AH9" s="11"/>
      <c r="AI9" s="12"/>
      <c r="AJ9" s="17"/>
      <c r="AK9" s="13"/>
      <c r="AL9" s="13"/>
      <c r="AM9" s="13"/>
      <c r="AN9" s="14"/>
      <c r="AO9" s="9"/>
      <c r="AP9" s="16"/>
      <c r="AQ9" s="10"/>
      <c r="AR9" s="10"/>
      <c r="AS9" s="10"/>
      <c r="AT9" s="11"/>
      <c r="AU9" s="12"/>
      <c r="AV9" s="17"/>
      <c r="AW9" s="13"/>
      <c r="AX9" s="13"/>
      <c r="AY9" s="13"/>
      <c r="AZ9" s="14"/>
      <c r="BA9" s="9"/>
      <c r="BB9" s="16"/>
      <c r="BC9" s="10"/>
      <c r="BD9" s="10"/>
      <c r="BE9" s="10"/>
      <c r="BF9" s="11"/>
      <c r="BG9" s="12"/>
      <c r="BH9" s="17"/>
      <c r="BI9" s="13"/>
      <c r="BJ9" s="13"/>
      <c r="BK9" s="13"/>
      <c r="BL9" s="14"/>
      <c r="BM9" s="8">
        <f t="shared" si="0"/>
        <v>12</v>
      </c>
      <c r="BN9" s="8">
        <f t="shared" si="1"/>
        <v>49</v>
      </c>
      <c r="BO9" s="8">
        <f t="shared" si="2"/>
        <v>26</v>
      </c>
      <c r="BP9" s="8">
        <f t="shared" si="3"/>
        <v>27</v>
      </c>
      <c r="BQ9" s="8">
        <f t="shared" si="4"/>
        <v>49</v>
      </c>
      <c r="BR9" s="8">
        <f t="shared" si="5"/>
        <v>12</v>
      </c>
      <c r="BS9" s="15">
        <f t="shared" si="6"/>
        <v>11.154407200743568</v>
      </c>
      <c r="BT9" s="15" t="str">
        <f t="shared" si="7"/>
        <v>OK - No Upgrade</v>
      </c>
      <c r="BU9" s="15" t="str">
        <f t="shared" si="8"/>
        <v>Need to Balance</v>
      </c>
    </row>
    <row r="10" spans="1:73" ht="15.75" customHeight="1" x14ac:dyDescent="0.25">
      <c r="A10" s="8" t="s">
        <v>904</v>
      </c>
      <c r="B10" s="8" t="s">
        <v>4356</v>
      </c>
      <c r="C10" s="8" t="s">
        <v>2206</v>
      </c>
      <c r="D10" s="8" t="s">
        <v>4375</v>
      </c>
      <c r="E10" s="8" t="s">
        <v>4376</v>
      </c>
      <c r="F10" s="8" t="s">
        <v>43</v>
      </c>
      <c r="G10" s="8"/>
      <c r="H10" s="8">
        <v>100</v>
      </c>
      <c r="I10" s="8" t="s">
        <v>4377</v>
      </c>
      <c r="J10" s="8">
        <v>1</v>
      </c>
      <c r="K10" s="8">
        <v>238</v>
      </c>
      <c r="L10" s="8">
        <v>241</v>
      </c>
      <c r="M10" s="8">
        <v>236</v>
      </c>
      <c r="N10" s="8">
        <v>419</v>
      </c>
      <c r="O10" s="8">
        <v>416</v>
      </c>
      <c r="P10" s="8">
        <v>412</v>
      </c>
      <c r="Q10" s="9" t="s">
        <v>46</v>
      </c>
      <c r="R10" s="16"/>
      <c r="S10" s="10">
        <v>18</v>
      </c>
      <c r="T10" s="10">
        <v>2</v>
      </c>
      <c r="U10" s="10">
        <v>21</v>
      </c>
      <c r="V10" s="11">
        <v>13</v>
      </c>
      <c r="W10" s="12"/>
      <c r="X10" s="17"/>
      <c r="Y10" s="13"/>
      <c r="Z10" s="13"/>
      <c r="AA10" s="13"/>
      <c r="AB10" s="14"/>
      <c r="AC10" s="9"/>
      <c r="AD10" s="16"/>
      <c r="AE10" s="10"/>
      <c r="AF10" s="10"/>
      <c r="AG10" s="10"/>
      <c r="AH10" s="11"/>
      <c r="AI10" s="12"/>
      <c r="AJ10" s="17"/>
      <c r="AK10" s="13"/>
      <c r="AL10" s="13"/>
      <c r="AM10" s="13"/>
      <c r="AN10" s="14"/>
      <c r="AO10" s="9"/>
      <c r="AP10" s="16"/>
      <c r="AQ10" s="10"/>
      <c r="AR10" s="10"/>
      <c r="AS10" s="10"/>
      <c r="AT10" s="11"/>
      <c r="AU10" s="12"/>
      <c r="AV10" s="17"/>
      <c r="AW10" s="13"/>
      <c r="AX10" s="13"/>
      <c r="AY10" s="13"/>
      <c r="AZ10" s="14"/>
      <c r="BA10" s="9"/>
      <c r="BB10" s="16"/>
      <c r="BC10" s="10"/>
      <c r="BD10" s="10"/>
      <c r="BE10" s="10"/>
      <c r="BF10" s="11"/>
      <c r="BG10" s="12"/>
      <c r="BH10" s="17"/>
      <c r="BI10" s="13"/>
      <c r="BJ10" s="13"/>
      <c r="BK10" s="13"/>
      <c r="BL10" s="14"/>
      <c r="BM10" s="8">
        <f t="shared" si="0"/>
        <v>18</v>
      </c>
      <c r="BN10" s="8">
        <f t="shared" si="1"/>
        <v>2</v>
      </c>
      <c r="BO10" s="8">
        <f t="shared" si="2"/>
        <v>21</v>
      </c>
      <c r="BP10" s="8">
        <f t="shared" si="3"/>
        <v>13</v>
      </c>
      <c r="BQ10" s="8">
        <f t="shared" si="4"/>
        <v>21</v>
      </c>
      <c r="BR10" s="8">
        <f t="shared" si="5"/>
        <v>2</v>
      </c>
      <c r="BS10" s="15">
        <f t="shared" si="6"/>
        <v>15.240315055798551</v>
      </c>
      <c r="BT10" s="15" t="str">
        <f t="shared" si="7"/>
        <v>OK - No Upgrade</v>
      </c>
      <c r="BU10" s="15" t="str">
        <f t="shared" si="8"/>
        <v>Need to Balance</v>
      </c>
    </row>
    <row r="11" spans="1:73" ht="15.75" customHeight="1" x14ac:dyDescent="0.25">
      <c r="A11" s="8" t="s">
        <v>904</v>
      </c>
      <c r="B11" s="8" t="s">
        <v>4356</v>
      </c>
      <c r="C11" s="8" t="s">
        <v>2206</v>
      </c>
      <c r="D11" s="8" t="s">
        <v>4378</v>
      </c>
      <c r="E11" s="8" t="s">
        <v>4379</v>
      </c>
      <c r="F11" s="8" t="s">
        <v>43</v>
      </c>
      <c r="G11" s="8"/>
      <c r="H11" s="8">
        <v>100</v>
      </c>
      <c r="I11" s="8" t="s">
        <v>4380</v>
      </c>
      <c r="J11" s="8">
        <v>1</v>
      </c>
      <c r="K11" s="8">
        <v>236</v>
      </c>
      <c r="L11" s="8">
        <v>239</v>
      </c>
      <c r="M11" s="8">
        <v>239</v>
      </c>
      <c r="N11" s="8">
        <v>411</v>
      </c>
      <c r="O11" s="8">
        <v>417</v>
      </c>
      <c r="P11" s="8">
        <v>413</v>
      </c>
      <c r="Q11" s="9" t="s">
        <v>47</v>
      </c>
      <c r="R11" s="16"/>
      <c r="S11" s="10">
        <v>12</v>
      </c>
      <c r="T11" s="10">
        <v>2</v>
      </c>
      <c r="U11" s="10">
        <v>10</v>
      </c>
      <c r="V11" s="11">
        <v>9</v>
      </c>
      <c r="W11" s="12" t="s">
        <v>46</v>
      </c>
      <c r="X11" s="17"/>
      <c r="Y11" s="13">
        <v>25</v>
      </c>
      <c r="Z11" s="13">
        <v>9</v>
      </c>
      <c r="AA11" s="13">
        <v>27</v>
      </c>
      <c r="AB11" s="14">
        <v>19</v>
      </c>
      <c r="AC11" s="9"/>
      <c r="AD11" s="16"/>
      <c r="AE11" s="10"/>
      <c r="AF11" s="10"/>
      <c r="AG11" s="10"/>
      <c r="AH11" s="11"/>
      <c r="AI11" s="12"/>
      <c r="AJ11" s="17"/>
      <c r="AK11" s="13"/>
      <c r="AL11" s="13"/>
      <c r="AM11" s="13"/>
      <c r="AN11" s="14"/>
      <c r="AO11" s="9"/>
      <c r="AP11" s="16"/>
      <c r="AQ11" s="10"/>
      <c r="AR11" s="10"/>
      <c r="AS11" s="10"/>
      <c r="AT11" s="11"/>
      <c r="AU11" s="12"/>
      <c r="AV11" s="17"/>
      <c r="AW11" s="13"/>
      <c r="AX11" s="13"/>
      <c r="AY11" s="13"/>
      <c r="AZ11" s="14"/>
      <c r="BA11" s="9"/>
      <c r="BB11" s="16"/>
      <c r="BC11" s="10"/>
      <c r="BD11" s="10"/>
      <c r="BE11" s="10"/>
      <c r="BF11" s="11"/>
      <c r="BG11" s="12"/>
      <c r="BH11" s="17"/>
      <c r="BI11" s="13"/>
      <c r="BJ11" s="13"/>
      <c r="BK11" s="13"/>
      <c r="BL11" s="14"/>
      <c r="BM11" s="8">
        <f t="shared" si="0"/>
        <v>37</v>
      </c>
      <c r="BN11" s="8">
        <f t="shared" si="1"/>
        <v>11</v>
      </c>
      <c r="BO11" s="8">
        <f t="shared" si="2"/>
        <v>37</v>
      </c>
      <c r="BP11" s="8">
        <f t="shared" si="3"/>
        <v>28</v>
      </c>
      <c r="BQ11" s="8">
        <f t="shared" si="4"/>
        <v>37</v>
      </c>
      <c r="BR11" s="8">
        <f t="shared" si="5"/>
        <v>11</v>
      </c>
      <c r="BS11" s="15">
        <f t="shared" si="6"/>
        <v>26.339296630699916</v>
      </c>
      <c r="BT11" s="15" t="str">
        <f t="shared" si="7"/>
        <v>OK - No Upgrade</v>
      </c>
      <c r="BU11" s="15" t="str">
        <f t="shared" si="8"/>
        <v>Need to Balance</v>
      </c>
    </row>
    <row r="12" spans="1:73" ht="15.75" customHeight="1" x14ac:dyDescent="0.25">
      <c r="A12" s="8" t="s">
        <v>904</v>
      </c>
      <c r="B12" s="8" t="s">
        <v>4356</v>
      </c>
      <c r="C12" s="8" t="s">
        <v>2206</v>
      </c>
      <c r="D12" s="8" t="s">
        <v>4381</v>
      </c>
      <c r="E12" s="8" t="s">
        <v>4382</v>
      </c>
      <c r="F12" s="8" t="s">
        <v>43</v>
      </c>
      <c r="G12" s="8"/>
      <c r="H12" s="8">
        <v>100</v>
      </c>
      <c r="I12" s="8" t="s">
        <v>4383</v>
      </c>
      <c r="J12" s="8">
        <v>1</v>
      </c>
      <c r="K12" s="8">
        <v>234</v>
      </c>
      <c r="L12" s="8">
        <v>233</v>
      </c>
      <c r="M12" s="8">
        <v>239</v>
      </c>
      <c r="N12" s="8">
        <v>406</v>
      </c>
      <c r="O12" s="8">
        <v>410</v>
      </c>
      <c r="P12" s="8">
        <v>412</v>
      </c>
      <c r="Q12" s="9" t="s">
        <v>46</v>
      </c>
      <c r="R12" s="16"/>
      <c r="S12" s="10">
        <v>10</v>
      </c>
      <c r="T12" s="10">
        <v>9</v>
      </c>
      <c r="U12" s="10">
        <v>0</v>
      </c>
      <c r="V12" s="11">
        <v>10</v>
      </c>
      <c r="W12" s="12" t="s">
        <v>46</v>
      </c>
      <c r="X12" s="17"/>
      <c r="Y12" s="13">
        <v>64</v>
      </c>
      <c r="Z12" s="13">
        <v>80</v>
      </c>
      <c r="AA12" s="13">
        <v>24</v>
      </c>
      <c r="AB12" s="14">
        <v>36</v>
      </c>
      <c r="AC12" s="9"/>
      <c r="AD12" s="16"/>
      <c r="AE12" s="10"/>
      <c r="AF12" s="10"/>
      <c r="AG12" s="10"/>
      <c r="AH12" s="11"/>
      <c r="AI12" s="12"/>
      <c r="AJ12" s="17"/>
      <c r="AK12" s="13"/>
      <c r="AL12" s="13"/>
      <c r="AM12" s="13"/>
      <c r="AN12" s="14"/>
      <c r="AO12" s="9"/>
      <c r="AP12" s="16"/>
      <c r="AQ12" s="10"/>
      <c r="AR12" s="10"/>
      <c r="AS12" s="10"/>
      <c r="AT12" s="11"/>
      <c r="AU12" s="12"/>
      <c r="AV12" s="17"/>
      <c r="AW12" s="13"/>
      <c r="AX12" s="13"/>
      <c r="AY12" s="13"/>
      <c r="AZ12" s="14"/>
      <c r="BA12" s="9"/>
      <c r="BB12" s="16"/>
      <c r="BC12" s="10"/>
      <c r="BD12" s="10"/>
      <c r="BE12" s="10"/>
      <c r="BF12" s="11"/>
      <c r="BG12" s="12"/>
      <c r="BH12" s="17"/>
      <c r="BI12" s="13"/>
      <c r="BJ12" s="13"/>
      <c r="BK12" s="13"/>
      <c r="BL12" s="14"/>
      <c r="BM12" s="8">
        <f t="shared" si="0"/>
        <v>74</v>
      </c>
      <c r="BN12" s="8">
        <f t="shared" si="1"/>
        <v>89</v>
      </c>
      <c r="BO12" s="8">
        <f t="shared" si="2"/>
        <v>24</v>
      </c>
      <c r="BP12" s="8">
        <f t="shared" si="3"/>
        <v>46</v>
      </c>
      <c r="BQ12" s="8">
        <f t="shared" si="4"/>
        <v>89</v>
      </c>
      <c r="BR12" s="8">
        <f t="shared" si="5"/>
        <v>24</v>
      </c>
      <c r="BS12" s="15">
        <f t="shared" si="6"/>
        <v>62.585923880693805</v>
      </c>
      <c r="BT12" s="15" t="str">
        <f t="shared" si="7"/>
        <v>OK - No Upgrade</v>
      </c>
      <c r="BU12" s="15" t="str">
        <f t="shared" si="8"/>
        <v>Need to Balance</v>
      </c>
    </row>
    <row r="13" spans="1:73" ht="15.75" customHeight="1" x14ac:dyDescent="0.25">
      <c r="A13" s="8" t="s">
        <v>904</v>
      </c>
      <c r="B13" s="8" t="s">
        <v>4356</v>
      </c>
      <c r="C13" s="8" t="s">
        <v>2206</v>
      </c>
      <c r="D13" s="8" t="s">
        <v>4384</v>
      </c>
      <c r="E13" s="8" t="s">
        <v>4385</v>
      </c>
      <c r="F13" s="8" t="s">
        <v>43</v>
      </c>
      <c r="G13" s="8" t="s">
        <v>44</v>
      </c>
      <c r="H13" s="8">
        <v>315</v>
      </c>
      <c r="I13" s="8" t="s">
        <v>4386</v>
      </c>
      <c r="J13" s="8">
        <v>1</v>
      </c>
      <c r="K13" s="8">
        <v>243</v>
      </c>
      <c r="L13" s="8">
        <v>243</v>
      </c>
      <c r="M13" s="8">
        <v>246</v>
      </c>
      <c r="N13" s="8">
        <v>422</v>
      </c>
      <c r="O13" s="8">
        <v>426</v>
      </c>
      <c r="P13" s="8">
        <v>425</v>
      </c>
      <c r="Q13" s="9" t="s">
        <v>47</v>
      </c>
      <c r="R13" s="16"/>
      <c r="S13" s="10">
        <v>36</v>
      </c>
      <c r="T13" s="10">
        <v>48</v>
      </c>
      <c r="U13" s="10">
        <v>32</v>
      </c>
      <c r="V13" s="11">
        <v>17</v>
      </c>
      <c r="W13" s="12"/>
      <c r="X13" s="17"/>
      <c r="Y13" s="13"/>
      <c r="Z13" s="13"/>
      <c r="AA13" s="13"/>
      <c r="AB13" s="14"/>
      <c r="AC13" s="9"/>
      <c r="AD13" s="16"/>
      <c r="AE13" s="10"/>
      <c r="AF13" s="10"/>
      <c r="AG13" s="10"/>
      <c r="AH13" s="11"/>
      <c r="AI13" s="12"/>
      <c r="AJ13" s="17"/>
      <c r="AK13" s="13"/>
      <c r="AL13" s="13"/>
      <c r="AM13" s="13"/>
      <c r="AN13" s="14"/>
      <c r="AO13" s="9"/>
      <c r="AP13" s="16"/>
      <c r="AQ13" s="10"/>
      <c r="AR13" s="10"/>
      <c r="AS13" s="10"/>
      <c r="AT13" s="11"/>
      <c r="AU13" s="12"/>
      <c r="AV13" s="17"/>
      <c r="AW13" s="13"/>
      <c r="AX13" s="13"/>
      <c r="AY13" s="13"/>
      <c r="AZ13" s="14"/>
      <c r="BA13" s="9"/>
      <c r="BB13" s="16"/>
      <c r="BC13" s="10"/>
      <c r="BD13" s="10"/>
      <c r="BE13" s="10"/>
      <c r="BF13" s="11"/>
      <c r="BG13" s="12"/>
      <c r="BH13" s="17"/>
      <c r="BI13" s="13"/>
      <c r="BJ13" s="13"/>
      <c r="BK13" s="13"/>
      <c r="BL13" s="14"/>
      <c r="BM13" s="8">
        <f t="shared" si="0"/>
        <v>36</v>
      </c>
      <c r="BN13" s="8">
        <f t="shared" si="1"/>
        <v>48</v>
      </c>
      <c r="BO13" s="8">
        <f t="shared" si="2"/>
        <v>32</v>
      </c>
      <c r="BP13" s="8">
        <f t="shared" si="3"/>
        <v>17</v>
      </c>
      <c r="BQ13" s="8">
        <f t="shared" si="4"/>
        <v>48</v>
      </c>
      <c r="BR13" s="8">
        <f t="shared" si="5"/>
        <v>32</v>
      </c>
      <c r="BS13" s="15">
        <f t="shared" si="6"/>
        <v>11.137911478766723</v>
      </c>
      <c r="BT13" s="15" t="str">
        <f t="shared" si="7"/>
        <v>OK - No Upgrade</v>
      </c>
      <c r="BU13" s="15" t="str">
        <f t="shared" si="8"/>
        <v>Need to Balance</v>
      </c>
    </row>
    <row r="14" spans="1:73" ht="15.75" customHeight="1" x14ac:dyDescent="0.25">
      <c r="A14" s="8" t="s">
        <v>904</v>
      </c>
      <c r="B14" s="8" t="s">
        <v>4356</v>
      </c>
      <c r="C14" s="8" t="s">
        <v>2206</v>
      </c>
      <c r="D14" s="8" t="s">
        <v>4387</v>
      </c>
      <c r="E14" s="8" t="s">
        <v>4388</v>
      </c>
      <c r="F14" s="8" t="s">
        <v>43</v>
      </c>
      <c r="G14" s="8"/>
      <c r="H14" s="8">
        <v>315</v>
      </c>
      <c r="I14" s="8" t="s">
        <v>4389</v>
      </c>
      <c r="J14" s="8">
        <v>1</v>
      </c>
      <c r="K14" s="8">
        <v>243</v>
      </c>
      <c r="L14" s="8">
        <v>243</v>
      </c>
      <c r="M14" s="8">
        <v>246</v>
      </c>
      <c r="N14" s="8">
        <v>420</v>
      </c>
      <c r="O14" s="8">
        <v>425</v>
      </c>
      <c r="P14" s="8">
        <v>426</v>
      </c>
      <c r="Q14" s="9" t="s">
        <v>46</v>
      </c>
      <c r="R14" s="16"/>
      <c r="S14" s="10">
        <v>29</v>
      </c>
      <c r="T14" s="10">
        <v>2</v>
      </c>
      <c r="U14" s="10">
        <v>10</v>
      </c>
      <c r="V14" s="11">
        <v>19</v>
      </c>
      <c r="W14" s="12" t="s">
        <v>47</v>
      </c>
      <c r="X14" s="17"/>
      <c r="Y14" s="13">
        <v>61</v>
      </c>
      <c r="Z14" s="13">
        <v>87</v>
      </c>
      <c r="AA14" s="13">
        <v>47</v>
      </c>
      <c r="AB14" s="14">
        <v>28</v>
      </c>
      <c r="AC14" s="9"/>
      <c r="AD14" s="16"/>
      <c r="AE14" s="10"/>
      <c r="AF14" s="10"/>
      <c r="AG14" s="10"/>
      <c r="AH14" s="11"/>
      <c r="AI14" s="12"/>
      <c r="AJ14" s="17"/>
      <c r="AK14" s="13"/>
      <c r="AL14" s="13"/>
      <c r="AM14" s="13"/>
      <c r="AN14" s="14"/>
      <c r="AO14" s="9"/>
      <c r="AP14" s="16"/>
      <c r="AQ14" s="10"/>
      <c r="AR14" s="10"/>
      <c r="AS14" s="10"/>
      <c r="AT14" s="11"/>
      <c r="AU14" s="12"/>
      <c r="AV14" s="17"/>
      <c r="AW14" s="13"/>
      <c r="AX14" s="13"/>
      <c r="AY14" s="13"/>
      <c r="AZ14" s="14"/>
      <c r="BA14" s="9"/>
      <c r="BB14" s="16"/>
      <c r="BC14" s="10"/>
      <c r="BD14" s="10"/>
      <c r="BE14" s="10"/>
      <c r="BF14" s="11"/>
      <c r="BG14" s="12"/>
      <c r="BH14" s="17"/>
      <c r="BI14" s="13"/>
      <c r="BJ14" s="13"/>
      <c r="BK14" s="13"/>
      <c r="BL14" s="14"/>
      <c r="BM14" s="8">
        <f t="shared" si="0"/>
        <v>90</v>
      </c>
      <c r="BN14" s="8">
        <f t="shared" si="1"/>
        <v>89</v>
      </c>
      <c r="BO14" s="8">
        <f t="shared" si="2"/>
        <v>57</v>
      </c>
      <c r="BP14" s="8">
        <f t="shared" si="3"/>
        <v>47</v>
      </c>
      <c r="BQ14" s="8">
        <f t="shared" si="4"/>
        <v>90</v>
      </c>
      <c r="BR14" s="8">
        <f t="shared" si="5"/>
        <v>57</v>
      </c>
      <c r="BS14" s="15">
        <f t="shared" si="6"/>
        <v>20.784609690826528</v>
      </c>
      <c r="BT14" s="15" t="str">
        <f t="shared" si="7"/>
        <v>OK - No Upgrade</v>
      </c>
      <c r="BU14" s="15" t="str">
        <f t="shared" si="8"/>
        <v>Need to Balance</v>
      </c>
    </row>
    <row r="15" spans="1:73" ht="15.75" customHeight="1" x14ac:dyDescent="0.25">
      <c r="A15" s="8" t="s">
        <v>904</v>
      </c>
      <c r="B15" s="8" t="s">
        <v>4356</v>
      </c>
      <c r="C15" s="8" t="s">
        <v>2206</v>
      </c>
      <c r="D15" s="8" t="s">
        <v>4390</v>
      </c>
      <c r="E15" s="8" t="s">
        <v>4391</v>
      </c>
      <c r="F15" s="8" t="s">
        <v>43</v>
      </c>
      <c r="G15" s="8"/>
      <c r="H15" s="8">
        <v>100</v>
      </c>
      <c r="I15" s="8" t="s">
        <v>4392</v>
      </c>
      <c r="J15" s="8">
        <v>1</v>
      </c>
      <c r="K15" s="8">
        <v>232</v>
      </c>
      <c r="L15" s="8">
        <v>233</v>
      </c>
      <c r="M15" s="8">
        <v>235</v>
      </c>
      <c r="N15" s="8">
        <v>402</v>
      </c>
      <c r="O15" s="8">
        <v>407</v>
      </c>
      <c r="P15" s="8">
        <v>407</v>
      </c>
      <c r="Q15" s="9" t="s">
        <v>334</v>
      </c>
      <c r="R15" s="16"/>
      <c r="S15" s="10">
        <v>10</v>
      </c>
      <c r="T15" s="10">
        <v>6</v>
      </c>
      <c r="U15" s="10">
        <v>3</v>
      </c>
      <c r="V15" s="11">
        <v>6</v>
      </c>
      <c r="W15" s="12"/>
      <c r="X15" s="17"/>
      <c r="Y15" s="13"/>
      <c r="Z15" s="13"/>
      <c r="AA15" s="13"/>
      <c r="AB15" s="14"/>
      <c r="AC15" s="9"/>
      <c r="AD15" s="16"/>
      <c r="AE15" s="10"/>
      <c r="AF15" s="10"/>
      <c r="AG15" s="10"/>
      <c r="AH15" s="11"/>
      <c r="AI15" s="12"/>
      <c r="AJ15" s="17"/>
      <c r="AK15" s="13"/>
      <c r="AL15" s="13"/>
      <c r="AM15" s="13"/>
      <c r="AN15" s="14"/>
      <c r="AO15" s="9"/>
      <c r="AP15" s="16"/>
      <c r="AQ15" s="10"/>
      <c r="AR15" s="10"/>
      <c r="AS15" s="10"/>
      <c r="AT15" s="11"/>
      <c r="AU15" s="12"/>
      <c r="AV15" s="17"/>
      <c r="AW15" s="13"/>
      <c r="AX15" s="13"/>
      <c r="AY15" s="13"/>
      <c r="AZ15" s="14"/>
      <c r="BA15" s="9"/>
      <c r="BB15" s="16"/>
      <c r="BC15" s="10"/>
      <c r="BD15" s="10"/>
      <c r="BE15" s="10"/>
      <c r="BF15" s="11"/>
      <c r="BG15" s="12"/>
      <c r="BH15" s="17"/>
      <c r="BI15" s="13"/>
      <c r="BJ15" s="13"/>
      <c r="BK15" s="13"/>
      <c r="BL15" s="14"/>
      <c r="BM15" s="8">
        <f t="shared" si="0"/>
        <v>10</v>
      </c>
      <c r="BN15" s="8">
        <f t="shared" si="1"/>
        <v>6</v>
      </c>
      <c r="BO15" s="8">
        <f t="shared" si="2"/>
        <v>3</v>
      </c>
      <c r="BP15" s="8">
        <f t="shared" si="3"/>
        <v>6</v>
      </c>
      <c r="BQ15" s="8">
        <f t="shared" si="4"/>
        <v>10</v>
      </c>
      <c r="BR15" s="8">
        <f t="shared" si="5"/>
        <v>3</v>
      </c>
      <c r="BS15" s="15">
        <f t="shared" si="6"/>
        <v>6.9628442464268856</v>
      </c>
      <c r="BT15" s="15" t="str">
        <f t="shared" si="7"/>
        <v>OK - No Upgrade</v>
      </c>
      <c r="BU15" s="15" t="str">
        <f t="shared" si="8"/>
        <v>Need to Balance</v>
      </c>
    </row>
    <row r="16" spans="1:73" ht="15.75" customHeight="1" x14ac:dyDescent="0.25">
      <c r="A16" s="8" t="s">
        <v>904</v>
      </c>
      <c r="B16" s="8" t="s">
        <v>4356</v>
      </c>
      <c r="C16" s="8" t="s">
        <v>2206</v>
      </c>
      <c r="D16" s="8"/>
      <c r="E16" s="8" t="s">
        <v>4393</v>
      </c>
      <c r="F16" s="8" t="s">
        <v>56</v>
      </c>
      <c r="G16" s="8"/>
      <c r="H16" s="8">
        <v>500</v>
      </c>
      <c r="I16" s="8" t="s">
        <v>4394</v>
      </c>
      <c r="J16" s="8">
        <v>1</v>
      </c>
      <c r="K16" s="8">
        <v>239</v>
      </c>
      <c r="L16" s="8">
        <v>238</v>
      </c>
      <c r="M16" s="8">
        <v>239</v>
      </c>
      <c r="N16" s="8">
        <v>415</v>
      </c>
      <c r="O16" s="8">
        <v>416</v>
      </c>
      <c r="P16" s="8">
        <v>417</v>
      </c>
      <c r="Q16" s="9" t="s">
        <v>47</v>
      </c>
      <c r="R16" s="16"/>
      <c r="S16" s="10">
        <v>89</v>
      </c>
      <c r="T16" s="10">
        <v>101</v>
      </c>
      <c r="U16" s="10">
        <v>156</v>
      </c>
      <c r="V16" s="11">
        <v>44</v>
      </c>
      <c r="W16" s="12" t="s">
        <v>47</v>
      </c>
      <c r="X16" s="17"/>
      <c r="Y16" s="13">
        <v>101</v>
      </c>
      <c r="Z16" s="13">
        <v>165</v>
      </c>
      <c r="AA16" s="13">
        <v>199</v>
      </c>
      <c r="AB16" s="14">
        <v>46</v>
      </c>
      <c r="AC16" s="9"/>
      <c r="AD16" s="16"/>
      <c r="AE16" s="10"/>
      <c r="AF16" s="10"/>
      <c r="AG16" s="10"/>
      <c r="AH16" s="11"/>
      <c r="AI16" s="12"/>
      <c r="AJ16" s="17"/>
      <c r="AK16" s="13"/>
      <c r="AL16" s="13"/>
      <c r="AM16" s="13"/>
      <c r="AN16" s="14"/>
      <c r="AO16" s="9"/>
      <c r="AP16" s="16"/>
      <c r="AQ16" s="10"/>
      <c r="AR16" s="10"/>
      <c r="AS16" s="10"/>
      <c r="AT16" s="11"/>
      <c r="AU16" s="12"/>
      <c r="AV16" s="17"/>
      <c r="AW16" s="13"/>
      <c r="AX16" s="13"/>
      <c r="AY16" s="13"/>
      <c r="AZ16" s="14"/>
      <c r="BA16" s="9"/>
      <c r="BB16" s="16"/>
      <c r="BC16" s="10"/>
      <c r="BD16" s="10"/>
      <c r="BE16" s="10"/>
      <c r="BF16" s="11"/>
      <c r="BG16" s="12"/>
      <c r="BH16" s="17"/>
      <c r="BI16" s="13"/>
      <c r="BJ16" s="13"/>
      <c r="BK16" s="13"/>
      <c r="BL16" s="14"/>
      <c r="BM16" s="8">
        <f t="shared" si="0"/>
        <v>190</v>
      </c>
      <c r="BN16" s="8">
        <f t="shared" si="1"/>
        <v>266</v>
      </c>
      <c r="BO16" s="8">
        <f t="shared" si="2"/>
        <v>355</v>
      </c>
      <c r="BP16" s="8">
        <f t="shared" si="3"/>
        <v>90</v>
      </c>
      <c r="BQ16" s="8">
        <f t="shared" si="4"/>
        <v>355</v>
      </c>
      <c r="BR16" s="8">
        <f t="shared" si="5"/>
        <v>190</v>
      </c>
      <c r="BS16" s="15">
        <f t="shared" si="6"/>
        <v>51.03487704501697</v>
      </c>
      <c r="BT16" s="15" t="str">
        <f t="shared" si="7"/>
        <v>OK - No Upgrade</v>
      </c>
      <c r="BU16" s="15" t="str">
        <f t="shared" si="8"/>
        <v>Need to Balance</v>
      </c>
    </row>
    <row r="17" spans="1:73" ht="15.75" customHeight="1" x14ac:dyDescent="0.25">
      <c r="A17" s="8" t="s">
        <v>904</v>
      </c>
      <c r="B17" s="8" t="s">
        <v>4356</v>
      </c>
      <c r="C17" s="8" t="s">
        <v>2206</v>
      </c>
      <c r="D17" s="8"/>
      <c r="E17" s="8" t="s">
        <v>4395</v>
      </c>
      <c r="F17" s="8" t="s">
        <v>56</v>
      </c>
      <c r="G17" s="8"/>
      <c r="H17" s="8">
        <v>500</v>
      </c>
      <c r="I17" s="8" t="s">
        <v>4396</v>
      </c>
      <c r="J17" s="8">
        <v>1</v>
      </c>
      <c r="K17" s="8">
        <v>238</v>
      </c>
      <c r="L17" s="8">
        <v>239</v>
      </c>
      <c r="M17" s="8">
        <v>238</v>
      </c>
      <c r="N17" s="8">
        <v>414</v>
      </c>
      <c r="O17" s="8">
        <v>416</v>
      </c>
      <c r="P17" s="8">
        <v>415</v>
      </c>
      <c r="Q17" s="9" t="s">
        <v>47</v>
      </c>
      <c r="R17" s="16"/>
      <c r="S17" s="10">
        <v>16</v>
      </c>
      <c r="T17" s="10">
        <v>130</v>
      </c>
      <c r="U17" s="10">
        <v>117</v>
      </c>
      <c r="V17" s="11">
        <v>46</v>
      </c>
      <c r="W17" s="12"/>
      <c r="X17" s="17"/>
      <c r="Y17" s="13">
        <v>11</v>
      </c>
      <c r="Z17" s="13">
        <v>140</v>
      </c>
      <c r="AA17" s="13">
        <v>146</v>
      </c>
      <c r="AB17" s="14">
        <v>51</v>
      </c>
      <c r="AC17" s="9"/>
      <c r="AD17" s="16"/>
      <c r="AE17" s="10"/>
      <c r="AF17" s="10"/>
      <c r="AG17" s="10"/>
      <c r="AH17" s="11"/>
      <c r="AI17" s="12"/>
      <c r="AJ17" s="17"/>
      <c r="AK17" s="13"/>
      <c r="AL17" s="13"/>
      <c r="AM17" s="13"/>
      <c r="AN17" s="14"/>
      <c r="AO17" s="9"/>
      <c r="AP17" s="16"/>
      <c r="AQ17" s="10"/>
      <c r="AR17" s="10"/>
      <c r="AS17" s="10"/>
      <c r="AT17" s="11"/>
      <c r="AU17" s="12"/>
      <c r="AV17" s="17"/>
      <c r="AW17" s="13"/>
      <c r="AX17" s="13"/>
      <c r="AY17" s="13"/>
      <c r="AZ17" s="14"/>
      <c r="BA17" s="9"/>
      <c r="BB17" s="16"/>
      <c r="BC17" s="10"/>
      <c r="BD17" s="10"/>
      <c r="BE17" s="10"/>
      <c r="BF17" s="11"/>
      <c r="BG17" s="12"/>
      <c r="BH17" s="17"/>
      <c r="BI17" s="13"/>
      <c r="BJ17" s="13"/>
      <c r="BK17" s="13"/>
      <c r="BL17" s="14"/>
      <c r="BM17" s="8">
        <f t="shared" si="0"/>
        <v>27</v>
      </c>
      <c r="BN17" s="8">
        <f t="shared" si="1"/>
        <v>270</v>
      </c>
      <c r="BO17" s="8">
        <f t="shared" si="2"/>
        <v>263</v>
      </c>
      <c r="BP17" s="8">
        <f t="shared" si="3"/>
        <v>97</v>
      </c>
      <c r="BQ17" s="8">
        <f t="shared" si="4"/>
        <v>270</v>
      </c>
      <c r="BR17" s="8">
        <f t="shared" si="5"/>
        <v>27</v>
      </c>
      <c r="BS17" s="15">
        <f t="shared" si="6"/>
        <v>38.721727854009821</v>
      </c>
      <c r="BT17" s="15" t="str">
        <f t="shared" si="7"/>
        <v>OK - No Upgrade</v>
      </c>
      <c r="BU17" s="15" t="str">
        <f t="shared" si="8"/>
        <v>Need to Balance</v>
      </c>
    </row>
    <row r="18" spans="1:73" ht="15.75" customHeight="1" x14ac:dyDescent="0.25">
      <c r="A18" s="8" t="s">
        <v>904</v>
      </c>
      <c r="B18" s="8" t="s">
        <v>4356</v>
      </c>
      <c r="C18" s="8" t="s">
        <v>905</v>
      </c>
      <c r="D18" s="8" t="s">
        <v>3288</v>
      </c>
      <c r="E18" s="8" t="s">
        <v>4397</v>
      </c>
      <c r="F18" s="8" t="s">
        <v>56</v>
      </c>
      <c r="G18" s="8"/>
      <c r="H18" s="8">
        <v>500</v>
      </c>
      <c r="I18" s="8" t="s">
        <v>4398</v>
      </c>
      <c r="J18" s="8">
        <v>1</v>
      </c>
      <c r="K18" s="8">
        <v>239</v>
      </c>
      <c r="L18" s="8">
        <v>240</v>
      </c>
      <c r="M18" s="8">
        <v>238</v>
      </c>
      <c r="N18" s="8">
        <v>416</v>
      </c>
      <c r="O18" s="8">
        <v>417</v>
      </c>
      <c r="P18" s="8">
        <v>414</v>
      </c>
      <c r="Q18" s="9" t="s">
        <v>47</v>
      </c>
      <c r="R18" s="16"/>
      <c r="S18" s="10">
        <v>156</v>
      </c>
      <c r="T18" s="10">
        <v>149</v>
      </c>
      <c r="U18" s="10">
        <v>109</v>
      </c>
      <c r="V18" s="11">
        <v>60</v>
      </c>
      <c r="W18" s="12" t="s">
        <v>47</v>
      </c>
      <c r="X18" s="17"/>
      <c r="Y18" s="13">
        <v>51</v>
      </c>
      <c r="Z18" s="13">
        <v>109</v>
      </c>
      <c r="AA18" s="13">
        <v>109</v>
      </c>
      <c r="AB18" s="14">
        <v>25</v>
      </c>
      <c r="AC18" s="9"/>
      <c r="AD18" s="16"/>
      <c r="AE18" s="10"/>
      <c r="AF18" s="10"/>
      <c r="AG18" s="10"/>
      <c r="AH18" s="11"/>
      <c r="AI18" s="12"/>
      <c r="AJ18" s="17"/>
      <c r="AK18" s="13"/>
      <c r="AL18" s="13"/>
      <c r="AM18" s="13"/>
      <c r="AN18" s="14"/>
      <c r="AO18" s="9"/>
      <c r="AP18" s="16"/>
      <c r="AQ18" s="10"/>
      <c r="AR18" s="10"/>
      <c r="AS18" s="10"/>
      <c r="AT18" s="11"/>
      <c r="AU18" s="12"/>
      <c r="AV18" s="17"/>
      <c r="AW18" s="13"/>
      <c r="AX18" s="13"/>
      <c r="AY18" s="13"/>
      <c r="AZ18" s="14"/>
      <c r="BA18" s="9"/>
      <c r="BB18" s="16"/>
      <c r="BC18" s="10"/>
      <c r="BD18" s="10"/>
      <c r="BE18" s="10"/>
      <c r="BF18" s="11"/>
      <c r="BG18" s="12"/>
      <c r="BH18" s="17"/>
      <c r="BI18" s="13"/>
      <c r="BJ18" s="13"/>
      <c r="BK18" s="13"/>
      <c r="BL18" s="14"/>
      <c r="BM18" s="8">
        <f t="shared" si="0"/>
        <v>207</v>
      </c>
      <c r="BN18" s="8">
        <f t="shared" si="1"/>
        <v>258</v>
      </c>
      <c r="BO18" s="8">
        <f t="shared" si="2"/>
        <v>218</v>
      </c>
      <c r="BP18" s="8">
        <f t="shared" si="3"/>
        <v>85</v>
      </c>
      <c r="BQ18" s="8">
        <f t="shared" si="4"/>
        <v>258</v>
      </c>
      <c r="BR18" s="8">
        <f t="shared" si="5"/>
        <v>207</v>
      </c>
      <c r="BS18" s="15">
        <f t="shared" si="6"/>
        <v>37.179509814950485</v>
      </c>
      <c r="BT18" s="15" t="str">
        <f t="shared" si="7"/>
        <v>OK - No Upgrade</v>
      </c>
      <c r="BU18" s="15" t="str">
        <f t="shared" si="8"/>
        <v>Need to Balance</v>
      </c>
    </row>
  </sheetData>
  <mergeCells count="79">
    <mergeCell ref="BU1:BU3"/>
    <mergeCell ref="BI2:BI3"/>
    <mergeCell ref="AE2:AE3"/>
    <mergeCell ref="AG2:AG3"/>
    <mergeCell ref="Y2:Y3"/>
    <mergeCell ref="AQ2:AQ3"/>
    <mergeCell ref="AS2:AS3"/>
    <mergeCell ref="AY2:AY3"/>
    <mergeCell ref="BK2:BK3"/>
    <mergeCell ref="AZ2:AZ3"/>
    <mergeCell ref="BB2:BB3"/>
    <mergeCell ref="BL2:BL3"/>
    <mergeCell ref="BN2:BN3"/>
    <mergeCell ref="AU1:AZ1"/>
    <mergeCell ref="AJ2:AJ3"/>
    <mergeCell ref="AL2:AL3"/>
    <mergeCell ref="BR1:BR3"/>
    <mergeCell ref="H1:H3"/>
    <mergeCell ref="AR2:AR3"/>
    <mergeCell ref="AT2:AT3"/>
    <mergeCell ref="E1:E3"/>
    <mergeCell ref="BF2:BF3"/>
    <mergeCell ref="K2:M2"/>
    <mergeCell ref="F1:F3"/>
    <mergeCell ref="J1:J3"/>
    <mergeCell ref="R2:R3"/>
    <mergeCell ref="AD2:AD3"/>
    <mergeCell ref="AN2:AN3"/>
    <mergeCell ref="AP2:AP3"/>
    <mergeCell ref="A1:A3"/>
    <mergeCell ref="BA1:BF1"/>
    <mergeCell ref="C1:C3"/>
    <mergeCell ref="D1:D2"/>
    <mergeCell ref="BQ1:BQ3"/>
    <mergeCell ref="BS1:BS3"/>
    <mergeCell ref="BA2:BA3"/>
    <mergeCell ref="S2:S3"/>
    <mergeCell ref="BC2:BC3"/>
    <mergeCell ref="K1:P1"/>
    <mergeCell ref="BM2:BM3"/>
    <mergeCell ref="BO2:BO3"/>
    <mergeCell ref="W1:AB1"/>
    <mergeCell ref="Q1:V1"/>
    <mergeCell ref="BP2:BP3"/>
    <mergeCell ref="AC1:AH1"/>
    <mergeCell ref="AO1:AT1"/>
    <mergeCell ref="Z2:Z3"/>
    <mergeCell ref="B1:B3"/>
    <mergeCell ref="AI1:AN1"/>
    <mergeCell ref="V2:V3"/>
    <mergeCell ref="X2:X3"/>
    <mergeCell ref="BG1:BL1"/>
    <mergeCell ref="BD2:BD3"/>
    <mergeCell ref="AV2:AV3"/>
    <mergeCell ref="AX2:AX3"/>
    <mergeCell ref="I1:I3"/>
    <mergeCell ref="BH2:BH3"/>
    <mergeCell ref="BJ2:BJ3"/>
    <mergeCell ref="AF2:AF3"/>
    <mergeCell ref="AH2:AH3"/>
    <mergeCell ref="Q2:Q3"/>
    <mergeCell ref="AI2:AI3"/>
    <mergeCell ref="AK2:AK3"/>
    <mergeCell ref="N2:P2"/>
    <mergeCell ref="G1:G3"/>
    <mergeCell ref="U2:U3"/>
    <mergeCell ref="BT1:BT3"/>
    <mergeCell ref="BE2:BE3"/>
    <mergeCell ref="W2:W3"/>
    <mergeCell ref="BG2:BG3"/>
    <mergeCell ref="AA2:AA3"/>
    <mergeCell ref="AC2:AC3"/>
    <mergeCell ref="AM2:AM3"/>
    <mergeCell ref="AO2:AO3"/>
    <mergeCell ref="BM1:BP1"/>
    <mergeCell ref="AU2:AU3"/>
    <mergeCell ref="AW2:AW3"/>
    <mergeCell ref="AB2:AB3"/>
    <mergeCell ref="T2:T3"/>
  </mergeCells>
  <dataValidations count="1">
    <dataValidation type="list" allowBlank="1" errorTitle="Invalid value" error="Please choose Cu or Al" promptTitle="Cable Type" prompt="Choose cable material" sqref="R4:R18 BH4:BH18 BB4:BB18 AV4:AV18 AP4:AP18 AJ4:AJ18 AD4:AD18 X4:X18" xr:uid="{00000000-0002-0000-1700-000000000000}">
      <formula1>"Cu,Al"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HELAT AL NAHADAH</vt:lpstr>
      <vt:lpstr>SULAIF</vt:lpstr>
      <vt:lpstr>AL-MURTAFA</vt:lpstr>
      <vt:lpstr>MAZERA BIN KHATER</vt:lpstr>
      <vt:lpstr>AL-ARAQI</vt:lpstr>
      <vt:lpstr>AL-SANAEYYAH</vt:lpstr>
      <vt:lpstr>Hamra AlDaroo</vt:lpstr>
      <vt:lpstr>Masrooq</vt:lpstr>
      <vt:lpstr>Al Rob’a AlKhali</vt:lpstr>
      <vt:lpstr>AL-ARED</vt:lpstr>
      <vt:lpstr>MAQNYAT</vt:lpstr>
      <vt:lpstr>33KV feeder</vt:lpstr>
      <vt:lpstr>Zubra</vt:lpstr>
      <vt:lpstr>AL-NUJAYD</vt:lpstr>
      <vt:lpstr>KAHANAT</vt:lpstr>
      <vt:lpstr>HUGERMAT</vt:lpstr>
      <vt:lpstr>AMLAH</vt:lpstr>
      <vt:lpstr>AL-EYNIN</vt:lpstr>
      <vt:lpstr>KUBARAH</vt:lpstr>
      <vt:lpstr>AL-AKHDAR</vt:lpstr>
      <vt:lpstr>AL-DREEZ</vt:lpstr>
      <vt:lpstr>BAAT</vt:lpstr>
      <vt:lpstr>AL TAYYEB INDUSTRIAL</vt:lpstr>
      <vt:lpstr>AL BANAH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AL-Hinai</cp:lastModifiedBy>
  <dcterms:created xsi:type="dcterms:W3CDTF">2026-06-15T18:34:26Z</dcterms:created>
  <dcterms:modified xsi:type="dcterms:W3CDTF">2026-06-15T18:38:23Z</dcterms:modified>
</cp:coreProperties>
</file>